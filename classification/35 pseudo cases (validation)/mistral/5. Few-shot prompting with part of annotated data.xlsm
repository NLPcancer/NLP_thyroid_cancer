
<file path=[Content_Types].xml><?xml version="1.0" encoding="utf-8"?>
<Types xmlns="http://schemas.openxmlformats.org/package/2006/content-types">
  <Default Extension="bin" ContentType="application/vnd.ms-office.vbaProject"/>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metadata.xml" ContentType="application/vnd.openxmlformats-officedocument.spreadsheetml.sheetMetadata+xml"/>
  <Override PartName="/xl/persons/person.xml" ContentType="application/vnd.ms-excel.person+xml"/>
  <Override PartName="/xl/calcChain.xml" ContentType="application/vnd.openxmlformats-officedocument.spreadsheetml.calcChain+xml"/>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6" rupBuild="28129" codeName="{DC747B9D-DBBB-FA85-71B4-595EBAB97821}"/>
  <workbookPr codeName="ThisWorkbook"/>
  <mc:AlternateContent xmlns:mc="http://schemas.openxmlformats.org/markup-compatibility/2006">
    <mc:Choice Requires="x15">
      <x15ac:absPath xmlns:x15ac="http://schemas.microsoft.com/office/spreadsheetml/2010/11/ac" url="C:\Users\erich\Desktop\manuscript\manuscript version\revision\model output &amp; classification results\35 pseudo cases (validation)\mistral\"/>
    </mc:Choice>
  </mc:AlternateContent>
  <xr:revisionPtr revIDLastSave="0" documentId="13_ncr:1_{BAD9FD56-3371-4D05-9C76-3C1E65DB2CDB}" xr6:coauthVersionLast="47" xr6:coauthVersionMax="47" xr10:uidLastSave="{00000000-0000-0000-0000-000000000000}"/>
  <bookViews>
    <workbookView xWindow="-98" yWindow="-98" windowWidth="21795" windowHeight="11625" xr2:uid="{00000000-000D-0000-FFFF-FFFF00000000}"/>
  </bookViews>
  <sheets>
    <sheet name="Classification result" sheetId="16" r:id="rId1"/>
    <sheet name="Model output" sheetId="15" r:id="rId2"/>
    <sheet name="Schema" sheetId="2" state="hidden" r:id="rId3"/>
  </sheets>
  <functionGroups builtInGroupCount="19"/>
  <definedNames>
    <definedName name="_xlnm._FilterDatabase" localSheetId="0" hidden="1">'Classification result'!$A$2:$AW$37</definedName>
  </definedNames>
  <calcPr calcId="191028"/>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calcFeatures>
    </ext>
  </extLst>
</workbook>
</file>

<file path=xl/calcChain.xml><?xml version="1.0" encoding="utf-8"?>
<calcChain xmlns="http://schemas.openxmlformats.org/spreadsheetml/2006/main">
  <c r="AI17" i="16" l="1"/>
  <c r="AA3" i="16"/>
  <c r="AA4" i="16"/>
  <c r="AA5" i="16"/>
  <c r="AA6" i="16"/>
  <c r="AA7" i="16"/>
  <c r="AA8" i="16"/>
  <c r="AA9" i="16"/>
  <c r="AA10" i="16"/>
  <c r="AA11" i="16"/>
  <c r="AA12" i="16"/>
  <c r="AA13" i="16"/>
  <c r="AA14" i="16"/>
  <c r="AA15" i="16"/>
  <c r="AA16" i="16"/>
  <c r="AA17" i="16"/>
  <c r="AA18" i="16"/>
  <c r="AA19" i="16"/>
  <c r="AA20" i="16"/>
  <c r="AA21" i="16"/>
  <c r="AA22" i="16"/>
  <c r="AA24" i="16"/>
  <c r="AA25" i="16"/>
  <c r="AA26" i="16"/>
  <c r="AA27" i="16"/>
  <c r="AA28" i="16"/>
  <c r="AA29" i="16"/>
  <c r="AA30" i="16"/>
  <c r="AA31" i="16"/>
  <c r="AA32" i="16"/>
  <c r="AA33" i="16"/>
  <c r="AA34" i="16"/>
  <c r="AA35" i="16"/>
  <c r="AA36" i="16"/>
  <c r="AA37" i="16"/>
  <c r="AA23" i="16"/>
  <c r="K3" i="16" a="1"/>
  <c r="K3" i="16" s="1"/>
  <c r="K4" i="16" a="1"/>
  <c r="K4" i="16" s="1"/>
  <c r="K5" i="16" a="1"/>
  <c r="K5" i="16" s="1"/>
  <c r="K6" i="16" a="1"/>
  <c r="K6" i="16" s="1"/>
  <c r="K7" i="16" a="1"/>
  <c r="K7" i="16" s="1"/>
  <c r="K8" i="16" a="1"/>
  <c r="K8" i="16" s="1"/>
  <c r="K9" i="16" a="1"/>
  <c r="K9" i="16" s="1"/>
  <c r="K10" i="16" a="1"/>
  <c r="K10" i="16" s="1"/>
  <c r="K11" i="16" a="1"/>
  <c r="K11" i="16" s="1"/>
  <c r="K12" i="16" a="1"/>
  <c r="K12" i="16" s="1"/>
  <c r="K13" i="16" a="1"/>
  <c r="K13" i="16" s="1"/>
  <c r="K14" i="16" a="1"/>
  <c r="K14" i="16" s="1"/>
  <c r="K15" i="16" a="1"/>
  <c r="K15" i="16" s="1"/>
  <c r="K16" i="16" a="1"/>
  <c r="K16" i="16" s="1"/>
  <c r="K17" i="16" a="1"/>
  <c r="K17" i="16" s="1"/>
  <c r="K18" i="16" a="1"/>
  <c r="K18" i="16" s="1"/>
  <c r="K19" i="16" a="1"/>
  <c r="K19" i="16" s="1"/>
  <c r="K20" i="16" a="1"/>
  <c r="K20" i="16" s="1"/>
  <c r="K21" i="16" a="1"/>
  <c r="K21" i="16" s="1"/>
  <c r="K22" i="16" a="1"/>
  <c r="K22" i="16" s="1"/>
  <c r="K24" i="16" a="1"/>
  <c r="K24" i="16"/>
  <c r="K25" i="16" a="1"/>
  <c r="K25" i="16"/>
  <c r="K26" i="16" a="1"/>
  <c r="K26" i="16"/>
  <c r="K27" i="16" a="1"/>
  <c r="K27" i="16"/>
  <c r="K28" i="16" a="1"/>
  <c r="K28" i="16"/>
  <c r="K29" i="16" a="1"/>
  <c r="K29" i="16"/>
  <c r="K30" i="16" a="1"/>
  <c r="K30" i="16"/>
  <c r="K31" i="16" a="1"/>
  <c r="K31" i="16"/>
  <c r="K32" i="16" a="1"/>
  <c r="K32" i="16"/>
  <c r="K33" i="16" a="1"/>
  <c r="K33" i="16"/>
  <c r="K34" i="16" a="1"/>
  <c r="K34" i="16"/>
  <c r="K35" i="16" a="1"/>
  <c r="K35" i="16"/>
  <c r="K36" i="16" a="1"/>
  <c r="K36" i="16"/>
  <c r="K37" i="16" a="1"/>
  <c r="K37" i="16"/>
  <c r="K23" i="16" a="1"/>
  <c r="K23" i="16" s="1"/>
  <c r="AF23" i="16" a="1"/>
  <c r="AF23" i="16" s="1"/>
  <c r="Z3" i="15" l="1" a="1"/>
  <c r="Z3" i="15" s="1"/>
  <c r="Z4" i="15" a="1"/>
  <c r="Z4" i="15" s="1"/>
  <c r="Z5" i="15" a="1"/>
  <c r="Z5" i="15" s="1"/>
  <c r="Z6" i="15" a="1"/>
  <c r="Z6" i="15" s="1"/>
  <c r="Z7" i="15" a="1"/>
  <c r="Z7" i="15" s="1"/>
  <c r="Z8" i="15" a="1"/>
  <c r="Z8" i="15" s="1"/>
  <c r="Z9" i="15" a="1"/>
  <c r="Z9" i="15" s="1"/>
  <c r="Z10" i="15" a="1"/>
  <c r="Z10" i="15" s="1"/>
  <c r="Z11" i="15" a="1"/>
  <c r="Z11" i="15" s="1"/>
  <c r="Z12" i="15" a="1"/>
  <c r="Z12" i="15" s="1"/>
  <c r="Z13" i="15" a="1"/>
  <c r="Z13" i="15" s="1"/>
  <c r="Z14" i="15" a="1"/>
  <c r="Z14" i="15" s="1"/>
  <c r="Z15" i="15" a="1"/>
  <c r="Z15" i="15" s="1"/>
  <c r="Z16" i="15" a="1"/>
  <c r="Z16" i="15" s="1"/>
  <c r="Z17" i="15" a="1"/>
  <c r="Z17" i="15" s="1"/>
  <c r="Z18" i="15" a="1"/>
  <c r="Z18" i="15" s="1"/>
  <c r="Z19" i="15" a="1"/>
  <c r="Z19" i="15" s="1"/>
  <c r="Z20" i="15" a="1"/>
  <c r="Z20" i="15"/>
  <c r="Z21" i="15" a="1"/>
  <c r="Z21" i="15" s="1"/>
  <c r="Z22" i="15" a="1"/>
  <c r="Z22" i="15" s="1"/>
  <c r="Z23" i="15" a="1"/>
  <c r="Z23" i="15" s="1"/>
  <c r="Z24" i="15" a="1"/>
  <c r="Z24" i="15" s="1"/>
  <c r="Z25" i="15" a="1"/>
  <c r="Z25" i="15" s="1"/>
  <c r="Z26" i="15" a="1"/>
  <c r="Z26" i="15" s="1"/>
  <c r="Z27" i="15" a="1"/>
  <c r="Z27" i="15" s="1"/>
  <c r="Z28" i="15" a="1"/>
  <c r="Z28" i="15" s="1"/>
  <c r="Z29" i="15" a="1"/>
  <c r="Z29" i="15" s="1"/>
  <c r="Z30" i="15" a="1"/>
  <c r="Z30" i="15" s="1"/>
  <c r="Z31" i="15" a="1"/>
  <c r="Z31" i="15" s="1"/>
  <c r="Z32" i="15" a="1"/>
  <c r="Z32" i="15" s="1"/>
  <c r="Z33" i="15" a="1"/>
  <c r="Z33" i="15" s="1"/>
  <c r="Z34" i="15" a="1"/>
  <c r="Z34" i="15" s="1"/>
  <c r="Z35" i="15" a="1"/>
  <c r="Z35" i="15" s="1"/>
  <c r="Z36" i="15" a="1"/>
  <c r="Z36" i="15"/>
  <c r="Z37" i="15" a="1"/>
  <c r="Z37" i="15" s="1"/>
  <c r="Z38" i="15" a="1"/>
  <c r="Z38" i="15" s="1"/>
  <c r="Z39" i="15" a="1"/>
  <c r="Z39" i="15" s="1"/>
  <c r="Z40" i="15" a="1"/>
  <c r="Z40" i="15" s="1"/>
  <c r="Z41" i="15" a="1"/>
  <c r="Z41" i="15" s="1"/>
  <c r="Z42" i="15" a="1"/>
  <c r="Z42" i="15" s="1"/>
  <c r="Z43" i="15" a="1"/>
  <c r="Z43" i="15" s="1"/>
  <c r="Z44" i="15" a="1"/>
  <c r="Z44" i="15" s="1"/>
  <c r="Z45" i="15" a="1"/>
  <c r="Z45" i="15" s="1"/>
  <c r="Z46" i="15" a="1"/>
  <c r="Z46" i="15" s="1"/>
  <c r="Z47" i="15" a="1"/>
  <c r="Z47" i="15" s="1"/>
  <c r="Z48" i="15" a="1"/>
  <c r="Z48" i="15" s="1"/>
  <c r="Z49" i="15" a="1"/>
  <c r="Z49" i="15" s="1"/>
  <c r="Z50" i="15" a="1"/>
  <c r="Z50" i="15" s="1"/>
  <c r="Z51" i="15" a="1"/>
  <c r="Z51" i="15" s="1"/>
  <c r="Z52" i="15" a="1"/>
  <c r="Z52" i="15" s="1"/>
  <c r="Z53" i="15" a="1"/>
  <c r="Z53" i="15" s="1"/>
  <c r="Z54" i="15" a="1"/>
  <c r="Z54" i="15" s="1"/>
  <c r="Z55" i="15" a="1"/>
  <c r="Z55" i="15" s="1"/>
  <c r="Z56" i="15" a="1"/>
  <c r="Z56" i="15" s="1"/>
  <c r="Z57" i="15" a="1"/>
  <c r="Z57" i="15" s="1"/>
  <c r="Z58" i="15" a="1"/>
  <c r="Z58" i="15" s="1"/>
  <c r="Z59" i="15" a="1"/>
  <c r="Z59" i="15" s="1"/>
  <c r="Z60" i="15" a="1"/>
  <c r="Z60" i="15" s="1"/>
  <c r="Z61" i="15" a="1"/>
  <c r="Z61" i="15" s="1"/>
  <c r="Z62" i="15" a="1"/>
  <c r="Z62" i="15" s="1"/>
  <c r="Z63" i="15" a="1"/>
  <c r="Z63" i="15" s="1"/>
  <c r="Z64" i="15" a="1"/>
  <c r="Z64" i="15" s="1"/>
  <c r="Z65" i="15" a="1"/>
  <c r="Z65" i="15" s="1"/>
  <c r="Z66" i="15" a="1"/>
  <c r="Z66" i="15" s="1"/>
  <c r="Z67" i="15" a="1"/>
  <c r="Z67" i="15" s="1"/>
  <c r="Z68" i="15" a="1"/>
  <c r="Z68" i="15" s="1"/>
  <c r="Z69" i="15" a="1"/>
  <c r="Z69" i="15" s="1"/>
  <c r="Z70" i="15" a="1"/>
  <c r="Z70" i="15"/>
  <c r="Z71" i="15" a="1"/>
  <c r="Z71" i="15" s="1"/>
  <c r="Z72" i="15" a="1"/>
  <c r="Z72" i="15" s="1"/>
  <c r="Z2" i="15" a="1"/>
  <c r="Z2" i="15" s="1"/>
  <c r="V9" i="16" l="1" a="1"/>
  <c r="V9" i="16" s="1"/>
  <c r="Y9" i="16" s="1"/>
  <c r="V29" i="16" a="1"/>
  <c r="V29" i="16" s="1"/>
  <c r="Y29" i="16" s="1"/>
  <c r="F13" i="16" a="1"/>
  <c r="F13" i="16" s="1"/>
  <c r="F33" i="16" a="1"/>
  <c r="F33" i="16" s="1"/>
  <c r="V20" i="16" a="1"/>
  <c r="V20" i="16" s="1"/>
  <c r="F14" i="16" a="1"/>
  <c r="F14" i="16" s="1"/>
  <c r="F34" i="16" a="1"/>
  <c r="F34" i="16" s="1"/>
  <c r="V10" i="16" a="1"/>
  <c r="V10" i="16" s="1"/>
  <c r="Y10" i="16" s="1"/>
  <c r="V30" i="16" a="1"/>
  <c r="V30" i="16" s="1"/>
  <c r="Y30" i="16" s="1"/>
  <c r="F15" i="16" a="1"/>
  <c r="F15" i="16" s="1"/>
  <c r="F35" i="16" a="1"/>
  <c r="F35" i="16" s="1"/>
  <c r="V21" i="16" a="1"/>
  <c r="V21" i="16" s="1"/>
  <c r="Y21" i="16" s="1"/>
  <c r="F16" i="16" a="1"/>
  <c r="F16" i="16" s="1"/>
  <c r="V11" i="16" a="1"/>
  <c r="V11" i="16" s="1"/>
  <c r="Y11" i="16" s="1"/>
  <c r="V31" i="16" a="1"/>
  <c r="V31" i="16" s="1"/>
  <c r="Y31" i="16" s="1"/>
  <c r="F17" i="16" a="1"/>
  <c r="F17" i="16" s="1"/>
  <c r="F37" i="16" a="1"/>
  <c r="F37" i="16" s="1"/>
  <c r="V22" i="16" a="1"/>
  <c r="V22" i="16" s="1"/>
  <c r="F3" i="16" a="1"/>
  <c r="F3" i="16" s="1"/>
  <c r="F28" i="16" a="1"/>
  <c r="F28" i="16" s="1"/>
  <c r="V12" i="16" a="1"/>
  <c r="V12" i="16" s="1"/>
  <c r="Y12" i="16" s="1"/>
  <c r="V32" i="16" a="1"/>
  <c r="V32" i="16" s="1"/>
  <c r="F18" i="16" a="1"/>
  <c r="F18" i="16" s="1"/>
  <c r="F5" i="16" a="1"/>
  <c r="F5" i="16" s="1"/>
  <c r="F24" i="16" a="1"/>
  <c r="F24" i="16" s="1"/>
  <c r="F10" i="16" a="1"/>
  <c r="F10" i="16" s="1"/>
  <c r="F19" i="16" a="1"/>
  <c r="F19" i="16" s="1"/>
  <c r="F4" i="16" a="1"/>
  <c r="F4" i="16" s="1"/>
  <c r="V23" i="16" a="1"/>
  <c r="V23" i="16" s="1"/>
  <c r="F20" i="16" a="1"/>
  <c r="F20" i="16" s="1"/>
  <c r="F22" i="16" a="1"/>
  <c r="F22" i="16" s="1"/>
  <c r="F26" i="16" a="1"/>
  <c r="F26" i="16" s="1"/>
  <c r="F12" i="16" a="1"/>
  <c r="F12" i="16" s="1"/>
  <c r="V13" i="16" a="1"/>
  <c r="V13" i="16" s="1"/>
  <c r="Y13" i="16" s="1"/>
  <c r="V33" i="16" a="1"/>
  <c r="V33" i="16" s="1"/>
  <c r="F8" i="16" a="1"/>
  <c r="F8" i="16" s="1"/>
  <c r="F36" i="16" a="1"/>
  <c r="F36" i="16" s="1"/>
  <c r="F21" i="16" a="1"/>
  <c r="F21" i="16" s="1"/>
  <c r="F6" i="16" a="1"/>
  <c r="F6" i="16" s="1"/>
  <c r="V14" i="16" a="1"/>
  <c r="V14" i="16" s="1"/>
  <c r="V34" i="16" a="1"/>
  <c r="V34" i="16" s="1"/>
  <c r="V4" i="16" a="1"/>
  <c r="V4" i="16" s="1"/>
  <c r="Y4" i="16" s="1"/>
  <c r="V24" i="16" a="1"/>
  <c r="V24" i="16" s="1"/>
  <c r="Y24" i="16" s="1"/>
  <c r="F30" i="16" a="1"/>
  <c r="F30" i="16" s="1"/>
  <c r="F23" i="16" a="1"/>
  <c r="F23" i="16" s="1"/>
  <c r="V15" i="16" a="1"/>
  <c r="V15" i="16" s="1"/>
  <c r="V35" i="16" a="1"/>
  <c r="V35" i="16" s="1"/>
  <c r="V5" i="16" a="1"/>
  <c r="V5" i="16" s="1"/>
  <c r="Y5" i="16" s="1"/>
  <c r="V25" i="16" a="1"/>
  <c r="V25" i="16" s="1"/>
  <c r="Y25" i="16" s="1"/>
  <c r="M3" i="16"/>
  <c r="J3" i="16" s="1" a="1"/>
  <c r="J3" i="16" s="1"/>
  <c r="F25" i="16" a="1"/>
  <c r="F25" i="16" s="1"/>
  <c r="V16" i="16" a="1"/>
  <c r="V16" i="16" s="1"/>
  <c r="V36" i="16" a="1"/>
  <c r="V36" i="16" s="1"/>
  <c r="V6" i="16" a="1"/>
  <c r="V6" i="16" s="1"/>
  <c r="V26" i="16" a="1"/>
  <c r="V26" i="16" s="1"/>
  <c r="F32" i="16" a="1"/>
  <c r="F32" i="16" s="1"/>
  <c r="F7" i="16" a="1"/>
  <c r="F7" i="16" s="1"/>
  <c r="F27" i="16" a="1"/>
  <c r="F27" i="16" s="1"/>
  <c r="V17" i="16" a="1"/>
  <c r="V17" i="16" s="1"/>
  <c r="Y17" i="16" s="1"/>
  <c r="V37" i="16" a="1"/>
  <c r="V37" i="16" s="1"/>
  <c r="V7" i="16" a="1"/>
  <c r="V7" i="16" s="1"/>
  <c r="Y7" i="16" s="1"/>
  <c r="V27" i="16" a="1"/>
  <c r="V27" i="16" s="1"/>
  <c r="Y27" i="16" s="1"/>
  <c r="F9" i="16" a="1"/>
  <c r="F9" i="16" s="1"/>
  <c r="F29" i="16" a="1"/>
  <c r="F29" i="16" s="1"/>
  <c r="V18" i="16" a="1"/>
  <c r="V18" i="16" s="1"/>
  <c r="V8" i="16" a="1"/>
  <c r="V8" i="16" s="1"/>
  <c r="Y8" i="16" s="1"/>
  <c r="V28" i="16" a="1"/>
  <c r="V28" i="16" s="1"/>
  <c r="V3" i="16" a="1"/>
  <c r="V3" i="16" s="1"/>
  <c r="Y3" i="16" s="1"/>
  <c r="F11" i="16" a="1"/>
  <c r="F11" i="16" s="1"/>
  <c r="F31" i="16" a="1"/>
  <c r="F31" i="16" s="1"/>
  <c r="V19" i="16" a="1"/>
  <c r="V19" i="16" s="1"/>
  <c r="Y19" i="16" s="1"/>
  <c r="AF28" i="16" a="1"/>
  <c r="AF28" i="16" s="1"/>
  <c r="AG12" i="16" a="1"/>
  <c r="AG12" i="16" s="1"/>
  <c r="AG32" i="16" a="1"/>
  <c r="AG32" i="16" s="1"/>
  <c r="H25" i="16" a="1"/>
  <c r="H25" i="16" s="1"/>
  <c r="AF9" i="16" a="1"/>
  <c r="AF9" i="16" s="1"/>
  <c r="AF29" i="16" a="1"/>
  <c r="AF29" i="16" s="1"/>
  <c r="H26" i="16" a="1"/>
  <c r="H26" i="16" s="1"/>
  <c r="AF10" i="16" a="1"/>
  <c r="AF10" i="16" s="1"/>
  <c r="AF30" i="16" a="1"/>
  <c r="AF30" i="16" s="1"/>
  <c r="AG14" i="16" a="1"/>
  <c r="AG14" i="16" s="1"/>
  <c r="AG18" i="16" a="1"/>
  <c r="AG18" i="16" s="1"/>
  <c r="H7" i="16" a="1"/>
  <c r="H7" i="16" s="1"/>
  <c r="AF11" i="16" a="1"/>
  <c r="AF11" i="16" s="1"/>
  <c r="AF31" i="16" a="1"/>
  <c r="AF31" i="16" s="1"/>
  <c r="AG15" i="16" a="1"/>
  <c r="AG15" i="16" s="1"/>
  <c r="AG35" i="16" a="1"/>
  <c r="AG35" i="16" s="1"/>
  <c r="H8" i="16" a="1"/>
  <c r="H8" i="16" s="1"/>
  <c r="AF12" i="16" a="1"/>
  <c r="AF12" i="16" s="1"/>
  <c r="AF32" i="16" a="1"/>
  <c r="AF32" i="16" s="1"/>
  <c r="AG16" i="16" a="1"/>
  <c r="AG16" i="16" s="1"/>
  <c r="AG36" i="16" a="1"/>
  <c r="AG36" i="16" s="1"/>
  <c r="AF13" i="16" a="1"/>
  <c r="AF13" i="16" s="1"/>
  <c r="AF33" i="16" a="1"/>
  <c r="AF33" i="16" s="1"/>
  <c r="AG17" i="16" a="1"/>
  <c r="AG17" i="16" s="1"/>
  <c r="H10" i="16" a="1"/>
  <c r="H10" i="16" s="1"/>
  <c r="H30" i="16" a="1"/>
  <c r="H30" i="16" s="1"/>
  <c r="AF14" i="16" a="1"/>
  <c r="AF14" i="16" s="1"/>
  <c r="AF34" i="16" a="1"/>
  <c r="AF34" i="16" s="1"/>
  <c r="H11" i="16" a="1"/>
  <c r="H11" i="16" s="1"/>
  <c r="AF15" i="16" a="1"/>
  <c r="AF15" i="16" s="1"/>
  <c r="AF35" i="16" a="1"/>
  <c r="AF35" i="16" s="1"/>
  <c r="AG19" i="16" a="1"/>
  <c r="AG19" i="16" s="1"/>
  <c r="H12" i="16" a="1"/>
  <c r="H12" i="16" s="1"/>
  <c r="H32" i="16" a="1"/>
  <c r="H32" i="16" s="1"/>
  <c r="AF16" i="16" a="1"/>
  <c r="AF16" i="16" s="1"/>
  <c r="AF36" i="16" a="1"/>
  <c r="AF36" i="16" s="1"/>
  <c r="AG20" i="16" a="1"/>
  <c r="AG20" i="16" s="1"/>
  <c r="AF3" i="16" a="1"/>
  <c r="AF3" i="16" s="1"/>
  <c r="AG13" i="16" a="1"/>
  <c r="AG13" i="16" s="1"/>
  <c r="H13" i="16" a="1"/>
  <c r="H13" i="16" s="1"/>
  <c r="H33" i="16" a="1"/>
  <c r="H33" i="16" s="1"/>
  <c r="AF17" i="16" a="1"/>
  <c r="AF17" i="16" s="1"/>
  <c r="AF37" i="16" a="1"/>
  <c r="AF37" i="16" s="1"/>
  <c r="AG21" i="16" a="1"/>
  <c r="AG21" i="16" s="1"/>
  <c r="AG22" i="16" a="1"/>
  <c r="AG22" i="16" s="1"/>
  <c r="H34" i="16" a="1"/>
  <c r="H34" i="16" s="1"/>
  <c r="AF18" i="16" a="1"/>
  <c r="AF18" i="16" s="1"/>
  <c r="AG28" i="16" a="1"/>
  <c r="AG28" i="16" s="1"/>
  <c r="AF19" i="16" a="1"/>
  <c r="AF19" i="16" s="1"/>
  <c r="AG3" i="16" a="1"/>
  <c r="AG3" i="16" s="1"/>
  <c r="AG23" i="16" a="1"/>
  <c r="AG23" i="16" s="1"/>
  <c r="AF20" i="16" a="1"/>
  <c r="AF20" i="16" s="1"/>
  <c r="AG4" i="16" a="1"/>
  <c r="AG4" i="16" s="1"/>
  <c r="AG24" i="16" a="1"/>
  <c r="AG24" i="16" s="1"/>
  <c r="AG6" i="16" a="1"/>
  <c r="AG6" i="16" s="1"/>
  <c r="AG37" i="16" a="1"/>
  <c r="AG37" i="16" s="1"/>
  <c r="H17" i="16" a="1"/>
  <c r="H17" i="16" s="1"/>
  <c r="AF21" i="16" a="1"/>
  <c r="AF21" i="16" s="1"/>
  <c r="AG5" i="16" a="1"/>
  <c r="AG5" i="16" s="1"/>
  <c r="AG25" i="16" a="1"/>
  <c r="AG25" i="16" s="1"/>
  <c r="AG34" i="16" a="1"/>
  <c r="AG34" i="16" s="1"/>
  <c r="H18" i="16" a="1"/>
  <c r="H18" i="16" s="1"/>
  <c r="H3" i="16" a="1"/>
  <c r="H3" i="16" s="1"/>
  <c r="AF22" i="16" a="1"/>
  <c r="AF22" i="16" s="1"/>
  <c r="AG26" i="16" a="1"/>
  <c r="AG26" i="16" s="1"/>
  <c r="H19" i="16" a="1"/>
  <c r="H19" i="16" s="1"/>
  <c r="AF4" i="16" a="1"/>
  <c r="AF4" i="16" s="1"/>
  <c r="AG7" i="16" a="1"/>
  <c r="AG7" i="16" s="1"/>
  <c r="AG27" i="16" a="1"/>
  <c r="AG27" i="16" s="1"/>
  <c r="AG10" i="16" a="1"/>
  <c r="AG10" i="16" s="1"/>
  <c r="H20" i="16" a="1"/>
  <c r="H20" i="16" s="1"/>
  <c r="AF5" i="16" a="1"/>
  <c r="AF5" i="16" s="1"/>
  <c r="AF24" i="16" a="1"/>
  <c r="AF24" i="16" s="1"/>
  <c r="AG8" i="16" a="1"/>
  <c r="AG8" i="16" s="1"/>
  <c r="H21" i="16" a="1"/>
  <c r="H21" i="16" s="1"/>
  <c r="AF6" i="16" a="1"/>
  <c r="AF6" i="16" s="1"/>
  <c r="AF25" i="16" a="1"/>
  <c r="AF25" i="16" s="1"/>
  <c r="AG9" i="16" a="1"/>
  <c r="AG9" i="16" s="1"/>
  <c r="AG29" i="16" a="1"/>
  <c r="AG29" i="16" s="1"/>
  <c r="AG33" i="16" a="1"/>
  <c r="AG33" i="16" s="1"/>
  <c r="H22" i="16" a="1"/>
  <c r="H22" i="16" s="1"/>
  <c r="AF7" i="16" a="1"/>
  <c r="AF7" i="16" s="1"/>
  <c r="AF26" i="16" a="1"/>
  <c r="AF26" i="16" s="1"/>
  <c r="AG30" i="16" a="1"/>
  <c r="AG30" i="16" s="1"/>
  <c r="H23" i="16" a="1"/>
  <c r="H23" i="16" s="1"/>
  <c r="AF8" i="16" a="1"/>
  <c r="AF8" i="16" s="1"/>
  <c r="AF27" i="16" a="1"/>
  <c r="AF27" i="16" s="1"/>
  <c r="AG11" i="16" a="1"/>
  <c r="AG11" i="16" s="1"/>
  <c r="AG31" i="16" a="1"/>
  <c r="AG31" i="16" s="1"/>
  <c r="E19" i="16"/>
  <c r="Z16" i="16" a="1"/>
  <c r="Z16" i="16" s="1"/>
  <c r="Q35" i="16" a="1"/>
  <c r="Q35" i="16" s="1"/>
  <c r="Q37" i="16" a="1"/>
  <c r="Q37" i="16" s="1"/>
  <c r="E9" i="16"/>
  <c r="E29" i="16"/>
  <c r="B14" i="16"/>
  <c r="B34" i="16"/>
  <c r="E20" i="16"/>
  <c r="B5" i="16"/>
  <c r="B25" i="16"/>
  <c r="E10" i="16"/>
  <c r="E30" i="16"/>
  <c r="B15" i="16"/>
  <c r="B35" i="16"/>
  <c r="E4" i="16"/>
  <c r="E24" i="16"/>
  <c r="B9" i="16"/>
  <c r="B29" i="16"/>
  <c r="E23" i="16"/>
  <c r="B8" i="16"/>
  <c r="B28" i="16"/>
  <c r="E6" i="16"/>
  <c r="E26" i="16"/>
  <c r="B11" i="16"/>
  <c r="B31" i="16"/>
  <c r="E8" i="16"/>
  <c r="E28" i="16"/>
  <c r="B13" i="16"/>
  <c r="B33" i="16"/>
  <c r="Q33" i="16" a="1"/>
  <c r="Q33" i="16" s="1"/>
  <c r="Q13" i="16" a="1"/>
  <c r="Q13" i="16" s="1"/>
  <c r="H28" i="16" a="1"/>
  <c r="H28" i="16" s="1"/>
  <c r="Z23" i="16" a="1"/>
  <c r="Z23" i="16" s="1"/>
  <c r="B30" i="16"/>
  <c r="B10" i="16"/>
  <c r="E25" i="16"/>
  <c r="E5" i="16"/>
  <c r="Q32" i="16" a="1"/>
  <c r="Q32" i="16" s="1"/>
  <c r="Q12" i="16" a="1"/>
  <c r="Q12" i="16" s="1"/>
  <c r="H27" i="16" a="1"/>
  <c r="H27" i="16" s="1"/>
  <c r="Z22" i="16" a="1"/>
  <c r="Z22" i="16" s="1"/>
  <c r="Q31" i="16" a="1"/>
  <c r="Q31" i="16" s="1"/>
  <c r="Q11" i="16" a="1"/>
  <c r="Q11" i="16" s="1"/>
  <c r="H6" i="16" a="1"/>
  <c r="H6" i="16" s="1"/>
  <c r="Z21" i="16" a="1"/>
  <c r="Z21" i="16" s="1"/>
  <c r="Q30" i="16" a="1"/>
  <c r="Q30" i="16" s="1"/>
  <c r="Q10" i="16" a="1"/>
  <c r="Q10" i="16" s="1"/>
  <c r="H5" i="16" a="1"/>
  <c r="H5" i="16" s="1"/>
  <c r="Z20" i="16" a="1"/>
  <c r="Z20" i="16" s="1"/>
  <c r="B27" i="16"/>
  <c r="B7" i="16"/>
  <c r="E22" i="16"/>
  <c r="Q29" i="16" a="1"/>
  <c r="Q29" i="16" s="1"/>
  <c r="Q9" i="16" a="1"/>
  <c r="Q9" i="16" s="1"/>
  <c r="H24" i="16" a="1"/>
  <c r="H24" i="16" s="1"/>
  <c r="H4" i="16" a="1"/>
  <c r="H4" i="16" s="1"/>
  <c r="Z19" i="16" a="1"/>
  <c r="Z19" i="16" s="1"/>
  <c r="B26" i="16"/>
  <c r="B6" i="16"/>
  <c r="E21" i="16"/>
  <c r="Q28" i="16" a="1"/>
  <c r="Q28" i="16" s="1"/>
  <c r="Q8" i="16" a="1"/>
  <c r="Q8" i="16" s="1"/>
  <c r="Z3" i="16" a="1"/>
  <c r="Z3" i="16" s="1"/>
  <c r="Z18" i="16" a="1"/>
  <c r="Z18" i="16" s="1"/>
  <c r="Q27" i="16" a="1"/>
  <c r="Q27" i="16" s="1"/>
  <c r="Q7" i="16" a="1"/>
  <c r="Q7" i="16" s="1"/>
  <c r="Z37" i="16" a="1"/>
  <c r="Z37" i="16" s="1"/>
  <c r="Z17" i="16" a="1"/>
  <c r="Z17" i="16" s="1"/>
  <c r="Q26" i="16" a="1"/>
  <c r="Q26" i="16" s="1"/>
  <c r="Q6" i="16" a="1"/>
  <c r="Q6" i="16" s="1"/>
  <c r="Z36" i="16" a="1"/>
  <c r="Z36" i="16" s="1"/>
  <c r="G37" i="16" a="1"/>
  <c r="G37" i="16" s="1"/>
  <c r="G25" i="16" a="1"/>
  <c r="G25" i="16" s="1"/>
  <c r="G5" i="16" a="1"/>
  <c r="G5" i="16" s="1"/>
  <c r="S12" i="16" a="1"/>
  <c r="S12" i="16" s="1"/>
  <c r="S32" i="16" a="1"/>
  <c r="S32" i="16" s="1"/>
  <c r="G24" i="16" a="1"/>
  <c r="G24" i="16" s="1"/>
  <c r="G4" i="16" a="1"/>
  <c r="G4" i="16" s="1"/>
  <c r="G41" i="16" s="1"/>
  <c r="S13" i="16" a="1"/>
  <c r="S13" i="16" s="1"/>
  <c r="S33" i="16" a="1"/>
  <c r="S33" i="16" s="1"/>
  <c r="M21" i="16"/>
  <c r="J21" i="16" s="1" a="1"/>
  <c r="J21" i="16" s="1"/>
  <c r="G36" i="16" a="1"/>
  <c r="G36" i="16" s="1"/>
  <c r="G23" i="16" a="1"/>
  <c r="G23" i="16" s="1"/>
  <c r="S14" i="16" a="1"/>
  <c r="S14" i="16" s="1"/>
  <c r="S34" i="16" a="1"/>
  <c r="S34" i="16" s="1"/>
  <c r="R18" i="16" a="1"/>
  <c r="R18" i="16" s="1"/>
  <c r="M18" i="16"/>
  <c r="J18" i="16" s="1" a="1"/>
  <c r="J18" i="16" s="1"/>
  <c r="R21" i="16" a="1"/>
  <c r="R21" i="16" s="1"/>
  <c r="G22" i="16" a="1"/>
  <c r="G22" i="16" s="1"/>
  <c r="G3" i="16" a="1"/>
  <c r="G3" i="16" s="1"/>
  <c r="G40" i="16" s="1"/>
  <c r="S15" i="16" a="1"/>
  <c r="S15" i="16" s="1"/>
  <c r="S35" i="16" a="1"/>
  <c r="S35" i="16" s="1"/>
  <c r="M17" i="16"/>
  <c r="J17" i="16" s="1" a="1"/>
  <c r="J17" i="16" s="1"/>
  <c r="M37" i="16"/>
  <c r="J37" i="16" s="1" a="1"/>
  <c r="J37" i="16" s="1"/>
  <c r="G35" i="16" a="1"/>
  <c r="G35" i="16" s="1"/>
  <c r="G21" i="16" a="1"/>
  <c r="G21" i="16" s="1"/>
  <c r="S16" i="16" a="1"/>
  <c r="S16" i="16" s="1"/>
  <c r="S36" i="16" a="1"/>
  <c r="S36" i="16" s="1"/>
  <c r="R20" i="16" a="1"/>
  <c r="R20" i="16" s="1"/>
  <c r="G20" i="16" a="1"/>
  <c r="G20" i="16" s="1"/>
  <c r="S17" i="16" a="1"/>
  <c r="S17" i="16" s="1"/>
  <c r="S37" i="16" a="1"/>
  <c r="S37" i="16" s="1"/>
  <c r="G34" i="16" a="1"/>
  <c r="G34" i="16" s="1"/>
  <c r="G19" i="16" a="1"/>
  <c r="G19" i="16" s="1"/>
  <c r="S18" i="16" a="1"/>
  <c r="S18" i="16" s="1"/>
  <c r="S3" i="16" a="1"/>
  <c r="S3" i="16" s="1"/>
  <c r="M20" i="16"/>
  <c r="J20" i="16" s="1" a="1"/>
  <c r="J20" i="16" s="1"/>
  <c r="G18" i="16" a="1"/>
  <c r="G18" i="16" s="1"/>
  <c r="S19" i="16" a="1"/>
  <c r="S19" i="16" s="1"/>
  <c r="M11" i="16"/>
  <c r="J11" i="16" s="1" a="1"/>
  <c r="J11" i="16" s="1"/>
  <c r="R23" i="16" a="1"/>
  <c r="R23" i="16" s="1"/>
  <c r="G33" i="16" a="1"/>
  <c r="G33" i="16" s="1"/>
  <c r="G17" i="16" a="1"/>
  <c r="G17" i="16" s="1"/>
  <c r="S20" i="16" a="1"/>
  <c r="S20" i="16" s="1"/>
  <c r="R4" i="16" a="1"/>
  <c r="R4" i="16" s="1"/>
  <c r="R24" i="16" a="1"/>
  <c r="R24" i="16" s="1"/>
  <c r="G16" i="16" a="1"/>
  <c r="G16" i="16" s="1"/>
  <c r="S21" i="16" a="1"/>
  <c r="S21" i="16" s="1"/>
  <c r="R5" i="16" a="1"/>
  <c r="R5" i="16" s="1"/>
  <c r="R25" i="16" a="1"/>
  <c r="R25" i="16" s="1"/>
  <c r="G32" i="16" a="1"/>
  <c r="G32" i="16" s="1"/>
  <c r="G15" i="16" a="1"/>
  <c r="G15" i="16" s="1"/>
  <c r="S22" i="16" a="1"/>
  <c r="S22" i="16" s="1"/>
  <c r="R6" i="16" a="1"/>
  <c r="R6" i="16" s="1"/>
  <c r="R26" i="16" a="1"/>
  <c r="R26" i="16" s="1"/>
  <c r="G14" i="16" a="1"/>
  <c r="G14" i="16" s="1"/>
  <c r="S23" i="16" a="1"/>
  <c r="S23" i="16" s="1"/>
  <c r="R7" i="16" a="1"/>
  <c r="R7" i="16" s="1"/>
  <c r="R27" i="16" a="1"/>
  <c r="R27" i="16" s="1"/>
  <c r="M5" i="16"/>
  <c r="J5" i="16" s="1" a="1"/>
  <c r="J5" i="16" s="1"/>
  <c r="M25" i="16"/>
  <c r="J25" i="16" s="1" a="1"/>
  <c r="J25" i="16" s="1"/>
  <c r="M6" i="16"/>
  <c r="J6" i="16" s="1" a="1"/>
  <c r="J6" i="16" s="1"/>
  <c r="M26" i="16"/>
  <c r="J26" i="16" s="1" a="1"/>
  <c r="J26" i="16" s="1"/>
  <c r="M7" i="16"/>
  <c r="J7" i="16" s="1" a="1"/>
  <c r="J7" i="16" s="1"/>
  <c r="M27" i="16"/>
  <c r="J27" i="16" s="1" a="1"/>
  <c r="J27" i="16" s="1"/>
  <c r="S26" i="16" a="1"/>
  <c r="S26" i="16" s="1"/>
  <c r="M8" i="16"/>
  <c r="J8" i="16" s="1" a="1"/>
  <c r="J8" i="16" s="1"/>
  <c r="M28" i="16"/>
  <c r="J28" i="16" s="1" a="1"/>
  <c r="J28" i="16" s="1"/>
  <c r="R11" i="16" a="1"/>
  <c r="R11" i="16" s="1"/>
  <c r="M16" i="16"/>
  <c r="J16" i="16" s="1" a="1"/>
  <c r="J16" i="16" s="1"/>
  <c r="M36" i="16"/>
  <c r="J36" i="16" s="1" a="1"/>
  <c r="J36" i="16" s="1"/>
  <c r="R19" i="16" a="1"/>
  <c r="R19" i="16" s="1"/>
  <c r="G31" i="16" a="1"/>
  <c r="G31" i="16" s="1"/>
  <c r="G13" i="16" a="1"/>
  <c r="G13" i="16" s="1"/>
  <c r="S4" i="16" a="1"/>
  <c r="S4" i="16" s="1"/>
  <c r="S24" i="16" a="1"/>
  <c r="S24" i="16" s="1"/>
  <c r="R8" i="16" a="1"/>
  <c r="R8" i="16" s="1"/>
  <c r="R28" i="16" a="1"/>
  <c r="R28" i="16" s="1"/>
  <c r="AL28" i="16" s="1"/>
  <c r="R10" i="16" a="1"/>
  <c r="R10" i="16" s="1"/>
  <c r="R31" i="16" a="1"/>
  <c r="R31" i="16" s="1"/>
  <c r="R37" i="16" a="1"/>
  <c r="R37" i="16" s="1"/>
  <c r="G12" i="16" a="1"/>
  <c r="G12" i="16" s="1"/>
  <c r="S5" i="16" a="1"/>
  <c r="S5" i="16" s="1"/>
  <c r="S25" i="16" a="1"/>
  <c r="S25" i="16" s="1"/>
  <c r="R9" i="16" a="1"/>
  <c r="R9" i="16" s="1"/>
  <c r="R29" i="16" a="1"/>
  <c r="R29" i="16" s="1"/>
  <c r="R30" i="16" a="1"/>
  <c r="R30" i="16" s="1"/>
  <c r="M31" i="16"/>
  <c r="J31" i="16" s="1" a="1"/>
  <c r="J31" i="16" s="1"/>
  <c r="G30" i="16" a="1"/>
  <c r="G30" i="16" s="1"/>
  <c r="G11" i="16" a="1"/>
  <c r="G11" i="16" s="1"/>
  <c r="S6" i="16" a="1"/>
  <c r="S6" i="16" s="1"/>
  <c r="M9" i="16"/>
  <c r="J9" i="16" s="1" a="1"/>
  <c r="J9" i="16" s="1"/>
  <c r="M29" i="16"/>
  <c r="J29" i="16" s="1" a="1"/>
  <c r="J29" i="16" s="1"/>
  <c r="R32" i="16" a="1"/>
  <c r="R32" i="16" s="1"/>
  <c r="G10" i="16" a="1"/>
  <c r="G10" i="16" s="1"/>
  <c r="S7" i="16" a="1"/>
  <c r="S7" i="16" s="1"/>
  <c r="S27" i="16" a="1"/>
  <c r="S27" i="16" s="1"/>
  <c r="M19" i="16"/>
  <c r="J19" i="16" s="1" a="1"/>
  <c r="J19" i="16" s="1"/>
  <c r="R22" i="16" a="1"/>
  <c r="R22" i="16" s="1"/>
  <c r="G29" i="16" a="1"/>
  <c r="G29" i="16" s="1"/>
  <c r="G9" i="16" a="1"/>
  <c r="G9" i="16" s="1"/>
  <c r="S8" i="16" a="1"/>
  <c r="S8" i="16" s="1"/>
  <c r="S28" i="16" a="1"/>
  <c r="S28" i="16" s="1"/>
  <c r="R12" i="16" a="1"/>
  <c r="R12" i="16" s="1"/>
  <c r="M10" i="16"/>
  <c r="J10" i="16" s="1" a="1"/>
  <c r="J10" i="16" s="1"/>
  <c r="M30" i="16"/>
  <c r="J30" i="16" s="1" a="1"/>
  <c r="J30" i="16" s="1"/>
  <c r="R33" i="16" a="1"/>
  <c r="R33" i="16" s="1"/>
  <c r="M4" i="16"/>
  <c r="J4" i="16" s="1" a="1"/>
  <c r="J4" i="16" s="1"/>
  <c r="M24" i="16"/>
  <c r="J24" i="16" s="1" a="1"/>
  <c r="J24" i="16" s="1"/>
  <c r="G28" i="16" a="1"/>
  <c r="G28" i="16" s="1"/>
  <c r="G8" i="16" a="1"/>
  <c r="G8" i="16" s="1"/>
  <c r="S9" i="16" a="1"/>
  <c r="S9" i="16" s="1"/>
  <c r="S29" i="16" a="1"/>
  <c r="S29" i="16" s="1"/>
  <c r="R13" i="16" a="1"/>
  <c r="R13" i="16" s="1"/>
  <c r="M23" i="16"/>
  <c r="J23" i="16" s="1" a="1"/>
  <c r="J23" i="16" s="1"/>
  <c r="G27" i="16" a="1"/>
  <c r="G27" i="16" s="1"/>
  <c r="G7" i="16" a="1"/>
  <c r="G7" i="16" s="1"/>
  <c r="S10" i="16" a="1"/>
  <c r="S10" i="16" s="1"/>
  <c r="S30" i="16" a="1"/>
  <c r="S30" i="16" s="1"/>
  <c r="R14" i="16" a="1"/>
  <c r="R14" i="16" s="1"/>
  <c r="R34" i="16" a="1"/>
  <c r="R34" i="16" s="1"/>
  <c r="M12" i="16"/>
  <c r="J12" i="16" s="1" a="1"/>
  <c r="J12" i="16" s="1"/>
  <c r="M32" i="16"/>
  <c r="J32" i="16" s="1" a="1"/>
  <c r="J32" i="16" s="1"/>
  <c r="M13" i="16"/>
  <c r="J13" i="16" s="1" a="1"/>
  <c r="J13" i="16" s="1"/>
  <c r="M33" i="16"/>
  <c r="J33" i="16" s="1" a="1"/>
  <c r="J33" i="16" s="1"/>
  <c r="R16" i="16" a="1"/>
  <c r="R16" i="16" s="1"/>
  <c r="M14" i="16"/>
  <c r="J14" i="16" s="1" a="1"/>
  <c r="J14" i="16" s="1"/>
  <c r="M34" i="16"/>
  <c r="J34" i="16" s="1" a="1"/>
  <c r="J34" i="16" s="1"/>
  <c r="R17" i="16" a="1"/>
  <c r="R17" i="16" s="1"/>
  <c r="G26" i="16" a="1"/>
  <c r="G26" i="16" s="1"/>
  <c r="G6" i="16" a="1"/>
  <c r="G6" i="16" s="1"/>
  <c r="S11" i="16" a="1"/>
  <c r="S11" i="16" s="1"/>
  <c r="S31" i="16" a="1"/>
  <c r="S31" i="16" s="1"/>
  <c r="R15" i="16" a="1"/>
  <c r="R15" i="16" s="1"/>
  <c r="R35" i="16" a="1"/>
  <c r="R35" i="16" s="1"/>
  <c r="R36" i="16" a="1"/>
  <c r="R36" i="16" s="1"/>
  <c r="M15" i="16"/>
  <c r="J15" i="16" s="1" a="1"/>
  <c r="J15" i="16" s="1"/>
  <c r="M35" i="16"/>
  <c r="J35" i="16" s="1" a="1"/>
  <c r="J35" i="16" s="1"/>
  <c r="M22" i="16"/>
  <c r="J22" i="16" s="1" a="1"/>
  <c r="J22" i="16" s="1"/>
  <c r="X4" i="16" a="1"/>
  <c r="X4" i="16" s="1"/>
  <c r="X24" i="16" a="1"/>
  <c r="X24" i="16" s="1"/>
  <c r="X5" i="16" a="1"/>
  <c r="X5" i="16" s="1"/>
  <c r="X25" i="16" a="1"/>
  <c r="X25" i="16" s="1"/>
  <c r="X6" i="16" a="1"/>
  <c r="X6" i="16" s="1"/>
  <c r="X26" i="16" a="1"/>
  <c r="X26" i="16" s="1"/>
  <c r="X7" i="16" a="1"/>
  <c r="X7" i="16" s="1"/>
  <c r="X27" i="16" a="1"/>
  <c r="X27" i="16" s="1"/>
  <c r="X8" i="16" a="1"/>
  <c r="X8" i="16" s="1"/>
  <c r="X28" i="16" a="1"/>
  <c r="X28" i="16" s="1"/>
  <c r="X9" i="16" a="1"/>
  <c r="X9" i="16" s="1"/>
  <c r="X29" i="16" a="1"/>
  <c r="X29" i="16" s="1"/>
  <c r="X10" i="16" a="1"/>
  <c r="X10" i="16" s="1"/>
  <c r="X30" i="16" a="1"/>
  <c r="X30" i="16" s="1"/>
  <c r="X11" i="16" a="1"/>
  <c r="X11" i="16" s="1"/>
  <c r="X31" i="16" a="1"/>
  <c r="X31" i="16" s="1"/>
  <c r="X12" i="16" a="1"/>
  <c r="X12" i="16" s="1"/>
  <c r="X32" i="16" a="1"/>
  <c r="X32" i="16" s="1"/>
  <c r="X13" i="16" a="1"/>
  <c r="X13" i="16" s="1"/>
  <c r="X33" i="16" a="1"/>
  <c r="X33" i="16" s="1"/>
  <c r="X14" i="16" a="1"/>
  <c r="X14" i="16" s="1"/>
  <c r="X34" i="16" a="1"/>
  <c r="X34" i="16" s="1"/>
  <c r="X15" i="16" a="1"/>
  <c r="X15" i="16" s="1"/>
  <c r="X35" i="16" a="1"/>
  <c r="X35" i="16" s="1"/>
  <c r="X16" i="16" a="1"/>
  <c r="X16" i="16" s="1"/>
  <c r="X36" i="16" a="1"/>
  <c r="X36" i="16" s="1"/>
  <c r="X17" i="16" a="1"/>
  <c r="X17" i="16" s="1"/>
  <c r="X37" i="16" a="1"/>
  <c r="X37" i="16" s="1"/>
  <c r="X18" i="16" a="1"/>
  <c r="X18" i="16" s="1"/>
  <c r="X3" i="16" a="1"/>
  <c r="X3" i="16" s="1"/>
  <c r="X19" i="16" a="1"/>
  <c r="X19" i="16" s="1"/>
  <c r="X20" i="16" a="1"/>
  <c r="X20" i="16" s="1"/>
  <c r="X21" i="16" a="1"/>
  <c r="X21" i="16" s="1"/>
  <c r="X22" i="16" a="1"/>
  <c r="X22" i="16" s="1"/>
  <c r="X23" i="16" a="1"/>
  <c r="X23" i="16" s="1"/>
  <c r="B23" i="16"/>
  <c r="E3" i="16"/>
  <c r="E18" i="16"/>
  <c r="Q5" i="16" a="1"/>
  <c r="Q5" i="16" s="1"/>
  <c r="Z35" i="16" a="1"/>
  <c r="Z35" i="16" s="1"/>
  <c r="Z15" i="16" a="1"/>
  <c r="Z15" i="16" s="1"/>
  <c r="Q25" i="16" a="1"/>
  <c r="Q25" i="16" s="1"/>
  <c r="B22" i="16"/>
  <c r="E37" i="16"/>
  <c r="E17" i="16"/>
  <c r="Q24" i="16" a="1"/>
  <c r="Q24" i="16" s="1"/>
  <c r="Q4" i="16" a="1"/>
  <c r="Q4" i="16" s="1"/>
  <c r="Z34" i="16" a="1"/>
  <c r="Z34" i="16" s="1"/>
  <c r="Z14" i="16" a="1"/>
  <c r="Z14" i="16" s="1"/>
  <c r="Q23" i="16" a="1"/>
  <c r="Q23" i="16" s="1"/>
  <c r="Z33" i="16" a="1"/>
  <c r="Z33" i="16" s="1"/>
  <c r="Z13" i="16" a="1"/>
  <c r="Z13" i="16" s="1"/>
  <c r="Q22" i="16" a="1"/>
  <c r="Q22" i="16" s="1"/>
  <c r="H37" i="16" a="1"/>
  <c r="H37" i="16" s="1"/>
  <c r="Z32" i="16" a="1"/>
  <c r="Z32" i="16" s="1"/>
  <c r="Z12" i="16" a="1"/>
  <c r="Z12" i="16" s="1"/>
  <c r="B21" i="16"/>
  <c r="E36" i="16"/>
  <c r="E16" i="16"/>
  <c r="B19" i="16"/>
  <c r="E34" i="16"/>
  <c r="E14" i="16"/>
  <c r="Q21" i="16" a="1"/>
  <c r="Q21" i="16" s="1"/>
  <c r="H36" i="16" a="1"/>
  <c r="H36" i="16" s="1"/>
  <c r="H16" i="16" a="1"/>
  <c r="H16" i="16" s="1"/>
  <c r="Z31" i="16" a="1"/>
  <c r="Z31" i="16" s="1"/>
  <c r="Z11" i="16" a="1"/>
  <c r="Z11" i="16" s="1"/>
  <c r="B20" i="16"/>
  <c r="E35" i="16"/>
  <c r="E15" i="16"/>
  <c r="B3" i="16"/>
  <c r="B18" i="16"/>
  <c r="E33" i="16"/>
  <c r="E13" i="16"/>
  <c r="Q20" i="16" a="1"/>
  <c r="Q20" i="16" s="1"/>
  <c r="H35" i="16" a="1"/>
  <c r="H35" i="16" s="1"/>
  <c r="H15" i="16" a="1"/>
  <c r="H15" i="16" s="1"/>
  <c r="Z30" i="16" a="1"/>
  <c r="Z30" i="16" s="1"/>
  <c r="Z10" i="16" a="1"/>
  <c r="Z10" i="16" s="1"/>
  <c r="B24" i="16"/>
  <c r="B4" i="16"/>
  <c r="B37" i="16"/>
  <c r="B17" i="16"/>
  <c r="E32" i="16"/>
  <c r="E12" i="16"/>
  <c r="Q19" i="16" a="1"/>
  <c r="Q19" i="16" s="1"/>
  <c r="H14" i="16" a="1"/>
  <c r="H14" i="16" s="1"/>
  <c r="Z29" i="16" a="1"/>
  <c r="Z29" i="16" s="1"/>
  <c r="Z9" i="16" a="1"/>
  <c r="Z9" i="16" s="1"/>
  <c r="B36" i="16"/>
  <c r="B16" i="16"/>
  <c r="E31" i="16"/>
  <c r="E11" i="16"/>
  <c r="Q3" i="16" a="1"/>
  <c r="Q3" i="16" s="1"/>
  <c r="Q18" i="16" a="1"/>
  <c r="Q18" i="16" s="1"/>
  <c r="Z28" i="16" a="1"/>
  <c r="Z28" i="16" s="1"/>
  <c r="Z8" i="16" a="1"/>
  <c r="Z8" i="16" s="1"/>
  <c r="Q17" i="16" a="1"/>
  <c r="Q17" i="16" s="1"/>
  <c r="Z27" i="16" a="1"/>
  <c r="Z27" i="16" s="1"/>
  <c r="Z7" i="16" a="1"/>
  <c r="Z7" i="16" s="1"/>
  <c r="Q36" i="16" a="1"/>
  <c r="Q36" i="16" s="1"/>
  <c r="Q16" i="16" a="1"/>
  <c r="Q16" i="16" s="1"/>
  <c r="H31" i="16" a="1"/>
  <c r="H31" i="16" s="1"/>
  <c r="Z26" i="16" a="1"/>
  <c r="Z26" i="16" s="1"/>
  <c r="Z6" i="16" a="1"/>
  <c r="Z6" i="16" s="1"/>
  <c r="Q15" i="16" a="1"/>
  <c r="Q15" i="16" s="1"/>
  <c r="Z25" i="16" a="1"/>
  <c r="Z25" i="16" s="1"/>
  <c r="Z5" i="16" a="1"/>
  <c r="Z5" i="16" s="1"/>
  <c r="B32" i="16"/>
  <c r="B12" i="16"/>
  <c r="E27" i="16"/>
  <c r="E7" i="16"/>
  <c r="Q34" i="16" a="1"/>
  <c r="Q34" i="16" s="1"/>
  <c r="Q14" i="16" a="1"/>
  <c r="Q14" i="16" s="1"/>
  <c r="H29" i="16" a="1"/>
  <c r="H29" i="16" s="1"/>
  <c r="H9" i="16" a="1"/>
  <c r="H9" i="16" s="1"/>
  <c r="Z24" i="16" a="1"/>
  <c r="Z24" i="16" s="1"/>
  <c r="Z4" i="16" a="1"/>
  <c r="Z4" i="16" s="1"/>
  <c r="AL27" i="16"/>
  <c r="T18" i="16" a="1"/>
  <c r="T29" i="16" a="1"/>
  <c r="N30" i="16" a="1"/>
  <c r="N29" i="16" a="1"/>
  <c r="T19" i="16" a="1"/>
  <c r="T27" i="16" a="1"/>
  <c r="N32" i="16" a="1"/>
  <c r="N20" i="16" a="1"/>
  <c r="T31" i="16" a="1"/>
  <c r="N23" i="16" a="1"/>
  <c r="N12" i="16" a="1"/>
  <c r="N10" i="16" a="1"/>
  <c r="N22" i="16" a="1"/>
  <c r="N5" i="16" a="1"/>
  <c r="T3" i="16" a="1"/>
  <c r="T17" i="16" a="1"/>
  <c r="T34" i="16" a="1"/>
  <c r="N28" i="16" a="1"/>
  <c r="T13" i="16" a="1"/>
  <c r="T5" i="16" a="1"/>
  <c r="T37" i="16" a="1"/>
  <c r="N6" i="16" a="1"/>
  <c r="T35" i="16" a="1"/>
  <c r="T6" i="16" a="1"/>
  <c r="N36" i="16" a="1"/>
  <c r="N26" i="16" a="1"/>
  <c r="T36" i="16" a="1"/>
  <c r="N16" i="16" a="1"/>
  <c r="T28" i="16" a="1"/>
  <c r="T24" i="16" a="1"/>
  <c r="T9" i="16" a="1"/>
  <c r="T8" i="16" a="1"/>
  <c r="N13" i="16" a="1"/>
  <c r="N4" i="16" a="1"/>
  <c r="T30" i="16" a="1"/>
  <c r="N3" i="16" a="1"/>
  <c r="T14" i="16" a="1"/>
  <c r="N7" i="16" a="1"/>
  <c r="T16" i="16" a="1"/>
  <c r="T25" i="16" a="1"/>
  <c r="T4" i="16" a="1"/>
  <c r="T10" i="16" a="1"/>
  <c r="N27" i="16" a="1"/>
  <c r="N19" i="16" a="1"/>
  <c r="T26" i="16" a="1"/>
  <c r="N24" i="16" a="1"/>
  <c r="T20" i="16" a="1"/>
  <c r="N9" i="16" a="1"/>
  <c r="T11" i="16" a="1"/>
  <c r="T12" i="16" a="1"/>
  <c r="T21" i="16" a="1"/>
  <c r="N37" i="16" a="1"/>
  <c r="N33" i="16" a="1"/>
  <c r="N21" i="16" a="1"/>
  <c r="N18" i="16" a="1"/>
  <c r="T32" i="16" a="1"/>
  <c r="T22" i="16" a="1"/>
  <c r="T33" i="16" a="1"/>
  <c r="N11" i="16" a="1"/>
  <c r="N34" i="16" a="1"/>
  <c r="T15" i="16" a="1"/>
  <c r="N25" i="16" a="1"/>
  <c r="N31" i="16" a="1"/>
  <c r="T23" i="16" a="1"/>
  <c r="T7" i="16" a="1"/>
  <c r="N14" i="16" a="1"/>
  <c r="N15" i="16" a="1"/>
  <c r="N17" i="16" a="1"/>
  <c r="N35" i="16" a="1"/>
  <c r="N8" i="16" a="1"/>
  <c r="AL12" i="16" l="1"/>
  <c r="AL8" i="16"/>
  <c r="AL26" i="16"/>
  <c r="AL32" i="16"/>
  <c r="AL6" i="16"/>
  <c r="AE13" i="16"/>
  <c r="AE24" i="16"/>
  <c r="AE29" i="16"/>
  <c r="Y37" i="16"/>
  <c r="Y14" i="16"/>
  <c r="AM17" i="16"/>
  <c r="AJ17" i="16"/>
  <c r="AE5" i="16"/>
  <c r="AE9" i="16"/>
  <c r="AE3" i="16"/>
  <c r="Y22" i="16"/>
  <c r="AE20" i="16"/>
  <c r="AE36" i="16"/>
  <c r="AJ36" i="16" s="1"/>
  <c r="AE32" i="16"/>
  <c r="AE16" i="16"/>
  <c r="AE12" i="16"/>
  <c r="Y26" i="16"/>
  <c r="Y33" i="16"/>
  <c r="AE27" i="16"/>
  <c r="AE23" i="16"/>
  <c r="AE28" i="16"/>
  <c r="Y6" i="16"/>
  <c r="AJ20" i="16"/>
  <c r="AE8" i="16"/>
  <c r="AE4" i="16"/>
  <c r="Y36" i="16"/>
  <c r="AL7" i="16"/>
  <c r="AE19" i="16"/>
  <c r="Y16" i="16"/>
  <c r="AJ16" i="16"/>
  <c r="AE35" i="16"/>
  <c r="AJ15" i="16"/>
  <c r="AE26" i="16"/>
  <c r="AJ26" i="16" s="1"/>
  <c r="AM26" i="16" s="1"/>
  <c r="AE22" i="16"/>
  <c r="AE15" i="16"/>
  <c r="AE31" i="16"/>
  <c r="AE7" i="16"/>
  <c r="AJ7" i="16" s="1"/>
  <c r="AE11" i="16"/>
  <c r="Y23" i="16"/>
  <c r="AE18" i="16"/>
  <c r="AJ18" i="16" s="1"/>
  <c r="AJ33" i="16"/>
  <c r="AE34" i="16"/>
  <c r="Y28" i="16"/>
  <c r="Y35" i="16"/>
  <c r="AE14" i="16"/>
  <c r="Y15" i="16"/>
  <c r="Y18" i="16"/>
  <c r="Y20" i="16"/>
  <c r="AE25" i="16"/>
  <c r="AE21" i="16"/>
  <c r="AE30" i="16"/>
  <c r="AE6" i="16"/>
  <c r="AE37" i="16"/>
  <c r="AE10" i="16"/>
  <c r="AE17" i="16"/>
  <c r="AE33" i="16"/>
  <c r="Y32" i="16"/>
  <c r="AJ28" i="16"/>
  <c r="Y34" i="16"/>
  <c r="AM32" i="16"/>
  <c r="AM7" i="16"/>
  <c r="AL24" i="16"/>
  <c r="AM24" i="16" s="1"/>
  <c r="AM27" i="16"/>
  <c r="AM12" i="16"/>
  <c r="AK17" i="16"/>
  <c r="AL29" i="16"/>
  <c r="AM29" i="16" s="1"/>
  <c r="R3" i="16" a="1"/>
  <c r="R3" i="16" s="1"/>
  <c r="AL9" i="16"/>
  <c r="AL25" i="16"/>
  <c r="AL20" i="16"/>
  <c r="AL36" i="16"/>
  <c r="AL21" i="16"/>
  <c r="AM21" i="16" s="1"/>
  <c r="AL4" i="16"/>
  <c r="AM4" i="16" s="1"/>
  <c r="AL17" i="16"/>
  <c r="AL18" i="16"/>
  <c r="AM18" i="16" s="1"/>
  <c r="AL10" i="16"/>
  <c r="AL19" i="16"/>
  <c r="AM19" i="16" s="1"/>
  <c r="AL13" i="16"/>
  <c r="AL14" i="16"/>
  <c r="AL15" i="16"/>
  <c r="AL5" i="16"/>
  <c r="AM5" i="16" s="1"/>
  <c r="AL22" i="16"/>
  <c r="AL30" i="16"/>
  <c r="AL35" i="16"/>
  <c r="AM35" i="16" s="1"/>
  <c r="AL37" i="16"/>
  <c r="AM37" i="16" s="1"/>
  <c r="AL16" i="16"/>
  <c r="AM16" i="16" s="1"/>
  <c r="AL23" i="16"/>
  <c r="AM23" i="16" s="1"/>
  <c r="N15" i="16"/>
  <c r="N27" i="16"/>
  <c r="N18" i="16"/>
  <c r="N25" i="16"/>
  <c r="N24" i="16"/>
  <c r="N26" i="16"/>
  <c r="N10" i="16"/>
  <c r="N34" i="16"/>
  <c r="N4" i="16"/>
  <c r="N19" i="16"/>
  <c r="N36" i="16"/>
  <c r="N12" i="16"/>
  <c r="N3" i="16"/>
  <c r="N30" i="16"/>
  <c r="N29" i="16"/>
  <c r="N28" i="16"/>
  <c r="N33" i="16"/>
  <c r="N22" i="16"/>
  <c r="N14" i="16"/>
  <c r="N17" i="16"/>
  <c r="N6" i="16"/>
  <c r="N7" i="16"/>
  <c r="N11" i="16"/>
  <c r="N21" i="16"/>
  <c r="N13" i="16"/>
  <c r="N35" i="16"/>
  <c r="N32" i="16"/>
  <c r="N23" i="16"/>
  <c r="N5" i="16"/>
  <c r="N20" i="16"/>
  <c r="N9" i="16"/>
  <c r="N16" i="16"/>
  <c r="N31" i="16"/>
  <c r="N37" i="16"/>
  <c r="N8" i="16"/>
  <c r="I26" i="16"/>
  <c r="AK26" i="16" s="1"/>
  <c r="L26" i="16"/>
  <c r="I6" i="16"/>
  <c r="AK6" i="16" s="1"/>
  <c r="L6" i="16"/>
  <c r="I25" i="16"/>
  <c r="L25" i="16"/>
  <c r="I20" i="16"/>
  <c r="AK20" i="16" s="1"/>
  <c r="L20" i="16"/>
  <c r="L21" i="16"/>
  <c r="I21" i="16"/>
  <c r="I5" i="16"/>
  <c r="AK5" i="16" s="1"/>
  <c r="L5" i="16"/>
  <c r="L37" i="16"/>
  <c r="I37" i="16"/>
  <c r="AK37" i="16" s="1"/>
  <c r="I23" i="16"/>
  <c r="AK23" i="16" s="1"/>
  <c r="L23" i="16"/>
  <c r="I17" i="16"/>
  <c r="L17" i="16"/>
  <c r="I34" i="16"/>
  <c r="AK34" i="16" s="1"/>
  <c r="L34" i="16"/>
  <c r="AL11" i="16"/>
  <c r="I14" i="16"/>
  <c r="AK14" i="16" s="1"/>
  <c r="L14" i="16"/>
  <c r="I19" i="16"/>
  <c r="AK19" i="16" s="1"/>
  <c r="L19" i="16"/>
  <c r="L31" i="16"/>
  <c r="I31" i="16"/>
  <c r="I30" i="16"/>
  <c r="AK30" i="16" s="1"/>
  <c r="L30" i="16"/>
  <c r="L29" i="16"/>
  <c r="I29" i="16"/>
  <c r="AK29" i="16" s="1"/>
  <c r="I13" i="16"/>
  <c r="L13" i="16"/>
  <c r="L22" i="16"/>
  <c r="I22" i="16"/>
  <c r="AK22" i="16" s="1"/>
  <c r="I36" i="16"/>
  <c r="L36" i="16"/>
  <c r="I3" i="16"/>
  <c r="L3" i="16"/>
  <c r="L18" i="16"/>
  <c r="I18" i="16"/>
  <c r="AK18" i="16" s="1"/>
  <c r="L33" i="16"/>
  <c r="I33" i="16"/>
  <c r="AK33" i="16" s="1"/>
  <c r="I35" i="16"/>
  <c r="L35" i="16"/>
  <c r="I32" i="16"/>
  <c r="AK32" i="16" s="1"/>
  <c r="L32" i="16"/>
  <c r="I15" i="16"/>
  <c r="AK15" i="16" s="1"/>
  <c r="L15" i="16"/>
  <c r="I12" i="16"/>
  <c r="AK12" i="16" s="1"/>
  <c r="L12" i="16"/>
  <c r="I24" i="16"/>
  <c r="L24" i="16"/>
  <c r="I8" i="16"/>
  <c r="AK8" i="16" s="1"/>
  <c r="L8" i="16"/>
  <c r="L11" i="16"/>
  <c r="I11" i="16"/>
  <c r="AK11" i="16" s="1"/>
  <c r="I16" i="16"/>
  <c r="L16" i="16"/>
  <c r="AL31" i="16"/>
  <c r="L4" i="16"/>
  <c r="I4" i="16"/>
  <c r="I28" i="16"/>
  <c r="L28" i="16"/>
  <c r="AL33" i="16"/>
  <c r="AL34" i="16"/>
  <c r="L27" i="16"/>
  <c r="I27" i="16"/>
  <c r="I10" i="16"/>
  <c r="L10" i="16"/>
  <c r="I9" i="16"/>
  <c r="L9" i="16"/>
  <c r="I7" i="16"/>
  <c r="AK7" i="16" s="1"/>
  <c r="L7" i="16"/>
  <c r="T20" i="16"/>
  <c r="T24" i="16"/>
  <c r="T7" i="16"/>
  <c r="T28" i="16"/>
  <c r="T9" i="16"/>
  <c r="T10" i="16"/>
  <c r="T15" i="16"/>
  <c r="T31" i="16"/>
  <c r="T17" i="16"/>
  <c r="T18" i="16"/>
  <c r="T27" i="16"/>
  <c r="T36" i="16"/>
  <c r="T4" i="16"/>
  <c r="T13" i="16"/>
  <c r="T22" i="16"/>
  <c r="T8" i="16"/>
  <c r="T34" i="16"/>
  <c r="T21" i="16"/>
  <c r="T30" i="16"/>
  <c r="T12" i="16"/>
  <c r="T25" i="16"/>
  <c r="T26" i="16"/>
  <c r="T11" i="16"/>
  <c r="T32" i="16"/>
  <c r="T29" i="16"/>
  <c r="T6" i="16"/>
  <c r="T19" i="16"/>
  <c r="T33" i="16"/>
  <c r="T16" i="16"/>
  <c r="T35" i="16"/>
  <c r="T3" i="16"/>
  <c r="T5" i="16"/>
  <c r="T14" i="16"/>
  <c r="T23" i="16"/>
  <c r="T37" i="16"/>
  <c r="O27" i="16" a="1"/>
  <c r="O10" i="16" a="1"/>
  <c r="O6" i="16" a="1"/>
  <c r="O23" i="16" a="1"/>
  <c r="O33" i="16" a="1"/>
  <c r="U9" i="16" a="1"/>
  <c r="O14" i="16" a="1"/>
  <c r="U23" i="16" a="1"/>
  <c r="O3" i="16" a="1"/>
  <c r="U5" i="16" a="1"/>
  <c r="O4" i="16" a="1"/>
  <c r="U25" i="16" a="1"/>
  <c r="O15" i="16" a="1"/>
  <c r="O9" i="16" a="1"/>
  <c r="O36" i="16" a="1"/>
  <c r="O31" i="16" a="1"/>
  <c r="U21" i="16" a="1"/>
  <c r="U34" i="16" a="1"/>
  <c r="O30" i="16" a="1"/>
  <c r="U12" i="16" a="1"/>
  <c r="O11" i="16" a="1"/>
  <c r="O34" i="16" a="1"/>
  <c r="U35" i="16" a="1"/>
  <c r="O8" i="16" a="1"/>
  <c r="O18" i="16" a="1"/>
  <c r="U14" i="16" a="1"/>
  <c r="O5" i="16" a="1"/>
  <c r="O26" i="16" a="1"/>
  <c r="O35" i="16" a="1"/>
  <c r="O20" i="16" a="1"/>
  <c r="U20" i="16" a="1"/>
  <c r="U15" i="16" a="1"/>
  <c r="U31" i="16" a="1"/>
  <c r="O25" i="16" a="1"/>
  <c r="O28" i="16" a="1"/>
  <c r="O24" i="16" a="1"/>
  <c r="O19" i="16" a="1"/>
  <c r="U28" i="16" a="1"/>
  <c r="U26" i="16" a="1"/>
  <c r="U37" i="16" a="1"/>
  <c r="U36" i="16" a="1"/>
  <c r="U19" i="16" a="1"/>
  <c r="U33" i="16" a="1"/>
  <c r="U3" i="16" a="1"/>
  <c r="O32" i="16" a="1"/>
  <c r="O37" i="16" a="1"/>
  <c r="U7" i="16" a="1"/>
  <c r="O16" i="16" a="1"/>
  <c r="O7" i="16" a="1"/>
  <c r="O12" i="16" a="1"/>
  <c r="U32" i="16" a="1"/>
  <c r="O29" i="16" a="1"/>
  <c r="O17" i="16" a="1"/>
  <c r="U4" i="16" a="1"/>
  <c r="U10" i="16" a="1"/>
  <c r="O21" i="16" a="1"/>
  <c r="U27" i="16" a="1"/>
  <c r="U6" i="16" a="1"/>
  <c r="U29" i="16" a="1"/>
  <c r="O22" i="16" a="1"/>
  <c r="U24" i="16" a="1"/>
  <c r="O13" i="16" a="1"/>
  <c r="U17" i="16" a="1"/>
  <c r="U8" i="16" a="1"/>
  <c r="U22" i="16" a="1"/>
  <c r="U30" i="16" a="1"/>
  <c r="U11" i="16" a="1"/>
  <c r="U13" i="16" a="1"/>
  <c r="U18" i="16" a="1"/>
  <c r="U16" i="16" a="1"/>
  <c r="AM33" i="16" l="1"/>
  <c r="AM36" i="16"/>
  <c r="AK27" i="16"/>
  <c r="AM20" i="16"/>
  <c r="AK35" i="16"/>
  <c r="AK4" i="16"/>
  <c r="AK16" i="16"/>
  <c r="AK31" i="16"/>
  <c r="AK13" i="16"/>
  <c r="AK21" i="16"/>
  <c r="AK10" i="16"/>
  <c r="AK28" i="16"/>
  <c r="AK25" i="16"/>
  <c r="AK3" i="16"/>
  <c r="AK36" i="16"/>
  <c r="AK24" i="16"/>
  <c r="AK9" i="16"/>
  <c r="AL3" i="16"/>
  <c r="O17" i="16"/>
  <c r="O14" i="16"/>
  <c r="O22" i="16"/>
  <c r="O33" i="16"/>
  <c r="O28" i="16"/>
  <c r="O8" i="16"/>
  <c r="O29" i="16"/>
  <c r="O37" i="16"/>
  <c r="O30" i="16"/>
  <c r="O31" i="16"/>
  <c r="O3" i="16"/>
  <c r="O16" i="16"/>
  <c r="O12" i="16"/>
  <c r="O9" i="16"/>
  <c r="O36" i="16"/>
  <c r="O20" i="16"/>
  <c r="O19" i="16"/>
  <c r="O5" i="16"/>
  <c r="O4" i="16"/>
  <c r="O23" i="16"/>
  <c r="O34" i="16"/>
  <c r="O32" i="16"/>
  <c r="O10" i="16"/>
  <c r="O35" i="16"/>
  <c r="O26" i="16"/>
  <c r="O13" i="16"/>
  <c r="O24" i="16"/>
  <c r="O21" i="16"/>
  <c r="O25" i="16"/>
  <c r="O11" i="16"/>
  <c r="O18" i="16"/>
  <c r="O7" i="16"/>
  <c r="O27" i="16"/>
  <c r="O6" i="16"/>
  <c r="O15" i="16"/>
  <c r="U25" i="16"/>
  <c r="AJ25" i="16" s="1"/>
  <c r="U8" i="16"/>
  <c r="AJ8" i="16" s="1"/>
  <c r="U33" i="16"/>
  <c r="U31" i="16"/>
  <c r="AJ31" i="16" s="1"/>
  <c r="U19" i="16"/>
  <c r="AJ19" i="16" s="1"/>
  <c r="U22" i="16"/>
  <c r="AJ22" i="16" s="1"/>
  <c r="U15" i="16"/>
  <c r="U37" i="16"/>
  <c r="AJ37" i="16" s="1"/>
  <c r="U11" i="16"/>
  <c r="AJ11" i="16" s="1"/>
  <c r="AM11" i="16" s="1"/>
  <c r="U13" i="16"/>
  <c r="AJ13" i="16" s="1"/>
  <c r="AM13" i="16" s="1"/>
  <c r="U24" i="16"/>
  <c r="AJ24" i="16" s="1"/>
  <c r="U29" i="16"/>
  <c r="AJ29" i="16" s="1"/>
  <c r="U30" i="16"/>
  <c r="AJ30" i="16" s="1"/>
  <c r="AM30" i="16" s="1"/>
  <c r="U17" i="16"/>
  <c r="U20" i="16"/>
  <c r="U14" i="16"/>
  <c r="AJ14" i="16" s="1"/>
  <c r="AM14" i="16" s="1"/>
  <c r="U35" i="16"/>
  <c r="AJ35" i="16" s="1"/>
  <c r="U21" i="16"/>
  <c r="AJ21" i="16" s="1"/>
  <c r="U5" i="16"/>
  <c r="AJ5" i="16" s="1"/>
  <c r="U16" i="16"/>
  <c r="U3" i="16"/>
  <c r="AJ3" i="16" s="1"/>
  <c r="U36" i="16"/>
  <c r="U28" i="16"/>
  <c r="U32" i="16"/>
  <c r="AJ32" i="16" s="1"/>
  <c r="U27" i="16"/>
  <c r="AJ27" i="16" s="1"/>
  <c r="U7" i="16"/>
  <c r="U6" i="16"/>
  <c r="AJ6" i="16" s="1"/>
  <c r="AM6" i="16" s="1"/>
  <c r="U12" i="16"/>
  <c r="AJ12" i="16" s="1"/>
  <c r="U18" i="16"/>
  <c r="U10" i="16"/>
  <c r="AJ10" i="16" s="1"/>
  <c r="U23" i="16"/>
  <c r="AJ23" i="16" s="1"/>
  <c r="U26" i="16"/>
  <c r="U4" i="16"/>
  <c r="AJ4" i="16" s="1"/>
  <c r="U9" i="16"/>
  <c r="AJ9" i="16" s="1"/>
  <c r="U34" i="16"/>
  <c r="AJ34" i="16" s="1"/>
  <c r="AM34" i="16" s="1"/>
  <c r="AV37" i="16"/>
  <c r="AU37" i="16"/>
  <c r="AV36" i="16"/>
  <c r="AV35" i="16"/>
  <c r="AU35" i="16"/>
  <c r="AV34" i="16"/>
  <c r="AU34" i="16"/>
  <c r="AV33" i="16"/>
  <c r="AU33" i="16"/>
  <c r="AU32" i="16"/>
  <c r="AV31" i="16"/>
  <c r="AU31" i="16"/>
  <c r="AV30" i="16"/>
  <c r="AU30" i="16"/>
  <c r="AU29" i="16"/>
  <c r="AV28" i="16"/>
  <c r="AV27" i="16"/>
  <c r="AU27" i="16"/>
  <c r="AV26" i="16"/>
  <c r="AU26" i="16"/>
  <c r="AV25" i="16"/>
  <c r="AU23" i="16"/>
  <c r="AV22" i="16"/>
  <c r="AU22" i="16"/>
  <c r="AV20" i="16"/>
  <c r="AU20" i="16"/>
  <c r="AU19" i="16"/>
  <c r="AU18" i="16"/>
  <c r="P31" i="16" a="1"/>
  <c r="P15" i="16" a="1"/>
  <c r="P19" i="16" a="1"/>
  <c r="P13" i="16" a="1"/>
  <c r="P35" i="16" a="1"/>
  <c r="P28" i="16" a="1"/>
  <c r="P9" i="16" a="1"/>
  <c r="P29" i="16" a="1"/>
  <c r="P27" i="16" a="1"/>
  <c r="P20" i="16" a="1"/>
  <c r="P11" i="16" a="1"/>
  <c r="P25" i="16" a="1"/>
  <c r="P5" i="16" a="1"/>
  <c r="P7" i="16" a="1"/>
  <c r="P24" i="16" a="1"/>
  <c r="P26" i="16" a="1"/>
  <c r="P8" i="16" a="1"/>
  <c r="P23" i="16" a="1"/>
  <c r="P18" i="16" a="1"/>
  <c r="P12" i="16" a="1"/>
  <c r="P10" i="16" a="1"/>
  <c r="P30" i="16" a="1"/>
  <c r="P14" i="16" a="1"/>
  <c r="P21" i="16" a="1"/>
  <c r="P17" i="16" a="1"/>
  <c r="P16" i="16" a="1"/>
  <c r="P33" i="16" a="1"/>
  <c r="P32" i="16" a="1"/>
  <c r="P36" i="16" a="1"/>
  <c r="P3" i="16" a="1"/>
  <c r="P4" i="16" a="1"/>
  <c r="P6" i="16" a="1"/>
  <c r="P34" i="16" a="1"/>
  <c r="P22" i="16" a="1"/>
  <c r="P37" i="16" a="1"/>
  <c r="AM9" i="16" l="1"/>
  <c r="AM3" i="16"/>
  <c r="AM10" i="16"/>
  <c r="AM31" i="16"/>
  <c r="AU28" i="16"/>
  <c r="AU24" i="16"/>
  <c r="AM15" i="16"/>
  <c r="AM22" i="16"/>
  <c r="AU36" i="16"/>
  <c r="AU21" i="16"/>
  <c r="AM28" i="16"/>
  <c r="AM8" i="16"/>
  <c r="AM25" i="16"/>
  <c r="AU25" i="16"/>
  <c r="P23" i="16"/>
  <c r="AI23" i="16" s="1"/>
  <c r="P4" i="16"/>
  <c r="AI4" i="16" s="1"/>
  <c r="P5" i="16"/>
  <c r="AI5" i="16" s="1"/>
  <c r="P19" i="16"/>
  <c r="AI19" i="16" s="1"/>
  <c r="P20" i="16"/>
  <c r="AI20" i="16" s="1"/>
  <c r="P15" i="16"/>
  <c r="AI15" i="16" s="1"/>
  <c r="P36" i="16"/>
  <c r="AI36" i="16" s="1"/>
  <c r="P6" i="16"/>
  <c r="AI6" i="16" s="1"/>
  <c r="P9" i="16"/>
  <c r="AI9" i="16" s="1"/>
  <c r="P27" i="16"/>
  <c r="AI27" i="16" s="1"/>
  <c r="P12" i="16"/>
  <c r="AI12" i="16" s="1"/>
  <c r="P7" i="16"/>
  <c r="AI7" i="16" s="1"/>
  <c r="P16" i="16"/>
  <c r="AI16" i="16" s="1"/>
  <c r="P18" i="16"/>
  <c r="AI18" i="16" s="1"/>
  <c r="P3" i="16"/>
  <c r="AI3" i="16" s="1"/>
  <c r="P11" i="16"/>
  <c r="AI11" i="16" s="1"/>
  <c r="P31" i="16"/>
  <c r="AI31" i="16" s="1"/>
  <c r="P25" i="16"/>
  <c r="AI25" i="16" s="1"/>
  <c r="P30" i="16"/>
  <c r="AI30" i="16" s="1"/>
  <c r="P21" i="16"/>
  <c r="AI21" i="16" s="1"/>
  <c r="P37" i="16"/>
  <c r="AI37" i="16" s="1"/>
  <c r="P24" i="16"/>
  <c r="AI24" i="16" s="1"/>
  <c r="P29" i="16"/>
  <c r="AI29" i="16" s="1"/>
  <c r="P13" i="16"/>
  <c r="AI13" i="16" s="1"/>
  <c r="P8" i="16"/>
  <c r="AI8" i="16" s="1"/>
  <c r="P26" i="16"/>
  <c r="AI26" i="16" s="1"/>
  <c r="P28" i="16"/>
  <c r="AI28" i="16" s="1"/>
  <c r="P35" i="16"/>
  <c r="AI35" i="16" s="1"/>
  <c r="P33" i="16"/>
  <c r="AI33" i="16" s="1"/>
  <c r="P10" i="16"/>
  <c r="AI10" i="16" s="1"/>
  <c r="P22" i="16"/>
  <c r="AI22" i="16" s="1"/>
  <c r="P32" i="16"/>
  <c r="AI32" i="16" s="1"/>
  <c r="P14" i="16"/>
  <c r="AI14" i="16" s="1"/>
  <c r="P34" i="16"/>
  <c r="AI34" i="16" s="1"/>
  <c r="P17" i="16"/>
  <c r="AV18" i="16"/>
  <c r="AV19" i="16"/>
  <c r="AT20" i="16"/>
  <c r="AV21" i="16"/>
  <c r="AV23" i="16"/>
  <c r="AV24" i="16"/>
  <c r="AW27" i="16"/>
  <c r="AV29" i="16"/>
  <c r="AV32" i="16"/>
  <c r="AW35" i="16"/>
  <c r="AW37" i="16"/>
  <c r="AT33" i="16" l="1"/>
  <c r="AT26" i="16"/>
  <c r="AT36" i="16"/>
  <c r="AT30" i="16"/>
  <c r="AT15" i="16"/>
  <c r="AT28" i="16"/>
  <c r="AU4" i="16"/>
  <c r="AU13" i="16"/>
  <c r="AU9" i="16"/>
  <c r="AU7" i="16"/>
  <c r="AV9" i="16"/>
  <c r="AV12" i="16"/>
  <c r="AU15" i="16"/>
  <c r="AU12" i="16"/>
  <c r="AV17" i="16"/>
  <c r="AV6" i="16"/>
  <c r="AU11" i="16"/>
  <c r="AU17" i="16"/>
  <c r="AU5" i="16"/>
  <c r="AV11" i="16"/>
  <c r="AU8" i="16"/>
  <c r="AU3" i="16"/>
  <c r="AU6" i="16"/>
  <c r="AV3" i="16"/>
  <c r="AW12" i="16"/>
  <c r="AU14" i="16"/>
  <c r="AU16" i="16"/>
  <c r="AV14" i="16"/>
  <c r="AV16" i="16"/>
  <c r="AV13" i="16"/>
  <c r="AU10" i="16"/>
  <c r="AW16" i="16"/>
  <c r="AV8" i="16"/>
  <c r="AV10" i="16"/>
  <c r="AW31" i="16"/>
  <c r="AS18" i="16"/>
  <c r="AS17" i="16"/>
  <c r="AW17" i="16"/>
  <c r="AV7" i="16"/>
  <c r="AV5" i="16"/>
  <c r="AS4" i="16"/>
  <c r="AV4" i="16"/>
  <c r="AS13" i="16"/>
  <c r="AW22" i="16"/>
  <c r="AS16" i="16"/>
  <c r="AS28" i="16"/>
  <c r="AV15" i="16"/>
  <c r="AS15" i="16"/>
  <c r="AS34" i="16"/>
  <c r="AS26" i="16"/>
  <c r="AS31" i="16"/>
  <c r="AS23" i="16"/>
  <c r="AS20" i="16"/>
  <c r="AS12" i="16"/>
  <c r="AS9" i="16"/>
  <c r="AS36" i="16"/>
  <c r="AS6" i="16"/>
  <c r="AS14" i="16"/>
  <c r="AS33" i="16"/>
  <c r="AS25" i="16"/>
  <c r="AS22" i="16"/>
  <c r="AS30" i="16"/>
  <c r="AS19" i="16"/>
  <c r="AS11" i="16"/>
  <c r="AS8" i="16"/>
  <c r="AS5" i="16"/>
  <c r="AS35" i="16"/>
  <c r="AS27" i="16"/>
  <c r="AS32" i="16"/>
  <c r="AS24" i="16"/>
  <c r="AS21" i="16"/>
  <c r="AS10" i="16"/>
  <c r="AS37" i="16"/>
  <c r="AS29" i="16"/>
  <c r="AS7" i="16"/>
  <c r="AW28" i="16"/>
  <c r="AW26" i="16"/>
  <c r="AW20" i="16"/>
  <c r="AW36" i="16"/>
  <c r="AW33" i="16"/>
  <c r="AW32" i="16"/>
  <c r="AW29" i="16"/>
  <c r="AW24" i="16"/>
  <c r="AW23" i="16"/>
  <c r="AW21" i="16"/>
  <c r="AW19" i="16"/>
  <c r="AW18" i="16"/>
  <c r="AT31" i="16" l="1"/>
  <c r="AT21" i="16"/>
  <c r="AT32" i="16"/>
  <c r="AT22" i="16"/>
  <c r="AT23" i="16"/>
  <c r="AT13" i="16"/>
  <c r="AT24" i="16"/>
  <c r="AT12" i="16"/>
  <c r="AT16" i="16"/>
  <c r="AT5" i="16"/>
  <c r="AT25" i="16"/>
  <c r="AT34" i="16"/>
  <c r="AT4" i="16"/>
  <c r="AT3" i="16"/>
  <c r="AT8" i="16"/>
  <c r="AT14" i="16"/>
  <c r="AT18" i="16"/>
  <c r="AT27" i="16"/>
  <c r="AT35" i="16"/>
  <c r="AT9" i="16"/>
  <c r="AT29" i="16"/>
  <c r="AT19" i="16"/>
  <c r="AT7" i="16"/>
  <c r="AT37" i="16"/>
  <c r="AT17" i="16"/>
  <c r="AT10" i="16"/>
  <c r="AT11" i="16"/>
  <c r="AT6" i="16"/>
  <c r="AW11" i="16"/>
  <c r="AW9" i="16"/>
  <c r="AW13" i="16"/>
  <c r="AW10" i="16"/>
  <c r="AW8" i="16"/>
  <c r="AW30" i="16"/>
  <c r="AW6" i="16"/>
  <c r="AW14" i="16"/>
  <c r="AW34" i="16"/>
  <c r="AW25" i="16"/>
  <c r="AW15" i="16"/>
  <c r="AW4" i="16"/>
  <c r="AW5" i="16"/>
  <c r="AW7" i="16"/>
  <c r="AW3" i="16" l="1"/>
  <c r="AS3" i="16"/>
</calcChain>
</file>

<file path=xl/metadata.xml><?xml version="1.0" encoding="utf-8"?>
<metadata xmlns="http://schemas.openxmlformats.org/spreadsheetml/2006/main" xmlns:xda="http://schemas.microsoft.com/office/spreadsheetml/2017/dynamicarray">
  <metadataTypes count="1">
    <metadataType name="XLDAPR" minSupportedVersion="120000" copy="1" pasteAll="1" pasteValues="1" merge="1" splitFirst="1" rowColShift="1" clearFormats="1" clearComments="1" assign="1" coerce="1" cellMeta="1"/>
  </metadataTypes>
  <futureMetadata name="XLDAPR" count="1">
    <bk>
      <extLst>
        <ext uri="{bdbb8cdc-fa1e-496e-a857-3c3f30c029c3}">
          <xda:dynamicArrayProperties fDynamic="1" fCollapsed="0"/>
        </ext>
      </extLst>
    </bk>
  </futureMetadata>
  <cellMetadata count="1">
    <bk>
      <rc t="1" v="0"/>
    </bk>
  </cellMetadata>
</metadata>
</file>

<file path=xl/sharedStrings.xml><?xml version="1.0" encoding="utf-8"?>
<sst xmlns="http://schemas.openxmlformats.org/spreadsheetml/2006/main" count="1099" uniqueCount="451">
  <si>
    <t>patient_id</t>
  </si>
  <si>
    <t>date_of_note</t>
  </si>
  <si>
    <t>ATARisk</t>
  </si>
  <si>
    <t>AJCC8</t>
  </si>
  <si>
    <t>Age</t>
  </si>
  <si>
    <t>Tstage</t>
  </si>
  <si>
    <t>Nstage</t>
  </si>
  <si>
    <t>Mstage</t>
  </si>
  <si>
    <t>LN</t>
  </si>
  <si>
    <t>Meta</t>
  </si>
  <si>
    <t>NoLNresected</t>
  </si>
  <si>
    <t>NoLNinvolved</t>
  </si>
  <si>
    <t>SizeLN</t>
  </si>
  <si>
    <t>Histo</t>
  </si>
  <si>
    <t>HistoType</t>
  </si>
  <si>
    <t>TumorSize</t>
  </si>
  <si>
    <t>VI</t>
  </si>
  <si>
    <t>Number of tumours</t>
  </si>
  <si>
    <t>NoFociVIFTC</t>
  </si>
  <si>
    <t>CI</t>
  </si>
  <si>
    <t>m-ETE</t>
  </si>
  <si>
    <t>Mutation</t>
  </si>
  <si>
    <t>MutationType</t>
  </si>
  <si>
    <t>RAIMetaFoci</t>
  </si>
  <si>
    <t>gETE</t>
  </si>
  <si>
    <t>Thyroidectomy</t>
  </si>
  <si>
    <t>ThyroidectomyType</t>
  </si>
  <si>
    <t>CompResectSurg</t>
  </si>
  <si>
    <t>CompResectPath</t>
  </si>
  <si>
    <t>PostTg</t>
  </si>
  <si>
    <t>1p</t>
  </si>
  <si>
    <t>I</t>
  </si>
  <si>
    <t>Papillary</t>
  </si>
  <si>
    <t>infiltrative follicular</t>
  </si>
  <si>
    <t>Yes</t>
  </si>
  <si>
    <t>1o</t>
  </si>
  <si>
    <t>PTC</t>
  </si>
  <si>
    <t>2p</t>
  </si>
  <si>
    <t>30 mm</t>
  </si>
  <si>
    <t>2o</t>
  </si>
  <si>
    <t>3p</t>
  </si>
  <si>
    <t>1 mm</t>
  </si>
  <si>
    <t>3o</t>
  </si>
  <si>
    <t>4p</t>
  </si>
  <si>
    <t>II</t>
  </si>
  <si>
    <t>15 mm</t>
  </si>
  <si>
    <t>4o</t>
  </si>
  <si>
    <t>5p1</t>
  </si>
  <si>
    <t>0.6 mm</t>
  </si>
  <si>
    <t>5p2</t>
  </si>
  <si>
    <t>5o</t>
  </si>
  <si>
    <t>6p</t>
  </si>
  <si>
    <t>6o</t>
  </si>
  <si>
    <t>7p</t>
  </si>
  <si>
    <t>7o</t>
  </si>
  <si>
    <t>8p</t>
  </si>
  <si>
    <t>11.5 mm</t>
  </si>
  <si>
    <t>8o</t>
  </si>
  <si>
    <t>9p</t>
  </si>
  <si>
    <t>9o</t>
  </si>
  <si>
    <t>10p</t>
  </si>
  <si>
    <t>1.5 x 0.5 x 0.8 cm</t>
  </si>
  <si>
    <t>10o</t>
  </si>
  <si>
    <t>11p</t>
  </si>
  <si>
    <t>11o</t>
  </si>
  <si>
    <t>12p</t>
  </si>
  <si>
    <t>12o</t>
  </si>
  <si>
    <t>13p</t>
  </si>
  <si>
    <t>III</t>
  </si>
  <si>
    <t>11mm</t>
  </si>
  <si>
    <t>13o</t>
  </si>
  <si>
    <t>14p</t>
  </si>
  <si>
    <t>3.9 cm</t>
  </si>
  <si>
    <t>14o</t>
  </si>
  <si>
    <t>15p</t>
  </si>
  <si>
    <t>NIFTP</t>
  </si>
  <si>
    <t>15o</t>
  </si>
  <si>
    <t>16p</t>
  </si>
  <si>
    <t>16o</t>
  </si>
  <si>
    <t>17p</t>
  </si>
  <si>
    <t>11 mm</t>
  </si>
  <si>
    <t>17o</t>
  </si>
  <si>
    <t>18p</t>
  </si>
  <si>
    <t>18o</t>
  </si>
  <si>
    <t>19p</t>
  </si>
  <si>
    <t>19o</t>
  </si>
  <si>
    <t>20p</t>
  </si>
  <si>
    <t>20o</t>
  </si>
  <si>
    <t>21p</t>
  </si>
  <si>
    <t>1.8 cm</t>
  </si>
  <si>
    <t>21o</t>
  </si>
  <si>
    <t>22p</t>
  </si>
  <si>
    <t>22o</t>
  </si>
  <si>
    <t>23p</t>
  </si>
  <si>
    <t>23o</t>
  </si>
  <si>
    <t>24p</t>
  </si>
  <si>
    <t>24o</t>
  </si>
  <si>
    <t>25p</t>
  </si>
  <si>
    <t>25o</t>
  </si>
  <si>
    <t>1cm</t>
  </si>
  <si>
    <t>26p</t>
  </si>
  <si>
    <t>26o</t>
  </si>
  <si>
    <t>27p</t>
  </si>
  <si>
    <t>27o</t>
  </si>
  <si>
    <t>28p</t>
  </si>
  <si>
    <t>2.5 mm</t>
  </si>
  <si>
    <t>28o</t>
  </si>
  <si>
    <t>29p</t>
  </si>
  <si>
    <t>29o</t>
  </si>
  <si>
    <t>30p</t>
  </si>
  <si>
    <t>1.5cm</t>
  </si>
  <si>
    <t>30o</t>
  </si>
  <si>
    <t>31p</t>
  </si>
  <si>
    <t>31o</t>
  </si>
  <si>
    <t>32p</t>
  </si>
  <si>
    <t>Follicular</t>
  </si>
  <si>
    <t>32o</t>
  </si>
  <si>
    <t>33p</t>
  </si>
  <si>
    <t>33o</t>
  </si>
  <si>
    <t>34p</t>
  </si>
  <si>
    <t>34o</t>
  </si>
  <si>
    <t>35p</t>
  </si>
  <si>
    <t>35o</t>
  </si>
  <si>
    <t>Name</t>
  </si>
  <si>
    <t>Description</t>
  </si>
  <si>
    <t>ATA risk stratification category</t>
  </si>
  <si>
    <t>8th edition of AJCC cancer staging</t>
  </si>
  <si>
    <t>Age at cancer diagnosis‡</t>
  </si>
  <si>
    <t>Tumor stage‡</t>
  </si>
  <si>
    <t>Lymph node stage†‡</t>
  </si>
  <si>
    <t>Metastasis stage†‡</t>
  </si>
  <si>
    <t>Total number of lymph node resected†</t>
  </si>
  <si>
    <t>Size of largest involved lymph node†</t>
  </si>
  <si>
    <t>Histopathology†</t>
  </si>
  <si>
    <t>Histological subtype†</t>
  </si>
  <si>
    <t>Tumor size‡</t>
  </si>
  <si>
    <t>Vascular invasion†</t>
  </si>
  <si>
    <t>Number of foci of vascular invasion for FTC†</t>
  </si>
  <si>
    <t>Capsular invasion†</t>
  </si>
  <si>
    <t>Microscopic extrathyroidal extension†</t>
  </si>
  <si>
    <t>Mutation type†</t>
  </si>
  <si>
    <t>RAI-avid metastatic foci outside the thyroid bed on the first posttreatment whole-body radioiodine scan†</t>
  </si>
  <si>
    <t>Gross extrathyroidal extension†‡</t>
  </si>
  <si>
    <t>Thyroidectomy type</t>
  </si>
  <si>
    <t>Completeness of resection (surgeon) †</t>
  </si>
  <si>
    <t>Completeness of resection (pathologist) †</t>
  </si>
  <si>
    <t>Postoperative serum thyroglobulin†</t>
  </si>
  <si>
    <t>† Item for American Thyroid Association 2009 risk stratification</t>
  </si>
  <si>
    <t>‡ Item for 8th edition of the American Joint Committee on Cancer TNM staging system of thyroid cancer</t>
  </si>
  <si>
    <t>ATA RISK</t>
  </si>
  <si>
    <t>T</t>
  </si>
  <si>
    <t>N</t>
  </si>
  <si>
    <t>M</t>
  </si>
  <si>
    <t>AJCC 8</t>
  </si>
  <si>
    <t>4mm</t>
  </si>
  <si>
    <t>T1</t>
  </si>
  <si>
    <t>T1a</t>
  </si>
  <si>
    <t>T1b</t>
  </si>
  <si>
    <t>T4</t>
  </si>
  <si>
    <t>N0</t>
  </si>
  <si>
    <t>N1</t>
  </si>
  <si>
    <t>M0</t>
  </si>
  <si>
    <t>M1</t>
  </si>
  <si>
    <t>2.5cm</t>
  </si>
  <si>
    <t>intermediate</t>
  </si>
  <si>
    <t>high</t>
  </si>
  <si>
    <t>low</t>
  </si>
  <si>
    <t>LN extent</t>
  </si>
  <si>
    <t>Papillary carcinoma</t>
  </si>
  <si>
    <t>Not identified</t>
  </si>
  <si>
    <t>8g</t>
  </si>
  <si>
    <t>23g</t>
  </si>
  <si>
    <t>infiltrative follicular subtype</t>
  </si>
  <si>
    <t>Present</t>
  </si>
  <si>
    <t>Nontoxic uninodular goitre</t>
  </si>
  <si>
    <t>Left central compartment</t>
  </si>
  <si>
    <t>2cm</t>
  </si>
  <si>
    <t>Papillary carcinoma, infiltrative follicular subtype</t>
  </si>
  <si>
    <t>classic subtype</t>
  </si>
  <si>
    <t>Minimally invasive follicular carcinoma</t>
  </si>
  <si>
    <t>50 mm and 30 mm respectively</t>
  </si>
  <si>
    <t>50 mm</t>
  </si>
  <si>
    <t>6.5cm</t>
  </si>
  <si>
    <t>63 mm (macroscopic)</t>
  </si>
  <si>
    <t>4cm</t>
  </si>
  <si>
    <t>Cancer of thyroid</t>
  </si>
  <si>
    <t>1.3cm</t>
  </si>
  <si>
    <t>Papillary carcinoma, classic subtype</t>
  </si>
  <si>
    <t>2mm</t>
  </si>
  <si>
    <t>10g</t>
  </si>
  <si>
    <t>10 mm</t>
  </si>
  <si>
    <t>16g</t>
  </si>
  <si>
    <t>Papillary carcinoma: Classic (usual, conventional)</t>
  </si>
  <si>
    <t>Absent</t>
  </si>
  <si>
    <t>Focal involvement by invasive carcinoma at posterior surface</t>
  </si>
  <si>
    <t>papillary carcinoma</t>
  </si>
  <si>
    <t>Hurthle cell neoplasm</t>
  </si>
  <si>
    <t>7 mm (microscopical dimension)</t>
  </si>
  <si>
    <t>4.5 mm</t>
  </si>
  <si>
    <t>Left level III</t>
  </si>
  <si>
    <t>24.5 mm</t>
  </si>
  <si>
    <t>3cm</t>
  </si>
  <si>
    <t>lung</t>
  </si>
  <si>
    <t>1b</t>
  </si>
  <si>
    <t>x</t>
  </si>
  <si>
    <t>1a</t>
  </si>
  <si>
    <t>3b</t>
  </si>
  <si>
    <t>3a</t>
  </si>
  <si>
    <t>4a</t>
  </si>
  <si>
    <t>4b</t>
  </si>
  <si>
    <t>GROUND TRUTH</t>
  </si>
  <si>
    <t>PERFORMANCE</t>
  </si>
  <si>
    <t>13 mm</t>
  </si>
  <si>
    <t>classic</t>
  </si>
  <si>
    <t>No</t>
  </si>
  <si>
    <t>papillary</t>
  </si>
  <si>
    <t>2.2 mm</t>
  </si>
  <si>
    <t>Extensive (= or &gt; 4 vessels)</t>
  </si>
  <si>
    <r>
      <t>NoFociVIFTC</t>
    </r>
    <r>
      <rPr>
        <b/>
        <sz val="11"/>
        <rFont val="Calibri (Body)"/>
      </rPr>
      <t xml:space="preserve"> (extensive/minimal)</t>
    </r>
  </si>
  <si>
    <t>pT1b</t>
  </si>
  <si>
    <t>pT2</t>
  </si>
  <si>
    <t>22/03/2024</t>
  </si>
  <si>
    <t>pT1a</t>
  </si>
  <si>
    <t>pN1a</t>
  </si>
  <si>
    <t>30/04/2024</t>
  </si>
  <si>
    <t>pT3b</t>
  </si>
  <si>
    <t>31/05/2024</t>
  </si>
  <si>
    <t>24/05/2024</t>
  </si>
  <si>
    <t>pT3a</t>
  </si>
  <si>
    <t>pN1b</t>
  </si>
  <si>
    <t>29/05/2024</t>
  </si>
  <si>
    <t>pT4a</t>
  </si>
  <si>
    <t>23/07/2018</t>
  </si>
  <si>
    <t>17/11/2021</t>
  </si>
  <si>
    <t>21/09/2022</t>
  </si>
  <si>
    <t>ID</t>
  </si>
  <si>
    <t>Date of clinical note or operation</t>
  </si>
  <si>
    <t>Age of patient</t>
  </si>
  <si>
    <t>Tumor staging (pT)</t>
  </si>
  <si>
    <t>Regional lymph node staging (pN)</t>
  </si>
  <si>
    <t>Distant metastasis staging (pM)</t>
  </si>
  <si>
    <t>Site of lymph node involved</t>
  </si>
  <si>
    <t>Distant metastasis involvement</t>
  </si>
  <si>
    <t>Number of lymph node resected</t>
  </si>
  <si>
    <t>Number of lymph node involved</t>
  </si>
  <si>
    <t>Greatest dimension of involved lymph node</t>
  </si>
  <si>
    <t>Histological type of thyroid cancer</t>
  </si>
  <si>
    <t>Histological subtype or variant</t>
  </si>
  <si>
    <t>Greatest dimension of tumor size</t>
  </si>
  <si>
    <t>Number of tumor</t>
  </si>
  <si>
    <t>Presence of angioinvasion</t>
  </si>
  <si>
    <t>Extensiveness of angioinvasion</t>
  </si>
  <si>
    <t>Presence of capsular invasion</t>
  </si>
  <si>
    <t>Gene mutation test performed</t>
  </si>
  <si>
    <t>Gene mutation type identified</t>
  </si>
  <si>
    <t>Presence of involved surgical margin</t>
  </si>
  <si>
    <t>IDv2</t>
  </si>
  <si>
    <t>Report</t>
  </si>
  <si>
    <t>Right central compartment</t>
  </si>
  <si>
    <t>Multinodular goitre</t>
  </si>
  <si>
    <t>Papillary carcinoma, encapsulated classic subtype</t>
  </si>
  <si>
    <t>40g</t>
  </si>
  <si>
    <t>Focal (&lt; 4 vessels)</t>
  </si>
  <si>
    <t>Suspicious foci</t>
  </si>
  <si>
    <t>Right level III</t>
  </si>
  <si>
    <t>Present (focal)</t>
  </si>
  <si>
    <t>follicular</t>
  </si>
  <si>
    <t>lung, bone</t>
  </si>
  <si>
    <t>left lateral level II, III, IV</t>
  </si>
  <si>
    <t>left lateral neck</t>
  </si>
  <si>
    <t>PATIENT ID</t>
  </si>
  <si>
    <t>Site of extrathyroidal extension</t>
  </si>
  <si>
    <t>29/01/2024</t>
  </si>
  <si>
    <t>NX</t>
  </si>
  <si>
    <t>MX</t>
  </si>
  <si>
    <t>26/02/2024</t>
  </si>
  <si>
    <t>8 mm &amp; 2 mm</t>
  </si>
  <si>
    <t>Uninvolved by carcinoma</t>
  </si>
  <si>
    <t>fatty soft tissue at isthmus</t>
  </si>
  <si>
    <t>Not mentioned</t>
  </si>
  <si>
    <t>14g (right thyroid)</t>
  </si>
  <si>
    <t>29/04/2024</t>
  </si>
  <si>
    <t>20 mm (Lower pole tumour), 16 mm (Isthmus tumour)</t>
  </si>
  <si>
    <t>Focally noted(B1)</t>
  </si>
  <si>
    <t>Anterior margin: Involved by tumour (Block B4), Posterior margin: Involved by tumour (Block B6), Lateral margin: Less than 0.1 mm (Block B4)</t>
  </si>
  <si>
    <t>PTC (Papillary Thyroid Carcinoma)</t>
  </si>
  <si>
    <t>17/05/2024</t>
  </si>
  <si>
    <t>Anterior surface: &lt; 0.1 mm from carcinoma (block 3)</t>
  </si>
  <si>
    <t>Multiple (&gt;5)</t>
  </si>
  <si>
    <t>Involved by invasive carcinoma (block 5)</t>
  </si>
  <si>
    <t>4 x 3 x 2.1 cm</t>
  </si>
  <si>
    <t>The tumour measures less than 0.1 mm from the anterior, posterior and lateral margins</t>
  </si>
  <si>
    <t>Gross ETE to surrounding muscles, posteriorly adherent to trachea and esophagus at cricoid level</t>
  </si>
  <si>
    <t>Invading only strap muscles</t>
  </si>
  <si>
    <t>Uninvolved by carcinoma, closest distance: Upper pole margin = 0.5 mm (block A2), Lower pole margin = 5 mm (block A3), Anterior surface = &lt; 0.1 mm (block A7), Posterior margin = 0.4 mm (block A5)</t>
  </si>
  <si>
    <t>Gross ETE at upper pole</t>
  </si>
  <si>
    <t>NON-INVASIVE FOLLICULAR THYROID NEOPLASM</t>
  </si>
  <si>
    <t>40 x 20 x 20 mm (left thyroid lobe) and 50 x 15 x 5 mm (isthmus and pyramidal lobe)</t>
  </si>
  <si>
    <t>Clear</t>
  </si>
  <si>
    <t>36 x 32 x 26 mm (mid to lower pole tumor) and 14 x 8 x 9 mm (upper pole tumor)</t>
  </si>
  <si>
    <t>14/06/2024</t>
  </si>
  <si>
    <t>Uninvolved by carcinoma, closest 3mm from anterior margin</t>
  </si>
  <si>
    <t>19g</t>
  </si>
  <si>
    <t>All resection margins are clear, in which the minimal microscopic clearance is seen at the posterior and anterior margins, measuring 0.3 mm and 0.5 mm, respectively.</t>
  </si>
  <si>
    <t>Partially encapsulated, while in other areas have an invasive front</t>
  </si>
  <si>
    <t>4.3 cm (superoinferior)</t>
  </si>
  <si>
    <t>All resection margins are microscopically clear, with a minimal clearance of 0.1 mm from the anterior margin.</t>
  </si>
  <si>
    <t>Minimal</t>
  </si>
  <si>
    <t>Present (minimal)</t>
  </si>
  <si>
    <t>Multiple</t>
  </si>
  <si>
    <t>2 (upper pole and lower pole)</t>
  </si>
  <si>
    <t>19/01/2024</t>
  </si>
  <si>
    <t>Clear, 1 mm from the peri-thyroid soft tissue margin</t>
  </si>
  <si>
    <t>21/06/2024</t>
  </si>
  <si>
    <t>Anterior: 0.2 mm (block B2), Posterior: 1.5 mm (block B2)</t>
  </si>
  <si>
    <t>ETE to strap muscle</t>
  </si>
  <si>
    <t>Isthmus</t>
  </si>
  <si>
    <t>Papillary Thyroid Carcinoma (x2)</t>
  </si>
  <si>
    <t>Anterior: 1 mm (block 1), Posterior: 2 mm (block 3), Isthmic: 4 mm (block 3)</t>
  </si>
  <si>
    <t>Anterior: 1.5 mm, Posterior: 7 mm, Isthmic margin(shaved): not involved</t>
  </si>
  <si>
    <t>27/12/2023</t>
  </si>
  <si>
    <t>Left central compartment, Left level 2, 3, 4 cervical</t>
  </si>
  <si>
    <t>Central compartment</t>
  </si>
  <si>
    <t>Anterior and posterior margins focally involved</t>
  </si>
  <si>
    <t>Focal capsular invasion</t>
  </si>
  <si>
    <t>Focally into adjacent fibroadipose tissue (block B3)</t>
  </si>
  <si>
    <t>28g (Left lower pole tumour)</t>
  </si>
  <si>
    <t>16g (right thyroid), 1g (left thyroid remnant)</t>
  </si>
  <si>
    <t>Extensive (= or &gt;4 vessels)</t>
  </si>
  <si>
    <t>Invading subcutaneous soft tissues, larynx, trachea, esophagus or recurrent laryngeal nerve</t>
  </si>
  <si>
    <t>extra thyroidal extension to larynx and part of carotid sheath</t>
  </si>
  <si>
    <t>Margin</t>
  </si>
  <si>
    <r>
      <t xml:space="preserve">SizeLN
</t>
    </r>
    <r>
      <rPr>
        <b/>
        <sz val="11"/>
        <rFont val="Calibri (Body)"/>
      </rPr>
      <t xml:space="preserve"> (cm)</t>
    </r>
  </si>
  <si>
    <r>
      <t>TumorSize</t>
    </r>
    <r>
      <rPr>
        <b/>
        <sz val="11"/>
        <rFont val="Calibri (Body)"/>
      </rPr>
      <t xml:space="preserve"> 
(cm)</t>
    </r>
  </si>
  <si>
    <t>Follicular adenoma</t>
  </si>
  <si>
    <t>2 (one on the right thyroid and one on the left thyroid)</t>
  </si>
  <si>
    <t>Not present</t>
  </si>
  <si>
    <t>Focally, the tumor is separated from the surgical margin by thin fibrous tissue (0.6 mm)</t>
  </si>
  <si>
    <t>8g (left), 46g (right)</t>
  </si>
  <si>
    <t>Focally involved</t>
  </si>
  <si>
    <t>Anterior surface: Focally involved by carcinoma</t>
  </si>
  <si>
    <t>Surrounding fat at the 2 mm tumor nodule</t>
  </si>
  <si>
    <t>Microscopic invasive of the surrounding fat at the 2 mm tumor nodule. No gross invasion was detected. No involvement of skeletal muscle bundles is detected.</t>
  </si>
  <si>
    <t>pT1</t>
  </si>
  <si>
    <t>9 mm</t>
  </si>
  <si>
    <t>Touched posterior and lateral margins and involvement of extrathyroid soft tissue</t>
  </si>
  <si>
    <t>Several</t>
  </si>
  <si>
    <t>Block B3</t>
  </si>
  <si>
    <t>Papillary carcinoma, oncocytic classic subtype</t>
  </si>
  <si>
    <t>Invading soft tissue and strap muscles (Please refer to operation record for gross extrathyroidal extension)</t>
  </si>
  <si>
    <t>Overlying strap muscle</t>
  </si>
  <si>
    <t>Left thyroid 11g, right thyroid 5g</t>
  </si>
  <si>
    <t>1.5 cm</t>
  </si>
  <si>
    <t>Encapsulated</t>
  </si>
  <si>
    <t>4 cm</t>
  </si>
  <si>
    <t>Yes (block 4)</t>
  </si>
  <si>
    <t>4 mm</t>
  </si>
  <si>
    <t>15g (Right thyroid) and 9g (Left thyroid)</t>
  </si>
  <si>
    <t>Left central compartment LN</t>
  </si>
  <si>
    <t>encapsulated classic</t>
  </si>
  <si>
    <t>27 x 22 x 17 mm (mid pole)</t>
  </si>
  <si>
    <t>clear</t>
  </si>
  <si>
    <t>central compartment</t>
  </si>
  <si>
    <t>1 (right lobe)</t>
  </si>
  <si>
    <t>Anterior margin: Involved by invasive carcinoma (block 5), Posterior margin: Clear by less than 0.1 mm (block 5)</t>
  </si>
  <si>
    <t>Follicular neoplasm</t>
  </si>
  <si>
    <t>Uninvolved by carcinoma: 0.3 mm from anterior margin</t>
  </si>
  <si>
    <t>Extrathyroidal tumour invasion into the surrounding skeletal muscle</t>
  </si>
  <si>
    <t>gross ETE to surrounding muscles, posteriorly adherent to trachea and esophagus at cricoid level</t>
  </si>
  <si>
    <t>Left SCF LN, Level II-VB</t>
  </si>
  <si>
    <t>To surrounding muscles, posteriorly adherent to trachea and esophagus at cricoid level</t>
  </si>
  <si>
    <t>Invading only strap muscles (sterohyoid, sternothyroid, thyrohyoid, or omohyoid muscles)</t>
  </si>
  <si>
    <t>Yes, perithyroidal fibradipose tissue</t>
  </si>
  <si>
    <t>Perithyroidal fibradipose tissue (due to tumor infiltration of tubercle)</t>
  </si>
  <si>
    <t>WITH PAPILLARY LIKE NUCLEAR FEATURES</t>
  </si>
  <si>
    <t>No evidence of BRAF, KRAS or NRAS hot spot mutation</t>
  </si>
  <si>
    <t>The mid to lower pole tumor measures 0.3 mm from both the anterior and posterior margins. The upper pole tumor measures 0.2 mm from both the anterior and posterior surfaces.</t>
  </si>
  <si>
    <t>Overlying strap muscles</t>
  </si>
  <si>
    <t>24g (right) and 9g (left)</t>
  </si>
  <si>
    <t>Gross extrathyroidal extension</t>
  </si>
  <si>
    <t>Tumor reaches the anterior and anterolateral capsule without breaching the capsule. It extends to 1 mm from posterior margin.</t>
  </si>
  <si>
    <t>Isthmic margin, shaved</t>
  </si>
  <si>
    <t>Level VI</t>
  </si>
  <si>
    <t>Involved by carcinoma (Block A3)</t>
  </si>
  <si>
    <t>Invading only strap muscles (Please correlate with operation record for gross extrathyroidal extension)</t>
  </si>
  <si>
    <t>Anterior margin : 0.3 mm (Block A5)
Posterior margin: involved by carcinoma (Block A3)
Lateral margin  : less than 0.1 mm (Block A5)
Isthmic margin  : More than 10 mm (Macroscopic)</t>
  </si>
  <si>
    <t>Right cricothyroid and inferior constrictor muscle</t>
  </si>
  <si>
    <t>gross tumour clearance</t>
  </si>
  <si>
    <t>Classic subtype</t>
  </si>
  <si>
    <t>T1 for the right thyroid (B) and T1a for the left thyroid (C)</t>
  </si>
  <si>
    <t>Isthmic side resection end in the left central compartment lymph node (A)</t>
  </si>
  <si>
    <t>Infiltrative follicular pattern and focal papillary structures among a sclerotic stroma, associated with calcification and ossification for the left thyroid (C)</t>
  </si>
  <si>
    <t>11 mm for the left thyroid (C)</t>
  </si>
  <si>
    <t>Present for the left thyroid (C)</t>
  </si>
  <si>
    <t>Minimal microscopic clearance of &lt;1 mm from both the anterior and posterior surfaces for the left thyroid (C)</t>
  </si>
  <si>
    <t>Thyroid</t>
  </si>
  <si>
    <t>Classic type</t>
  </si>
  <si>
    <t>Focally</t>
  </si>
  <si>
    <t>Skeletal muscle</t>
  </si>
  <si>
    <t>Suspected Cancer of thyroid</t>
  </si>
  <si>
    <t>The anterior, posterior and lateral surfaces are clear by 0.4 mm, 0.9 mm and 1.5 mm respectively (Block 2). The superior and inferior surfaces are grossly well clear. The isthmic margin is clear (Block 1)</t>
  </si>
  <si>
    <t>perithyroidal fibradipose tissue</t>
  </si>
  <si>
    <t>peri-thyroidal adipose tissue</t>
  </si>
  <si>
    <t>Right thyroid 6g</t>
  </si>
  <si>
    <t>Right level 2, 3, 4 lymph node</t>
  </si>
  <si>
    <t>9mm</t>
  </si>
  <si>
    <t>2.7 cm</t>
  </si>
  <si>
    <t>Right lateral neck (Level II, III, IV)</t>
  </si>
  <si>
    <t>Complete encasement of right RLN</t>
  </si>
  <si>
    <t>Perithyroidal fibradipose tissue (at least at the right lobe)</t>
  </si>
  <si>
    <t>Classic (usual, conventional)</t>
  </si>
  <si>
    <t>Microscopic extrathyroidal extension to skeletal muscle anterior to the thyroid gland</t>
  </si>
  <si>
    <t>Strap muscle</t>
  </si>
  <si>
    <t>Not definite capsular invasion</t>
  </si>
  <si>
    <t>1 out of 2 lymph nodes</t>
  </si>
  <si>
    <t>Isthmus, 0.1 mm from the posterior margin</t>
  </si>
  <si>
    <t>Not specified (mentioned as 0.5 cm for middle pole and 2.5 mm for isthmus)</t>
  </si>
  <si>
    <t>Not specified</t>
  </si>
  <si>
    <t>12 mm</t>
  </si>
  <si>
    <t>0.5 mm, anterior and posterior aspects of isthmus</t>
  </si>
  <si>
    <t>Isthmic tumour, no ETE</t>
  </si>
  <si>
    <t>Infiltrative follicular</t>
  </si>
  <si>
    <t>4.5 x 3 x 2cm (Left thyroid)</t>
  </si>
  <si>
    <t>1 (Left thyroid)</t>
  </si>
  <si>
    <t>Surrounding striated muscle (Left thyroid)</t>
  </si>
  <si>
    <t>esophagus, prevertebral fascia</t>
  </si>
  <si>
    <t>Overlying strap muscle, carotid sheath, RLN at lower pole, esophagus muscular layer, prevertebral fascia</t>
  </si>
  <si>
    <t>perithyroidal fibradipose tissue, strap muscle, carotid sheath, RLN at lower pole, esophagus muscular layer, prevertebral fascia</t>
  </si>
  <si>
    <t>Left central compartment LN, fibroadipose tissue (block B3), lateral (block B11), superior (block B4), posterior (block B7)</t>
  </si>
  <si>
    <t>Follicular carcinoma, widely invasive</t>
  </si>
  <si>
    <t>6 cm superoinferiorly, 3.2 cm transversely and 2.5 cm anteroposteriorly</t>
  </si>
  <si>
    <t>Inferior, lateral, superior, posterior: Involved, Anterior: clear</t>
  </si>
  <si>
    <t>Microcarcinoma</t>
  </si>
  <si>
    <t>The thyroid capsule and isthmic margin are free of involvement.</t>
  </si>
  <si>
    <t>A10 (isthmus)</t>
  </si>
  <si>
    <t>Papillary carcinoma, tall cell variant</t>
  </si>
  <si>
    <t>Deep margin: Involved (block A1, A7, A8), Superior pole margin: Involved (A1)</t>
  </si>
  <si>
    <t>larynx, part of carotid sheath</t>
  </si>
  <si>
    <t>Tall cell</t>
  </si>
  <si>
    <t>Antero-inferior pole, extrathyroidal adipose tissue</t>
  </si>
  <si>
    <t>Superior: 1.7 mm clearance, Inferior: Tumor present in extrathyroidal adipose tissue and involves the cauterized margin of antero-inferior pole, Anteromedial: 0.18 mm clearance, Anterolateral: Tumor lymphovascular permeation involving extra-thyroidal adipose tissue (C5): 0.55 mm clearance, Posterior: 0.83 mm</t>
  </si>
  <si>
    <t>Closely adherent to RLN</t>
  </si>
  <si>
    <t>3/7</t>
  </si>
  <si>
    <t>2</t>
  </si>
  <si>
    <t>IVA</t>
  </si>
  <si>
    <t>IVB</t>
  </si>
  <si>
    <t>ETE</t>
  </si>
  <si>
    <r>
      <t xml:space="preserve">TumorSize </t>
    </r>
    <r>
      <rPr>
        <b/>
        <sz val="11"/>
        <rFont val="Calibri (Body)"/>
      </rPr>
      <t>clean</t>
    </r>
  </si>
  <si>
    <t>EXTRACTED INFORMATION FOR CLASSIFCATION</t>
  </si>
  <si>
    <r>
      <t xml:space="preserve">SizeLN </t>
    </r>
    <r>
      <rPr>
        <b/>
        <sz val="11"/>
        <rFont val="Calibri (Body)"/>
      </rPr>
      <t>clean</t>
    </r>
  </si>
  <si>
    <t>CLASSIFICATION RESULT</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</si>
</sst>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1">
    <numFmt numFmtId="164" formatCode="[$-409]d\-mmm\-yyyy;@"/>
  </numFmts>
  <fonts count="28">
    <font>
      <sz val="11"/>
      <color theme="1"/>
      <name val="Calibri"/>
      <charset val="134"/>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Times New Roman"/>
      <family val="1"/>
    </font>
    <font>
      <b/>
      <sz val="11"/>
      <color theme="1"/>
      <name val="Calibri"/>
      <family val="2"/>
      <scheme val="minor"/>
    </font>
    <font>
      <b/>
      <sz val="11"/>
      <color rgb="FF000000"/>
      <name val="Calibri"/>
      <family val="2"/>
      <scheme val="minor"/>
    </font>
    <font>
      <sz val="11"/>
      <color rgb="FFFF0000"/>
      <name val="Calibri"/>
      <family val="2"/>
      <scheme val="minor"/>
    </font>
    <font>
      <sz val="11"/>
      <name val="Calibri"/>
      <family val="2"/>
      <scheme val="minor"/>
    </font>
    <font>
      <sz val="11"/>
      <color theme="1"/>
      <name val="Calibri"/>
      <family val="2"/>
      <scheme val="minor"/>
    </font>
    <font>
      <b/>
      <sz val="11"/>
      <name val="Calibri"/>
      <family val="2"/>
      <scheme val="minor"/>
    </font>
    <font>
      <b/>
      <sz val="11"/>
      <name val="Calibri (Body)"/>
    </font>
    <font>
      <sz val="18"/>
      <color theme="3"/>
      <name val="Calibri Light"/>
      <family val="2"/>
      <scheme val="major"/>
    </font>
    <font>
      <b/>
      <sz val="15"/>
      <color theme="3"/>
      <name val="Calibri"/>
      <family val="2"/>
      <scheme val="minor"/>
    </font>
    <font>
      <b/>
      <sz val="13"/>
      <color theme="3"/>
      <name val="Calibri"/>
      <family val="2"/>
      <scheme val="minor"/>
    </font>
    <font>
      <b/>
      <sz val="11"/>
      <color theme="3"/>
      <name val="Calibri"/>
      <family val="2"/>
      <scheme val="minor"/>
    </font>
    <font>
      <sz val="11"/>
      <color rgb="FF006100"/>
      <name val="Calibri"/>
      <family val="2"/>
      <scheme val="minor"/>
    </font>
    <font>
      <sz val="11"/>
      <color rgb="FF9C0006"/>
      <name val="Calibri"/>
      <family val="2"/>
      <scheme val="minor"/>
    </font>
    <font>
      <sz val="11"/>
      <color rgb="FF3F3F76"/>
      <name val="Calibri"/>
      <family val="2"/>
      <scheme val="minor"/>
    </font>
    <font>
      <b/>
      <sz val="11"/>
      <color rgb="FF3F3F3F"/>
      <name val="Calibri"/>
      <family val="2"/>
      <scheme val="minor"/>
    </font>
    <font>
      <b/>
      <sz val="11"/>
      <color rgb="FFFA7D00"/>
      <name val="Calibri"/>
      <family val="2"/>
      <scheme val="minor"/>
    </font>
    <font>
      <sz val="11"/>
      <color rgb="FFFA7D00"/>
      <name val="Calibri"/>
      <family val="2"/>
      <scheme val="minor"/>
    </font>
    <font>
      <b/>
      <sz val="11"/>
      <color theme="0"/>
      <name val="Calibri"/>
      <family val="2"/>
      <scheme val="minor"/>
    </font>
    <font>
      <i/>
      <sz val="11"/>
      <color rgb="FF7F7F7F"/>
      <name val="Calibri"/>
      <family val="2"/>
      <scheme val="minor"/>
    </font>
    <font>
      <sz val="11"/>
      <color theme="0"/>
      <name val="Calibri"/>
      <family val="2"/>
      <scheme val="minor"/>
    </font>
    <font>
      <sz val="11"/>
      <color rgb="FF9C6500"/>
      <name val="Calibri"/>
      <family val="2"/>
      <scheme val="minor"/>
    </font>
  </fonts>
  <fills count="35">
    <fill>
      <patternFill patternType="none"/>
    </fill>
    <fill>
      <patternFill patternType="gray125"/>
    </fill>
    <fill>
      <patternFill patternType="solid">
        <fgColor theme="7" tint="0.79998168889431442"/>
        <bgColor indexed="64"/>
      </patternFill>
    </fill>
    <fill>
      <patternFill patternType="solid">
        <fgColor theme="7"/>
        <bgColor indexed="64"/>
      </patternFill>
    </fill>
    <fill>
      <patternFill patternType="solid">
        <fgColor rgb="FFC6EFCE"/>
      </patternFill>
    </fill>
    <fill>
      <patternFill patternType="solid">
        <fgColor rgb="FFFFC7CE"/>
      </patternFill>
    </fill>
    <fill>
      <patternFill patternType="solid">
        <fgColor rgb="FFFFEB9C"/>
      </patternFill>
    </fill>
    <fill>
      <patternFill patternType="solid">
        <fgColor rgb="FFFFCC99"/>
      </patternFill>
    </fill>
    <fill>
      <patternFill patternType="solid">
        <fgColor rgb="FFF2F2F2"/>
      </patternFill>
    </fill>
    <fill>
      <patternFill patternType="solid">
        <fgColor rgb="FFA5A5A5"/>
      </patternFill>
    </fill>
    <fill>
      <patternFill patternType="solid">
        <fgColor rgb="FFFFFFCC"/>
      </patternFill>
    </fill>
    <fill>
      <patternFill patternType="solid">
        <fgColor theme="4"/>
      </patternFill>
    </fill>
    <fill>
      <patternFill patternType="solid">
        <fgColor theme="4" tint="0.79998168889431442"/>
        <bgColor indexed="65"/>
      </patternFill>
    </fill>
    <fill>
      <patternFill patternType="solid">
        <fgColor theme="4" tint="0.59999389629810485"/>
        <bgColor indexed="65"/>
      </patternFill>
    </fill>
    <fill>
      <patternFill patternType="solid">
        <fgColor theme="4" tint="0.39997558519241921"/>
        <bgColor indexed="65"/>
      </patternFill>
    </fill>
    <fill>
      <patternFill patternType="solid">
        <fgColor theme="5"/>
      </patternFill>
    </fill>
    <fill>
      <patternFill patternType="solid">
        <fgColor theme="5" tint="0.79998168889431442"/>
        <bgColor indexed="65"/>
      </patternFill>
    </fill>
    <fill>
      <patternFill patternType="solid">
        <fgColor theme="5" tint="0.59999389629810485"/>
        <bgColor indexed="65"/>
      </patternFill>
    </fill>
    <fill>
      <patternFill patternType="solid">
        <fgColor theme="5" tint="0.39997558519241921"/>
        <bgColor indexed="65"/>
      </patternFill>
    </fill>
    <fill>
      <patternFill patternType="solid">
        <fgColor theme="6"/>
      </patternFill>
    </fill>
    <fill>
      <patternFill patternType="solid">
        <fgColor theme="6" tint="0.79998168889431442"/>
        <bgColor indexed="65"/>
      </patternFill>
    </fill>
    <fill>
      <patternFill patternType="solid">
        <fgColor theme="6" tint="0.59999389629810485"/>
        <bgColor indexed="65"/>
      </patternFill>
    </fill>
    <fill>
      <patternFill patternType="solid">
        <fgColor theme="6" tint="0.39997558519241921"/>
        <bgColor indexed="65"/>
      </patternFill>
    </fill>
    <fill>
      <patternFill patternType="solid">
        <fgColor theme="7"/>
      </patternFill>
    </fill>
    <fill>
      <patternFill patternType="solid">
        <fgColor theme="7" tint="0.79998168889431442"/>
        <bgColor indexed="65"/>
      </patternFill>
    </fill>
    <fill>
      <patternFill patternType="solid">
        <fgColor theme="7" tint="0.59999389629810485"/>
        <bgColor indexed="65"/>
      </patternFill>
    </fill>
    <fill>
      <patternFill patternType="solid">
        <fgColor theme="7" tint="0.39997558519241921"/>
        <bgColor indexed="65"/>
      </patternFill>
    </fill>
    <fill>
      <patternFill patternType="solid">
        <fgColor theme="8"/>
      </patternFill>
    </fill>
    <fill>
      <patternFill patternType="solid">
        <fgColor theme="8" tint="0.79998168889431442"/>
        <bgColor indexed="65"/>
      </patternFill>
    </fill>
    <fill>
      <patternFill patternType="solid">
        <fgColor theme="8" tint="0.59999389629810485"/>
        <bgColor indexed="65"/>
      </patternFill>
    </fill>
    <fill>
      <patternFill patternType="solid">
        <fgColor theme="8" tint="0.39997558519241921"/>
        <bgColor indexed="65"/>
      </patternFill>
    </fill>
    <fill>
      <patternFill patternType="solid">
        <fgColor theme="9"/>
      </patternFill>
    </fill>
    <fill>
      <patternFill patternType="solid">
        <fgColor theme="9" tint="0.79998168889431442"/>
        <bgColor indexed="65"/>
      </patternFill>
    </fill>
    <fill>
      <patternFill patternType="solid">
        <fgColor theme="9" tint="0.59999389629810485"/>
        <bgColor indexed="65"/>
      </patternFill>
    </fill>
    <fill>
      <patternFill patternType="solid">
        <fgColor theme="9" tint="0.39997558519241921"/>
        <bgColor indexed="65"/>
      </patternFill>
    </fill>
  </fills>
  <borders count="17">
    <border>
      <left/>
      <right/>
      <top/>
      <bottom/>
      <diagonal/>
    </border>
    <border>
      <left/>
      <right/>
      <top/>
      <bottom style="thin">
        <color rgb="FF000000"/>
      </bottom>
      <diagonal/>
    </border>
    <border>
      <left/>
      <right/>
      <top/>
      <bottom style="thin">
        <color indexed="64"/>
      </bottom>
      <diagonal/>
    </border>
    <border>
      <left style="thin">
        <color indexed="64"/>
      </left>
      <right/>
      <top/>
      <bottom/>
      <diagonal/>
    </border>
    <border>
      <left style="thin">
        <color indexed="64"/>
      </left>
      <right/>
      <top/>
      <bottom style="thin">
        <color indexed="64"/>
      </bottom>
      <diagonal/>
    </border>
    <border>
      <left/>
      <right/>
      <top/>
      <bottom style="thick">
        <color theme="4"/>
      </bottom>
      <diagonal/>
    </border>
    <border>
      <left/>
      <right/>
      <top/>
      <bottom style="thick">
        <color theme="4" tint="0.499984740745262"/>
      </bottom>
      <diagonal/>
    </border>
    <border>
      <left/>
      <right/>
      <top/>
      <bottom style="medium">
        <color theme="4" tint="0.39997558519241921"/>
      </bottom>
      <diagonal/>
    </border>
    <border>
      <left style="thin">
        <color rgb="FF7F7F7F"/>
      </left>
      <right style="thin">
        <color rgb="FF7F7F7F"/>
      </right>
      <top style="thin">
        <color rgb="FF7F7F7F"/>
      </top>
      <bottom style="thin">
        <color rgb="FF7F7F7F"/>
      </bottom>
      <diagonal/>
    </border>
    <border>
      <left style="thin">
        <color rgb="FF3F3F3F"/>
      </left>
      <right style="thin">
        <color rgb="FF3F3F3F"/>
      </right>
      <top style="thin">
        <color rgb="FF3F3F3F"/>
      </top>
      <bottom style="thin">
        <color rgb="FF3F3F3F"/>
      </bottom>
      <diagonal/>
    </border>
    <border>
      <left/>
      <right/>
      <top/>
      <bottom style="double">
        <color rgb="FFFF8001"/>
      </bottom>
      <diagonal/>
    </border>
    <border>
      <left style="double">
        <color rgb="FF3F3F3F"/>
      </left>
      <right style="double">
        <color rgb="FF3F3F3F"/>
      </right>
      <top style="double">
        <color rgb="FF3F3F3F"/>
      </top>
      <bottom style="double">
        <color rgb="FF3F3F3F"/>
      </bottom>
      <diagonal/>
    </border>
    <border>
      <left style="thin">
        <color rgb="FFB2B2B2"/>
      </left>
      <right style="thin">
        <color rgb="FFB2B2B2"/>
      </right>
      <top style="thin">
        <color rgb="FFB2B2B2"/>
      </top>
      <bottom style="thin">
        <color rgb="FFB2B2B2"/>
      </bottom>
      <diagonal/>
    </border>
    <border>
      <left/>
      <right/>
      <top style="thin">
        <color theme="4"/>
      </top>
      <bottom style="double">
        <color theme="4"/>
      </bottom>
      <diagonal/>
    </border>
    <border>
      <left/>
      <right style="thin">
        <color indexed="64"/>
      </right>
      <top/>
      <bottom/>
      <diagonal/>
    </border>
    <border>
      <left/>
      <right style="thin">
        <color indexed="64"/>
      </right>
      <top/>
      <bottom style="thin">
        <color indexed="64"/>
      </bottom>
      <diagonal/>
    </border>
    <border>
      <left style="thin">
        <color indexed="64"/>
      </left>
      <right/>
      <top style="thin">
        <color indexed="64"/>
      </top>
      <bottom/>
      <diagonal/>
    </border>
  </borders>
  <cellStyleXfs count="46">
    <xf numFmtId="0" fontId="0" fillId="0" borderId="0"/>
    <xf numFmtId="9" fontId="11" fillId="0" borderId="0" applyFont="0" applyFill="0" applyBorder="0" applyAlignment="0" applyProtection="0"/>
    <xf numFmtId="0" fontId="5" fillId="0" borderId="0"/>
    <xf numFmtId="0" fontId="4" fillId="0" borderId="0"/>
    <xf numFmtId="0" fontId="14" fillId="0" borderId="0" applyNumberFormat="0" applyFill="0" applyBorder="0" applyAlignment="0" applyProtection="0"/>
    <xf numFmtId="0" fontId="15" fillId="0" borderId="5" applyNumberFormat="0" applyFill="0" applyAlignment="0" applyProtection="0"/>
    <xf numFmtId="0" fontId="16" fillId="0" borderId="6" applyNumberFormat="0" applyFill="0" applyAlignment="0" applyProtection="0"/>
    <xf numFmtId="0" fontId="17" fillId="0" borderId="7" applyNumberFormat="0" applyFill="0" applyAlignment="0" applyProtection="0"/>
    <xf numFmtId="0" fontId="17" fillId="0" borderId="0" applyNumberFormat="0" applyFill="0" applyBorder="0" applyAlignment="0" applyProtection="0"/>
    <xf numFmtId="0" fontId="18" fillId="4" borderId="0" applyNumberFormat="0" applyBorder="0" applyAlignment="0" applyProtection="0"/>
    <xf numFmtId="0" fontId="19" fillId="5" borderId="0" applyNumberFormat="0" applyBorder="0" applyAlignment="0" applyProtection="0"/>
    <xf numFmtId="0" fontId="20" fillId="7" borderId="8" applyNumberFormat="0" applyAlignment="0" applyProtection="0"/>
    <xf numFmtId="0" fontId="21" fillId="8" borderId="9" applyNumberFormat="0" applyAlignment="0" applyProtection="0"/>
    <xf numFmtId="0" fontId="22" fillId="8" borderId="8" applyNumberFormat="0" applyAlignment="0" applyProtection="0"/>
    <xf numFmtId="0" fontId="23" fillId="0" borderId="10" applyNumberFormat="0" applyFill="0" applyAlignment="0" applyProtection="0"/>
    <xf numFmtId="0" fontId="24" fillId="9" borderId="11" applyNumberFormat="0" applyAlignment="0" applyProtection="0"/>
    <xf numFmtId="0" fontId="9" fillId="0" borderId="0" applyNumberFormat="0" applyFill="0" applyBorder="0" applyAlignment="0" applyProtection="0"/>
    <xf numFmtId="0" fontId="25" fillId="0" borderId="0" applyNumberFormat="0" applyFill="0" applyBorder="0" applyAlignment="0" applyProtection="0"/>
    <xf numFmtId="0" fontId="7" fillId="0" borderId="13" applyNumberFormat="0" applyFill="0" applyAlignment="0" applyProtection="0"/>
    <xf numFmtId="0" fontId="26" fillId="11" borderId="0" applyNumberFormat="0" applyBorder="0" applyAlignment="0" applyProtection="0"/>
    <xf numFmtId="0" fontId="3" fillId="12" borderId="0" applyNumberFormat="0" applyBorder="0" applyAlignment="0" applyProtection="0"/>
    <xf numFmtId="0" fontId="3" fillId="13" borderId="0" applyNumberFormat="0" applyBorder="0" applyAlignment="0" applyProtection="0"/>
    <xf numFmtId="0" fontId="26" fillId="15" borderId="0" applyNumberFormat="0" applyBorder="0" applyAlignment="0" applyProtection="0"/>
    <xf numFmtId="0" fontId="3" fillId="16" borderId="0" applyNumberFormat="0" applyBorder="0" applyAlignment="0" applyProtection="0"/>
    <xf numFmtId="0" fontId="3" fillId="17" borderId="0" applyNumberFormat="0" applyBorder="0" applyAlignment="0" applyProtection="0"/>
    <xf numFmtId="0" fontId="26" fillId="19" borderId="0" applyNumberFormat="0" applyBorder="0" applyAlignment="0" applyProtection="0"/>
    <xf numFmtId="0" fontId="3" fillId="20" borderId="0" applyNumberFormat="0" applyBorder="0" applyAlignment="0" applyProtection="0"/>
    <xf numFmtId="0" fontId="3" fillId="21" borderId="0" applyNumberFormat="0" applyBorder="0" applyAlignment="0" applyProtection="0"/>
    <xf numFmtId="0" fontId="26" fillId="23" borderId="0" applyNumberFormat="0" applyBorder="0" applyAlignment="0" applyProtection="0"/>
    <xf numFmtId="0" fontId="3" fillId="24" borderId="0" applyNumberFormat="0" applyBorder="0" applyAlignment="0" applyProtection="0"/>
    <xf numFmtId="0" fontId="3" fillId="25" borderId="0" applyNumberFormat="0" applyBorder="0" applyAlignment="0" applyProtection="0"/>
    <xf numFmtId="0" fontId="26" fillId="27" borderId="0" applyNumberFormat="0" applyBorder="0" applyAlignment="0" applyProtection="0"/>
    <xf numFmtId="0" fontId="3" fillId="28" borderId="0" applyNumberFormat="0" applyBorder="0" applyAlignment="0" applyProtection="0"/>
    <xf numFmtId="0" fontId="3" fillId="29" borderId="0" applyNumberFormat="0" applyBorder="0" applyAlignment="0" applyProtection="0"/>
    <xf numFmtId="0" fontId="26" fillId="31" borderId="0" applyNumberFormat="0" applyBorder="0" applyAlignment="0" applyProtection="0"/>
    <xf numFmtId="0" fontId="3" fillId="32" borderId="0" applyNumberFormat="0" applyBorder="0" applyAlignment="0" applyProtection="0"/>
    <xf numFmtId="0" fontId="3" fillId="33" borderId="0" applyNumberFormat="0" applyBorder="0" applyAlignment="0" applyProtection="0"/>
    <xf numFmtId="0" fontId="3" fillId="0" borderId="0"/>
    <xf numFmtId="0" fontId="27" fillId="6" borderId="0" applyNumberFormat="0" applyBorder="0" applyAlignment="0" applyProtection="0"/>
    <xf numFmtId="0" fontId="3" fillId="10" borderId="12" applyNumberFormat="0" applyFont="0" applyAlignment="0" applyProtection="0"/>
    <xf numFmtId="0" fontId="26" fillId="14" borderId="0" applyNumberFormat="0" applyBorder="0" applyAlignment="0" applyProtection="0"/>
    <xf numFmtId="0" fontId="26" fillId="18" borderId="0" applyNumberFormat="0" applyBorder="0" applyAlignment="0" applyProtection="0"/>
    <xf numFmtId="0" fontId="26" fillId="22" borderId="0" applyNumberFormat="0" applyBorder="0" applyAlignment="0" applyProtection="0"/>
    <xf numFmtId="0" fontId="26" fillId="26" borderId="0" applyNumberFormat="0" applyBorder="0" applyAlignment="0" applyProtection="0"/>
    <xf numFmtId="0" fontId="26" fillId="30" borderId="0" applyNumberFormat="0" applyBorder="0" applyAlignment="0" applyProtection="0"/>
    <xf numFmtId="0" fontId="26" fillId="34" borderId="0" applyNumberFormat="0" applyBorder="0" applyAlignment="0" applyProtection="0"/>
  </cellStyleXfs>
  <cellXfs count="52">
    <xf numFmtId="0" fontId="0" fillId="0" borderId="0" xfId="0"/>
    <xf numFmtId="0" fontId="6" fillId="0" borderId="0" xfId="0" applyFont="1"/>
    <xf numFmtId="0" fontId="6" fillId="0" borderId="1" xfId="0" applyFont="1" applyBorder="1"/>
    <xf numFmtId="0" fontId="8" fillId="0" borderId="2" xfId="0" applyFont="1" applyBorder="1" applyAlignment="1">
      <alignment horizontal="center" vertical="center"/>
    </xf>
    <xf numFmtId="0" fontId="10" fillId="0" borderId="0" xfId="0" applyFont="1" applyAlignment="1">
      <alignment horizontal="center" vertical="center"/>
    </xf>
    <xf numFmtId="0" fontId="12" fillId="0" borderId="0" xfId="0" applyFont="1"/>
    <xf numFmtId="0" fontId="12" fillId="0" borderId="2" xfId="0" applyFont="1" applyBorder="1" applyAlignment="1">
      <alignment horizontal="center" vertical="center"/>
    </xf>
    <xf numFmtId="0" fontId="12" fillId="0" borderId="2" xfId="0" applyFont="1" applyBorder="1" applyAlignment="1">
      <alignment horizontal="center" vertical="center" wrapText="1"/>
    </xf>
    <xf numFmtId="0" fontId="12" fillId="0" borderId="0" xfId="0" applyFont="1" applyAlignment="1">
      <alignment horizontal="center" vertical="center"/>
    </xf>
    <xf numFmtId="1" fontId="12" fillId="0" borderId="2" xfId="0" applyNumberFormat="1" applyFont="1" applyBorder="1" applyAlignment="1">
      <alignment horizontal="center" vertical="center"/>
    </xf>
    <xf numFmtId="1" fontId="12" fillId="0" borderId="4" xfId="0" applyNumberFormat="1" applyFont="1" applyBorder="1" applyAlignment="1">
      <alignment horizontal="center" vertical="center" wrapText="1"/>
    </xf>
    <xf numFmtId="10" fontId="10" fillId="0" borderId="0" xfId="1" applyNumberFormat="1" applyFont="1" applyFill="1" applyBorder="1"/>
    <xf numFmtId="0" fontId="4" fillId="0" borderId="0" xfId="0" applyFont="1"/>
    <xf numFmtId="0" fontId="4" fillId="0" borderId="0" xfId="0" applyFont="1" applyAlignment="1">
      <alignment horizontal="center"/>
    </xf>
    <xf numFmtId="0" fontId="4" fillId="2" borderId="0" xfId="0" applyFont="1" applyFill="1" applyAlignment="1">
      <alignment horizontal="center"/>
    </xf>
    <xf numFmtId="0" fontId="0" fillId="2" borderId="0" xfId="0" applyFill="1" applyAlignment="1">
      <alignment horizontal="center"/>
    </xf>
    <xf numFmtId="164" fontId="0" fillId="0" borderId="0" xfId="0" applyNumberFormat="1"/>
    <xf numFmtId="0" fontId="0" fillId="0" borderId="0" xfId="0" applyAlignment="1">
      <alignment horizontal="center"/>
    </xf>
    <xf numFmtId="0" fontId="0" fillId="0" borderId="0" xfId="0" applyAlignment="1">
      <alignment horizontal="left"/>
    </xf>
    <xf numFmtId="0" fontId="12" fillId="0" borderId="0" xfId="0" applyFont="1" applyAlignment="1">
      <alignment horizontal="center"/>
    </xf>
    <xf numFmtId="10" fontId="0" fillId="0" borderId="0" xfId="0" applyNumberFormat="1"/>
    <xf numFmtId="10" fontId="4" fillId="0" borderId="0" xfId="1" applyNumberFormat="1" applyFont="1" applyFill="1" applyBorder="1"/>
    <xf numFmtId="1" fontId="12" fillId="0" borderId="4" xfId="0" applyNumberFormat="1" applyFont="1" applyBorder="1" applyAlignment="1">
      <alignment horizontal="center" vertical="center"/>
    </xf>
    <xf numFmtId="1" fontId="12" fillId="0" borderId="15" xfId="0" applyNumberFormat="1" applyFont="1" applyBorder="1" applyAlignment="1">
      <alignment horizontal="center" vertical="center"/>
    </xf>
    <xf numFmtId="2" fontId="12" fillId="0" borderId="2" xfId="0" applyNumberFormat="1" applyFont="1" applyBorder="1" applyAlignment="1">
      <alignment horizontal="center" vertical="center" wrapText="1"/>
    </xf>
    <xf numFmtId="14" fontId="0" fillId="0" borderId="0" xfId="0" applyNumberFormat="1"/>
    <xf numFmtId="15" fontId="0" fillId="0" borderId="0" xfId="0" applyNumberFormat="1"/>
    <xf numFmtId="0" fontId="0" fillId="0" borderId="0" xfId="0" applyAlignment="1">
      <alignment wrapText="1"/>
    </xf>
    <xf numFmtId="0" fontId="2" fillId="0" borderId="0" xfId="0" applyFont="1"/>
    <xf numFmtId="16" fontId="0" fillId="0" borderId="0" xfId="0" quotePrefix="1" applyNumberFormat="1"/>
    <xf numFmtId="0" fontId="4" fillId="0" borderId="2" xfId="0" applyFont="1" applyBorder="1" applyAlignment="1">
      <alignment horizontal="center"/>
    </xf>
    <xf numFmtId="164" fontId="0" fillId="0" borderId="2" xfId="0" applyNumberFormat="1" applyBorder="1"/>
    <xf numFmtId="0" fontId="0" fillId="0" borderId="2" xfId="0" applyBorder="1" applyAlignment="1">
      <alignment horizontal="center"/>
    </xf>
    <xf numFmtId="0" fontId="0" fillId="0" borderId="2" xfId="0" applyBorder="1"/>
    <xf numFmtId="0" fontId="0" fillId="0" borderId="2" xfId="0" applyBorder="1" applyAlignment="1">
      <alignment horizontal="left"/>
    </xf>
    <xf numFmtId="0" fontId="0" fillId="0" borderId="15" xfId="0" applyBorder="1" applyAlignment="1">
      <alignment horizontal="center"/>
    </xf>
    <xf numFmtId="0" fontId="12" fillId="2" borderId="0" xfId="0" applyFont="1" applyFill="1" applyAlignment="1">
      <alignment horizontal="center"/>
    </xf>
    <xf numFmtId="1" fontId="12" fillId="3" borderId="3" xfId="0" applyNumberFormat="1" applyFont="1" applyFill="1" applyBorder="1" applyAlignment="1">
      <alignment horizontal="center"/>
    </xf>
    <xf numFmtId="1" fontId="12" fillId="3" borderId="0" xfId="0" applyNumberFormat="1" applyFont="1" applyFill="1" applyAlignment="1">
      <alignment horizontal="center"/>
    </xf>
    <xf numFmtId="1" fontId="12" fillId="3" borderId="14" xfId="0" applyNumberFormat="1" applyFont="1" applyFill="1" applyBorder="1" applyAlignment="1">
      <alignment horizontal="center"/>
    </xf>
    <xf numFmtId="0" fontId="10" fillId="0" borderId="16" xfId="0" applyFont="1" applyFill="1" applyBorder="1" applyAlignment="1">
      <alignment horizontal="center"/>
    </xf>
    <xf numFmtId="0" fontId="10" fillId="0" borderId="0" xfId="0" applyFont="1" applyFill="1" applyAlignment="1">
      <alignment horizontal="center"/>
    </xf>
    <xf numFmtId="1" fontId="10" fillId="0" borderId="3" xfId="0" applyNumberFormat="1" applyFont="1" applyFill="1" applyBorder="1" applyAlignment="1">
      <alignment horizontal="center"/>
    </xf>
    <xf numFmtId="1" fontId="10" fillId="0" borderId="0" xfId="0" applyNumberFormat="1" applyFont="1" applyFill="1" applyAlignment="1">
      <alignment horizontal="center"/>
    </xf>
    <xf numFmtId="1" fontId="10" fillId="0" borderId="14" xfId="0" applyNumberFormat="1" applyFont="1" applyFill="1" applyBorder="1" applyAlignment="1">
      <alignment horizontal="center"/>
    </xf>
    <xf numFmtId="0" fontId="10" fillId="0" borderId="3" xfId="0" applyFont="1" applyFill="1" applyBorder="1" applyAlignment="1">
      <alignment horizontal="center"/>
    </xf>
    <xf numFmtId="0" fontId="10" fillId="0" borderId="4" xfId="0" applyFont="1" applyFill="1" applyBorder="1" applyAlignment="1">
      <alignment horizontal="center"/>
    </xf>
    <xf numFmtId="0" fontId="10" fillId="0" borderId="2" xfId="0" applyFont="1" applyFill="1" applyBorder="1" applyAlignment="1">
      <alignment horizontal="center"/>
    </xf>
    <xf numFmtId="1" fontId="10" fillId="0" borderId="4" xfId="0" applyNumberFormat="1" applyFont="1" applyFill="1" applyBorder="1" applyAlignment="1">
      <alignment horizontal="center"/>
    </xf>
    <xf numFmtId="1" fontId="10" fillId="0" borderId="2" xfId="0" applyNumberFormat="1" applyFont="1" applyFill="1" applyBorder="1" applyAlignment="1">
      <alignment horizontal="center"/>
    </xf>
    <xf numFmtId="1" fontId="10" fillId="0" borderId="15" xfId="0" applyNumberFormat="1" applyFont="1" applyFill="1" applyBorder="1" applyAlignment="1">
      <alignment horizontal="center"/>
    </xf>
    <xf numFmtId="0" fontId="1" fillId="0" borderId="0" xfId="0" applyFont="1"/>
  </cellXfs>
  <cellStyles count="46">
    <cellStyle name="20% - Accent1" xfId="20" builtinId="30" customBuiltin="1"/>
    <cellStyle name="20% - Accent2" xfId="23" builtinId="34" customBuiltin="1"/>
    <cellStyle name="20% - Accent3" xfId="26" builtinId="38" customBuiltin="1"/>
    <cellStyle name="20% - Accent4" xfId="29" builtinId="42" customBuiltin="1"/>
    <cellStyle name="20% - Accent5" xfId="32" builtinId="46" customBuiltin="1"/>
    <cellStyle name="20% - Accent6" xfId="35" builtinId="50" customBuiltin="1"/>
    <cellStyle name="40% - Accent1" xfId="21" builtinId="31" customBuiltin="1"/>
    <cellStyle name="40% - Accent2" xfId="24" builtinId="35" customBuiltin="1"/>
    <cellStyle name="40% - Accent3" xfId="27" builtinId="39" customBuiltin="1"/>
    <cellStyle name="40% - Accent4" xfId="30" builtinId="43" customBuiltin="1"/>
    <cellStyle name="40% - Accent5" xfId="33" builtinId="47" customBuiltin="1"/>
    <cellStyle name="40% - Accent6" xfId="36" builtinId="51" customBuiltin="1"/>
    <cellStyle name="60% - Accent1 2" xfId="40" xr:uid="{0C43852C-115E-475F-996E-2E6B552A787A}"/>
    <cellStyle name="60% - Accent2 2" xfId="41" xr:uid="{18396898-0E43-47C8-AF3B-CE3B414DA01F}"/>
    <cellStyle name="60% - Accent3 2" xfId="42" xr:uid="{41988CE8-561A-4068-AB58-BDC32D7BC003}"/>
    <cellStyle name="60% - Accent4 2" xfId="43" xr:uid="{2C1DA9D9-C699-46CC-8F46-0AAFB6D4D2CC}"/>
    <cellStyle name="60% - Accent5 2" xfId="44" xr:uid="{B850B3EC-7518-4C4C-9AC4-406062816E07}"/>
    <cellStyle name="60% - Accent6 2" xfId="45" xr:uid="{BE985310-0348-4A0E-B58F-BB6E420F3A46}"/>
    <cellStyle name="Accent1" xfId="19" builtinId="29" customBuiltin="1"/>
    <cellStyle name="Accent2" xfId="22" builtinId="33" customBuiltin="1"/>
    <cellStyle name="Accent3" xfId="25" builtinId="37" customBuiltin="1"/>
    <cellStyle name="Accent4" xfId="28" builtinId="41" customBuiltin="1"/>
    <cellStyle name="Accent5" xfId="31" builtinId="45" customBuiltin="1"/>
    <cellStyle name="Accent6" xfId="34" builtinId="49" customBuiltin="1"/>
    <cellStyle name="Bad" xfId="10" builtinId="27" customBuiltin="1"/>
    <cellStyle name="Calculation" xfId="13" builtinId="22" customBuiltin="1"/>
    <cellStyle name="Check Cell" xfId="15" builtinId="23" customBuiltin="1"/>
    <cellStyle name="Explanatory Text" xfId="17" builtinId="53" customBuiltin="1"/>
    <cellStyle name="Good" xfId="9" builtinId="26" customBuiltin="1"/>
    <cellStyle name="Heading 1" xfId="5" builtinId="16" customBuiltin="1"/>
    <cellStyle name="Heading 2" xfId="6" builtinId="17" customBuiltin="1"/>
    <cellStyle name="Heading 3" xfId="7" builtinId="18" customBuiltin="1"/>
    <cellStyle name="Heading 4" xfId="8" builtinId="19" customBuiltin="1"/>
    <cellStyle name="Input" xfId="11" builtinId="20" customBuiltin="1"/>
    <cellStyle name="Linked Cell" xfId="14" builtinId="24" customBuiltin="1"/>
    <cellStyle name="Neutral 2" xfId="38" xr:uid="{4C4AF6F1-E759-42BD-A947-3D51191B37A0}"/>
    <cellStyle name="Normal" xfId="0" builtinId="0"/>
    <cellStyle name="Normal 2" xfId="2" xr:uid="{266EB89C-DF2D-482B-91DC-BD609FF311D0}"/>
    <cellStyle name="Normal 3" xfId="3" xr:uid="{487789B2-E6F5-48EB-A123-3C12300ABE75}"/>
    <cellStyle name="Normal 4" xfId="37" xr:uid="{8933903E-25B0-40DD-B280-C5ED34D225D7}"/>
    <cellStyle name="Note 2" xfId="39" xr:uid="{229BDDF4-8816-40CB-B8F6-A1B6E2DC4ADF}"/>
    <cellStyle name="Output" xfId="12" builtinId="21" customBuiltin="1"/>
    <cellStyle name="Percent" xfId="1" builtinId="5"/>
    <cellStyle name="Title" xfId="4" builtinId="15" customBuiltin="1"/>
    <cellStyle name="Total" xfId="18" builtinId="25" customBuiltin="1"/>
    <cellStyle name="Warning Text" xfId="16" builtinId="11" customBuiltin="1"/>
  </cellStyles>
  <dxfs count="3">
    <dxf>
      <fill>
        <patternFill>
          <bgColor theme="6"/>
        </patternFill>
      </fill>
    </dxf>
    <dxf>
      <fill>
        <patternFill>
          <bgColor theme="6"/>
        </patternFill>
      </fill>
    </dxf>
    <dxf>
      <fill>
        <patternFill>
          <bgColor theme="6"/>
        </patternFill>
      </fill>
    </dxf>
  </dxfs>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microsoft.com/office/2017/10/relationships/person" Target="persons/person.xml"/><Relationship Id="rId3" Type="http://schemas.openxmlformats.org/officeDocument/2006/relationships/worksheet" Target="worksheets/sheet3.xml"/><Relationship Id="rId7" Type="http://schemas.openxmlformats.org/officeDocument/2006/relationships/sheetMetadata" Target="metadata.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sharedStrings" Target="sharedStrings.xml"/><Relationship Id="rId5" Type="http://schemas.openxmlformats.org/officeDocument/2006/relationships/styles" Target="styles.xml"/><Relationship Id="rId10" Type="http://schemas.microsoft.com/office/2006/relationships/vbaProject" Target="vbaProject.bin"/><Relationship Id="rId4" Type="http://schemas.openxmlformats.org/officeDocument/2006/relationships/theme" Target="theme/theme1.xml"/><Relationship Id="rId9" Type="http://schemas.openxmlformats.org/officeDocument/2006/relationships/calcChain" Target="calcChain.xml"/></Relationships>
</file>

<file path=xl/persons/person.xml><?xml version="1.0" encoding="utf-8"?>
<personList xmlns="http://schemas.microsoft.com/office/spreadsheetml/2018/threadedcomments" xmlns:x="http://schemas.openxmlformats.org/spreadsheetml/2006/main"/>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theme>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F965DEB-A405-FD42-8A3F-BEDB5F4341EF}">
  <dimension ref="A1:AX64"/>
  <sheetViews>
    <sheetView tabSelected="1" zoomScale="70" zoomScaleNormal="70" workbookViewId="0">
      <pane xSplit="1" ySplit="2" topLeftCell="AF3" activePane="bottomRight" state="frozen"/>
      <selection pane="topRight"/>
      <selection pane="bottomLeft"/>
      <selection pane="bottomRight" activeCell="AI1" sqref="AI1:AM1"/>
    </sheetView>
  </sheetViews>
  <sheetFormatPr defaultColWidth="10.6640625" defaultRowHeight="14.25"/>
  <cols>
    <col min="2" max="4" width="11.33203125" hidden="1" customWidth="1"/>
    <col min="5" max="5" width="10.796875" style="17"/>
    <col min="6" max="6" width="10.3984375" customWidth="1"/>
    <col min="7" max="7" width="11" customWidth="1"/>
    <col min="8" max="8" width="10.796875" style="17"/>
    <col min="10" max="10" width="12.33203125" customWidth="1"/>
    <col min="11" max="11" width="11.796875" style="17" customWidth="1"/>
    <col min="12" max="12" width="12.53125" style="17" bestFit="1" customWidth="1"/>
    <col min="13" max="13" width="12.46484375" style="17" bestFit="1" customWidth="1"/>
    <col min="14" max="14" width="10.796875" hidden="1" customWidth="1"/>
    <col min="15" max="15" width="13.33203125" hidden="1" customWidth="1"/>
    <col min="16" max="16" width="9.6640625" customWidth="1"/>
    <col min="17" max="17" width="26.33203125" customWidth="1"/>
    <col min="18" max="18" width="24.796875" customWidth="1"/>
    <col min="19" max="19" width="17.6640625" hidden="1" customWidth="1"/>
    <col min="20" max="20" width="10.6640625" hidden="1" customWidth="1"/>
    <col min="22" max="22" width="14.6640625" style="17" customWidth="1"/>
    <col min="23" max="23" width="14.6640625" style="17" hidden="1" customWidth="1"/>
    <col min="24" max="24" width="23.53125" hidden="1" customWidth="1"/>
    <col min="25" max="25" width="12" hidden="1" customWidth="1"/>
    <col min="26" max="26" width="0" hidden="1" customWidth="1"/>
    <col min="27" max="27" width="14.1328125" style="17" customWidth="1"/>
    <col min="28" max="30" width="14.1328125" style="17" hidden="1" customWidth="1"/>
    <col min="31" max="31" width="14.33203125" customWidth="1"/>
    <col min="32" max="32" width="86.73046875" customWidth="1"/>
    <col min="34" max="34" width="10.796875" style="17"/>
    <col min="35" max="35" width="13.265625" customWidth="1"/>
    <col min="36" max="39" width="10.796875" customWidth="1"/>
    <col min="40" max="40" width="11.33203125" bestFit="1" customWidth="1"/>
    <col min="41" max="46" width="10.796875" customWidth="1"/>
    <col min="47" max="49" width="10.6640625" customWidth="1"/>
  </cols>
  <sheetData>
    <row r="1" spans="1:49" s="5" customFormat="1">
      <c r="A1" s="36" t="s">
        <v>448</v>
      </c>
      <c r="B1" s="36"/>
      <c r="C1" s="36"/>
      <c r="D1" s="36"/>
      <c r="E1" s="36"/>
      <c r="F1" s="36"/>
      <c r="G1" s="36"/>
      <c r="H1" s="36"/>
      <c r="I1" s="36"/>
      <c r="J1" s="36"/>
      <c r="K1" s="36"/>
      <c r="L1" s="36"/>
      <c r="M1" s="36"/>
      <c r="N1" s="36"/>
      <c r="O1" s="36"/>
      <c r="P1" s="36"/>
      <c r="Q1" s="36"/>
      <c r="R1" s="36"/>
      <c r="S1" s="36"/>
      <c r="T1" s="36"/>
      <c r="U1" s="36"/>
      <c r="V1" s="36"/>
      <c r="W1" s="36"/>
      <c r="X1" s="36"/>
      <c r="Y1" s="36"/>
      <c r="Z1" s="36"/>
      <c r="AA1" s="36"/>
      <c r="AB1" s="36"/>
      <c r="AC1" s="36"/>
      <c r="AD1" s="36"/>
      <c r="AE1" s="36"/>
      <c r="AF1" s="36"/>
      <c r="AG1" s="36"/>
      <c r="AH1" s="19"/>
      <c r="AI1" s="37" t="s">
        <v>450</v>
      </c>
      <c r="AJ1" s="38"/>
      <c r="AK1" s="38"/>
      <c r="AL1" s="38"/>
      <c r="AM1" s="38"/>
      <c r="AN1" s="37" t="s">
        <v>210</v>
      </c>
      <c r="AO1" s="38"/>
      <c r="AP1" s="38"/>
      <c r="AQ1" s="38"/>
      <c r="AR1" s="38"/>
      <c r="AS1" s="37" t="s">
        <v>211</v>
      </c>
      <c r="AT1" s="38"/>
      <c r="AU1" s="38"/>
      <c r="AV1" s="38"/>
      <c r="AW1" s="39"/>
    </row>
    <row r="2" spans="1:49" s="4" customFormat="1" ht="42">
      <c r="A2" s="6" t="s">
        <v>0</v>
      </c>
      <c r="B2" s="6" t="s">
        <v>1</v>
      </c>
      <c r="C2" s="3" t="s">
        <v>2</v>
      </c>
      <c r="D2" s="3" t="s">
        <v>3</v>
      </c>
      <c r="E2" s="6" t="s">
        <v>4</v>
      </c>
      <c r="F2" s="6" t="s">
        <v>5</v>
      </c>
      <c r="G2" s="6" t="s">
        <v>6</v>
      </c>
      <c r="H2" s="6" t="s">
        <v>7</v>
      </c>
      <c r="I2" s="6" t="s">
        <v>8</v>
      </c>
      <c r="J2" s="6" t="s">
        <v>167</v>
      </c>
      <c r="K2" s="6" t="s">
        <v>9</v>
      </c>
      <c r="L2" s="6" t="s">
        <v>10</v>
      </c>
      <c r="M2" s="6" t="s">
        <v>11</v>
      </c>
      <c r="N2" s="6" t="s">
        <v>12</v>
      </c>
      <c r="O2" s="6" t="s">
        <v>449</v>
      </c>
      <c r="P2" s="24" t="s">
        <v>332</v>
      </c>
      <c r="Q2" s="6" t="s">
        <v>13</v>
      </c>
      <c r="R2" s="6" t="s">
        <v>14</v>
      </c>
      <c r="S2" s="6" t="s">
        <v>15</v>
      </c>
      <c r="T2" s="7" t="s">
        <v>447</v>
      </c>
      <c r="U2" s="24" t="s">
        <v>333</v>
      </c>
      <c r="V2" s="6" t="s">
        <v>16</v>
      </c>
      <c r="W2" s="6" t="s">
        <v>17</v>
      </c>
      <c r="X2" s="6" t="s">
        <v>18</v>
      </c>
      <c r="Y2" s="7" t="s">
        <v>218</v>
      </c>
      <c r="Z2" s="6" t="s">
        <v>19</v>
      </c>
      <c r="AA2" s="6" t="s">
        <v>20</v>
      </c>
      <c r="AB2" s="6" t="s">
        <v>21</v>
      </c>
      <c r="AC2" s="6" t="s">
        <v>22</v>
      </c>
      <c r="AD2" s="7" t="s">
        <v>23</v>
      </c>
      <c r="AE2" s="6" t="s">
        <v>24</v>
      </c>
      <c r="AF2" s="7" t="s">
        <v>446</v>
      </c>
      <c r="AG2" s="6" t="s">
        <v>331</v>
      </c>
      <c r="AH2" s="8"/>
      <c r="AI2" s="22" t="s">
        <v>149</v>
      </c>
      <c r="AJ2" s="9" t="s">
        <v>150</v>
      </c>
      <c r="AK2" s="9" t="s">
        <v>151</v>
      </c>
      <c r="AL2" s="9" t="s">
        <v>152</v>
      </c>
      <c r="AM2" s="9" t="s">
        <v>153</v>
      </c>
      <c r="AN2" s="10" t="s">
        <v>149</v>
      </c>
      <c r="AO2" s="9" t="s">
        <v>150</v>
      </c>
      <c r="AP2" s="9" t="s">
        <v>151</v>
      </c>
      <c r="AQ2" s="9" t="s">
        <v>152</v>
      </c>
      <c r="AR2" s="9" t="s">
        <v>153</v>
      </c>
      <c r="AS2" s="10" t="s">
        <v>149</v>
      </c>
      <c r="AT2" s="9" t="s">
        <v>150</v>
      </c>
      <c r="AU2" s="9" t="s">
        <v>151</v>
      </c>
      <c r="AV2" s="9" t="s">
        <v>152</v>
      </c>
      <c r="AW2" s="23" t="s">
        <v>153</v>
      </c>
    </row>
    <row r="3" spans="1:49">
      <c r="A3" s="13">
        <v>1</v>
      </c>
      <c r="B3" s="16">
        <f>_xlfn.MAXIFS('Model output'!B:B,'Model output'!Z:Z,'Classification result'!$A3)</f>
        <v>0</v>
      </c>
      <c r="C3" s="16"/>
      <c r="D3" s="16"/>
      <c r="E3" s="17">
        <f>_xlfn.MAXIFS('Model output'!C:C,'Model output'!Z:Z,'Classification result'!$A3)</f>
        <v>67</v>
      </c>
      <c r="F3" s="17" t="str" cm="1">
        <f t="array" ref="F3">LEFT(IF(ISERROR(RIGHT(IF(INDEX(_xlfn._xlws.FILTER('Model output'!D:D,('Model output'!Z:Z=A3)),1)&lt;&gt;"",INDEX(_xlfn._xlws.FILTER('Model output'!D:D,('Model output'!Z:Z=A3)),1),""),LEN(IF(INDEX(_xlfn._xlws.FILTER('Model output'!D:D,('Model output'!Z:Z=A3)),1)&lt;&gt;"",INDEX(_xlfn._xlws.FILTER('Model output'!D:D,('Model output'!Z:Z=A3)),1),""))-FIND("T",IF(INDEX(_xlfn._xlws.FILTER('Model output'!D:D,('Model output'!Z:Z=A3)),1)&lt;&gt;"",INDEX(_xlfn._xlws.FILTER('Model output'!D:D,('Model output'!Z:Z=A3)),1),""),1))),"",(RIGHT(IF(INDEX(_xlfn._xlws.FILTER('Model output'!D:D,('Model output'!Z:Z=A3)),1)&lt;&gt;"",INDEX(_xlfn._xlws.FILTER('Model output'!D:D,('Model output'!Z:Z=A3)),1),""),LEN(IF(INDEX(_xlfn._xlws.FILTER('Model output'!D:D,('Model output'!Z:Z=A3)),1)&lt;&gt;"",INDEX(_xlfn._xlws.FILTER('Model output'!D:D,('Model output'!Z:Z=A3)),1),""))-FIND("T",IF(INDEX(_xlfn._xlws.FILTER('Model output'!D:D,('Model output'!Z:Z=A3)),1)&lt;&gt;"",INDEX(_xlfn._xlws.FILTER('Model output'!D:D,('Model output'!Z:Z=A3)),1)))))),2)</f>
        <v>1b</v>
      </c>
      <c r="G3" s="17" t="str" cm="1">
        <f t="array" ref="G3">IF(ISNUMBER(SEARCH("N",IF(ISNUMBER(SEARCH("present",IF(INDEX(_xlfn._xlws.FILTER('Model output'!E:E,('Model output'!Z:Z=A3)),1)="","",INDEX(_xlfn._xlws.FILTER('Model output'!E:E,('Model output'!Z:Z=A3)),1)),1)),"N1", IF(INDEX(_xlfn._xlws.FILTER('Model output'!E:E,('Model output'!Z:Z=A3)),1)="","",INDEX(_xlfn._xlws.FILTER('Model output'!E:E,('Model output'!Z:Z=A3)),1))),1)),RIGHT(IF(ISNUMBER(SEARCH("present",IF(INDEX(_xlfn._xlws.FILTER('Model output'!E:E,('Model output'!Z:Z=A3)),1)="","",INDEX(_xlfn._xlws.FILTER('Model output'!E:E,('Model output'!Z:Z=A3)),1)),1)),"N1", IF(INDEX(_xlfn._xlws.FILTER('Model output'!E:E,('Model output'!Z:Z=A3)),1)="","",INDEX(_xlfn._xlws.FILTER('Model output'!E:E,('Model output'!Z:Z=A3)),1))),LEN(IF(ISNUMBER(SEARCH("present",IF(INDEX(_xlfn._xlws.FILTER('Model output'!E:E,('Model output'!Z:Z=A3)),1)="","",INDEX(_xlfn._xlws.FILTER('Model output'!E:E,('Model output'!Z:Z=A3)),1)),1)),"N1", IF(INDEX(_xlfn._xlws.FILTER('Model output'!E:E,('Model output'!Z:Z=A3)),1)="","",INDEX(_xlfn._xlws.FILTER('Model output'!E:E,('Model output'!Z:Z=A3)),1))))-FIND("N",IF(ISNUMBER(SEARCH("present",IF(INDEX(_xlfn._xlws.FILTER('Model output'!E:E,('Model output'!Z:Z=A3)),1)="","",INDEX(_xlfn._xlws.FILTER('Model output'!E:E,('Model output'!Z:Z=A3)),1)),1)),"N1", IF(INDEX(_xlfn._xlws.FILTER('Model output'!E:E,('Model output'!Z:Z=A3)),1)="","",INDEX(_xlfn._xlws.FILTER('Model output'!E:E,('Model output'!Z:Z=A3)),1))),1)), "")</f>
        <v/>
      </c>
      <c r="H3" s="17" cm="1">
        <f t="array" ref="H3">IF(AND(SUBSTITUTE(_xlfn.TEXTJOIN("/", TRUE, _xlfn._xlws.FILTER('Model output'!F:F, 'Model output'!Z:Z=A3)),"M", "")="", K3="negative"),0,IF(K3="positive",1,0))</f>
        <v>0</v>
      </c>
      <c r="I3" t="str">
        <f t="shared" ref="I3:I37" si="0">IF(OR(J3&lt;&gt;"",AND(M3&lt;&gt;"",M3&gt;0)),"positive","")</f>
        <v/>
      </c>
      <c r="J3" t="str" cm="1">
        <f t="array" ref="J3">IF(AND(M3&gt;0, _xlfn.TEXTJOIN("; ", TRUE, _xlfn._xlws.FILTER('Model output'!G:G, 'Model output'!Z:Z=A3)) &lt;&gt;"", OR(AND(ISNUMBER(SEARCH("level", _xlfn.TEXTJOIN("; ", TRUE, _xlfn._xlws.FILTER('Model output'!G:G, 'Model output'!Z:Z=A3)),1)),OR(ISNUMBER(SEARCH(" II", _xlfn.TEXTJOIN("; ", TRUE, _xlfn._xlws.FILTER('Model output'!G:G, 'Model output'!Z:Z=A3)),1)),ISNUMBER(SEARCH("2", _xlfn.TEXTJOIN("; ", TRUE, _xlfn._xlws.FILTER('Model output'!G:G, 'Model output'!Z:Z=A3)),1)),ISNUMBER(SEARCH("two", _xlfn.TEXTJOIN("; ", TRUE, _xlfn._xlws.FILTER('Model output'!G:G, 'Model output'!Z:Z=A3)),1)),ISNUMBER(SEARCH("III", _xlfn.TEXTJOIN("; ", TRUE, _xlfn._xlws.FILTER('Model output'!G:G, 'Model output'!Z:Z=A3)),1)),ISNUMBER(SEARCH("3", _xlfn.TEXTJOIN("; ", TRUE, _xlfn._xlws.FILTER('Model output'!G:G, 'Model output'!Z:Z=A3)),1)),ISNUMBER(SEARCH("three", _xlfn.TEXTJOIN("; ", TRUE, _xlfn._xlws.FILTER('Model output'!G:G, 'Model output'!Z:Z=A3)),1)),ISNUMBER(SEARCH("IV", _xlfn.TEXTJOIN("; ", TRUE, _xlfn._xlws.FILTER('Model output'!G:G, 'Model output'!Z:Z=A3)),1)),ISNUMBER(SEARCH("4", _xlfn.TEXTJOIN("; ", TRUE, _xlfn._xlws.FILTER('Model output'!G:G, 'Model output'!Z:Z=A3)),1)),ISNUMBER(SEARCH("five", _xlfn.TEXTJOIN("; ", TRUE, _xlfn._xlws.FILTER('Model output'!G:G, 'Model output'!Z:Z=A3)),1)),ISNUMBER(SEARCH("V ", _xlfn.TEXTJOIN("; ", TRUE, _xlfn._xlws.FILTER('Model output'!G:G, 'Model output'!Z:Z=A3)),1)),ISNUMBER(SEARCH("5", _xlfn.TEXTJOIN("; ", TRUE, _xlfn._xlws.FILTER('Model output'!G:G, 'Model output'!Z:Z=A3)),1)),ISNUMBER(SEARCH("five", _xlfn.TEXTJOIN("; ", TRUE, _xlfn._xlws.FILTER('Model output'!G:G, 'Model output'!Z:Z=A3)),1)),ISNUMBER(SEARCH(" lateral", _xlfn.TEXTJOIN("; ", TRUE, _xlfn._xlws.FILTER('Model output'!G:G, 'Model output'!Z:Z=A3)),1)))),ISNUMBER(SEARCH("cervical", _xlfn.TEXTJOIN("; ", TRUE, _xlfn._xlws.FILTER('Model output'!G:G, 'Model output'!Z:Z=A3)),1)),ISNUMBER(SEARCH("jugular", _xlfn.TEXTJOIN("; ", TRUE, _xlfn._xlws.FILTER('Model output'!G:G, 'Model output'!Z:Z=A3)),1)),ISNUMBER(SEARCH("left neck", _xlfn.TEXTJOIN("; ", TRUE, _xlfn._xlws.FILTER('Model output'!G:G, 'Model output'!Z:Z=A3)),1)),ISNUMBER(SEARCH("left anterior neck", _xlfn.TEXTJOIN("; ", TRUE, _xlfn._xlws.FILTER('Model output'!G:G, 'Model output'!Z:Z=A3)),1)),ISNUMBER(SEARCH("left posterior neck", _xlfn.TEXTJOIN("; ", TRUE, _xlfn._xlws.FILTER('Model output'!G:G, 'Model output'!Z:Z=A3)),1)),ISNUMBER(SEARCH("right neck", _xlfn.TEXTJOIN("; ", TRUE, _xlfn._xlws.FILTER('Model output'!G:G, 'Model output'!Z:Z=A3)),1)),ISNUMBER(SEARCH("right anterior neck", _xlfn.TEXTJOIN("; ", TRUE, _xlfn._xlws.FILTER('Model output'!G:G, 'Model output'!Z:Z=A3)),1)),ISNUMBER(SEARCH("right posterior neck", _xlfn.TEXTJOIN("; ", TRUE, _xlfn._xlws.FILTER('Model output'!G:G, 'Model output'!Z:Z=A3)),1)))),"lateral",IF(AND(M3=0, _xlfn.TEXTJOIN("; ", TRUE, _xlfn._xlws.FILTER('Model output'!G:G, 'Model output'!Z:Z=A3))=""),"", "central"))</f>
        <v/>
      </c>
      <c r="K3" s="17" t="str" cm="1">
        <f t="array" ref="K3">IF(OR(ISNUMBER(SEARCH("lymph",_xlfn.TEXTJOIN("; ", TRUE, _xlfn._xlws.FILTER('Model output'!H:H, 'Model output'!Z:Z=A3)),1)), ISNUMBER(SEARCH("Not mentioned",_xlfn.TEXTJOIN("; ", TRUE, _xlfn._xlws.FILTER('Model output'!H:H, 'Model output'!Z:Z=A3)),1)),ISNUMBER(SEARCH("thyroid",_xlfn.TEXTJOIN("; ", TRUE, _xlfn._xlws.FILTER('Model output'!H:H, 'Model output'!Z:Z=A3)),1)),ISNUMBER(SEARCH("strap muscle",_xlfn.TEXTJOIN("; ", TRUE, _xlfn._xlws.FILTER('Model output'!H:H, 'Model output'!Z:Z=A3)),1)),ISNUMBER(SEARCH("subcutaneous soft tissues",_xlfn.TEXTJOIN("; ", TRUE, _xlfn._xlws.FILTER('Model output'!H:H, 'Model output'!Z:Z=A3)),1)),ISNUMBER(SEARCH("larynx",_xlfn.TEXTJOIN("; ", TRUE, _xlfn._xlws.FILTER('Model output'!H:H, 'Model output'!Z:Z=A3)),1)),ISNUMBER(SEARCH("trachea",_xlfn.TEXTJOIN("; ", TRUE, _xlfn._xlws.FILTER('Model output'!H:H, 'Model output'!Z:Z=A3)),1)),ISNUMBER(SEARCH("esophagus",_xlfn.TEXTJOIN("; ", TRUE, _xlfn._xlws.FILTER('Model output'!H:H, 'Model output'!Z:Z=A3)),1)),ISNUMBER(SEARCH("recurrent laryngeal nerve",_xlfn.TEXTJOIN("; ", TRUE, _xlfn._xlws.FILTER('Model output'!H:H, 'Model output'!Z:Z=A3)),1)),ISNUMBER(SEARCH("RLN",_xlfn.TEXTJOIN("; ", TRUE, _xlfn._xlws.FILTER('Model output'!H:H, 'Model output'!Z:Z=A3)),1)),_xlfn.TEXTJOIN("; ", TRUE, _xlfn._xlws.FILTER('Model output'!H:H, 'Model output'!Z:Z=A3))=""),"negative","positive")</f>
        <v>negative</v>
      </c>
      <c r="L3" s="17">
        <f>IF(IFERROR(INDEX('Model output'!I:I, MATCH(A3, 'Model output'!Z:Z, 0)), "") &lt; M3, "", IFERROR(INDEX('Model output'!I:I, MATCH(A3, 'Model output'!Z:Z, 0)), ""))</f>
        <v>0</v>
      </c>
      <c r="M3" s="17">
        <f>IFERROR(INDEX('Model output'!J:J, MATCH(A3, 'Model output'!Z:Z, 0)), "")</f>
        <v>0</v>
      </c>
      <c r="N3" s="18" t="str" cm="1">
        <f t="array" ref="N3">ReplaceTo(ReplaceAnd(SUBSTITUTE(SUBSTITUTE(_xlfn.TEXTJOIN("; ", TRUE, _xlfn._xlws.FILTER('Model output'!K:K, 'Model output'!Z:Z=A3)), " ", ""), ",", ";")))</f>
        <v/>
      </c>
      <c r="O3" t="str" cm="1">
        <f t="array" ref="O3">IF(LEFT(IF(RIGHT(SUBSTITUTE(FilterWithUnits(N3)&amp; ";" &amp;FilterStringsWithNumericAnd(N3) &amp; ";" &amp; FilterStringsWithX(N3), ";;", ";"),1)=";",LEFT(SUBSTITUTE(FilterWithUnits(N3)&amp; ";" &amp;FilterStringsWithNumericAnd(N3) &amp; ";" &amp; FilterStringsWithX(N3), ";;", ";"),LEN(SUBSTITUTE(FilterWithUnits(N3)&amp; ";" &amp;FilterStringsWithNumericAnd(N3) &amp; ";" &amp; FilterStringsWithX(N3), ";;", ";"))-1),SUBSTITUTE(FilterWithUnits(N3)&amp; ";" &amp;FilterStringsWithNumericAnd(N3) &amp; ";" &amp; FilterStringsWithX(N3), ";;", ";")),1)=";",RIGHT(IF(RIGHT(SUBSTITUTE(FilterWithUnits(N3)&amp; ";" &amp;FilterStringsWithNumericAnd(N3) &amp; ";" &amp; FilterStringsWithX(N3), ";;", ";"),1)=";",LEFT(SUBSTITUTE(FilterWithUnits(N3)&amp; ";" &amp;FilterStringsWithNumericAnd(N3) &amp; ";" &amp; FilterStringsWithX(N3), ";;", ";"),LEN(SUBSTITUTE(FilterWithUnits(N3)&amp; ";" &amp;FilterStringsWithNumericAnd(N3) &amp; ";" &amp; FilterStringsWithX(N3), ";;", ";"))-1),SUBSTITUTE(FilterWithUnits(N3)&amp; ";" &amp;FilterStringsWithNumericAnd(N3) &amp; ";" &amp; FilterStringsWithX(N3), ";;", ";")),LEN(IF(RIGHT(SUBSTITUTE(FilterWithUnits(N3)&amp; ";" &amp;FilterStringsWithNumericAnd(N3) &amp; ";" &amp; FilterStringsWithX(N3), ";;", ";"),1)=";",LEFT(SUBSTITUTE(FilterWithUnits(N3)&amp; ";" &amp;FilterStringsWithNumericAnd(N3) &amp; ";" &amp; FilterStringsWithX(N3), ";;", ";"),LEN(SUBSTITUTE(FilterWithUnits(N3)&amp; ";" &amp;FilterStringsWithNumericAnd(N3) &amp; ";" &amp; FilterStringsWithX(N3), ";;", ";"))-1),SUBSTITUTE(FilterWithUnits(N3)&amp; ";" &amp;FilterStringsWithNumericAnd(N3) &amp; ";" &amp; FilterStringsWithX(N3), ";;", ";")))-1),IF(RIGHT(SUBSTITUTE(FilterWithUnits(N3)&amp; ";" &amp;FilterStringsWithNumericAnd(N3) &amp; ";" &amp; FilterStringsWithX(N3), ";;", ";"),1)=";",LEFT(SUBSTITUTE(FilterWithUnits(N3)&amp; ";" &amp;FilterStringsWithNumericAnd(N3) &amp; ";" &amp; FilterStringsWithX(N3), ";;", ";"),LEN(SUBSTITUTE(FilterWithUnits(N3)&amp; ";" &amp;FilterStringsWithNumericAnd(N3) &amp; ";" &amp; FilterStringsWithX(N3), ";;", ";"))-1),SUBSTITUTE(FilterWithUnits(N3)&amp; ";" &amp;FilterStringsWithNumericAnd(N3) &amp; ";" &amp; FilterStringsWithX(N3), ";;", ";")))</f>
        <v/>
      </c>
      <c r="P3" t="str" cm="1">
        <f t="array" ref="P3">IF(MaxSize((SplitDimensions(O3)))=0, "", MaxSize((SplitDimensions(O3))))</f>
        <v/>
      </c>
      <c r="Q3" t="str" cm="1">
        <f t="array" ref="Q3">IF(ISERROR(INDEX(_xlfn._xlws.FILTER('Model output'!L:L, ('Model output'!Z:Z=A3)*('Model output'!L:L&lt;&gt;"")), 1)), " ", LOWER(INDEX(_xlfn._xlws.FILTER('Model output'!L:L, ('Model output'!Z:Z=A3)*('Model output'!L:L&lt;&gt;"")), 1)))</f>
        <v>follicular adenoma</v>
      </c>
      <c r="R3" t="str" cm="1">
        <f t="array" ref="R3">Q3 &amp; " " &amp;IF(ISERROR(INDEX(_xlfn._xlws.FILTER('Model output'!M:M, ('Model output'!Z:Z=A3)*('Model output'!M:M&lt;&gt;"")), 1)), " ", LOWER(INDEX(_xlfn._xlws.FILTER('Model output'!M:M, ('Model output'!Z:Z=A3)*('Model output'!M:M&lt;&gt;"")), 1)))</f>
        <v>follicular adenoma papillary carcinoma, infiltrative follicular subtype</v>
      </c>
      <c r="S3" t="str" cm="1">
        <f t="array" ref="S3">IF(OR(ISNUMBER(SEARCH("ly",SUBSTITUTE(INDEX(_xlfn._xlws.FILTER('Model output'!N:N,('Model output'!Z:Z=A3)*('Model output'!N:N&lt;&gt;"")),1)," ",""),1)), ISNUMBER(SEARCH("pole",SUBSTITUTE(INDEX(_xlfn._xlws.FILTER('Model output'!N:N,('Model output'!Z:Z=A3)*('Model output'!N:N&lt;&gt;"")),1)," ",""),1))),"",SUBSTITUTE(INDEX(_xlfn._xlws.FILTER('Model output'!N:N,('Model output'!Z:Z=A3)*('Model output'!N:N&lt;&gt;"")),1)," ",""))</f>
        <v>13mm</v>
      </c>
      <c r="T3" t="str" cm="1">
        <f t="array" ref="T3">IF(LEFT(IF(RIGHT(SUBSTITUTE(FilterWithUnits(S3)&amp; ";" &amp;FilterStringsWithNumericAnd(S3) &amp; ";" &amp; FilterStringsWithX(S3), ";;", ";"),1)=";",LEFT(SUBSTITUTE(FilterWithUnits(S3)&amp; ";" &amp;FilterStringsWithNumericAnd(S3) &amp; ";" &amp; FilterStringsWithX(S3), ";;", ";"),LEN(SUBSTITUTE(FilterWithUnits(S3)&amp; ";" &amp;FilterStringsWithNumericAnd(S3) &amp; ";" &amp; FilterStringsWithX(S3), ";;", ";"))-1),SUBSTITUTE(FilterWithUnits(S3)&amp; ";" &amp;FilterStringsWithNumericAnd(S3) &amp; ";" &amp; FilterStringsWithX(S3), ";;", ";")),1)=";",RIGHT(IF(RIGHT(SUBSTITUTE(FilterWithUnits(S3)&amp; ";" &amp;FilterStringsWithNumericAnd(S3) &amp; ";" &amp; FilterStringsWithX(S3), ";;", ";"),1)=";",LEFT(SUBSTITUTE(FilterWithUnits(S3)&amp; ";" &amp;FilterStringsWithNumericAnd(S3) &amp; ";" &amp; FilterStringsWithX(S3), ";;", ";"),LEN(SUBSTITUTE(FilterWithUnits(S3)&amp; ";" &amp;FilterStringsWithNumericAnd(S3) &amp; ";" &amp; FilterStringsWithX(S3), ";;", ";"))-1),SUBSTITUTE(FilterWithUnits(S3)&amp; ";" &amp;FilterStringsWithNumericAnd(S3) &amp; ";" &amp; FilterStringsWithX(S3), ";;", ";")),LEN(IF(RIGHT(SUBSTITUTE(FilterWithUnits(S3)&amp; ";" &amp;FilterStringsWithNumericAnd(S3) &amp; ";" &amp; FilterStringsWithX(S3), ";;", ";"),1)=";",LEFT(SUBSTITUTE(FilterWithUnits(S3)&amp; ";" &amp;FilterStringsWithNumericAnd(S3) &amp; ";" &amp; FilterStringsWithX(S3), ";;", ";"),LEN(SUBSTITUTE(FilterWithUnits(S3)&amp; ";" &amp;FilterStringsWithNumericAnd(S3) &amp; ";" &amp; FilterStringsWithX(S3), ";;", ";"))-1),SUBSTITUTE(FilterWithUnits(S3)&amp; ";" &amp;FilterStringsWithNumericAnd(S3) &amp; ";" &amp; FilterStringsWithX(S3), ";;", ";")))-1),IF(RIGHT(SUBSTITUTE(FilterWithUnits(S3)&amp; ";" &amp;FilterStringsWithNumericAnd(S3) &amp; ";" &amp; FilterStringsWithX(S3), ";;", ";"),1)=";",LEFT(SUBSTITUTE(FilterWithUnits(S3)&amp; ";" &amp;FilterStringsWithNumericAnd(S3) &amp; ";" &amp; FilterStringsWithX(S3), ";;", ";"),LEN(SUBSTITUTE(FilterWithUnits(S3)&amp; ";" &amp;FilterStringsWithNumericAnd(S3) &amp; ";" &amp; FilterStringsWithX(S3), ";;", ";"))-1),SUBSTITUTE(FilterWithUnits(S3)&amp; ";" &amp;FilterStringsWithNumericAnd(S3) &amp; ";" &amp; FilterStringsWithX(S3), ";;", ";")))</f>
        <v>13mm</v>
      </c>
      <c r="U3" cm="1">
        <f t="array" ref="U3">IF(MaxSize((SplitDimensions(T3)))=0, "", MaxSize((SplitDimensions(T3))))</f>
        <v>1.3</v>
      </c>
      <c r="V3" s="17" t="str" cm="1">
        <f t="array" ref="V3">IF(ISERROR(INDEX(_xlfn._xlws.FILTER('Model output'!P:P,('Model output'!Z:Z=A3)*('Model output'!P:P&lt;&gt;"")),1)),"negative",IF(OR(ISNUMBER(SEARCH("foc",INDEX(_xlfn._xlws.FILTER('Model output'!P:P,('Model output'!Z:Z=A3)*('Model output'!P:P&lt;&gt;"")),1),1)),ISNUMBER(SEARCH("extensive",INDEX(_xlfn._xlws.FILTER('Model output'!P:P,('Model output'!Z:Z=A3)*('Model output'!P:P&lt;&gt;"")),1),1)),ISNUMBER(SEARCH("present",INDEX(_xlfn._xlws.FILTER('Model output'!P:P,('Model output'!Z:Z=A3)*('Model output'!P:P&lt;&gt;"")),1),1)),ISNUMBER(SEARCH("yes",INDEX(_xlfn._xlws.FILTER('Model output'!P:P,('Model output'!Z:Z=A3)*('Model output'!P:P&lt;&gt;"")),1),1))),"positive","negative"))</f>
        <v>negative</v>
      </c>
      <c r="X3" t="str" cm="1">
        <f t="array" ref="X3">IF(ISNUMBER(SEARCH("4",INDEX(_xlfn._xlws.FILTER('Model output'!P:P,('Model output'!Z:Z=A3)*('Model output'!P:P&lt;&gt;"")),1),1)),INDEX(_xlfn._xlws.FILTER('Model output'!P:P,('Model output'!Z:Z=A3)*('Model output'!P:P&lt;&gt;"")),1),"") &amp; _xlfn.TEXTJOIN("",TRUE,_xlfn._xlws.FILTER('Model output'!Q:Q,'Model output'!Z:Z=A3))</f>
        <v>Not mentioned</v>
      </c>
      <c r="Y3" t="str">
        <f>IF(V3="negative","no",IF(OR(ISNUMBER(SEARCH("&gt; 4",X3,1)),ISNUMBER(SEARCH("&gt;4",X3,1)),ISNUMBER(SEARCH("4 or more",X3,1)),ISNUMBER(SEARCH("extensive",X3,1))),"extensive","minimal"))</f>
        <v>no</v>
      </c>
      <c r="Z3" t="str" cm="1">
        <f t="array" ref="Z3">IF(OR(ISNUMBER(SEARCH("focal",_xlfn.TEXTJOIN("; ",TRUE,_xlfn._xlws.FILTER('Model output'!R:R,'Model output'!Z:Z=A3)),1)),ISNUMBER(SEARCH("present",_xlfn.TEXTJOIN("; ",TRUE,_xlfn._xlws.FILTER('Model output'!R:R,'Model output'!Z:Z=A3)),1))),"positive",IF(_xlfn.TEXTJOIN("; ",TRUE,_xlfn._xlws.FILTER('Model output'!R:R,'Model output'!Z:Z=A3))="","negative",IF(OR(ISNUMBER(SEARCH("no",_xlfn.TEXTJOIN("; ",TRUE,_xlfn._xlws.FILTER('Model output'!R:R,'Model output'!Z:Z=A3)),1)),ISNUMBER(SEARCH("absent",_xlfn.TEXTJOIN("; ",TRUE,_xlfn._xlws.FILTER('Model output'!R:R,'Model output'!Z:Z=A3)),1))),"negative","positive")))</f>
        <v>positive</v>
      </c>
      <c r="AA3" s="17" t="str">
        <f t="shared" ref="AA3:AA22" si="1">IF(OR(ISNUMBER(SEARCH("soft tissue", AF3)), ISNUMBER(SEARCH("adipose tissue", AF3)),ISNUMBER(SEARCH("muscle", AF3)), ISNUMBER(SEARCH("microscopic", AF3)), ISNUMBER(SEARCH("minimal", AF3)), ISNUMBER(SEARCH("surrounding fat", AF3)), ISNUMBER(SEARCH("present", AF3)), ISNUMBER(SEARCH("yes", AF3))), "positive", "negative")</f>
        <v>negative</v>
      </c>
      <c r="AE3" s="17" t="str">
        <f>IF(OR(ISNUMBER(SEARCH("subcutaneous soft tissues", AF3)),ISNUMBER(SEARCH("strap muscle", AF3)), ISNUMBER(SEARCH("larynx", AF3)),ISNUMBER(SEARCH("trachea", AF3)),ISNUMBER(SEARCH("esophagus", AF3)), ISNUMBER(SEARCH("recurrent laryngeal nerve", AF3)), ISNUMBER(SEARCH("RLN", AF3))), "positive", "negative")</f>
        <v>negative</v>
      </c>
      <c r="AF3" t="str" cm="1">
        <f t="array" ref="AF3">_xlfn.TEXTJOIN("; ",TRUE,_xlfn._xlws.FILTER('Model output'!S:S,'Model output'!Z:Z=A3))</f>
        <v>Not identified; Not mentioned</v>
      </c>
      <c r="AG3" s="17" t="str" cm="1">
        <f t="array" ref="AG3">IF(OR(ISNUMBER(SEARCH("uninvolved",_xlfn.TEXTJOIN("; ",TRUE,_xlfn._xlws.FILTER('Model output'!V:V,'Model output'!Z:Z=A3)),1)),ISNUMBER(SEARCH("clear",_xlfn.TEXTJOIN("; ",TRUE,_xlfn._xlws.FILTER('Model output'!V:V,'Model output'!Z:Z=A3)),1)),ISNUMBER(SEARCH("not mentioned",_xlfn.TEXTJOIN("; ",TRUE,_xlfn._xlws.FILTER('Model output'!V:V,'Model output'!Z:Z=A3)),1))),"negative","positive")</f>
        <v>negative</v>
      </c>
      <c r="AI3" s="40" t="str">
        <f>IF(OR(ISNUMBER(SEARCH("non-invasive follicular",Q3,1)),ISNUMBER(SEARCH("non-invasive follicular",R3,1))),"NIFTP", IF(OR(K3="positive",AE3="positive",AND(OR(ISNUMBER(SEARCH("follicular", Q3)),ISNUMBER(SEARCH("FTC", Q3))),Y3="extensive"),AND(I3="positive",ISNUMBER(P3),P3&gt;3),AL3=1),"high",IF(OR(ISNUMBER(SEARCH("positive",AA3,1)),ISNUMBER(SEARCH("tall",R3,1)),ISNUMBER(SEARCH("hobnail",R3,1)),ISNUMBER(SEARCH("cribriform",R3,1)),ISNUMBER(SEARCH("diffuse",R3,1)),ISNUMBER(SEARCH("columnar",R3,1)),ISNUMBER(SEARCH("solid",R3,1)),ISNUMBER(SEARCH("tall",Q3,1)),ISNUMBER(SEARCH("hobnail",Q3,1)),ISNUMBER(SEARCH("cribriform",Q3,1)),ISNUMBER(SEARCH("diffuse",Q3,1)),ISNUMBER(SEARCH("columnar",Q3,1)),ISNUMBER(SEARCH("solid",Q3,1)),AND(OR(ISNUMBER(SEARCH("papillary carcinoma",Q3,1)),ISNUMBER(SEARCH("papillary microcarcinoma",Q3,1))),V3="positive"),,AND(AND(ISNUMBER(M3),M3&gt;=5),P3=""),AND(AND(ISNUMBER(M3),M3&gt;=5),AND(ISNUMBER(P3),P3&gt;=1)),J3="lateral"),"intermediate","low")))</f>
        <v>low</v>
      </c>
      <c r="AJ3" s="41" t="str">
        <f t="shared" ref="AJ3:AJ5" si="2">IF(OR(ISNUMBER(SEARCH("non-invasive follicular",Q3)),ISNUMBER(SEARCH("papillary-like nuclear features",Q3)),ISNUMBER(SEARCH("non-invasive follicular",R3)),ISNUMBER(SEARCH("papillary-like nuclear features",R3))),"NIFTP", IF(OR(F3="4b",AND(AE3="positive",OR(ISNUMBER(SEARCH("prevertebral",AF3)),ISNUMBER(SEARCH("fascia",AF3)),ISNUMBER(SEARCH("carotid artery",AF3)),ISNUMBER(SEARCH("mediastinal",AF3))))),"4b",IF(OR(F3="4a",AND(AE3="positive",OR(ISNUMBER(SEARCH("soft tissue",AF3)),ISNUMBER(SEARCH("larynx",AF3)),ISNUMBER(SEARCH("trachea",AF3)),ISNUMBER(SEARCH("esophagus",AF3)),ISNUMBER(SEARCH("recurrent laryngeal nerve",AF3)),ISNUMBER(SEARCH("RLN",AF3))))),"4a", IF(OR(F3="3b", AE3="positive",ISNUMBER(SEARCH("strap",AF3)),ISNUMBER(SEARCH("sternothyroid",AF3)),ISNUMBER(SEARCH("sternohyoid",AF3)),ISNUMBER(SEARCH("thyrohyoid",AF3)),ISNUMBER(SEARCH("omohyoid",AF3))),"3b",IF(OR(F3="3a", AND(U3&lt;&gt;"",U3&gt;4)),"3a",IF(AND(U3&lt;&gt;"", U3&lt;=4,U3&gt;2),"2",IF(AND(U3&lt;&gt;"",U3&lt;=2,U3&gt;1),"1b",IF(AND(U3&lt;&gt;"",U3&lt;=1),"1a","1a"))))))))</f>
        <v>1b</v>
      </c>
      <c r="AK3" s="41" t="str">
        <f t="shared" ref="AK3:AK37" si="3">IF(OR(ISNUMBER(SEARCH("non-invasive follicular",Q3,1)),ISNUMBER(SEARCH("non-invasive follicular",R3,1))),"NIFTP",IF(AND(M3&gt;0,I3="positive",J3="central"),"1a",IF(AND(M3&gt;0,I3="positive",J3="lateral"),"1b",IF(AND(M3=0,L3=0),"x",0))))</f>
        <v>x</v>
      </c>
      <c r="AL3" s="41">
        <f t="shared" ref="AL3:AL37" si="4">IF(OR(ISNUMBER(SEARCH("non-invasive follicular",Q3,1)),ISNUMBER(SEARCH("non-invasive follicular",R3,1))),"NIFTP",IF(K3="unknown","x",IF(K3="negative",0,1)))</f>
        <v>0</v>
      </c>
      <c r="AM3" s="41" t="str">
        <f t="shared" ref="AM3:AM37" si="5">IF(OR(ISNUMBER(SEARCH("non-invasive follicular",Q3,1)),ISNUMBER(SEARCH("non-invasive follicular",R3,1))),"NIFTP",IF(AND(E3&lt;55,AL3=0),"I",IF(AND(E3&lt;55,AL3=1),"II",IF(AL3=1,"IVB",IF(AND(AJ3="4b",AL3=0),"IVA",IF(AND(AJ3="4a",AL3=0),"III",IF(AND(OR(AJ3="3a",AJ3="3b"),AL3=0),"II",IF(AND(AJ3="2",OR(AK3="1",AK3="1a",AK3="1b"),AL3=0),"II",IF(AND(OR(AJ3="1a",AJ3="1b",AJ3="1",AJ3="1 "),OR(AK3="1",AK3="1a",AK3="1b"),AL3=0),"II","I")))))))))</f>
        <v>I</v>
      </c>
      <c r="AN3" s="42" t="s">
        <v>166</v>
      </c>
      <c r="AO3" s="43" t="s">
        <v>203</v>
      </c>
      <c r="AP3" s="43" t="s">
        <v>204</v>
      </c>
      <c r="AQ3" s="43">
        <v>0</v>
      </c>
      <c r="AR3" s="43" t="s">
        <v>31</v>
      </c>
      <c r="AS3" s="42">
        <f t="shared" ref="AS3:AS37" si="6">IF(AN3=AI3,1,0)</f>
        <v>1</v>
      </c>
      <c r="AT3" s="43">
        <f t="shared" ref="AT3:AT37" si="7">IF(AO3=AJ3,1,0)</f>
        <v>1</v>
      </c>
      <c r="AU3" s="43">
        <f t="shared" ref="AU3:AU37" si="8">IF(AK3=AP3,1,IF(OR(AND(AP3="x",AK3=0),AND(AK3="x",AP3=0)),1,0))</f>
        <v>1</v>
      </c>
      <c r="AV3" s="43">
        <f t="shared" ref="AV3:AV37" si="9">IF(AQ3=AL3,1,0)</f>
        <v>1</v>
      </c>
      <c r="AW3" s="44">
        <f t="shared" ref="AW3:AW37" si="10">IF(AR3=AM3,1,0)</f>
        <v>1</v>
      </c>
    </row>
    <row r="4" spans="1:49">
      <c r="A4" s="13">
        <v>2</v>
      </c>
      <c r="B4" s="16">
        <f>_xlfn.MAXIFS('Model output'!B:B,'Model output'!Z:Z,'Classification result'!$A4)</f>
        <v>0</v>
      </c>
      <c r="C4" s="16"/>
      <c r="D4" s="16"/>
      <c r="E4" s="17">
        <f>_xlfn.MAXIFS('Model output'!C:C,'Model output'!Z:Z,'Classification result'!$A4)</f>
        <v>39</v>
      </c>
      <c r="F4" s="17" t="str" cm="1">
        <f t="array" ref="F4">LEFT(IF(ISERROR(RIGHT(IF(INDEX(_xlfn._xlws.FILTER('Model output'!D:D,('Model output'!Z:Z=A4)),1)&lt;&gt;"",INDEX(_xlfn._xlws.FILTER('Model output'!D:D,('Model output'!Z:Z=A4)),1),""),LEN(IF(INDEX(_xlfn._xlws.FILTER('Model output'!D:D,('Model output'!Z:Z=A4)),1)&lt;&gt;"",INDEX(_xlfn._xlws.FILTER('Model output'!D:D,('Model output'!Z:Z=A4)),1),""))-FIND("T",IF(INDEX(_xlfn._xlws.FILTER('Model output'!D:D,('Model output'!Z:Z=A4)),1)&lt;&gt;"",INDEX(_xlfn._xlws.FILTER('Model output'!D:D,('Model output'!Z:Z=A4)),1),""),1))),"",(RIGHT(IF(INDEX(_xlfn._xlws.FILTER('Model output'!D:D,('Model output'!Z:Z=A4)),1)&lt;&gt;"",INDEX(_xlfn._xlws.FILTER('Model output'!D:D,('Model output'!Z:Z=A4)),1),""),LEN(IF(INDEX(_xlfn._xlws.FILTER('Model output'!D:D,('Model output'!Z:Z=A4)),1)&lt;&gt;"",INDEX(_xlfn._xlws.FILTER('Model output'!D:D,('Model output'!Z:Z=A4)),1),""))-FIND("T",IF(INDEX(_xlfn._xlws.FILTER('Model output'!D:D,('Model output'!Z:Z=A4)),1)&lt;&gt;"",INDEX(_xlfn._xlws.FILTER('Model output'!D:D,('Model output'!Z:Z=A4)),1)))))),2)</f>
        <v>2</v>
      </c>
      <c r="G4" s="17" t="str" cm="1">
        <f t="array" ref="G4">IF(ISNUMBER(SEARCH("N",IF(ISNUMBER(SEARCH("present",IF(INDEX(_xlfn._xlws.FILTER('Model output'!E:E,('Model output'!Z:Z=A4)),1)="","",INDEX(_xlfn._xlws.FILTER('Model output'!E:E,('Model output'!Z:Z=A4)),1)),1)),"N1", IF(INDEX(_xlfn._xlws.FILTER('Model output'!E:E,('Model output'!Z:Z=A4)),1)="","",INDEX(_xlfn._xlws.FILTER('Model output'!E:E,('Model output'!Z:Z=A4)),1))),1)),RIGHT(IF(ISNUMBER(SEARCH("present",IF(INDEX(_xlfn._xlws.FILTER('Model output'!E:E,('Model output'!Z:Z=A4)),1)="","",INDEX(_xlfn._xlws.FILTER('Model output'!E:E,('Model output'!Z:Z=A4)),1)),1)),"N1", IF(INDEX(_xlfn._xlws.FILTER('Model output'!E:E,('Model output'!Z:Z=A4)),1)="","",INDEX(_xlfn._xlws.FILTER('Model output'!E:E,('Model output'!Z:Z=A4)),1))),LEN(IF(ISNUMBER(SEARCH("present",IF(INDEX(_xlfn._xlws.FILTER('Model output'!E:E,('Model output'!Z:Z=A4)),1)="","",INDEX(_xlfn._xlws.FILTER('Model output'!E:E,('Model output'!Z:Z=A4)),1)),1)),"N1", IF(INDEX(_xlfn._xlws.FILTER('Model output'!E:E,('Model output'!Z:Z=A4)),1)="","",INDEX(_xlfn._xlws.FILTER('Model output'!E:E,('Model output'!Z:Z=A4)),1))))-FIND("N",IF(ISNUMBER(SEARCH("present",IF(INDEX(_xlfn._xlws.FILTER('Model output'!E:E,('Model output'!Z:Z=A4)),1)="","",INDEX(_xlfn._xlws.FILTER('Model output'!E:E,('Model output'!Z:Z=A4)),1)),1)),"N1", IF(INDEX(_xlfn._xlws.FILTER('Model output'!E:E,('Model output'!Z:Z=A4)),1)="","",INDEX(_xlfn._xlws.FILTER('Model output'!E:E,('Model output'!Z:Z=A4)),1))),1)), "")</f>
        <v/>
      </c>
      <c r="H4" s="17" cm="1">
        <f t="array" ref="H4">IF(AND(SUBSTITUTE(_xlfn.TEXTJOIN("/", TRUE, _xlfn._xlws.FILTER('Model output'!F:F, 'Model output'!Z:Z=A4)),"M", "")="", K4="negative"),0,IF(K4="positive",1,0))</f>
        <v>0</v>
      </c>
      <c r="I4" t="str">
        <f t="shared" si="0"/>
        <v/>
      </c>
      <c r="J4" t="str" cm="1">
        <f t="array" ref="J4">IF(AND(M4&gt;0, _xlfn.TEXTJOIN("; ", TRUE, _xlfn._xlws.FILTER('Model output'!G:G, 'Model output'!Z:Z=A4)) &lt;&gt;"", OR(AND(ISNUMBER(SEARCH("level", _xlfn.TEXTJOIN("; ", TRUE, _xlfn._xlws.FILTER('Model output'!G:G, 'Model output'!Z:Z=A4)),1)),OR(ISNUMBER(SEARCH(" II", _xlfn.TEXTJOIN("; ", TRUE, _xlfn._xlws.FILTER('Model output'!G:G, 'Model output'!Z:Z=A4)),1)),ISNUMBER(SEARCH("2", _xlfn.TEXTJOIN("; ", TRUE, _xlfn._xlws.FILTER('Model output'!G:G, 'Model output'!Z:Z=A4)),1)),ISNUMBER(SEARCH("two", _xlfn.TEXTJOIN("; ", TRUE, _xlfn._xlws.FILTER('Model output'!G:G, 'Model output'!Z:Z=A4)),1)),ISNUMBER(SEARCH("III", _xlfn.TEXTJOIN("; ", TRUE, _xlfn._xlws.FILTER('Model output'!G:G, 'Model output'!Z:Z=A4)),1)),ISNUMBER(SEARCH("3", _xlfn.TEXTJOIN("; ", TRUE, _xlfn._xlws.FILTER('Model output'!G:G, 'Model output'!Z:Z=A4)),1)),ISNUMBER(SEARCH("three", _xlfn.TEXTJOIN("; ", TRUE, _xlfn._xlws.FILTER('Model output'!G:G, 'Model output'!Z:Z=A4)),1)),ISNUMBER(SEARCH("IV", _xlfn.TEXTJOIN("; ", TRUE, _xlfn._xlws.FILTER('Model output'!G:G, 'Model output'!Z:Z=A4)),1)),ISNUMBER(SEARCH("4", _xlfn.TEXTJOIN("; ", TRUE, _xlfn._xlws.FILTER('Model output'!G:G, 'Model output'!Z:Z=A4)),1)),ISNUMBER(SEARCH("five", _xlfn.TEXTJOIN("; ", TRUE, _xlfn._xlws.FILTER('Model output'!G:G, 'Model output'!Z:Z=A4)),1)),ISNUMBER(SEARCH("V ", _xlfn.TEXTJOIN("; ", TRUE, _xlfn._xlws.FILTER('Model output'!G:G, 'Model output'!Z:Z=A4)),1)),ISNUMBER(SEARCH("5", _xlfn.TEXTJOIN("; ", TRUE, _xlfn._xlws.FILTER('Model output'!G:G, 'Model output'!Z:Z=A4)),1)),ISNUMBER(SEARCH("five", _xlfn.TEXTJOIN("; ", TRUE, _xlfn._xlws.FILTER('Model output'!G:G, 'Model output'!Z:Z=A4)),1)),ISNUMBER(SEARCH(" lateral", _xlfn.TEXTJOIN("; ", TRUE, _xlfn._xlws.FILTER('Model output'!G:G, 'Model output'!Z:Z=A4)),1)))),ISNUMBER(SEARCH("cervical", _xlfn.TEXTJOIN("; ", TRUE, _xlfn._xlws.FILTER('Model output'!G:G, 'Model output'!Z:Z=A4)),1)),ISNUMBER(SEARCH("jugular", _xlfn.TEXTJOIN("; ", TRUE, _xlfn._xlws.FILTER('Model output'!G:G, 'Model output'!Z:Z=A4)),1)),ISNUMBER(SEARCH("left neck", _xlfn.TEXTJOIN("; ", TRUE, _xlfn._xlws.FILTER('Model output'!G:G, 'Model output'!Z:Z=A4)),1)),ISNUMBER(SEARCH("left anterior neck", _xlfn.TEXTJOIN("; ", TRUE, _xlfn._xlws.FILTER('Model output'!G:G, 'Model output'!Z:Z=A4)),1)),ISNUMBER(SEARCH("left posterior neck", _xlfn.TEXTJOIN("; ", TRUE, _xlfn._xlws.FILTER('Model output'!G:G, 'Model output'!Z:Z=A4)),1)),ISNUMBER(SEARCH("right neck", _xlfn.TEXTJOIN("; ", TRUE, _xlfn._xlws.FILTER('Model output'!G:G, 'Model output'!Z:Z=A4)),1)),ISNUMBER(SEARCH("right anterior neck", _xlfn.TEXTJOIN("; ", TRUE, _xlfn._xlws.FILTER('Model output'!G:G, 'Model output'!Z:Z=A4)),1)),ISNUMBER(SEARCH("right posterior neck", _xlfn.TEXTJOIN("; ", TRUE, _xlfn._xlws.FILTER('Model output'!G:G, 'Model output'!Z:Z=A4)),1)))),"lateral",IF(AND(M4=0, _xlfn.TEXTJOIN("; ", TRUE, _xlfn._xlws.FILTER('Model output'!G:G, 'Model output'!Z:Z=A4))=""),"", "central"))</f>
        <v/>
      </c>
      <c r="K4" s="17" t="str" cm="1">
        <f t="array" ref="K4">IF(OR(ISNUMBER(SEARCH("lymph",_xlfn.TEXTJOIN("; ", TRUE, _xlfn._xlws.FILTER('Model output'!H:H, 'Model output'!Z:Z=A4)),1)), ISNUMBER(SEARCH("Not mentioned",_xlfn.TEXTJOIN("; ", TRUE, _xlfn._xlws.FILTER('Model output'!H:H, 'Model output'!Z:Z=A4)),1)),ISNUMBER(SEARCH("thyroid",_xlfn.TEXTJOIN("; ", TRUE, _xlfn._xlws.FILTER('Model output'!H:H, 'Model output'!Z:Z=A4)),1)),ISNUMBER(SEARCH("strap muscle",_xlfn.TEXTJOIN("; ", TRUE, _xlfn._xlws.FILTER('Model output'!H:H, 'Model output'!Z:Z=A4)),1)),ISNUMBER(SEARCH("subcutaneous soft tissues",_xlfn.TEXTJOIN("; ", TRUE, _xlfn._xlws.FILTER('Model output'!H:H, 'Model output'!Z:Z=A4)),1)),ISNUMBER(SEARCH("larynx",_xlfn.TEXTJOIN("; ", TRUE, _xlfn._xlws.FILTER('Model output'!H:H, 'Model output'!Z:Z=A4)),1)),ISNUMBER(SEARCH("trachea",_xlfn.TEXTJOIN("; ", TRUE, _xlfn._xlws.FILTER('Model output'!H:H, 'Model output'!Z:Z=A4)),1)),ISNUMBER(SEARCH("esophagus",_xlfn.TEXTJOIN("; ", TRUE, _xlfn._xlws.FILTER('Model output'!H:H, 'Model output'!Z:Z=A4)),1)),ISNUMBER(SEARCH("recurrent laryngeal nerve",_xlfn.TEXTJOIN("; ", TRUE, _xlfn._xlws.FILTER('Model output'!H:H, 'Model output'!Z:Z=A4)),1)),ISNUMBER(SEARCH("RLN",_xlfn.TEXTJOIN("; ", TRUE, _xlfn._xlws.FILTER('Model output'!H:H, 'Model output'!Z:Z=A4)),1)),_xlfn.TEXTJOIN("; ", TRUE, _xlfn._xlws.FILTER('Model output'!H:H, 'Model output'!Z:Z=A4))=""),"negative","positive")</f>
        <v>negative</v>
      </c>
      <c r="L4" s="17">
        <f>IF(IFERROR(INDEX('Model output'!I:I, MATCH(A4, 'Model output'!Z:Z, 0)), "") &lt; M4, "", IFERROR(INDEX('Model output'!I:I, MATCH(A4, 'Model output'!Z:Z, 0)), ""))</f>
        <v>0</v>
      </c>
      <c r="M4" s="17">
        <f>IFERROR(INDEX('Model output'!J:J, MATCH(A4, 'Model output'!Z:Z, 0)), "")</f>
        <v>0</v>
      </c>
      <c r="N4" s="18" t="str" cm="1">
        <f t="array" ref="N4">ReplaceTo(ReplaceAnd(SUBSTITUTE(SUBSTITUTE(_xlfn.TEXTJOIN("; ", TRUE, _xlfn._xlws.FILTER('Model output'!K:K, 'Model output'!Z:Z=A4)), " ", ""), ",", ";")))</f>
        <v>23g</v>
      </c>
      <c r="O4" t="str" cm="1">
        <f t="array" ref="O4">IF(LEFT(IF(RIGHT(SUBSTITUTE(FilterWithUnits(N4)&amp; ";" &amp;FilterStringsWithNumericAnd(N4) &amp; ";" &amp; FilterStringsWithX(N4), ";;", ";"),1)=";",LEFT(SUBSTITUTE(FilterWithUnits(N4)&amp; ";" &amp;FilterStringsWithNumericAnd(N4) &amp; ";" &amp; FilterStringsWithX(N4), ";;", ";"),LEN(SUBSTITUTE(FilterWithUnits(N4)&amp; ";" &amp;FilterStringsWithNumericAnd(N4) &amp; ";" &amp; FilterStringsWithX(N4), ";;", ";"))-1),SUBSTITUTE(FilterWithUnits(N4)&amp; ";" &amp;FilterStringsWithNumericAnd(N4) &amp; ";" &amp; FilterStringsWithX(N4), ";;", ";")),1)=";",RIGHT(IF(RIGHT(SUBSTITUTE(FilterWithUnits(N4)&amp; ";" &amp;FilterStringsWithNumericAnd(N4) &amp; ";" &amp; FilterStringsWithX(N4), ";;", ";"),1)=";",LEFT(SUBSTITUTE(FilterWithUnits(N4)&amp; ";" &amp;FilterStringsWithNumericAnd(N4) &amp; ";" &amp; FilterStringsWithX(N4), ";;", ";"),LEN(SUBSTITUTE(FilterWithUnits(N4)&amp; ";" &amp;FilterStringsWithNumericAnd(N4) &amp; ";" &amp; FilterStringsWithX(N4), ";;", ";"))-1),SUBSTITUTE(FilterWithUnits(N4)&amp; ";" &amp;FilterStringsWithNumericAnd(N4) &amp; ";" &amp; FilterStringsWithX(N4), ";;", ";")),LEN(IF(RIGHT(SUBSTITUTE(FilterWithUnits(N4)&amp; ";" &amp;FilterStringsWithNumericAnd(N4) &amp; ";" &amp; FilterStringsWithX(N4), ";;", ";"),1)=";",LEFT(SUBSTITUTE(FilterWithUnits(N4)&amp; ";" &amp;FilterStringsWithNumericAnd(N4) &amp; ";" &amp; FilterStringsWithX(N4), ";;", ";"),LEN(SUBSTITUTE(FilterWithUnits(N4)&amp; ";" &amp;FilterStringsWithNumericAnd(N4) &amp; ";" &amp; FilterStringsWithX(N4), ";;", ";"))-1),SUBSTITUTE(FilterWithUnits(N4)&amp; ";" &amp;FilterStringsWithNumericAnd(N4) &amp; ";" &amp; FilterStringsWithX(N4), ";;", ";")))-1),IF(RIGHT(SUBSTITUTE(FilterWithUnits(N4)&amp; ";" &amp;FilterStringsWithNumericAnd(N4) &amp; ";" &amp; FilterStringsWithX(N4), ";;", ";"),1)=";",LEFT(SUBSTITUTE(FilterWithUnits(N4)&amp; ";" &amp;FilterStringsWithNumericAnd(N4) &amp; ";" &amp; FilterStringsWithX(N4), ";;", ";"),LEN(SUBSTITUTE(FilterWithUnits(N4)&amp; ";" &amp;FilterStringsWithNumericAnd(N4) &amp; ";" &amp; FilterStringsWithX(N4), ";;", ";"))-1),SUBSTITUTE(FilterWithUnits(N4)&amp; ";" &amp;FilterStringsWithNumericAnd(N4) &amp; ";" &amp; FilterStringsWithX(N4), ";;", ";")))</f>
        <v/>
      </c>
      <c r="P4" t="str" cm="1">
        <f t="array" ref="P4">IF(MaxSize((SplitDimensions(O4)))=0, "", MaxSize((SplitDimensions(O4))))</f>
        <v/>
      </c>
      <c r="Q4" t="str" cm="1">
        <f t="array" ref="Q4">IF(ISERROR(INDEX(_xlfn._xlws.FILTER('Model output'!L:L, ('Model output'!Z:Z=A4)*('Model output'!L:L&lt;&gt;"")), 1)), " ", LOWER(INDEX(_xlfn._xlws.FILTER('Model output'!L:L, ('Model output'!Z:Z=A4)*('Model output'!L:L&lt;&gt;"")), 1)))</f>
        <v>papillary carcinoma</v>
      </c>
      <c r="R4" t="str" cm="1">
        <f t="array" ref="R4">IF(ISERROR(INDEX(_xlfn._xlws.FILTER('Model output'!M:M, ('Model output'!Z:Z=A4)*('Model output'!M:M&lt;&gt;"")), 1)), " ", LOWER(INDEX(_xlfn._xlws.FILTER('Model output'!M:M, ('Model output'!Z:Z=A4)*('Model output'!M:M&lt;&gt;"")), 1)))</f>
        <v>classic subtype</v>
      </c>
      <c r="S4" t="str" cm="1">
        <f t="array" ref="S4">IF(OR(ISNUMBER(SEARCH("ly",SUBSTITUTE(INDEX(_xlfn._xlws.FILTER('Model output'!N:N,('Model output'!Z:Z=A4)*('Model output'!N:N&lt;&gt;"")),1)," ",""),1)), ISNUMBER(SEARCH("pole",SUBSTITUTE(INDEX(_xlfn._xlws.FILTER('Model output'!N:N,('Model output'!Z:Z=A4)*('Model output'!N:N&lt;&gt;"")),1)," ",""),1))),"",SUBSTITUTE(INDEX(_xlfn._xlws.FILTER('Model output'!N:N,('Model output'!Z:Z=A4)*('Model output'!N:N&lt;&gt;"")),1)," ",""))</f>
        <v>30mm</v>
      </c>
      <c r="T4" t="str" cm="1">
        <f t="array" ref="T4">IF(LEFT(IF(RIGHT(SUBSTITUTE(FilterWithUnits(S4)&amp; ";" &amp;FilterStringsWithNumericAnd(S4) &amp; ";" &amp; FilterStringsWithX(S4), ";;", ";"),1)=";",LEFT(SUBSTITUTE(FilterWithUnits(S4)&amp; ";" &amp;FilterStringsWithNumericAnd(S4) &amp; ";" &amp; FilterStringsWithX(S4), ";;", ";"),LEN(SUBSTITUTE(FilterWithUnits(S4)&amp; ";" &amp;FilterStringsWithNumericAnd(S4) &amp; ";" &amp; FilterStringsWithX(S4), ";;", ";"))-1),SUBSTITUTE(FilterWithUnits(S4)&amp; ";" &amp;FilterStringsWithNumericAnd(S4) &amp; ";" &amp; FilterStringsWithX(S4), ";;", ";")),1)=";",RIGHT(IF(RIGHT(SUBSTITUTE(FilterWithUnits(S4)&amp; ";" &amp;FilterStringsWithNumericAnd(S4) &amp; ";" &amp; FilterStringsWithX(S4), ";;", ";"),1)=";",LEFT(SUBSTITUTE(FilterWithUnits(S4)&amp; ";" &amp;FilterStringsWithNumericAnd(S4) &amp; ";" &amp; FilterStringsWithX(S4), ";;", ";"),LEN(SUBSTITUTE(FilterWithUnits(S4)&amp; ";" &amp;FilterStringsWithNumericAnd(S4) &amp; ";" &amp; FilterStringsWithX(S4), ";;", ";"))-1),SUBSTITUTE(FilterWithUnits(S4)&amp; ";" &amp;FilterStringsWithNumericAnd(S4) &amp; ";" &amp; FilterStringsWithX(S4), ";;", ";")),LEN(IF(RIGHT(SUBSTITUTE(FilterWithUnits(S4)&amp; ";" &amp;FilterStringsWithNumericAnd(S4) &amp; ";" &amp; FilterStringsWithX(S4), ";;", ";"),1)=";",LEFT(SUBSTITUTE(FilterWithUnits(S4)&amp; ";" &amp;FilterStringsWithNumericAnd(S4) &amp; ";" &amp; FilterStringsWithX(S4), ";;", ";"),LEN(SUBSTITUTE(FilterWithUnits(S4)&amp; ";" &amp;FilterStringsWithNumericAnd(S4) &amp; ";" &amp; FilterStringsWithX(S4), ";;", ";"))-1),SUBSTITUTE(FilterWithUnits(S4)&amp; ";" &amp;FilterStringsWithNumericAnd(S4) &amp; ";" &amp; FilterStringsWithX(S4), ";;", ";")))-1),IF(RIGHT(SUBSTITUTE(FilterWithUnits(S4)&amp; ";" &amp;FilterStringsWithNumericAnd(S4) &amp; ";" &amp; FilterStringsWithX(S4), ";;", ";"),1)=";",LEFT(SUBSTITUTE(FilterWithUnits(S4)&amp; ";" &amp;FilterStringsWithNumericAnd(S4) &amp; ";" &amp; FilterStringsWithX(S4), ";;", ";"),LEN(SUBSTITUTE(FilterWithUnits(S4)&amp; ";" &amp;FilterStringsWithNumericAnd(S4) &amp; ";" &amp; FilterStringsWithX(S4), ";;", ";"))-1),SUBSTITUTE(FilterWithUnits(S4)&amp; ";" &amp;FilterStringsWithNumericAnd(S4) &amp; ";" &amp; FilterStringsWithX(S4), ";;", ";")))</f>
        <v>30mm</v>
      </c>
      <c r="U4" cm="1">
        <f t="array" ref="U4">IF(MaxSize((SplitDimensions(T4)))=0, "", MaxSize((SplitDimensions(T4))))</f>
        <v>3</v>
      </c>
      <c r="V4" s="17" t="str" cm="1">
        <f t="array" ref="V4">IF(ISERROR(INDEX(_xlfn._xlws.FILTER('Model output'!P:P,('Model output'!Z:Z=A4)*('Model output'!P:P&lt;&gt;"")),1)),"negative",IF(OR(ISNUMBER(SEARCH("foc",INDEX(_xlfn._xlws.FILTER('Model output'!P:P,('Model output'!Z:Z=A4)*('Model output'!P:P&lt;&gt;"")),1),1)),ISNUMBER(SEARCH("extensive",INDEX(_xlfn._xlws.FILTER('Model output'!P:P,('Model output'!Z:Z=A4)*('Model output'!P:P&lt;&gt;"")),1),1)),ISNUMBER(SEARCH("present",INDEX(_xlfn._xlws.FILTER('Model output'!P:P,('Model output'!Z:Z=A4)*('Model output'!P:P&lt;&gt;"")),1),1)),ISNUMBER(SEARCH("yes",INDEX(_xlfn._xlws.FILTER('Model output'!P:P,('Model output'!Z:Z=A4)*('Model output'!P:P&lt;&gt;"")),1),1))),"positive","negative"))</f>
        <v>negative</v>
      </c>
      <c r="X4" t="str" cm="1">
        <f t="array" ref="X4">IF(ISNUMBER(SEARCH("4",INDEX(_xlfn._xlws.FILTER('Model output'!P:P,('Model output'!Z:Z=A4)*('Model output'!P:P&lt;&gt;"")),1),1)),INDEX(_xlfn._xlws.FILTER('Model output'!P:P,('Model output'!Z:Z=A4)*('Model output'!P:P&lt;&gt;"")),1),"") &amp; _xlfn.TEXTJOIN("",TRUE,_xlfn._xlws.FILTER('Model output'!Q:Q,'Model output'!Z:Z=A4))</f>
        <v>Not mentioned</v>
      </c>
      <c r="Y4" t="str">
        <f t="shared" ref="Y4:Y37" si="11">IF(V4="negative","no",IF(OR(ISNUMBER(SEARCH("&gt; 4",X4,1)),ISNUMBER(SEARCH("&gt;4",X4,1)),ISNUMBER(SEARCH("4 or more",X4,1)),ISNUMBER(SEARCH("extensive",X4,1))),"extensive","minimal"))</f>
        <v>no</v>
      </c>
      <c r="Z4" t="str" cm="1">
        <f t="array" ref="Z4">IF(OR(ISNUMBER(SEARCH("focal",_xlfn.TEXTJOIN("; ",TRUE,_xlfn._xlws.FILTER('Model output'!R:R,'Model output'!Z:Z=A4)),1)),ISNUMBER(SEARCH("present",_xlfn.TEXTJOIN("; ",TRUE,_xlfn._xlws.FILTER('Model output'!R:R,'Model output'!Z:Z=A4)),1))),"positive",IF(_xlfn.TEXTJOIN("; ",TRUE,_xlfn._xlws.FILTER('Model output'!R:R,'Model output'!Z:Z=A4))="","negative",IF(OR(ISNUMBER(SEARCH("no",_xlfn.TEXTJOIN("; ",TRUE,_xlfn._xlws.FILTER('Model output'!R:R,'Model output'!Z:Z=A4)),1)),ISNUMBER(SEARCH("absent",_xlfn.TEXTJOIN("; ",TRUE,_xlfn._xlws.FILTER('Model output'!R:R,'Model output'!Z:Z=A4)),1))),"negative","positive")))</f>
        <v>positive</v>
      </c>
      <c r="AA4" s="17" t="str">
        <f t="shared" si="1"/>
        <v>negative</v>
      </c>
      <c r="AE4" s="17" t="str">
        <f t="shared" ref="AE4:AE37" si="12">IF(OR(ISNUMBER(SEARCH("subcutaneous soft tissues", AF4)),ISNUMBER(SEARCH("strap muscle", AF4)), ISNUMBER(SEARCH("larynx", AF4)),ISNUMBER(SEARCH("trachea", AF4)),ISNUMBER(SEARCH("esophagus", AF4)), ISNUMBER(SEARCH("recurrent laryngeal nerve", AF4)), ISNUMBER(SEARCH("RLN", AF4))), "positive", "negative")</f>
        <v>negative</v>
      </c>
      <c r="AF4" t="str" cm="1">
        <f t="array" ref="AF4">_xlfn.TEXTJOIN("; ",TRUE,_xlfn._xlws.FILTER('Model output'!S:S,'Model output'!Z:Z=A4))</f>
        <v>Not identified; Not mentioned</v>
      </c>
      <c r="AG4" s="17" t="str" cm="1">
        <f t="array" ref="AG4">IF(OR(ISNUMBER(SEARCH("uninvolved",_xlfn.TEXTJOIN("; ",TRUE,_xlfn._xlws.FILTER('Model output'!V:V,'Model output'!Z:Z=A4)),1)),ISNUMBER(SEARCH("clear",_xlfn.TEXTJOIN("; ",TRUE,_xlfn._xlws.FILTER('Model output'!V:V,'Model output'!Z:Z=A4)),1))*ISNUMBER(SEARCH("not mentioned",_xlfn.TEXTJOIN("; ",TRUE,_xlfn._xlws.FILTER('Model output'!V:V,'Model output'!Z:Z=A4)),1))),"negative",IF(ISNUMBER(SEARCH("cannot be assessed",_xlfn.TEXTJOIN("; ",TRUE,_xlfn._xlws.FILTER('Model output'!V:V,'Model output'!Z:Z=A4)),1)),"unknown","negative"))</f>
        <v>negative</v>
      </c>
      <c r="AI4" s="45" t="str">
        <f t="shared" ref="AI4:AI37" si="13">IF(OR(ISNUMBER(SEARCH("non-invasive follicular",Q4,1)),ISNUMBER(SEARCH("non-invasive follicular",R4,1))),"NIFTP", IF(OR(K4="positive",AE4="positive",AND(OR(ISNUMBER(SEARCH("follicular", Q4)),ISNUMBER(SEARCH("FTC", Q4))),Y4="extensive"),AND(I4="positive",ISNUMBER(P4),P4&gt;3),AL4=1),"high",IF(OR(ISNUMBER(SEARCH("positive",AA4,1)),ISNUMBER(SEARCH("tall",R4,1)),ISNUMBER(SEARCH("hobnail",R4,1)),ISNUMBER(SEARCH("cribriform",R4,1)),ISNUMBER(SEARCH("diffuse",R4,1)),ISNUMBER(SEARCH("columnar",R4,1)),ISNUMBER(SEARCH("solid",R4,1)),ISNUMBER(SEARCH("tall",Q4,1)),ISNUMBER(SEARCH("hobnail",Q4,1)),ISNUMBER(SEARCH("cribriform",Q4,1)),ISNUMBER(SEARCH("diffuse",Q4,1)),ISNUMBER(SEARCH("columnar",Q4,1)),ISNUMBER(SEARCH("solid",Q4,1)),AND(OR(ISNUMBER(SEARCH("papillary carcinoma",Q4,1)),ISNUMBER(SEARCH("papillary microcarcinoma",Q4,1))),V4="positive"),,AND(AND(ISNUMBER(M4),M4&gt;=5),P4=""),AND(AND(ISNUMBER(M4),M4&gt;=5),AND(ISNUMBER(P4),P4&gt;=1)),J4="lateral"),"intermediate","low")))</f>
        <v>low</v>
      </c>
      <c r="AJ4" s="41" t="str">
        <f t="shared" si="2"/>
        <v>2</v>
      </c>
      <c r="AK4" s="41" t="str">
        <f t="shared" si="3"/>
        <v>x</v>
      </c>
      <c r="AL4" s="41">
        <f t="shared" si="4"/>
        <v>0</v>
      </c>
      <c r="AM4" s="41" t="str">
        <f t="shared" si="5"/>
        <v>I</v>
      </c>
      <c r="AN4" s="42" t="s">
        <v>166</v>
      </c>
      <c r="AO4" s="43" t="s">
        <v>443</v>
      </c>
      <c r="AP4" s="43" t="s">
        <v>204</v>
      </c>
      <c r="AQ4" s="43">
        <v>0</v>
      </c>
      <c r="AR4" s="43" t="s">
        <v>31</v>
      </c>
      <c r="AS4" s="42">
        <f t="shared" si="6"/>
        <v>1</v>
      </c>
      <c r="AT4" s="43">
        <f t="shared" si="7"/>
        <v>1</v>
      </c>
      <c r="AU4" s="43">
        <f t="shared" si="8"/>
        <v>1</v>
      </c>
      <c r="AV4" s="43">
        <f t="shared" si="9"/>
        <v>1</v>
      </c>
      <c r="AW4" s="44">
        <f t="shared" si="10"/>
        <v>1</v>
      </c>
    </row>
    <row r="5" spans="1:49">
      <c r="A5" s="13">
        <v>3</v>
      </c>
      <c r="B5" s="16">
        <f>_xlfn.MAXIFS('Model output'!B:B,'Model output'!Z:Z,'Classification result'!$A5)</f>
        <v>45373</v>
      </c>
      <c r="C5" s="16"/>
      <c r="D5" s="16"/>
      <c r="E5" s="17">
        <f>_xlfn.MAXIFS('Model output'!C:C,'Model output'!Z:Z,'Classification result'!$A5)</f>
        <v>52</v>
      </c>
      <c r="F5" s="17" t="str" cm="1">
        <f t="array" ref="F5">LEFT(IF(ISERROR(RIGHT(IF(INDEX(_xlfn._xlws.FILTER('Model output'!D:D,('Model output'!Z:Z=A5)),1)&lt;&gt;"",INDEX(_xlfn._xlws.FILTER('Model output'!D:D,('Model output'!Z:Z=A5)),1),""),LEN(IF(INDEX(_xlfn._xlws.FILTER('Model output'!D:D,('Model output'!Z:Z=A5)),1)&lt;&gt;"",INDEX(_xlfn._xlws.FILTER('Model output'!D:D,('Model output'!Z:Z=A5)),1),""))-FIND("T",IF(INDEX(_xlfn._xlws.FILTER('Model output'!D:D,('Model output'!Z:Z=A5)),1)&lt;&gt;"",INDEX(_xlfn._xlws.FILTER('Model output'!D:D,('Model output'!Z:Z=A5)),1),""),1))),"",(RIGHT(IF(INDEX(_xlfn._xlws.FILTER('Model output'!D:D,('Model output'!Z:Z=A5)),1)&lt;&gt;"",INDEX(_xlfn._xlws.FILTER('Model output'!D:D,('Model output'!Z:Z=A5)),1),""),LEN(IF(INDEX(_xlfn._xlws.FILTER('Model output'!D:D,('Model output'!Z:Z=A5)),1)&lt;&gt;"",INDEX(_xlfn._xlws.FILTER('Model output'!D:D,('Model output'!Z:Z=A5)),1),""))-FIND("T",IF(INDEX(_xlfn._xlws.FILTER('Model output'!D:D,('Model output'!Z:Z=A5)),1)&lt;&gt;"",INDEX(_xlfn._xlws.FILTER('Model output'!D:D,('Model output'!Z:Z=A5)),1)))))),2)</f>
        <v>1a</v>
      </c>
      <c r="G5" s="17" t="str" cm="1">
        <f t="array" ref="G5">IF(ISNUMBER(SEARCH("N",IF(ISNUMBER(SEARCH("present",IF(INDEX(_xlfn._xlws.FILTER('Model output'!E:E,('Model output'!Z:Z=A5)),1)="","",INDEX(_xlfn._xlws.FILTER('Model output'!E:E,('Model output'!Z:Z=A5)),1)),1)),"N1", IF(INDEX(_xlfn._xlws.FILTER('Model output'!E:E,('Model output'!Z:Z=A5)),1)="","",INDEX(_xlfn._xlws.FILTER('Model output'!E:E,('Model output'!Z:Z=A5)),1))),1)),RIGHT(IF(ISNUMBER(SEARCH("present",IF(INDEX(_xlfn._xlws.FILTER('Model output'!E:E,('Model output'!Z:Z=A5)),1)="","",INDEX(_xlfn._xlws.FILTER('Model output'!E:E,('Model output'!Z:Z=A5)),1)),1)),"N1", IF(INDEX(_xlfn._xlws.FILTER('Model output'!E:E,('Model output'!Z:Z=A5)),1)="","",INDEX(_xlfn._xlws.FILTER('Model output'!E:E,('Model output'!Z:Z=A5)),1))),LEN(IF(ISNUMBER(SEARCH("present",IF(INDEX(_xlfn._xlws.FILTER('Model output'!E:E,('Model output'!Z:Z=A5)),1)="","",INDEX(_xlfn._xlws.FILTER('Model output'!E:E,('Model output'!Z:Z=A5)),1)),1)),"N1", IF(INDEX(_xlfn._xlws.FILTER('Model output'!E:E,('Model output'!Z:Z=A5)),1)="","",INDEX(_xlfn._xlws.FILTER('Model output'!E:E,('Model output'!Z:Z=A5)),1))))-FIND("N",IF(ISNUMBER(SEARCH("present",IF(INDEX(_xlfn._xlws.FILTER('Model output'!E:E,('Model output'!Z:Z=A5)),1)="","",INDEX(_xlfn._xlws.FILTER('Model output'!E:E,('Model output'!Z:Z=A5)),1)),1)),"N1", IF(INDEX(_xlfn._xlws.FILTER('Model output'!E:E,('Model output'!Z:Z=A5)),1)="","",INDEX(_xlfn._xlws.FILTER('Model output'!E:E,('Model output'!Z:Z=A5)),1))),1)), "")</f>
        <v>1a</v>
      </c>
      <c r="H5" s="17" cm="1">
        <f t="array" ref="H5">IF(AND(SUBSTITUTE(_xlfn.TEXTJOIN("/", TRUE, _xlfn._xlws.FILTER('Model output'!F:F, 'Model output'!Z:Z=A5)),"M", "")="", K5="negative"),0,IF(K5="positive",1,0))</f>
        <v>0</v>
      </c>
      <c r="I5" t="str">
        <f t="shared" si="0"/>
        <v>positive</v>
      </c>
      <c r="J5" t="str" cm="1">
        <f t="array" ref="J5">IF(AND(M5&gt;0, _xlfn.TEXTJOIN("; ", TRUE, _xlfn._xlws.FILTER('Model output'!G:G, 'Model output'!Z:Z=A5)) &lt;&gt;"", OR(AND(ISNUMBER(SEARCH("level", _xlfn.TEXTJOIN("; ", TRUE, _xlfn._xlws.FILTER('Model output'!G:G, 'Model output'!Z:Z=A5)),1)),OR(ISNUMBER(SEARCH(" II", _xlfn.TEXTJOIN("; ", TRUE, _xlfn._xlws.FILTER('Model output'!G:G, 'Model output'!Z:Z=A5)),1)),ISNUMBER(SEARCH("2", _xlfn.TEXTJOIN("; ", TRUE, _xlfn._xlws.FILTER('Model output'!G:G, 'Model output'!Z:Z=A5)),1)),ISNUMBER(SEARCH("two", _xlfn.TEXTJOIN("; ", TRUE, _xlfn._xlws.FILTER('Model output'!G:G, 'Model output'!Z:Z=A5)),1)),ISNUMBER(SEARCH("III", _xlfn.TEXTJOIN("; ", TRUE, _xlfn._xlws.FILTER('Model output'!G:G, 'Model output'!Z:Z=A5)),1)),ISNUMBER(SEARCH("3", _xlfn.TEXTJOIN("; ", TRUE, _xlfn._xlws.FILTER('Model output'!G:G, 'Model output'!Z:Z=A5)),1)),ISNUMBER(SEARCH("three", _xlfn.TEXTJOIN("; ", TRUE, _xlfn._xlws.FILTER('Model output'!G:G, 'Model output'!Z:Z=A5)),1)),ISNUMBER(SEARCH("IV", _xlfn.TEXTJOIN("; ", TRUE, _xlfn._xlws.FILTER('Model output'!G:G, 'Model output'!Z:Z=A5)),1)),ISNUMBER(SEARCH("4", _xlfn.TEXTJOIN("; ", TRUE, _xlfn._xlws.FILTER('Model output'!G:G, 'Model output'!Z:Z=A5)),1)),ISNUMBER(SEARCH("five", _xlfn.TEXTJOIN("; ", TRUE, _xlfn._xlws.FILTER('Model output'!G:G, 'Model output'!Z:Z=A5)),1)),ISNUMBER(SEARCH("V ", _xlfn.TEXTJOIN("; ", TRUE, _xlfn._xlws.FILTER('Model output'!G:G, 'Model output'!Z:Z=A5)),1)),ISNUMBER(SEARCH("5", _xlfn.TEXTJOIN("; ", TRUE, _xlfn._xlws.FILTER('Model output'!G:G, 'Model output'!Z:Z=A5)),1)),ISNUMBER(SEARCH("five", _xlfn.TEXTJOIN("; ", TRUE, _xlfn._xlws.FILTER('Model output'!G:G, 'Model output'!Z:Z=A5)),1)),ISNUMBER(SEARCH(" lateral", _xlfn.TEXTJOIN("; ", TRUE, _xlfn._xlws.FILTER('Model output'!G:G, 'Model output'!Z:Z=A5)),1)))),ISNUMBER(SEARCH("cervical", _xlfn.TEXTJOIN("; ", TRUE, _xlfn._xlws.FILTER('Model output'!G:G, 'Model output'!Z:Z=A5)),1)),ISNUMBER(SEARCH("jugular", _xlfn.TEXTJOIN("; ", TRUE, _xlfn._xlws.FILTER('Model output'!G:G, 'Model output'!Z:Z=A5)),1)),ISNUMBER(SEARCH("left neck", _xlfn.TEXTJOIN("; ", TRUE, _xlfn._xlws.FILTER('Model output'!G:G, 'Model output'!Z:Z=A5)),1)),ISNUMBER(SEARCH("left anterior neck", _xlfn.TEXTJOIN("; ", TRUE, _xlfn._xlws.FILTER('Model output'!G:G, 'Model output'!Z:Z=A5)),1)),ISNUMBER(SEARCH("left posterior neck", _xlfn.TEXTJOIN("; ", TRUE, _xlfn._xlws.FILTER('Model output'!G:G, 'Model output'!Z:Z=A5)),1)),ISNUMBER(SEARCH("right neck", _xlfn.TEXTJOIN("; ", TRUE, _xlfn._xlws.FILTER('Model output'!G:G, 'Model output'!Z:Z=A5)),1)),ISNUMBER(SEARCH("right anterior neck", _xlfn.TEXTJOIN("; ", TRUE, _xlfn._xlws.FILTER('Model output'!G:G, 'Model output'!Z:Z=A5)),1)),ISNUMBER(SEARCH("right posterior neck", _xlfn.TEXTJOIN("; ", TRUE, _xlfn._xlws.FILTER('Model output'!G:G, 'Model output'!Z:Z=A5)),1)))),"lateral",IF(AND(M5=0, _xlfn.TEXTJOIN("; ", TRUE, _xlfn._xlws.FILTER('Model output'!G:G, 'Model output'!Z:Z=A5))=""),"", "central"))</f>
        <v>central</v>
      </c>
      <c r="K5" s="17" t="str" cm="1">
        <f t="array" ref="K5">IF(OR(ISNUMBER(SEARCH("lymph",_xlfn.TEXTJOIN("; ", TRUE, _xlfn._xlws.FILTER('Model output'!H:H, 'Model output'!Z:Z=A5)),1)), ISNUMBER(SEARCH("Not mentioned",_xlfn.TEXTJOIN("; ", TRUE, _xlfn._xlws.FILTER('Model output'!H:H, 'Model output'!Z:Z=A5)),1)),ISNUMBER(SEARCH("thyroid",_xlfn.TEXTJOIN("; ", TRUE, _xlfn._xlws.FILTER('Model output'!H:H, 'Model output'!Z:Z=A5)),1)),ISNUMBER(SEARCH("strap muscle",_xlfn.TEXTJOIN("; ", TRUE, _xlfn._xlws.FILTER('Model output'!H:H, 'Model output'!Z:Z=A5)),1)),ISNUMBER(SEARCH("subcutaneous soft tissues",_xlfn.TEXTJOIN("; ", TRUE, _xlfn._xlws.FILTER('Model output'!H:H, 'Model output'!Z:Z=A5)),1)),ISNUMBER(SEARCH("larynx",_xlfn.TEXTJOIN("; ", TRUE, _xlfn._xlws.FILTER('Model output'!H:H, 'Model output'!Z:Z=A5)),1)),ISNUMBER(SEARCH("trachea",_xlfn.TEXTJOIN("; ", TRUE, _xlfn._xlws.FILTER('Model output'!H:H, 'Model output'!Z:Z=A5)),1)),ISNUMBER(SEARCH("esophagus",_xlfn.TEXTJOIN("; ", TRUE, _xlfn._xlws.FILTER('Model output'!H:H, 'Model output'!Z:Z=A5)),1)),ISNUMBER(SEARCH("recurrent laryngeal nerve",_xlfn.TEXTJOIN("; ", TRUE, _xlfn._xlws.FILTER('Model output'!H:H, 'Model output'!Z:Z=A5)),1)),ISNUMBER(SEARCH("RLN",_xlfn.TEXTJOIN("; ", TRUE, _xlfn._xlws.FILTER('Model output'!H:H, 'Model output'!Z:Z=A5)),1)),_xlfn.TEXTJOIN("; ", TRUE, _xlfn._xlws.FILTER('Model output'!H:H, 'Model output'!Z:Z=A5))=""),"negative","positive")</f>
        <v>negative</v>
      </c>
      <c r="L5" s="17">
        <f>IF(IFERROR(INDEX('Model output'!I:I, MATCH(A5, 'Model output'!Z:Z, 0)), "") &lt; M5, "", IFERROR(INDEX('Model output'!I:I, MATCH(A5, 'Model output'!Z:Z, 0)), ""))</f>
        <v>5</v>
      </c>
      <c r="M5" s="17">
        <f>IFERROR(INDEX('Model output'!J:J, MATCH(A5, 'Model output'!Z:Z, 0)), "")</f>
        <v>1</v>
      </c>
      <c r="N5" s="18" t="str" cm="1">
        <f t="array" ref="N5">ReplaceTo(ReplaceAnd(SUBSTITUTE(SUBSTITUTE(_xlfn.TEXTJOIN("; ", TRUE, _xlfn._xlws.FILTER('Model output'!K:K, 'Model output'!Z:Z=A5)), " ", ""), ",", ";")))</f>
        <v>1mm</v>
      </c>
      <c r="O5" t="str" cm="1">
        <f t="array" ref="O5">IF(LEFT(IF(RIGHT(SUBSTITUTE(FilterWithUnits(N5)&amp; ";" &amp;FilterStringsWithNumericAnd(N5) &amp; ";" &amp; FilterStringsWithX(N5), ";;", ";"),1)=";",LEFT(SUBSTITUTE(FilterWithUnits(N5)&amp; ";" &amp;FilterStringsWithNumericAnd(N5) &amp; ";" &amp; FilterStringsWithX(N5), ";;", ";"),LEN(SUBSTITUTE(FilterWithUnits(N5)&amp; ";" &amp;FilterStringsWithNumericAnd(N5) &amp; ";" &amp; FilterStringsWithX(N5), ";;", ";"))-1),SUBSTITUTE(FilterWithUnits(N5)&amp; ";" &amp;FilterStringsWithNumericAnd(N5) &amp; ";" &amp; FilterStringsWithX(N5), ";;", ";")),1)=";",RIGHT(IF(RIGHT(SUBSTITUTE(FilterWithUnits(N5)&amp; ";" &amp;FilterStringsWithNumericAnd(N5) &amp; ";" &amp; FilterStringsWithX(N5), ";;", ";"),1)=";",LEFT(SUBSTITUTE(FilterWithUnits(N5)&amp; ";" &amp;FilterStringsWithNumericAnd(N5) &amp; ";" &amp; FilterStringsWithX(N5), ";;", ";"),LEN(SUBSTITUTE(FilterWithUnits(N5)&amp; ";" &amp;FilterStringsWithNumericAnd(N5) &amp; ";" &amp; FilterStringsWithX(N5), ";;", ";"))-1),SUBSTITUTE(FilterWithUnits(N5)&amp; ";" &amp;FilterStringsWithNumericAnd(N5) &amp; ";" &amp; FilterStringsWithX(N5), ";;", ";")),LEN(IF(RIGHT(SUBSTITUTE(FilterWithUnits(N5)&amp; ";" &amp;FilterStringsWithNumericAnd(N5) &amp; ";" &amp; FilterStringsWithX(N5), ";;", ";"),1)=";",LEFT(SUBSTITUTE(FilterWithUnits(N5)&amp; ";" &amp;FilterStringsWithNumericAnd(N5) &amp; ";" &amp; FilterStringsWithX(N5), ";;", ";"),LEN(SUBSTITUTE(FilterWithUnits(N5)&amp; ";" &amp;FilterStringsWithNumericAnd(N5) &amp; ";" &amp; FilterStringsWithX(N5), ";;", ";"))-1),SUBSTITUTE(FilterWithUnits(N5)&amp; ";" &amp;FilterStringsWithNumericAnd(N5) &amp; ";" &amp; FilterStringsWithX(N5), ";;", ";")))-1),IF(RIGHT(SUBSTITUTE(FilterWithUnits(N5)&amp; ";" &amp;FilterStringsWithNumericAnd(N5) &amp; ";" &amp; FilterStringsWithX(N5), ";;", ";"),1)=";",LEFT(SUBSTITUTE(FilterWithUnits(N5)&amp; ";" &amp;FilterStringsWithNumericAnd(N5) &amp; ";" &amp; FilterStringsWithX(N5), ";;", ";"),LEN(SUBSTITUTE(FilterWithUnits(N5)&amp; ";" &amp;FilterStringsWithNumericAnd(N5) &amp; ";" &amp; FilterStringsWithX(N5), ";;", ";"))-1),SUBSTITUTE(FilterWithUnits(N5)&amp; ";" &amp;FilterStringsWithNumericAnd(N5) &amp; ";" &amp; FilterStringsWithX(N5), ";;", ";")))</f>
        <v>1mm</v>
      </c>
      <c r="P5" cm="1">
        <f t="array" ref="P5">IF(MaxSize((SplitDimensions(O5)))=0, "", MaxSize((SplitDimensions(O5))))</f>
        <v>0.1</v>
      </c>
      <c r="Q5" t="str" cm="1">
        <f t="array" ref="Q5">IF(ISERROR(INDEX(_xlfn._xlws.FILTER('Model output'!L:L, ('Model output'!Z:Z=A5)*('Model output'!L:L&lt;&gt;"")), 1)), " ", LOWER(INDEX(_xlfn._xlws.FILTER('Model output'!L:L, ('Model output'!Z:Z=A5)*('Model output'!L:L&lt;&gt;"")), 1)))</f>
        <v>papillary carcinoma</v>
      </c>
      <c r="R5" t="str" cm="1">
        <f t="array" ref="R5">IF(ISERROR(INDEX(_xlfn._xlws.FILTER('Model output'!M:M, ('Model output'!Z:Z=A5)*('Model output'!M:M&lt;&gt;"")), 1)), " ", LOWER(INDEX(_xlfn._xlws.FILTER('Model output'!M:M, ('Model output'!Z:Z=A5)*('Model output'!M:M&lt;&gt;"")), 1)))</f>
        <v>infiltrative follicular subtype</v>
      </c>
      <c r="S5" t="str" cm="1">
        <f t="array" ref="S5">IF(OR(ISNUMBER(SEARCH("ly",SUBSTITUTE(INDEX(_xlfn._xlws.FILTER('Model output'!N:N,('Model output'!Z:Z=A5)*('Model output'!N:N&lt;&gt;"")),1)," ",""),1)), ISNUMBER(SEARCH("pole",SUBSTITUTE(INDEX(_xlfn._xlws.FILTER('Model output'!N:N,('Model output'!Z:Z=A5)*('Model output'!N:N&lt;&gt;"")),1)," ",""),1))),"",SUBSTITUTE(INDEX(_xlfn._xlws.FILTER('Model output'!N:N,('Model output'!Z:Z=A5)*('Model output'!N:N&lt;&gt;"")),1)," ",""))</f>
        <v>8mm&amp;2mm</v>
      </c>
      <c r="T5" t="str" cm="1">
        <f t="array" ref="T5">IF(LEFT(IF(RIGHT(SUBSTITUTE(FilterWithUnits(S5)&amp; ";" &amp;FilterStringsWithNumericAnd(S5) &amp; ";" &amp; FilterStringsWithX(S5), ";;", ";"),1)=";",LEFT(SUBSTITUTE(FilterWithUnits(S5)&amp; ";" &amp;FilterStringsWithNumericAnd(S5) &amp; ";" &amp; FilterStringsWithX(S5), ";;", ";"),LEN(SUBSTITUTE(FilterWithUnits(S5)&amp; ";" &amp;FilterStringsWithNumericAnd(S5) &amp; ";" &amp; FilterStringsWithX(S5), ";;", ";"))-1),SUBSTITUTE(FilterWithUnits(S5)&amp; ";" &amp;FilterStringsWithNumericAnd(S5) &amp; ";" &amp; FilterStringsWithX(S5), ";;", ";")),1)=";",RIGHT(IF(RIGHT(SUBSTITUTE(FilterWithUnits(S5)&amp; ";" &amp;FilterStringsWithNumericAnd(S5) &amp; ";" &amp; FilterStringsWithX(S5), ";;", ";"),1)=";",LEFT(SUBSTITUTE(FilterWithUnits(S5)&amp; ";" &amp;FilterStringsWithNumericAnd(S5) &amp; ";" &amp; FilterStringsWithX(S5), ";;", ";"),LEN(SUBSTITUTE(FilterWithUnits(S5)&amp; ";" &amp;FilterStringsWithNumericAnd(S5) &amp; ";" &amp; FilterStringsWithX(S5), ";;", ";"))-1),SUBSTITUTE(FilterWithUnits(S5)&amp; ";" &amp;FilterStringsWithNumericAnd(S5) &amp; ";" &amp; FilterStringsWithX(S5), ";;", ";")),LEN(IF(RIGHT(SUBSTITUTE(FilterWithUnits(S5)&amp; ";" &amp;FilterStringsWithNumericAnd(S5) &amp; ";" &amp; FilterStringsWithX(S5), ";;", ";"),1)=";",LEFT(SUBSTITUTE(FilterWithUnits(S5)&amp; ";" &amp;FilterStringsWithNumericAnd(S5) &amp; ";" &amp; FilterStringsWithX(S5), ";;", ";"),LEN(SUBSTITUTE(FilterWithUnits(S5)&amp; ";" &amp;FilterStringsWithNumericAnd(S5) &amp; ";" &amp; FilterStringsWithX(S5), ";;", ";"))-1),SUBSTITUTE(FilterWithUnits(S5)&amp; ";" &amp;FilterStringsWithNumericAnd(S5) &amp; ";" &amp; FilterStringsWithX(S5), ";;", ";")))-1),IF(RIGHT(SUBSTITUTE(FilterWithUnits(S5)&amp; ";" &amp;FilterStringsWithNumericAnd(S5) &amp; ";" &amp; FilterStringsWithX(S5), ";;", ";"),1)=";",LEFT(SUBSTITUTE(FilterWithUnits(S5)&amp; ";" &amp;FilterStringsWithNumericAnd(S5) &amp; ";" &amp; FilterStringsWithX(S5), ";;", ";"),LEN(SUBSTITUTE(FilterWithUnits(S5)&amp; ";" &amp;FilterStringsWithNumericAnd(S5) &amp; ";" &amp; FilterStringsWithX(S5), ";;", ";"))-1),SUBSTITUTE(FilterWithUnits(S5)&amp; ";" &amp;FilterStringsWithNumericAnd(S5) &amp; ";" &amp; FilterStringsWithX(S5), ";;", ";")))</f>
        <v>8mm</v>
      </c>
      <c r="U5" cm="1">
        <f t="array" ref="U5">IF(MaxSize((SplitDimensions(T5)))=0, "", MaxSize((SplitDimensions(T5))))</f>
        <v>0.8</v>
      </c>
      <c r="V5" s="17" t="str" cm="1">
        <f t="array" ref="V5">IF(ISERROR(INDEX(_xlfn._xlws.FILTER('Model output'!P:P,('Model output'!Z:Z=A5)*('Model output'!P:P&lt;&gt;"")),1)),"negative",IF(OR(ISNUMBER(SEARCH("foc",INDEX(_xlfn._xlws.FILTER('Model output'!P:P,('Model output'!Z:Z=A5)*('Model output'!P:P&lt;&gt;"")),1),1)),ISNUMBER(SEARCH("extensive",INDEX(_xlfn._xlws.FILTER('Model output'!P:P,('Model output'!Z:Z=A5)*('Model output'!P:P&lt;&gt;"")),1),1)),ISNUMBER(SEARCH("present",INDEX(_xlfn._xlws.FILTER('Model output'!P:P,('Model output'!Z:Z=A5)*('Model output'!P:P&lt;&gt;"")),1),1)),ISNUMBER(SEARCH("yes",INDEX(_xlfn._xlws.FILTER('Model output'!P:P,('Model output'!Z:Z=A5)*('Model output'!P:P&lt;&gt;"")),1),1))),"positive","negative"))</f>
        <v>negative</v>
      </c>
      <c r="X5" t="str" cm="1">
        <f t="array" ref="X5">IF(ISNUMBER(SEARCH("4",INDEX(_xlfn._xlws.FILTER('Model output'!P:P,('Model output'!Z:Z=A5)*('Model output'!P:P&lt;&gt;"")),1),1)),INDEX(_xlfn._xlws.FILTER('Model output'!P:P,('Model output'!Z:Z=A5)*('Model output'!P:P&lt;&gt;"")),1),"") &amp; _xlfn.TEXTJOIN("",TRUE,_xlfn._xlws.FILTER('Model output'!Q:Q,'Model output'!Z:Z=A5))</f>
        <v>Not mentioned</v>
      </c>
      <c r="Y5" t="str">
        <f t="shared" si="11"/>
        <v>no</v>
      </c>
      <c r="Z5" t="str" cm="1">
        <f t="array" ref="Z5">IF(OR(ISNUMBER(SEARCH("focal",_xlfn.TEXTJOIN("; ",TRUE,_xlfn._xlws.FILTER('Model output'!R:R,'Model output'!Z:Z=A5)),1)),ISNUMBER(SEARCH("present",_xlfn.TEXTJOIN("; ",TRUE,_xlfn._xlws.FILTER('Model output'!R:R,'Model output'!Z:Z=A5)),1))),"positive",IF(_xlfn.TEXTJOIN("; ",TRUE,_xlfn._xlws.FILTER('Model output'!R:R,'Model output'!Z:Z=A5))="","negative",IF(OR(ISNUMBER(SEARCH("no",_xlfn.TEXTJOIN("; ",TRUE,_xlfn._xlws.FILTER('Model output'!R:R,'Model output'!Z:Z=A5)),1)),ISNUMBER(SEARCH("absent",_xlfn.TEXTJOIN("; ",TRUE,_xlfn._xlws.FILTER('Model output'!R:R,'Model output'!Z:Z=A5)),1))),"negative","positive")))</f>
        <v>negative</v>
      </c>
      <c r="AA5" s="17" t="str">
        <f t="shared" si="1"/>
        <v>positive</v>
      </c>
      <c r="AE5" s="17" t="str">
        <f t="shared" si="12"/>
        <v>negative</v>
      </c>
      <c r="AF5" t="str" cm="1">
        <f t="array" ref="AF5">_xlfn.TEXTJOIN("; ",TRUE,_xlfn._xlws.FILTER('Model output'!S:S,'Model output'!Z:Z=A5))</f>
        <v>Microscopic invasive of the surrounding fat at the 2 mm tumor nodule. No gross invasion was detected. No involvement of skeletal muscle bundles is detected.; Not mentioned</v>
      </c>
      <c r="AG5" s="17" t="str" cm="1">
        <f t="array" ref="AG5">IF(OR(ISNUMBER(SEARCH("uninvolved",_xlfn.TEXTJOIN("; ",TRUE,_xlfn._xlws.FILTER('Model output'!V:V,'Model output'!Z:Z=A5)),1)),ISNUMBER(SEARCH("clear",_xlfn.TEXTJOIN("; ",TRUE,_xlfn._xlws.FILTER('Model output'!V:V,'Model output'!Z:Z=A5)),1))*ISNUMBER(SEARCH("not mentioned",_xlfn.TEXTJOIN("; ",TRUE,_xlfn._xlws.FILTER('Model output'!V:V,'Model output'!Z:Z=A5)),1))),"negative",IF(ISNUMBER(SEARCH("cannot be assessed",_xlfn.TEXTJOIN("; ",TRUE,_xlfn._xlws.FILTER('Model output'!V:V,'Model output'!Z:Z=A5)),1)),"unknown","negative"))</f>
        <v>negative</v>
      </c>
      <c r="AI5" s="45" t="str">
        <f t="shared" si="13"/>
        <v>intermediate</v>
      </c>
      <c r="AJ5" s="41" t="str">
        <f t="shared" si="2"/>
        <v>1a</v>
      </c>
      <c r="AK5" s="41" t="str">
        <f t="shared" si="3"/>
        <v>1a</v>
      </c>
      <c r="AL5" s="41">
        <f t="shared" si="4"/>
        <v>0</v>
      </c>
      <c r="AM5" s="41" t="str">
        <f t="shared" si="5"/>
        <v>I</v>
      </c>
      <c r="AN5" s="42" t="s">
        <v>164</v>
      </c>
      <c r="AO5" s="43" t="s">
        <v>205</v>
      </c>
      <c r="AP5" s="43" t="s">
        <v>205</v>
      </c>
      <c r="AQ5" s="43">
        <v>0</v>
      </c>
      <c r="AR5" s="43" t="s">
        <v>31</v>
      </c>
      <c r="AS5" s="42">
        <f t="shared" si="6"/>
        <v>1</v>
      </c>
      <c r="AT5" s="43">
        <f t="shared" si="7"/>
        <v>1</v>
      </c>
      <c r="AU5" s="43">
        <f t="shared" si="8"/>
        <v>1</v>
      </c>
      <c r="AV5" s="43">
        <f t="shared" si="9"/>
        <v>1</v>
      </c>
      <c r="AW5" s="44">
        <f t="shared" si="10"/>
        <v>1</v>
      </c>
    </row>
    <row r="6" spans="1:49">
      <c r="A6" s="13">
        <v>4</v>
      </c>
      <c r="B6" s="16">
        <f>_xlfn.MAXIFS('Model output'!B:B,'Model output'!Z:Z,'Classification result'!$A6)</f>
        <v>0</v>
      </c>
      <c r="C6" s="16"/>
      <c r="D6" s="16"/>
      <c r="E6" s="17">
        <f>_xlfn.MAXIFS('Model output'!C:C,'Model output'!Z:Z,'Classification result'!$A6)</f>
        <v>61</v>
      </c>
      <c r="F6" s="17" t="str" cm="1">
        <f t="array" ref="F6">LEFT(IF(ISERROR(RIGHT(IF(INDEX(_xlfn._xlws.FILTER('Model output'!D:D,('Model output'!Z:Z=A6)),1)&lt;&gt;"",INDEX(_xlfn._xlws.FILTER('Model output'!D:D,('Model output'!Z:Z=A6)),1),""),LEN(IF(INDEX(_xlfn._xlws.FILTER('Model output'!D:D,('Model output'!Z:Z=A6)),1)&lt;&gt;"",INDEX(_xlfn._xlws.FILTER('Model output'!D:D,('Model output'!Z:Z=A6)),1),""))-FIND("T",IF(INDEX(_xlfn._xlws.FILTER('Model output'!D:D,('Model output'!Z:Z=A6)),1)&lt;&gt;"",INDEX(_xlfn._xlws.FILTER('Model output'!D:D,('Model output'!Z:Z=A6)),1),""),1))),"",(RIGHT(IF(INDEX(_xlfn._xlws.FILTER('Model output'!D:D,('Model output'!Z:Z=A6)),1)&lt;&gt;"",INDEX(_xlfn._xlws.FILTER('Model output'!D:D,('Model output'!Z:Z=A6)),1),""),LEN(IF(INDEX(_xlfn._xlws.FILTER('Model output'!D:D,('Model output'!Z:Z=A6)),1)&lt;&gt;"",INDEX(_xlfn._xlws.FILTER('Model output'!D:D,('Model output'!Z:Z=A6)),1),""))-FIND("T",IF(INDEX(_xlfn._xlws.FILTER('Model output'!D:D,('Model output'!Z:Z=A6)),1)&lt;&gt;"",INDEX(_xlfn._xlws.FILTER('Model output'!D:D,('Model output'!Z:Z=A6)),1)))))),2)</f>
        <v>1</v>
      </c>
      <c r="G6" s="17" t="str" cm="1">
        <f t="array" ref="G6">IF(ISNUMBER(SEARCH("N",IF(ISNUMBER(SEARCH("present",IF(INDEX(_xlfn._xlws.FILTER('Model output'!E:E,('Model output'!Z:Z=A6)),1)="","",INDEX(_xlfn._xlws.FILTER('Model output'!E:E,('Model output'!Z:Z=A6)),1)),1)),"N1", IF(INDEX(_xlfn._xlws.FILTER('Model output'!E:E,('Model output'!Z:Z=A6)),1)="","",INDEX(_xlfn._xlws.FILTER('Model output'!E:E,('Model output'!Z:Z=A6)),1))),1)),RIGHT(IF(ISNUMBER(SEARCH("present",IF(INDEX(_xlfn._xlws.FILTER('Model output'!E:E,('Model output'!Z:Z=A6)),1)="","",INDEX(_xlfn._xlws.FILTER('Model output'!E:E,('Model output'!Z:Z=A6)),1)),1)),"N1", IF(INDEX(_xlfn._xlws.FILTER('Model output'!E:E,('Model output'!Z:Z=A6)),1)="","",INDEX(_xlfn._xlws.FILTER('Model output'!E:E,('Model output'!Z:Z=A6)),1))),LEN(IF(ISNUMBER(SEARCH("present",IF(INDEX(_xlfn._xlws.FILTER('Model output'!E:E,('Model output'!Z:Z=A6)),1)="","",INDEX(_xlfn._xlws.FILTER('Model output'!E:E,('Model output'!Z:Z=A6)),1)),1)),"N1", IF(INDEX(_xlfn._xlws.FILTER('Model output'!E:E,('Model output'!Z:Z=A6)),1)="","",INDEX(_xlfn._xlws.FILTER('Model output'!E:E,('Model output'!Z:Z=A6)),1))))-FIND("N",IF(ISNUMBER(SEARCH("present",IF(INDEX(_xlfn._xlws.FILTER('Model output'!E:E,('Model output'!Z:Z=A6)),1)="","",INDEX(_xlfn._xlws.FILTER('Model output'!E:E,('Model output'!Z:Z=A6)),1)),1)),"N1", IF(INDEX(_xlfn._xlws.FILTER('Model output'!E:E,('Model output'!Z:Z=A6)),1)="","",INDEX(_xlfn._xlws.FILTER('Model output'!E:E,('Model output'!Z:Z=A6)),1))),1)), "")</f>
        <v>1a</v>
      </c>
      <c r="H6" s="17" cm="1">
        <f t="array" ref="H6">IF(AND(SUBSTITUTE(_xlfn.TEXTJOIN("/", TRUE, _xlfn._xlws.FILTER('Model output'!F:F, 'Model output'!Z:Z=A6)),"M", "")="", K6="negative"),0,IF(K6="positive",1,0))</f>
        <v>0</v>
      </c>
      <c r="I6" t="str">
        <f t="shared" si="0"/>
        <v>positive</v>
      </c>
      <c r="J6" t="str" cm="1">
        <f t="array" ref="J6">IF(AND(M6&gt;0, _xlfn.TEXTJOIN("; ", TRUE, _xlfn._xlws.FILTER('Model output'!G:G, 'Model output'!Z:Z=A6)) &lt;&gt;"", OR(AND(ISNUMBER(SEARCH("level", _xlfn.TEXTJOIN("; ", TRUE, _xlfn._xlws.FILTER('Model output'!G:G, 'Model output'!Z:Z=A6)),1)),OR(ISNUMBER(SEARCH(" II", _xlfn.TEXTJOIN("; ", TRUE, _xlfn._xlws.FILTER('Model output'!G:G, 'Model output'!Z:Z=A6)),1)),ISNUMBER(SEARCH("2", _xlfn.TEXTJOIN("; ", TRUE, _xlfn._xlws.FILTER('Model output'!G:G, 'Model output'!Z:Z=A6)),1)),ISNUMBER(SEARCH("two", _xlfn.TEXTJOIN("; ", TRUE, _xlfn._xlws.FILTER('Model output'!G:G, 'Model output'!Z:Z=A6)),1)),ISNUMBER(SEARCH("III", _xlfn.TEXTJOIN("; ", TRUE, _xlfn._xlws.FILTER('Model output'!G:G, 'Model output'!Z:Z=A6)),1)),ISNUMBER(SEARCH("3", _xlfn.TEXTJOIN("; ", TRUE, _xlfn._xlws.FILTER('Model output'!G:G, 'Model output'!Z:Z=A6)),1)),ISNUMBER(SEARCH("three", _xlfn.TEXTJOIN("; ", TRUE, _xlfn._xlws.FILTER('Model output'!G:G, 'Model output'!Z:Z=A6)),1)),ISNUMBER(SEARCH("IV", _xlfn.TEXTJOIN("; ", TRUE, _xlfn._xlws.FILTER('Model output'!G:G, 'Model output'!Z:Z=A6)),1)),ISNUMBER(SEARCH("4", _xlfn.TEXTJOIN("; ", TRUE, _xlfn._xlws.FILTER('Model output'!G:G, 'Model output'!Z:Z=A6)),1)),ISNUMBER(SEARCH("five", _xlfn.TEXTJOIN("; ", TRUE, _xlfn._xlws.FILTER('Model output'!G:G, 'Model output'!Z:Z=A6)),1)),ISNUMBER(SEARCH("V ", _xlfn.TEXTJOIN("; ", TRUE, _xlfn._xlws.FILTER('Model output'!G:G, 'Model output'!Z:Z=A6)),1)),ISNUMBER(SEARCH("5", _xlfn.TEXTJOIN("; ", TRUE, _xlfn._xlws.FILTER('Model output'!G:G, 'Model output'!Z:Z=A6)),1)),ISNUMBER(SEARCH("five", _xlfn.TEXTJOIN("; ", TRUE, _xlfn._xlws.FILTER('Model output'!G:G, 'Model output'!Z:Z=A6)),1)),ISNUMBER(SEARCH(" lateral", _xlfn.TEXTJOIN("; ", TRUE, _xlfn._xlws.FILTER('Model output'!G:G, 'Model output'!Z:Z=A6)),1)))),ISNUMBER(SEARCH("cervical", _xlfn.TEXTJOIN("; ", TRUE, _xlfn._xlws.FILTER('Model output'!G:G, 'Model output'!Z:Z=A6)),1)),ISNUMBER(SEARCH("jugular", _xlfn.TEXTJOIN("; ", TRUE, _xlfn._xlws.FILTER('Model output'!G:G, 'Model output'!Z:Z=A6)),1)),ISNUMBER(SEARCH("left neck", _xlfn.TEXTJOIN("; ", TRUE, _xlfn._xlws.FILTER('Model output'!G:G, 'Model output'!Z:Z=A6)),1)),ISNUMBER(SEARCH("left anterior neck", _xlfn.TEXTJOIN("; ", TRUE, _xlfn._xlws.FILTER('Model output'!G:G, 'Model output'!Z:Z=A6)),1)),ISNUMBER(SEARCH("left posterior neck", _xlfn.TEXTJOIN("; ", TRUE, _xlfn._xlws.FILTER('Model output'!G:G, 'Model output'!Z:Z=A6)),1)),ISNUMBER(SEARCH("right neck", _xlfn.TEXTJOIN("; ", TRUE, _xlfn._xlws.FILTER('Model output'!G:G, 'Model output'!Z:Z=A6)),1)),ISNUMBER(SEARCH("right anterior neck", _xlfn.TEXTJOIN("; ", TRUE, _xlfn._xlws.FILTER('Model output'!G:G, 'Model output'!Z:Z=A6)),1)),ISNUMBER(SEARCH("right posterior neck", _xlfn.TEXTJOIN("; ", TRUE, _xlfn._xlws.FILTER('Model output'!G:G, 'Model output'!Z:Z=A6)),1)))),"lateral",IF(AND(M6=0, _xlfn.TEXTJOIN("; ", TRUE, _xlfn._xlws.FILTER('Model output'!G:G, 'Model output'!Z:Z=A6))=""),"", "central"))</f>
        <v>central</v>
      </c>
      <c r="K6" s="17" t="str" cm="1">
        <f t="array" ref="K6">IF(OR(ISNUMBER(SEARCH("lymph",_xlfn.TEXTJOIN("; ", TRUE, _xlfn._xlws.FILTER('Model output'!H:H, 'Model output'!Z:Z=A6)),1)), ISNUMBER(SEARCH("Not mentioned",_xlfn.TEXTJOIN("; ", TRUE, _xlfn._xlws.FILTER('Model output'!H:H, 'Model output'!Z:Z=A6)),1)),ISNUMBER(SEARCH("thyroid",_xlfn.TEXTJOIN("; ", TRUE, _xlfn._xlws.FILTER('Model output'!H:H, 'Model output'!Z:Z=A6)),1)),ISNUMBER(SEARCH("strap muscle",_xlfn.TEXTJOIN("; ", TRUE, _xlfn._xlws.FILTER('Model output'!H:H, 'Model output'!Z:Z=A6)),1)),ISNUMBER(SEARCH("subcutaneous soft tissues",_xlfn.TEXTJOIN("; ", TRUE, _xlfn._xlws.FILTER('Model output'!H:H, 'Model output'!Z:Z=A6)),1)),ISNUMBER(SEARCH("larynx",_xlfn.TEXTJOIN("; ", TRUE, _xlfn._xlws.FILTER('Model output'!H:H, 'Model output'!Z:Z=A6)),1)),ISNUMBER(SEARCH("trachea",_xlfn.TEXTJOIN("; ", TRUE, _xlfn._xlws.FILTER('Model output'!H:H, 'Model output'!Z:Z=A6)),1)),ISNUMBER(SEARCH("esophagus",_xlfn.TEXTJOIN("; ", TRUE, _xlfn._xlws.FILTER('Model output'!H:H, 'Model output'!Z:Z=A6)),1)),ISNUMBER(SEARCH("recurrent laryngeal nerve",_xlfn.TEXTJOIN("; ", TRUE, _xlfn._xlws.FILTER('Model output'!H:H, 'Model output'!Z:Z=A6)),1)),ISNUMBER(SEARCH("RLN",_xlfn.TEXTJOIN("; ", TRUE, _xlfn._xlws.FILTER('Model output'!H:H, 'Model output'!Z:Z=A6)),1)),_xlfn.TEXTJOIN("; ", TRUE, _xlfn._xlws.FILTER('Model output'!H:H, 'Model output'!Z:Z=A6))=""),"negative","positive")</f>
        <v>negative</v>
      </c>
      <c r="L6" s="17">
        <f>IF(IFERROR(INDEX('Model output'!I:I, MATCH(A6, 'Model output'!Z:Z, 0)), "") &lt; M6, "", IFERROR(INDEX('Model output'!I:I, MATCH(A6, 'Model output'!Z:Z, 0)), ""))</f>
        <v>4</v>
      </c>
      <c r="M6" s="17">
        <f>IFERROR(INDEX('Model output'!J:J, MATCH(A6, 'Model output'!Z:Z, 0)), "")</f>
        <v>3</v>
      </c>
      <c r="N6" s="18" t="str" cm="1">
        <f t="array" ref="N6">ReplaceTo(ReplaceAnd(SUBSTITUTE(SUBSTITUTE(_xlfn.TEXTJOIN("; ", TRUE, _xlfn._xlws.FILTER('Model output'!K:K, 'Model output'!Z:Z=A6)), " ", ""), ",", ";")))</f>
        <v>9mm</v>
      </c>
      <c r="O6" t="str" cm="1">
        <f t="array" ref="O6">IF(LEFT(IF(RIGHT(SUBSTITUTE(FilterWithUnits(N6)&amp; ";" &amp;FilterStringsWithNumericAnd(N6) &amp; ";" &amp; FilterStringsWithX(N6), ";;", ";"),1)=";",LEFT(SUBSTITUTE(FilterWithUnits(N6)&amp; ";" &amp;FilterStringsWithNumericAnd(N6) &amp; ";" &amp; FilterStringsWithX(N6), ";;", ";"),LEN(SUBSTITUTE(FilterWithUnits(N6)&amp; ";" &amp;FilterStringsWithNumericAnd(N6) &amp; ";" &amp; FilterStringsWithX(N6), ";;", ";"))-1),SUBSTITUTE(FilterWithUnits(N6)&amp; ";" &amp;FilterStringsWithNumericAnd(N6) &amp; ";" &amp; FilterStringsWithX(N6), ";;", ";")),1)=";",RIGHT(IF(RIGHT(SUBSTITUTE(FilterWithUnits(N6)&amp; ";" &amp;FilterStringsWithNumericAnd(N6) &amp; ";" &amp; FilterStringsWithX(N6), ";;", ";"),1)=";",LEFT(SUBSTITUTE(FilterWithUnits(N6)&amp; ";" &amp;FilterStringsWithNumericAnd(N6) &amp; ";" &amp; FilterStringsWithX(N6), ";;", ";"),LEN(SUBSTITUTE(FilterWithUnits(N6)&amp; ";" &amp;FilterStringsWithNumericAnd(N6) &amp; ";" &amp; FilterStringsWithX(N6), ";;", ";"))-1),SUBSTITUTE(FilterWithUnits(N6)&amp; ";" &amp;FilterStringsWithNumericAnd(N6) &amp; ";" &amp; FilterStringsWithX(N6), ";;", ";")),LEN(IF(RIGHT(SUBSTITUTE(FilterWithUnits(N6)&amp; ";" &amp;FilterStringsWithNumericAnd(N6) &amp; ";" &amp; FilterStringsWithX(N6), ";;", ";"),1)=";",LEFT(SUBSTITUTE(FilterWithUnits(N6)&amp; ";" &amp;FilterStringsWithNumericAnd(N6) &amp; ";" &amp; FilterStringsWithX(N6), ";;", ";"),LEN(SUBSTITUTE(FilterWithUnits(N6)&amp; ";" &amp;FilterStringsWithNumericAnd(N6) &amp; ";" &amp; FilterStringsWithX(N6), ";;", ";"))-1),SUBSTITUTE(FilterWithUnits(N6)&amp; ";" &amp;FilterStringsWithNumericAnd(N6) &amp; ";" &amp; FilterStringsWithX(N6), ";;", ";")))-1),IF(RIGHT(SUBSTITUTE(FilterWithUnits(N6)&amp; ";" &amp;FilterStringsWithNumericAnd(N6) &amp; ";" &amp; FilterStringsWithX(N6), ";;", ";"),1)=";",LEFT(SUBSTITUTE(FilterWithUnits(N6)&amp; ";" &amp;FilterStringsWithNumericAnd(N6) &amp; ";" &amp; FilterStringsWithX(N6), ";;", ";"),LEN(SUBSTITUTE(FilterWithUnits(N6)&amp; ";" &amp;FilterStringsWithNumericAnd(N6) &amp; ";" &amp; FilterStringsWithX(N6), ";;", ";"))-1),SUBSTITUTE(FilterWithUnits(N6)&amp; ";" &amp;FilterStringsWithNumericAnd(N6) &amp; ";" &amp; FilterStringsWithX(N6), ";;", ";")))</f>
        <v>9mm</v>
      </c>
      <c r="P6" cm="1">
        <f t="array" ref="P6">IF(MaxSize((SplitDimensions(O6)))=0, "", MaxSize((SplitDimensions(O6))))</f>
        <v>0.9</v>
      </c>
      <c r="Q6" t="str" cm="1">
        <f t="array" ref="Q6">IF(ISERROR(INDEX(_xlfn._xlws.FILTER('Model output'!L:L, ('Model output'!Z:Z=A6)*('Model output'!L:L&lt;&gt;"")), 1)), " ", LOWER(INDEX(_xlfn._xlws.FILTER('Model output'!L:L, ('Model output'!Z:Z=A6)*('Model output'!L:L&lt;&gt;"")), 1)))</f>
        <v>papillary carcinoma, classic subtype</v>
      </c>
      <c r="R6" t="str" cm="1">
        <f t="array" ref="R6">IF(ISERROR(INDEX(_xlfn._xlws.FILTER('Model output'!M:M, ('Model output'!Z:Z=A6)*('Model output'!M:M&lt;&gt;"")), 1)), " ", LOWER(INDEX(_xlfn._xlws.FILTER('Model output'!M:M, ('Model output'!Z:Z=A6)*('Model output'!M:M&lt;&gt;"")), 1)))</f>
        <v xml:space="preserve"> </v>
      </c>
      <c r="S6" t="str" cm="1">
        <f t="array" ref="S6">IF(OR(ISNUMBER(SEARCH("ly",SUBSTITUTE(INDEX(_xlfn._xlws.FILTER('Model output'!N:N,('Model output'!Z:Z=A6)*('Model output'!N:N&lt;&gt;"")),1)," ",""),1)), ISNUMBER(SEARCH("pole",SUBSTITUTE(INDEX(_xlfn._xlws.FILTER('Model output'!N:N,('Model output'!Z:Z=A6)*('Model output'!N:N&lt;&gt;"")),1)," ",""),1))),"",SUBSTITUTE(INDEX(_xlfn._xlws.FILTER('Model output'!N:N,('Model output'!Z:Z=A6)*('Model output'!N:N&lt;&gt;"")),1)," ",""))</f>
        <v>15mm</v>
      </c>
      <c r="T6" t="str" cm="1">
        <f t="array" ref="T6">IF(LEFT(IF(RIGHT(SUBSTITUTE(FilterWithUnits(S6)&amp; ";" &amp;FilterStringsWithNumericAnd(S6) &amp; ";" &amp; FilterStringsWithX(S6), ";;", ";"),1)=";",LEFT(SUBSTITUTE(FilterWithUnits(S6)&amp; ";" &amp;FilterStringsWithNumericAnd(S6) &amp; ";" &amp; FilterStringsWithX(S6), ";;", ";"),LEN(SUBSTITUTE(FilterWithUnits(S6)&amp; ";" &amp;FilterStringsWithNumericAnd(S6) &amp; ";" &amp; FilterStringsWithX(S6), ";;", ";"))-1),SUBSTITUTE(FilterWithUnits(S6)&amp; ";" &amp;FilterStringsWithNumericAnd(S6) &amp; ";" &amp; FilterStringsWithX(S6), ";;", ";")),1)=";",RIGHT(IF(RIGHT(SUBSTITUTE(FilterWithUnits(S6)&amp; ";" &amp;FilterStringsWithNumericAnd(S6) &amp; ";" &amp; FilterStringsWithX(S6), ";;", ";"),1)=";",LEFT(SUBSTITUTE(FilterWithUnits(S6)&amp; ";" &amp;FilterStringsWithNumericAnd(S6) &amp; ";" &amp; FilterStringsWithX(S6), ";;", ";"),LEN(SUBSTITUTE(FilterWithUnits(S6)&amp; ";" &amp;FilterStringsWithNumericAnd(S6) &amp; ";" &amp; FilterStringsWithX(S6), ";;", ";"))-1),SUBSTITUTE(FilterWithUnits(S6)&amp; ";" &amp;FilterStringsWithNumericAnd(S6) &amp; ";" &amp; FilterStringsWithX(S6), ";;", ";")),LEN(IF(RIGHT(SUBSTITUTE(FilterWithUnits(S6)&amp; ";" &amp;FilterStringsWithNumericAnd(S6) &amp; ";" &amp; FilterStringsWithX(S6), ";;", ";"),1)=";",LEFT(SUBSTITUTE(FilterWithUnits(S6)&amp; ";" &amp;FilterStringsWithNumericAnd(S6) &amp; ";" &amp; FilterStringsWithX(S6), ";;", ";"),LEN(SUBSTITUTE(FilterWithUnits(S6)&amp; ";" &amp;FilterStringsWithNumericAnd(S6) &amp; ";" &amp; FilterStringsWithX(S6), ";;", ";"))-1),SUBSTITUTE(FilterWithUnits(S6)&amp; ";" &amp;FilterStringsWithNumericAnd(S6) &amp; ";" &amp; FilterStringsWithX(S6), ";;", ";")))-1),IF(RIGHT(SUBSTITUTE(FilterWithUnits(S6)&amp; ";" &amp;FilterStringsWithNumericAnd(S6) &amp; ";" &amp; FilterStringsWithX(S6), ";;", ";"),1)=";",LEFT(SUBSTITUTE(FilterWithUnits(S6)&amp; ";" &amp;FilterStringsWithNumericAnd(S6) &amp; ";" &amp; FilterStringsWithX(S6), ";;", ";"),LEN(SUBSTITUTE(FilterWithUnits(S6)&amp; ";" &amp;FilterStringsWithNumericAnd(S6) &amp; ";" &amp; FilterStringsWithX(S6), ";;", ";"))-1),SUBSTITUTE(FilterWithUnits(S6)&amp; ";" &amp;FilterStringsWithNumericAnd(S6) &amp; ";" &amp; FilterStringsWithX(S6), ";;", ";")))</f>
        <v>15mm</v>
      </c>
      <c r="U6" cm="1">
        <f t="array" ref="U6">IF(MaxSize((SplitDimensions(T6)))=0, "", MaxSize((SplitDimensions(T6))))</f>
        <v>1.5</v>
      </c>
      <c r="V6" s="17" t="str" cm="1">
        <f t="array" ref="V6">IF(ISERROR(INDEX(_xlfn._xlws.FILTER('Model output'!P:P,('Model output'!Z:Z=A6)*('Model output'!P:P&lt;&gt;"")),1)),"negative",IF(OR(ISNUMBER(SEARCH("foc",INDEX(_xlfn._xlws.FILTER('Model output'!P:P,('Model output'!Z:Z=A6)*('Model output'!P:P&lt;&gt;"")),1),1)),ISNUMBER(SEARCH("extensive",INDEX(_xlfn._xlws.FILTER('Model output'!P:P,('Model output'!Z:Z=A6)*('Model output'!P:P&lt;&gt;"")),1),1)),ISNUMBER(SEARCH("present",INDEX(_xlfn._xlws.FILTER('Model output'!P:P,('Model output'!Z:Z=A6)*('Model output'!P:P&lt;&gt;"")),1),1)),ISNUMBER(SEARCH("yes",INDEX(_xlfn._xlws.FILTER('Model output'!P:P,('Model output'!Z:Z=A6)*('Model output'!P:P&lt;&gt;"")),1),1))),"positive","negative"))</f>
        <v>positive</v>
      </c>
      <c r="X6" t="str" cm="1">
        <f t="array" ref="X6">IF(ISNUMBER(SEARCH("4",INDEX(_xlfn._xlws.FILTER('Model output'!P:P,('Model output'!Z:Z=A6)*('Model output'!P:P&lt;&gt;"")),1),1)),INDEX(_xlfn._xlws.FILTER('Model output'!P:P,('Model output'!Z:Z=A6)*('Model output'!P:P&lt;&gt;"")),1),"") &amp; _xlfn.TEXTJOIN("",TRUE,_xlfn._xlws.FILTER('Model output'!Q:Q,'Model output'!Z:Z=A6))</f>
        <v/>
      </c>
      <c r="Y6" t="str">
        <f t="shared" si="11"/>
        <v>minimal</v>
      </c>
      <c r="Z6" t="str" cm="1">
        <f t="array" ref="Z6">IF(OR(ISNUMBER(SEARCH("focal",_xlfn.TEXTJOIN("; ",TRUE,_xlfn._xlws.FILTER('Model output'!R:R,'Model output'!Z:Z=A6)),1)),ISNUMBER(SEARCH("present",_xlfn.TEXTJOIN("; ",TRUE,_xlfn._xlws.FILTER('Model output'!R:R,'Model output'!Z:Z=A6)),1))),"positive",IF(_xlfn.TEXTJOIN("; ",TRUE,_xlfn._xlws.FILTER('Model output'!R:R,'Model output'!Z:Z=A6))="","negative",IF(OR(ISNUMBER(SEARCH("no",_xlfn.TEXTJOIN("; ",TRUE,_xlfn._xlws.FILTER('Model output'!R:R,'Model output'!Z:Z=A6)),1)),ISNUMBER(SEARCH("absent",_xlfn.TEXTJOIN("; ",TRUE,_xlfn._xlws.FILTER('Model output'!R:R,'Model output'!Z:Z=A6)),1))),"negative","positive")))</f>
        <v>negative</v>
      </c>
      <c r="AA6" s="17" t="str">
        <f t="shared" si="1"/>
        <v>positive</v>
      </c>
      <c r="AE6" s="17" t="str">
        <f t="shared" si="12"/>
        <v>negative</v>
      </c>
      <c r="AF6" t="str" cm="1">
        <f t="array" ref="AF6">_xlfn.TEXTJOIN("; ",TRUE,_xlfn._xlws.FILTER('Model output'!S:S,'Model output'!Z:Z=A6))</f>
        <v>fatty soft tissue at isthmus</v>
      </c>
      <c r="AG6" s="17" t="str" cm="1">
        <f t="array" ref="AG6">IF(OR(ISNUMBER(SEARCH("uninvolved",_xlfn.TEXTJOIN("; ",TRUE,_xlfn._xlws.FILTER('Model output'!V:V,'Model output'!Z:Z=A6)),1)),ISNUMBER(SEARCH("clear",_xlfn.TEXTJOIN("; ",TRUE,_xlfn._xlws.FILTER('Model output'!V:V,'Model output'!Z:Z=A6)),1))*ISNUMBER(SEARCH("not mentioned",_xlfn.TEXTJOIN("; ",TRUE,_xlfn._xlws.FILTER('Model output'!V:V,'Model output'!Z:Z=A6)),1))),"negative",IF(ISNUMBER(SEARCH("cannot be assessed",_xlfn.TEXTJOIN("; ",TRUE,_xlfn._xlws.FILTER('Model output'!V:V,'Model output'!Z:Z=A6)),1)),"unknown","negative"))</f>
        <v>negative</v>
      </c>
      <c r="AI6" s="45" t="str">
        <f t="shared" si="13"/>
        <v>intermediate</v>
      </c>
      <c r="AJ6" s="41" t="str">
        <f t="shared" ref="AJ6:AJ32" si="14">IF(OR(ISNUMBER(SEARCH("non-invasive follicular",Q6)),ISNUMBER(SEARCH("papillary-like nuclear features",Q6)),ISNUMBER(SEARCH("non-invasive follicular",R6)),ISNUMBER(SEARCH("papillary-like nuclear features",R6))),"NIFTP", IF(OR(F6="4b",AND(AE6="positive",OR(ISNUMBER(SEARCH("prevertebral",AF6)),ISNUMBER(SEARCH("fascia",AF6)),ISNUMBER(SEARCH("carotid artery",AF6)),ISNUMBER(SEARCH("mediastinal",AF6))))),"4b",IF(OR(F6="4a",AND(AE6="positive",OR(ISNUMBER(SEARCH("soft tissue",AF6)),ISNUMBER(SEARCH("larynx",AF6)),ISNUMBER(SEARCH("trachea",AF6)),ISNUMBER(SEARCH("esophagus",AF6)),ISNUMBER(SEARCH("recurrent laryngeal nerve",AF6)),ISNUMBER(SEARCH("RLN",AF6))))),"4a", IF(OR(F6="3b", AE6="positive",ISNUMBER(SEARCH("strap",AF6)),ISNUMBER(SEARCH("sternothyroid",AF6)),ISNUMBER(SEARCH("sternohyoid",AF6)),ISNUMBER(SEARCH("thyrohyoid",AF6)),ISNUMBER(SEARCH("omohyoid",AF6))),"3b",IF(OR(F6="3a", AND(U6&lt;&gt;"",U6&gt;4)),"3a",IF(AND(U6&lt;&gt;"", U6&lt;=4,U6&gt;2),"2",IF(AND(U6&lt;&gt;"",U6&lt;=2,U6&gt;1),"1b",IF(AND(U6&lt;&gt;"",U6&lt;=1),"1a","1a"))))))))</f>
        <v>1b</v>
      </c>
      <c r="AK6" s="41" t="str">
        <f t="shared" si="3"/>
        <v>1a</v>
      </c>
      <c r="AL6" s="41">
        <f t="shared" si="4"/>
        <v>0</v>
      </c>
      <c r="AM6" s="41" t="str">
        <f t="shared" si="5"/>
        <v>II</v>
      </c>
      <c r="AN6" s="42" t="s">
        <v>164</v>
      </c>
      <c r="AO6" s="41" t="s">
        <v>203</v>
      </c>
      <c r="AP6" s="43" t="s">
        <v>205</v>
      </c>
      <c r="AQ6" s="43">
        <v>0</v>
      </c>
      <c r="AR6" s="43" t="s">
        <v>44</v>
      </c>
      <c r="AS6" s="42">
        <f t="shared" si="6"/>
        <v>1</v>
      </c>
      <c r="AT6" s="43">
        <f t="shared" si="7"/>
        <v>1</v>
      </c>
      <c r="AU6" s="43">
        <f t="shared" si="8"/>
        <v>1</v>
      </c>
      <c r="AV6" s="43">
        <f t="shared" si="9"/>
        <v>1</v>
      </c>
      <c r="AW6" s="44">
        <f t="shared" si="10"/>
        <v>1</v>
      </c>
    </row>
    <row r="7" spans="1:49">
      <c r="A7" s="13">
        <v>5</v>
      </c>
      <c r="B7" s="16">
        <f>_xlfn.MAXIFS('Model output'!B:B,'Model output'!Z:Z,'Classification result'!$A7)</f>
        <v>0</v>
      </c>
      <c r="C7" s="16"/>
      <c r="D7" s="16"/>
      <c r="E7" s="17">
        <f>_xlfn.MAXIFS('Model output'!C:C,'Model output'!Z:Z,'Classification result'!$A7)</f>
        <v>34</v>
      </c>
      <c r="F7" s="17" t="str" cm="1">
        <f t="array" ref="F7">LEFT(IF(ISERROR(RIGHT(IF(INDEX(_xlfn._xlws.FILTER('Model output'!D:D,('Model output'!Z:Z=A7)),1)&lt;&gt;"",INDEX(_xlfn._xlws.FILTER('Model output'!D:D,('Model output'!Z:Z=A7)),1),""),LEN(IF(INDEX(_xlfn._xlws.FILTER('Model output'!D:D,('Model output'!Z:Z=A7)),1)&lt;&gt;"",INDEX(_xlfn._xlws.FILTER('Model output'!D:D,('Model output'!Z:Z=A7)),1),""))-FIND("T",IF(INDEX(_xlfn._xlws.FILTER('Model output'!D:D,('Model output'!Z:Z=A7)),1)&lt;&gt;"",INDEX(_xlfn._xlws.FILTER('Model output'!D:D,('Model output'!Z:Z=A7)),1),""),1))),"",(RIGHT(IF(INDEX(_xlfn._xlws.FILTER('Model output'!D:D,('Model output'!Z:Z=A7)),1)&lt;&gt;"",INDEX(_xlfn._xlws.FILTER('Model output'!D:D,('Model output'!Z:Z=A7)),1),""),LEN(IF(INDEX(_xlfn._xlws.FILTER('Model output'!D:D,('Model output'!Z:Z=A7)),1)&lt;&gt;"",INDEX(_xlfn._xlws.FILTER('Model output'!D:D,('Model output'!Z:Z=A7)),1),""))-FIND("T",IF(INDEX(_xlfn._xlws.FILTER('Model output'!D:D,('Model output'!Z:Z=A7)),1)&lt;&gt;"",INDEX(_xlfn._xlws.FILTER('Model output'!D:D,('Model output'!Z:Z=A7)),1)))))),2)</f>
        <v>3b</v>
      </c>
      <c r="G7" s="17" t="str" cm="1">
        <f t="array" ref="G7">IF(ISNUMBER(SEARCH("N",IF(ISNUMBER(SEARCH("present",IF(INDEX(_xlfn._xlws.FILTER('Model output'!E:E,('Model output'!Z:Z=A7)),1)="","",INDEX(_xlfn._xlws.FILTER('Model output'!E:E,('Model output'!Z:Z=A7)),1)),1)),"N1", IF(INDEX(_xlfn._xlws.FILTER('Model output'!E:E,('Model output'!Z:Z=A7)),1)="","",INDEX(_xlfn._xlws.FILTER('Model output'!E:E,('Model output'!Z:Z=A7)),1))),1)),RIGHT(IF(ISNUMBER(SEARCH("present",IF(INDEX(_xlfn._xlws.FILTER('Model output'!E:E,('Model output'!Z:Z=A7)),1)="","",INDEX(_xlfn._xlws.FILTER('Model output'!E:E,('Model output'!Z:Z=A7)),1)),1)),"N1", IF(INDEX(_xlfn._xlws.FILTER('Model output'!E:E,('Model output'!Z:Z=A7)),1)="","",INDEX(_xlfn._xlws.FILTER('Model output'!E:E,('Model output'!Z:Z=A7)),1))),LEN(IF(ISNUMBER(SEARCH("present",IF(INDEX(_xlfn._xlws.FILTER('Model output'!E:E,('Model output'!Z:Z=A7)),1)="","",INDEX(_xlfn._xlws.FILTER('Model output'!E:E,('Model output'!Z:Z=A7)),1)),1)),"N1", IF(INDEX(_xlfn._xlws.FILTER('Model output'!E:E,('Model output'!Z:Z=A7)),1)="","",INDEX(_xlfn._xlws.FILTER('Model output'!E:E,('Model output'!Z:Z=A7)),1))))-FIND("N",IF(ISNUMBER(SEARCH("present",IF(INDEX(_xlfn._xlws.FILTER('Model output'!E:E,('Model output'!Z:Z=A7)),1)="","",INDEX(_xlfn._xlws.FILTER('Model output'!E:E,('Model output'!Z:Z=A7)),1)),1)),"N1", IF(INDEX(_xlfn._xlws.FILTER('Model output'!E:E,('Model output'!Z:Z=A7)),1)="","",INDEX(_xlfn._xlws.FILTER('Model output'!E:E,('Model output'!Z:Z=A7)),1))),1)), "")</f>
        <v>1a</v>
      </c>
      <c r="H7" s="17" cm="1">
        <f t="array" ref="H7">IF(AND(SUBSTITUTE(_xlfn.TEXTJOIN("/", TRUE, _xlfn._xlws.FILTER('Model output'!F:F, 'Model output'!Z:Z=A7)),"M", "")="", K7="negative"),0,IF(K7="positive",1,0))</f>
        <v>0</v>
      </c>
      <c r="I7" t="str">
        <f t="shared" si="0"/>
        <v>positive</v>
      </c>
      <c r="J7" t="str" cm="1">
        <f t="array" ref="J7">IF(AND(M7&gt;0, _xlfn.TEXTJOIN("; ", TRUE, _xlfn._xlws.FILTER('Model output'!G:G, 'Model output'!Z:Z=A7)) &lt;&gt;"", OR(AND(ISNUMBER(SEARCH("level", _xlfn.TEXTJOIN("; ", TRUE, _xlfn._xlws.FILTER('Model output'!G:G, 'Model output'!Z:Z=A7)),1)),OR(ISNUMBER(SEARCH(" II", _xlfn.TEXTJOIN("; ", TRUE, _xlfn._xlws.FILTER('Model output'!G:G, 'Model output'!Z:Z=A7)),1)),ISNUMBER(SEARCH("2", _xlfn.TEXTJOIN("; ", TRUE, _xlfn._xlws.FILTER('Model output'!G:G, 'Model output'!Z:Z=A7)),1)),ISNUMBER(SEARCH("two", _xlfn.TEXTJOIN("; ", TRUE, _xlfn._xlws.FILTER('Model output'!G:G, 'Model output'!Z:Z=A7)),1)),ISNUMBER(SEARCH("III", _xlfn.TEXTJOIN("; ", TRUE, _xlfn._xlws.FILTER('Model output'!G:G, 'Model output'!Z:Z=A7)),1)),ISNUMBER(SEARCH("3", _xlfn.TEXTJOIN("; ", TRUE, _xlfn._xlws.FILTER('Model output'!G:G, 'Model output'!Z:Z=A7)),1)),ISNUMBER(SEARCH("three", _xlfn.TEXTJOIN("; ", TRUE, _xlfn._xlws.FILTER('Model output'!G:G, 'Model output'!Z:Z=A7)),1)),ISNUMBER(SEARCH("IV", _xlfn.TEXTJOIN("; ", TRUE, _xlfn._xlws.FILTER('Model output'!G:G, 'Model output'!Z:Z=A7)),1)),ISNUMBER(SEARCH("4", _xlfn.TEXTJOIN("; ", TRUE, _xlfn._xlws.FILTER('Model output'!G:G, 'Model output'!Z:Z=A7)),1)),ISNUMBER(SEARCH("five", _xlfn.TEXTJOIN("; ", TRUE, _xlfn._xlws.FILTER('Model output'!G:G, 'Model output'!Z:Z=A7)),1)),ISNUMBER(SEARCH("V ", _xlfn.TEXTJOIN("; ", TRUE, _xlfn._xlws.FILTER('Model output'!G:G, 'Model output'!Z:Z=A7)),1)),ISNUMBER(SEARCH("5", _xlfn.TEXTJOIN("; ", TRUE, _xlfn._xlws.FILTER('Model output'!G:G, 'Model output'!Z:Z=A7)),1)),ISNUMBER(SEARCH("five", _xlfn.TEXTJOIN("; ", TRUE, _xlfn._xlws.FILTER('Model output'!G:G, 'Model output'!Z:Z=A7)),1)),ISNUMBER(SEARCH(" lateral", _xlfn.TEXTJOIN("; ", TRUE, _xlfn._xlws.FILTER('Model output'!G:G, 'Model output'!Z:Z=A7)),1)))),ISNUMBER(SEARCH("cervical", _xlfn.TEXTJOIN("; ", TRUE, _xlfn._xlws.FILTER('Model output'!G:G, 'Model output'!Z:Z=A7)),1)),ISNUMBER(SEARCH("jugular", _xlfn.TEXTJOIN("; ", TRUE, _xlfn._xlws.FILTER('Model output'!G:G, 'Model output'!Z:Z=A7)),1)),ISNUMBER(SEARCH("left neck", _xlfn.TEXTJOIN("; ", TRUE, _xlfn._xlws.FILTER('Model output'!G:G, 'Model output'!Z:Z=A7)),1)),ISNUMBER(SEARCH("left anterior neck", _xlfn.TEXTJOIN("; ", TRUE, _xlfn._xlws.FILTER('Model output'!G:G, 'Model output'!Z:Z=A7)),1)),ISNUMBER(SEARCH("left posterior neck", _xlfn.TEXTJOIN("; ", TRUE, _xlfn._xlws.FILTER('Model output'!G:G, 'Model output'!Z:Z=A7)),1)),ISNUMBER(SEARCH("right neck", _xlfn.TEXTJOIN("; ", TRUE, _xlfn._xlws.FILTER('Model output'!G:G, 'Model output'!Z:Z=A7)),1)),ISNUMBER(SEARCH("right anterior neck", _xlfn.TEXTJOIN("; ", TRUE, _xlfn._xlws.FILTER('Model output'!G:G, 'Model output'!Z:Z=A7)),1)),ISNUMBER(SEARCH("right posterior neck", _xlfn.TEXTJOIN("; ", TRUE, _xlfn._xlws.FILTER('Model output'!G:G, 'Model output'!Z:Z=A7)),1)))),"lateral",IF(AND(M7=0, _xlfn.TEXTJOIN("; ", TRUE, _xlfn._xlws.FILTER('Model output'!G:G, 'Model output'!Z:Z=A7))=""),"", "central"))</f>
        <v>central</v>
      </c>
      <c r="K7" s="17" t="str" cm="1">
        <f t="array" ref="K7">IF(OR(ISNUMBER(SEARCH("lymph",_xlfn.TEXTJOIN("; ", TRUE, _xlfn._xlws.FILTER('Model output'!H:H, 'Model output'!Z:Z=A7)),1)), ISNUMBER(SEARCH("Not mentioned",_xlfn.TEXTJOIN("; ", TRUE, _xlfn._xlws.FILTER('Model output'!H:H, 'Model output'!Z:Z=A7)),1)),ISNUMBER(SEARCH("thyroid",_xlfn.TEXTJOIN("; ", TRUE, _xlfn._xlws.FILTER('Model output'!H:H, 'Model output'!Z:Z=A7)),1)),ISNUMBER(SEARCH("strap muscle",_xlfn.TEXTJOIN("; ", TRUE, _xlfn._xlws.FILTER('Model output'!H:H, 'Model output'!Z:Z=A7)),1)),ISNUMBER(SEARCH("subcutaneous soft tissues",_xlfn.TEXTJOIN("; ", TRUE, _xlfn._xlws.FILTER('Model output'!H:H, 'Model output'!Z:Z=A7)),1)),ISNUMBER(SEARCH("larynx",_xlfn.TEXTJOIN("; ", TRUE, _xlfn._xlws.FILTER('Model output'!H:H, 'Model output'!Z:Z=A7)),1)),ISNUMBER(SEARCH("trachea",_xlfn.TEXTJOIN("; ", TRUE, _xlfn._xlws.FILTER('Model output'!H:H, 'Model output'!Z:Z=A7)),1)),ISNUMBER(SEARCH("esophagus",_xlfn.TEXTJOIN("; ", TRUE, _xlfn._xlws.FILTER('Model output'!H:H, 'Model output'!Z:Z=A7)),1)),ISNUMBER(SEARCH("recurrent laryngeal nerve",_xlfn.TEXTJOIN("; ", TRUE, _xlfn._xlws.FILTER('Model output'!H:H, 'Model output'!Z:Z=A7)),1)),ISNUMBER(SEARCH("RLN",_xlfn.TEXTJOIN("; ", TRUE, _xlfn._xlws.FILTER('Model output'!H:H, 'Model output'!Z:Z=A7)),1)),_xlfn.TEXTJOIN("; ", TRUE, _xlfn._xlws.FILTER('Model output'!H:H, 'Model output'!Z:Z=A7))=""),"negative","positive")</f>
        <v>negative</v>
      </c>
      <c r="L7" s="17">
        <f>IF(IFERROR(INDEX('Model output'!I:I, MATCH(A7, 'Model output'!Z:Z, 0)), "") &lt; M7, "", IFERROR(INDEX('Model output'!I:I, MATCH(A7, 'Model output'!Z:Z, 0)), ""))</f>
        <v>5</v>
      </c>
      <c r="M7" s="17">
        <f>IFERROR(INDEX('Model output'!J:J, MATCH(A7, 'Model output'!Z:Z, 0)), "")</f>
        <v>1</v>
      </c>
      <c r="N7" s="18" t="str" cm="1">
        <f t="array" ref="N7">ReplaceTo(ReplaceAnd(SUBSTITUTE(SUBSTITUTE(_xlfn.TEXTJOIN("; ", TRUE, _xlfn._xlws.FILTER('Model output'!K:K, 'Model output'!Z:Z=A7)), " ", ""), ",", ";")))</f>
        <v>0.6mm;0.6mm;Notmentioned</v>
      </c>
      <c r="O7" t="str" cm="1">
        <f t="array" ref="O7">IF(LEFT(IF(RIGHT(SUBSTITUTE(FilterWithUnits(N7)&amp; ";" &amp;FilterStringsWithNumericAnd(N7) &amp; ";" &amp; FilterStringsWithX(N7), ";;", ";"),1)=";",LEFT(SUBSTITUTE(FilterWithUnits(N7)&amp; ";" &amp;FilterStringsWithNumericAnd(N7) &amp; ";" &amp; FilterStringsWithX(N7), ";;", ";"),LEN(SUBSTITUTE(FilterWithUnits(N7)&amp; ";" &amp;FilterStringsWithNumericAnd(N7) &amp; ";" &amp; FilterStringsWithX(N7), ";;", ";"))-1),SUBSTITUTE(FilterWithUnits(N7)&amp; ";" &amp;FilterStringsWithNumericAnd(N7) &amp; ";" &amp; FilterStringsWithX(N7), ";;", ";")),1)=";",RIGHT(IF(RIGHT(SUBSTITUTE(FilterWithUnits(N7)&amp; ";" &amp;FilterStringsWithNumericAnd(N7) &amp; ";" &amp; FilterStringsWithX(N7), ";;", ";"),1)=";",LEFT(SUBSTITUTE(FilterWithUnits(N7)&amp; ";" &amp;FilterStringsWithNumericAnd(N7) &amp; ";" &amp; FilterStringsWithX(N7), ";;", ";"),LEN(SUBSTITUTE(FilterWithUnits(N7)&amp; ";" &amp;FilterStringsWithNumericAnd(N7) &amp; ";" &amp; FilterStringsWithX(N7), ";;", ";"))-1),SUBSTITUTE(FilterWithUnits(N7)&amp; ";" &amp;FilterStringsWithNumericAnd(N7) &amp; ";" &amp; FilterStringsWithX(N7), ";;", ";")),LEN(IF(RIGHT(SUBSTITUTE(FilterWithUnits(N7)&amp; ";" &amp;FilterStringsWithNumericAnd(N7) &amp; ";" &amp; FilterStringsWithX(N7), ";;", ";"),1)=";",LEFT(SUBSTITUTE(FilterWithUnits(N7)&amp; ";" &amp;FilterStringsWithNumericAnd(N7) &amp; ";" &amp; FilterStringsWithX(N7), ";;", ";"),LEN(SUBSTITUTE(FilterWithUnits(N7)&amp; ";" &amp;FilterStringsWithNumericAnd(N7) &amp; ";" &amp; FilterStringsWithX(N7), ";;", ";"))-1),SUBSTITUTE(FilterWithUnits(N7)&amp; ";" &amp;FilterStringsWithNumericAnd(N7) &amp; ";" &amp; FilterStringsWithX(N7), ";;", ";")))-1),IF(RIGHT(SUBSTITUTE(FilterWithUnits(N7)&amp; ";" &amp;FilterStringsWithNumericAnd(N7) &amp; ";" &amp; FilterStringsWithX(N7), ";;", ";"),1)=";",LEFT(SUBSTITUTE(FilterWithUnits(N7)&amp; ";" &amp;FilterStringsWithNumericAnd(N7) &amp; ";" &amp; FilterStringsWithX(N7), ";;", ";"),LEN(SUBSTITUTE(FilterWithUnits(N7)&amp; ";" &amp;FilterStringsWithNumericAnd(N7) &amp; ";" &amp; FilterStringsWithX(N7), ";;", ";"))-1),SUBSTITUTE(FilterWithUnits(N7)&amp; ";" &amp;FilterStringsWithNumericAnd(N7) &amp; ";" &amp; FilterStringsWithX(N7), ";;", ";")))</f>
        <v>0.6mm;0.6mm</v>
      </c>
      <c r="P7" cm="1">
        <f t="array" ref="P7">IF(MaxSize((SplitDimensions(O7)))=0, "", MaxSize((SplitDimensions(O7))))</f>
        <v>0.06</v>
      </c>
      <c r="Q7" t="str" cm="1">
        <f t="array" ref="Q7">IF(ISERROR(INDEX(_xlfn._xlws.FILTER('Model output'!L:L, ('Model output'!Z:Z=A7)*('Model output'!L:L&lt;&gt;"")), 1)), " ", LOWER(INDEX(_xlfn._xlws.FILTER('Model output'!L:L, ('Model output'!Z:Z=A7)*('Model output'!L:L&lt;&gt;"")), 1)))</f>
        <v>papillary carcinoma, oncocytic classic subtype</v>
      </c>
      <c r="R7" t="str" cm="1">
        <f t="array" ref="R7">IF(ISERROR(INDEX(_xlfn._xlws.FILTER('Model output'!M:M, ('Model output'!Z:Z=A7)*('Model output'!M:M&lt;&gt;"")), 1)), " ", LOWER(INDEX(_xlfn._xlws.FILTER('Model output'!M:M, ('Model output'!Z:Z=A7)*('Model output'!M:M&lt;&gt;"")), 1)))</f>
        <v>not mentioned</v>
      </c>
      <c r="S7" t="str" cm="1">
        <f t="array" ref="S7">IF(OR(ISNUMBER(SEARCH("ly",SUBSTITUTE(INDEX(_xlfn._xlws.FILTER('Model output'!N:N,('Model output'!Z:Z=A7)*('Model output'!N:N&lt;&gt;"")),1)," ",""),1)), ISNUMBER(SEARCH("pole",SUBSTITUTE(INDEX(_xlfn._xlws.FILTER('Model output'!N:N,('Model output'!Z:Z=A7)*('Model output'!N:N&lt;&gt;"")),1)," ",""),1))),"",SUBSTITUTE(INDEX(_xlfn._xlws.FILTER('Model output'!N:N,('Model output'!Z:Z=A7)*('Model output'!N:N&lt;&gt;"")),1)," ",""))</f>
        <v/>
      </c>
      <c r="T7" t="str" cm="1">
        <f t="array" ref="T7">IF(LEFT(IF(RIGHT(SUBSTITUTE(FilterWithUnits(S7)&amp; ";" &amp;FilterStringsWithNumericAnd(S7) &amp; ";" &amp; FilterStringsWithX(S7), ";;", ";"),1)=";",LEFT(SUBSTITUTE(FilterWithUnits(S7)&amp; ";" &amp;FilterStringsWithNumericAnd(S7) &amp; ";" &amp; FilterStringsWithX(S7), ";;", ";"),LEN(SUBSTITUTE(FilterWithUnits(S7)&amp; ";" &amp;FilterStringsWithNumericAnd(S7) &amp; ";" &amp; FilterStringsWithX(S7), ";;", ";"))-1),SUBSTITUTE(FilterWithUnits(S7)&amp; ";" &amp;FilterStringsWithNumericAnd(S7) &amp; ";" &amp; FilterStringsWithX(S7), ";;", ";")),1)=";",RIGHT(IF(RIGHT(SUBSTITUTE(FilterWithUnits(S7)&amp; ";" &amp;FilterStringsWithNumericAnd(S7) &amp; ";" &amp; FilterStringsWithX(S7), ";;", ";"),1)=";",LEFT(SUBSTITUTE(FilterWithUnits(S7)&amp; ";" &amp;FilterStringsWithNumericAnd(S7) &amp; ";" &amp; FilterStringsWithX(S7), ";;", ";"),LEN(SUBSTITUTE(FilterWithUnits(S7)&amp; ";" &amp;FilterStringsWithNumericAnd(S7) &amp; ";" &amp; FilterStringsWithX(S7), ";;", ";"))-1),SUBSTITUTE(FilterWithUnits(S7)&amp; ";" &amp;FilterStringsWithNumericAnd(S7) &amp; ";" &amp; FilterStringsWithX(S7), ";;", ";")),LEN(IF(RIGHT(SUBSTITUTE(FilterWithUnits(S7)&amp; ";" &amp;FilterStringsWithNumericAnd(S7) &amp; ";" &amp; FilterStringsWithX(S7), ";;", ";"),1)=";",LEFT(SUBSTITUTE(FilterWithUnits(S7)&amp; ";" &amp;FilterStringsWithNumericAnd(S7) &amp; ";" &amp; FilterStringsWithX(S7), ";;", ";"),LEN(SUBSTITUTE(FilterWithUnits(S7)&amp; ";" &amp;FilterStringsWithNumericAnd(S7) &amp; ";" &amp; FilterStringsWithX(S7), ";;", ";"))-1),SUBSTITUTE(FilterWithUnits(S7)&amp; ";" &amp;FilterStringsWithNumericAnd(S7) &amp; ";" &amp; FilterStringsWithX(S7), ";;", ";")))-1),IF(RIGHT(SUBSTITUTE(FilterWithUnits(S7)&amp; ";" &amp;FilterStringsWithNumericAnd(S7) &amp; ";" &amp; FilterStringsWithX(S7), ";;", ";"),1)=";",LEFT(SUBSTITUTE(FilterWithUnits(S7)&amp; ";" &amp;FilterStringsWithNumericAnd(S7) &amp; ";" &amp; FilterStringsWithX(S7), ";;", ";"),LEN(SUBSTITUTE(FilterWithUnits(S7)&amp; ";" &amp;FilterStringsWithNumericAnd(S7) &amp; ";" &amp; FilterStringsWithX(S7), ";;", ";"))-1),SUBSTITUTE(FilterWithUnits(S7)&amp; ";" &amp;FilterStringsWithNumericAnd(S7) &amp; ";" &amp; FilterStringsWithX(S7), ";;", ";")))</f>
        <v/>
      </c>
      <c r="U7" t="str" cm="1">
        <f t="array" ref="U7">IF(MaxSize((SplitDimensions(T7)))=0, "", MaxSize((SplitDimensions(T7))))</f>
        <v/>
      </c>
      <c r="V7" s="17" t="str" cm="1">
        <f t="array" ref="V7">IF(ISERROR(INDEX(_xlfn._xlws.FILTER('Model output'!P:P,('Model output'!Z:Z=A7)*('Model output'!P:P&lt;&gt;"")),1)),"negative",IF(OR(ISNUMBER(SEARCH("foc",INDEX(_xlfn._xlws.FILTER('Model output'!P:P,('Model output'!Z:Z=A7)*('Model output'!P:P&lt;&gt;"")),1),1)),ISNUMBER(SEARCH("extensive",INDEX(_xlfn._xlws.FILTER('Model output'!P:P,('Model output'!Z:Z=A7)*('Model output'!P:P&lt;&gt;"")),1),1)),ISNUMBER(SEARCH("present",INDEX(_xlfn._xlws.FILTER('Model output'!P:P,('Model output'!Z:Z=A7)*('Model output'!P:P&lt;&gt;"")),1),1)),ISNUMBER(SEARCH("yes",INDEX(_xlfn._xlws.FILTER('Model output'!P:P,('Model output'!Z:Z=A7)*('Model output'!P:P&lt;&gt;"")),1),1))),"positive","negative"))</f>
        <v>positive</v>
      </c>
      <c r="X7" t="str" cm="1">
        <f t="array" ref="X7">IF(ISNUMBER(SEARCH("4",INDEX(_xlfn._xlws.FILTER('Model output'!P:P,('Model output'!Z:Z=A7)*('Model output'!P:P&lt;&gt;"")),1),1)),INDEX(_xlfn._xlws.FILTER('Model output'!P:P,('Model output'!Z:Z=A7)*('Model output'!P:P&lt;&gt;"")),1),"") &amp; _xlfn.TEXTJOIN("",TRUE,_xlfn._xlws.FILTER('Model output'!Q:Q,'Model output'!Z:Z=A7))</f>
        <v>Overlying strap muscle</v>
      </c>
      <c r="Y7" t="str">
        <f t="shared" si="11"/>
        <v>minimal</v>
      </c>
      <c r="Z7" t="str" cm="1">
        <f t="array" ref="Z7">IF(OR(ISNUMBER(SEARCH("focal",_xlfn.TEXTJOIN("; ",TRUE,_xlfn._xlws.FILTER('Model output'!R:R,'Model output'!Z:Z=A7)),1)),ISNUMBER(SEARCH("present",_xlfn.TEXTJOIN("; ",TRUE,_xlfn._xlws.FILTER('Model output'!R:R,'Model output'!Z:Z=A7)),1))),"positive",IF(_xlfn.TEXTJOIN("; ",TRUE,_xlfn._xlws.FILTER('Model output'!R:R,'Model output'!Z:Z=A7))="","negative",IF(OR(ISNUMBER(SEARCH("no",_xlfn.TEXTJOIN("; ",TRUE,_xlfn._xlws.FILTER('Model output'!R:R,'Model output'!Z:Z=A7)),1)),ISNUMBER(SEARCH("absent",_xlfn.TEXTJOIN("; ",TRUE,_xlfn._xlws.FILTER('Model output'!R:R,'Model output'!Z:Z=A7)),1))),"negative","positive")))</f>
        <v>negative</v>
      </c>
      <c r="AA7" s="17" t="str">
        <f t="shared" si="1"/>
        <v>positive</v>
      </c>
      <c r="AE7" s="17" t="str">
        <f t="shared" si="12"/>
        <v>positive</v>
      </c>
      <c r="AF7" t="str" cm="1">
        <f t="array" ref="AF7">_xlfn.TEXTJOIN("; ",TRUE,_xlfn._xlws.FILTER('Model output'!S:S,'Model output'!Z:Z=A7))</f>
        <v>Invading soft tissue and strap muscles (Please refer to operation record for gross extrathyroidal extension); Overlying strap muscle</v>
      </c>
      <c r="AG7" s="17" t="str" cm="1">
        <f t="array" ref="AG7">IF(OR(ISNUMBER(SEARCH("uninvolved",_xlfn.TEXTJOIN("; ",TRUE,_xlfn._xlws.FILTER('Model output'!V:V,'Model output'!Z:Z=A7)),1)),ISNUMBER(SEARCH("clear",_xlfn.TEXTJOIN("; ",TRUE,_xlfn._xlws.FILTER('Model output'!V:V,'Model output'!Z:Z=A7)),1))*ISNUMBER(SEARCH("not mentioned",_xlfn.TEXTJOIN("; ",TRUE,_xlfn._xlws.FILTER('Model output'!V:V,'Model output'!Z:Z=A7)),1))),"negative",IF(ISNUMBER(SEARCH("cannot be assessed",_xlfn.TEXTJOIN("; ",TRUE,_xlfn._xlws.FILTER('Model output'!V:V,'Model output'!Z:Z=A7)),1)),"unknown","negative"))</f>
        <v>negative</v>
      </c>
      <c r="AI7" s="45" t="str">
        <f t="shared" si="13"/>
        <v>high</v>
      </c>
      <c r="AJ7" s="41" t="str">
        <f t="shared" si="14"/>
        <v>4a</v>
      </c>
      <c r="AK7" s="41" t="str">
        <f t="shared" si="3"/>
        <v>1a</v>
      </c>
      <c r="AL7" s="41">
        <f t="shared" si="4"/>
        <v>0</v>
      </c>
      <c r="AM7" s="41" t="str">
        <f t="shared" si="5"/>
        <v>I</v>
      </c>
      <c r="AN7" s="42" t="s">
        <v>165</v>
      </c>
      <c r="AO7" s="43" t="s">
        <v>206</v>
      </c>
      <c r="AP7" s="43" t="s">
        <v>205</v>
      </c>
      <c r="AQ7" s="43">
        <v>0</v>
      </c>
      <c r="AR7" s="43" t="s">
        <v>31</v>
      </c>
      <c r="AS7" s="42">
        <f t="shared" si="6"/>
        <v>1</v>
      </c>
      <c r="AT7" s="43">
        <f t="shared" si="7"/>
        <v>0</v>
      </c>
      <c r="AU7" s="43">
        <f t="shared" si="8"/>
        <v>1</v>
      </c>
      <c r="AV7" s="43">
        <f t="shared" si="9"/>
        <v>1</v>
      </c>
      <c r="AW7" s="44">
        <f t="shared" si="10"/>
        <v>1</v>
      </c>
    </row>
    <row r="8" spans="1:49">
      <c r="A8" s="13">
        <v>6</v>
      </c>
      <c r="B8" s="16">
        <f>_xlfn.MAXIFS('Model output'!B:B,'Model output'!Z:Z,'Classification result'!$A8)</f>
        <v>45416</v>
      </c>
      <c r="C8" s="16"/>
      <c r="D8" s="16"/>
      <c r="E8" s="17">
        <f>_xlfn.MAXIFS('Model output'!C:C,'Model output'!Z:Z,'Classification result'!$A8)</f>
        <v>66</v>
      </c>
      <c r="F8" s="17" t="str" cm="1">
        <f t="array" ref="F8">LEFT(IF(ISERROR(RIGHT(IF(INDEX(_xlfn._xlws.FILTER('Model output'!D:D,('Model output'!Z:Z=A8)),1)&lt;&gt;"",INDEX(_xlfn._xlws.FILTER('Model output'!D:D,('Model output'!Z:Z=A8)),1),""),LEN(IF(INDEX(_xlfn._xlws.FILTER('Model output'!D:D,('Model output'!Z:Z=A8)),1)&lt;&gt;"",INDEX(_xlfn._xlws.FILTER('Model output'!D:D,('Model output'!Z:Z=A8)),1),""))-FIND("T",IF(INDEX(_xlfn._xlws.FILTER('Model output'!D:D,('Model output'!Z:Z=A8)),1)&lt;&gt;"",INDEX(_xlfn._xlws.FILTER('Model output'!D:D,('Model output'!Z:Z=A8)),1),""),1))),"",(RIGHT(IF(INDEX(_xlfn._xlws.FILTER('Model output'!D:D,('Model output'!Z:Z=A8)),1)&lt;&gt;"",INDEX(_xlfn._xlws.FILTER('Model output'!D:D,('Model output'!Z:Z=A8)),1),""),LEN(IF(INDEX(_xlfn._xlws.FILTER('Model output'!D:D,('Model output'!Z:Z=A8)),1)&lt;&gt;"",INDEX(_xlfn._xlws.FILTER('Model output'!D:D,('Model output'!Z:Z=A8)),1),""))-FIND("T",IF(INDEX(_xlfn._xlws.FILTER('Model output'!D:D,('Model output'!Z:Z=A8)),1)&lt;&gt;"",INDEX(_xlfn._xlws.FILTER('Model output'!D:D,('Model output'!Z:Z=A8)),1)))))),2)</f>
        <v>1</v>
      </c>
      <c r="G8" s="17" t="str" cm="1">
        <f t="array" ref="G8">IF(ISNUMBER(SEARCH("N",IF(ISNUMBER(SEARCH("present",IF(INDEX(_xlfn._xlws.FILTER('Model output'!E:E,('Model output'!Z:Z=A8)),1)="","",INDEX(_xlfn._xlws.FILTER('Model output'!E:E,('Model output'!Z:Z=A8)),1)),1)),"N1", IF(INDEX(_xlfn._xlws.FILTER('Model output'!E:E,('Model output'!Z:Z=A8)),1)="","",INDEX(_xlfn._xlws.FILTER('Model output'!E:E,('Model output'!Z:Z=A8)),1))),1)),RIGHT(IF(ISNUMBER(SEARCH("present",IF(INDEX(_xlfn._xlws.FILTER('Model output'!E:E,('Model output'!Z:Z=A8)),1)="","",INDEX(_xlfn._xlws.FILTER('Model output'!E:E,('Model output'!Z:Z=A8)),1)),1)),"N1", IF(INDEX(_xlfn._xlws.FILTER('Model output'!E:E,('Model output'!Z:Z=A8)),1)="","",INDEX(_xlfn._xlws.FILTER('Model output'!E:E,('Model output'!Z:Z=A8)),1))),LEN(IF(ISNUMBER(SEARCH("present",IF(INDEX(_xlfn._xlws.FILTER('Model output'!E:E,('Model output'!Z:Z=A8)),1)="","",INDEX(_xlfn._xlws.FILTER('Model output'!E:E,('Model output'!Z:Z=A8)),1)),1)),"N1", IF(INDEX(_xlfn._xlws.FILTER('Model output'!E:E,('Model output'!Z:Z=A8)),1)="","",INDEX(_xlfn._xlws.FILTER('Model output'!E:E,('Model output'!Z:Z=A8)),1))))-FIND("N",IF(ISNUMBER(SEARCH("present",IF(INDEX(_xlfn._xlws.FILTER('Model output'!E:E,('Model output'!Z:Z=A8)),1)="","",INDEX(_xlfn._xlws.FILTER('Model output'!E:E,('Model output'!Z:Z=A8)),1)),1)),"N1", IF(INDEX(_xlfn._xlws.FILTER('Model output'!E:E,('Model output'!Z:Z=A8)),1)="","",INDEX(_xlfn._xlws.FILTER('Model output'!E:E,('Model output'!Z:Z=A8)),1))),1)), "")</f>
        <v/>
      </c>
      <c r="H8" s="17" cm="1">
        <f t="array" ref="H8">IF(AND(SUBSTITUTE(_xlfn.TEXTJOIN("/", TRUE, _xlfn._xlws.FILTER('Model output'!F:F, 'Model output'!Z:Z=A8)),"M", "")="", K8="negative"),0,IF(K8="positive",1,0))</f>
        <v>0</v>
      </c>
      <c r="I8" t="str">
        <f t="shared" si="0"/>
        <v>positive</v>
      </c>
      <c r="J8" t="str" cm="1">
        <f t="array" ref="J8">IF(AND(M8&gt;0, _xlfn.TEXTJOIN("; ", TRUE, _xlfn._xlws.FILTER('Model output'!G:G, 'Model output'!Z:Z=A8)) &lt;&gt;"", OR(AND(ISNUMBER(SEARCH("level", _xlfn.TEXTJOIN("; ", TRUE, _xlfn._xlws.FILTER('Model output'!G:G, 'Model output'!Z:Z=A8)),1)),OR(ISNUMBER(SEARCH(" II", _xlfn.TEXTJOIN("; ", TRUE, _xlfn._xlws.FILTER('Model output'!G:G, 'Model output'!Z:Z=A8)),1)),ISNUMBER(SEARCH("2", _xlfn.TEXTJOIN("; ", TRUE, _xlfn._xlws.FILTER('Model output'!G:G, 'Model output'!Z:Z=A8)),1)),ISNUMBER(SEARCH("two", _xlfn.TEXTJOIN("; ", TRUE, _xlfn._xlws.FILTER('Model output'!G:G, 'Model output'!Z:Z=A8)),1)),ISNUMBER(SEARCH("III", _xlfn.TEXTJOIN("; ", TRUE, _xlfn._xlws.FILTER('Model output'!G:G, 'Model output'!Z:Z=A8)),1)),ISNUMBER(SEARCH("3", _xlfn.TEXTJOIN("; ", TRUE, _xlfn._xlws.FILTER('Model output'!G:G, 'Model output'!Z:Z=A8)),1)),ISNUMBER(SEARCH("three", _xlfn.TEXTJOIN("; ", TRUE, _xlfn._xlws.FILTER('Model output'!G:G, 'Model output'!Z:Z=A8)),1)),ISNUMBER(SEARCH("IV", _xlfn.TEXTJOIN("; ", TRUE, _xlfn._xlws.FILTER('Model output'!G:G, 'Model output'!Z:Z=A8)),1)),ISNUMBER(SEARCH("4", _xlfn.TEXTJOIN("; ", TRUE, _xlfn._xlws.FILTER('Model output'!G:G, 'Model output'!Z:Z=A8)),1)),ISNUMBER(SEARCH("five", _xlfn.TEXTJOIN("; ", TRUE, _xlfn._xlws.FILTER('Model output'!G:G, 'Model output'!Z:Z=A8)),1)),ISNUMBER(SEARCH("V ", _xlfn.TEXTJOIN("; ", TRUE, _xlfn._xlws.FILTER('Model output'!G:G, 'Model output'!Z:Z=A8)),1)),ISNUMBER(SEARCH("5", _xlfn.TEXTJOIN("; ", TRUE, _xlfn._xlws.FILTER('Model output'!G:G, 'Model output'!Z:Z=A8)),1)),ISNUMBER(SEARCH("five", _xlfn.TEXTJOIN("; ", TRUE, _xlfn._xlws.FILTER('Model output'!G:G, 'Model output'!Z:Z=A8)),1)),ISNUMBER(SEARCH(" lateral", _xlfn.TEXTJOIN("; ", TRUE, _xlfn._xlws.FILTER('Model output'!G:G, 'Model output'!Z:Z=A8)),1)))),ISNUMBER(SEARCH("cervical", _xlfn.TEXTJOIN("; ", TRUE, _xlfn._xlws.FILTER('Model output'!G:G, 'Model output'!Z:Z=A8)),1)),ISNUMBER(SEARCH("jugular", _xlfn.TEXTJOIN("; ", TRUE, _xlfn._xlws.FILTER('Model output'!G:G, 'Model output'!Z:Z=A8)),1)),ISNUMBER(SEARCH("left neck", _xlfn.TEXTJOIN("; ", TRUE, _xlfn._xlws.FILTER('Model output'!G:G, 'Model output'!Z:Z=A8)),1)),ISNUMBER(SEARCH("left anterior neck", _xlfn.TEXTJOIN("; ", TRUE, _xlfn._xlws.FILTER('Model output'!G:G, 'Model output'!Z:Z=A8)),1)),ISNUMBER(SEARCH("left posterior neck", _xlfn.TEXTJOIN("; ", TRUE, _xlfn._xlws.FILTER('Model output'!G:G, 'Model output'!Z:Z=A8)),1)),ISNUMBER(SEARCH("right neck", _xlfn.TEXTJOIN("; ", TRUE, _xlfn._xlws.FILTER('Model output'!G:G, 'Model output'!Z:Z=A8)),1)),ISNUMBER(SEARCH("right anterior neck", _xlfn.TEXTJOIN("; ", TRUE, _xlfn._xlws.FILTER('Model output'!G:G, 'Model output'!Z:Z=A8)),1)),ISNUMBER(SEARCH("right posterior neck", _xlfn.TEXTJOIN("; ", TRUE, _xlfn._xlws.FILTER('Model output'!G:G, 'Model output'!Z:Z=A8)),1)))),"lateral",IF(AND(M8=0, _xlfn.TEXTJOIN("; ", TRUE, _xlfn._xlws.FILTER('Model output'!G:G, 'Model output'!Z:Z=A8))=""),"", "central"))</f>
        <v>central</v>
      </c>
      <c r="K8" s="17" t="str" cm="1">
        <f t="array" ref="K8">IF(OR(ISNUMBER(SEARCH("lymph",_xlfn.TEXTJOIN("; ", TRUE, _xlfn._xlws.FILTER('Model output'!H:H, 'Model output'!Z:Z=A8)),1)), ISNUMBER(SEARCH("Not mentioned",_xlfn.TEXTJOIN("; ", TRUE, _xlfn._xlws.FILTER('Model output'!H:H, 'Model output'!Z:Z=A8)),1)),ISNUMBER(SEARCH("thyroid",_xlfn.TEXTJOIN("; ", TRUE, _xlfn._xlws.FILTER('Model output'!H:H, 'Model output'!Z:Z=A8)),1)),ISNUMBER(SEARCH("strap muscle",_xlfn.TEXTJOIN("; ", TRUE, _xlfn._xlws.FILTER('Model output'!H:H, 'Model output'!Z:Z=A8)),1)),ISNUMBER(SEARCH("subcutaneous soft tissues",_xlfn.TEXTJOIN("; ", TRUE, _xlfn._xlws.FILTER('Model output'!H:H, 'Model output'!Z:Z=A8)),1)),ISNUMBER(SEARCH("larynx",_xlfn.TEXTJOIN("; ", TRUE, _xlfn._xlws.FILTER('Model output'!H:H, 'Model output'!Z:Z=A8)),1)),ISNUMBER(SEARCH("trachea",_xlfn.TEXTJOIN("; ", TRUE, _xlfn._xlws.FILTER('Model output'!H:H, 'Model output'!Z:Z=A8)),1)),ISNUMBER(SEARCH("esophagus",_xlfn.TEXTJOIN("; ", TRUE, _xlfn._xlws.FILTER('Model output'!H:H, 'Model output'!Z:Z=A8)),1)),ISNUMBER(SEARCH("recurrent laryngeal nerve",_xlfn.TEXTJOIN("; ", TRUE, _xlfn._xlws.FILTER('Model output'!H:H, 'Model output'!Z:Z=A8)),1)),ISNUMBER(SEARCH("RLN",_xlfn.TEXTJOIN("; ", TRUE, _xlfn._xlws.FILTER('Model output'!H:H, 'Model output'!Z:Z=A8)),1)),_xlfn.TEXTJOIN("; ", TRUE, _xlfn._xlws.FILTER('Model output'!H:H, 'Model output'!Z:Z=A8))=""),"negative","positive")</f>
        <v>negative</v>
      </c>
      <c r="L8" s="17">
        <f>IF(IFERROR(INDEX('Model output'!I:I, MATCH(A8, 'Model output'!Z:Z, 0)), "") &lt; M8, "", IFERROR(INDEX('Model output'!I:I, MATCH(A8, 'Model output'!Z:Z, 0)), ""))</f>
        <v>5</v>
      </c>
      <c r="M8" s="17">
        <f>IFERROR(INDEX('Model output'!J:J, MATCH(A8, 'Model output'!Z:Z, 0)), "")</f>
        <v>1</v>
      </c>
      <c r="N8" s="18" t="str" cm="1">
        <f t="array" ref="N8">ReplaceTo(ReplaceAnd(SUBSTITUTE(SUBSTITUTE(_xlfn.TEXTJOIN("; ", TRUE, _xlfn._xlws.FILTER('Model output'!K:K, 'Model output'!Z:Z=A8)), " ", ""), ",", ";")))</f>
        <v>1.5cm</v>
      </c>
      <c r="O8" t="str" cm="1">
        <f t="array" ref="O8">IF(LEFT(IF(RIGHT(SUBSTITUTE(FilterWithUnits(N8)&amp; ";" &amp;FilterStringsWithNumericAnd(N8) &amp; ";" &amp; FilterStringsWithX(N8), ";;", ";"),1)=";",LEFT(SUBSTITUTE(FilterWithUnits(N8)&amp; ";" &amp;FilterStringsWithNumericAnd(N8) &amp; ";" &amp; FilterStringsWithX(N8), ";;", ";"),LEN(SUBSTITUTE(FilterWithUnits(N8)&amp; ";" &amp;FilterStringsWithNumericAnd(N8) &amp; ";" &amp; FilterStringsWithX(N8), ";;", ";"))-1),SUBSTITUTE(FilterWithUnits(N8)&amp; ";" &amp;FilterStringsWithNumericAnd(N8) &amp; ";" &amp; FilterStringsWithX(N8), ";;", ";")),1)=";",RIGHT(IF(RIGHT(SUBSTITUTE(FilterWithUnits(N8)&amp; ";" &amp;FilterStringsWithNumericAnd(N8) &amp; ";" &amp; FilterStringsWithX(N8), ";;", ";"),1)=";",LEFT(SUBSTITUTE(FilterWithUnits(N8)&amp; ";" &amp;FilterStringsWithNumericAnd(N8) &amp; ";" &amp; FilterStringsWithX(N8), ";;", ";"),LEN(SUBSTITUTE(FilterWithUnits(N8)&amp; ";" &amp;FilterStringsWithNumericAnd(N8) &amp; ";" &amp; FilterStringsWithX(N8), ";;", ";"))-1),SUBSTITUTE(FilterWithUnits(N8)&amp; ";" &amp;FilterStringsWithNumericAnd(N8) &amp; ";" &amp; FilterStringsWithX(N8), ";;", ";")),LEN(IF(RIGHT(SUBSTITUTE(FilterWithUnits(N8)&amp; ";" &amp;FilterStringsWithNumericAnd(N8) &amp; ";" &amp; FilterStringsWithX(N8), ";;", ";"),1)=";",LEFT(SUBSTITUTE(FilterWithUnits(N8)&amp; ";" &amp;FilterStringsWithNumericAnd(N8) &amp; ";" &amp; FilterStringsWithX(N8), ";;", ";"),LEN(SUBSTITUTE(FilterWithUnits(N8)&amp; ";" &amp;FilterStringsWithNumericAnd(N8) &amp; ";" &amp; FilterStringsWithX(N8), ";;", ";"))-1),SUBSTITUTE(FilterWithUnits(N8)&amp; ";" &amp;FilterStringsWithNumericAnd(N8) &amp; ";" &amp; FilterStringsWithX(N8), ";;", ";")))-1),IF(RIGHT(SUBSTITUTE(FilterWithUnits(N8)&amp; ";" &amp;FilterStringsWithNumericAnd(N8) &amp; ";" &amp; FilterStringsWithX(N8), ";;", ";"),1)=";",LEFT(SUBSTITUTE(FilterWithUnits(N8)&amp; ";" &amp;FilterStringsWithNumericAnd(N8) &amp; ";" &amp; FilterStringsWithX(N8), ";;", ";"),LEN(SUBSTITUTE(FilterWithUnits(N8)&amp; ";" &amp;FilterStringsWithNumericAnd(N8) &amp; ";" &amp; FilterStringsWithX(N8), ";;", ";"))-1),SUBSTITUTE(FilterWithUnits(N8)&amp; ";" &amp;FilterStringsWithNumericAnd(N8) &amp; ";" &amp; FilterStringsWithX(N8), ";;", ";")))</f>
        <v>1.5cm</v>
      </c>
      <c r="P8" cm="1">
        <f t="array" ref="P8">IF(MaxSize((SplitDimensions(O8)))=0, "", MaxSize((SplitDimensions(O8))))</f>
        <v>1.5</v>
      </c>
      <c r="Q8" t="str" cm="1">
        <f t="array" ref="Q8">IF(ISERROR(INDEX(_xlfn._xlws.FILTER('Model output'!L:L, ('Model output'!Z:Z=A8)*('Model output'!L:L&lt;&gt;"")), 1)), " ", LOWER(INDEX(_xlfn._xlws.FILTER('Model output'!L:L, ('Model output'!Z:Z=A8)*('Model output'!L:L&lt;&gt;"")), 1)))</f>
        <v>follicular</v>
      </c>
      <c r="R8" t="str" cm="1">
        <f t="array" ref="R8">IF(ISERROR(INDEX(_xlfn._xlws.FILTER('Model output'!M:M, ('Model output'!Z:Z=A8)*('Model output'!M:M&lt;&gt;"")), 1)), " ", LOWER(INDEX(_xlfn._xlws.FILTER('Model output'!M:M, ('Model output'!Z:Z=A8)*('Model output'!M:M&lt;&gt;"")), 1)))</f>
        <v>encapsulated</v>
      </c>
      <c r="S8" t="str" cm="1">
        <f t="array" ref="S8">IF(OR(ISNUMBER(SEARCH("ly",SUBSTITUTE(INDEX(_xlfn._xlws.FILTER('Model output'!N:N,('Model output'!Z:Z=A8)*('Model output'!N:N&lt;&gt;"")),1)," ",""),1)), ISNUMBER(SEARCH("pole",SUBSTITUTE(INDEX(_xlfn._xlws.FILTER('Model output'!N:N,('Model output'!Z:Z=A8)*('Model output'!N:N&lt;&gt;"")),1)," ",""),1))),"",SUBSTITUTE(INDEX(_xlfn._xlws.FILTER('Model output'!N:N,('Model output'!Z:Z=A8)*('Model output'!N:N&lt;&gt;"")),1)," ",""))</f>
        <v>4cm</v>
      </c>
      <c r="T8" t="str" cm="1">
        <f t="array" ref="T8">IF(LEFT(IF(RIGHT(SUBSTITUTE(FilterWithUnits(S8)&amp; ";" &amp;FilterStringsWithNumericAnd(S8) &amp; ";" &amp; FilterStringsWithX(S8), ";;", ";"),1)=";",LEFT(SUBSTITUTE(FilterWithUnits(S8)&amp; ";" &amp;FilterStringsWithNumericAnd(S8) &amp; ";" &amp; FilterStringsWithX(S8), ";;", ";"),LEN(SUBSTITUTE(FilterWithUnits(S8)&amp; ";" &amp;FilterStringsWithNumericAnd(S8) &amp; ";" &amp; FilterStringsWithX(S8), ";;", ";"))-1),SUBSTITUTE(FilterWithUnits(S8)&amp; ";" &amp;FilterStringsWithNumericAnd(S8) &amp; ";" &amp; FilterStringsWithX(S8), ";;", ";")),1)=";",RIGHT(IF(RIGHT(SUBSTITUTE(FilterWithUnits(S8)&amp; ";" &amp;FilterStringsWithNumericAnd(S8) &amp; ";" &amp; FilterStringsWithX(S8), ";;", ";"),1)=";",LEFT(SUBSTITUTE(FilterWithUnits(S8)&amp; ";" &amp;FilterStringsWithNumericAnd(S8) &amp; ";" &amp; FilterStringsWithX(S8), ";;", ";"),LEN(SUBSTITUTE(FilterWithUnits(S8)&amp; ";" &amp;FilterStringsWithNumericAnd(S8) &amp; ";" &amp; FilterStringsWithX(S8), ";;", ";"))-1),SUBSTITUTE(FilterWithUnits(S8)&amp; ";" &amp;FilterStringsWithNumericAnd(S8) &amp; ";" &amp; FilterStringsWithX(S8), ";;", ";")),LEN(IF(RIGHT(SUBSTITUTE(FilterWithUnits(S8)&amp; ";" &amp;FilterStringsWithNumericAnd(S8) &amp; ";" &amp; FilterStringsWithX(S8), ";;", ";"),1)=";",LEFT(SUBSTITUTE(FilterWithUnits(S8)&amp; ";" &amp;FilterStringsWithNumericAnd(S8) &amp; ";" &amp; FilterStringsWithX(S8), ";;", ";"),LEN(SUBSTITUTE(FilterWithUnits(S8)&amp; ";" &amp;FilterStringsWithNumericAnd(S8) &amp; ";" &amp; FilterStringsWithX(S8), ";;", ";"))-1),SUBSTITUTE(FilterWithUnits(S8)&amp; ";" &amp;FilterStringsWithNumericAnd(S8) &amp; ";" &amp; FilterStringsWithX(S8), ";;", ";")))-1),IF(RIGHT(SUBSTITUTE(FilterWithUnits(S8)&amp; ";" &amp;FilterStringsWithNumericAnd(S8) &amp; ";" &amp; FilterStringsWithX(S8), ";;", ";"),1)=";",LEFT(SUBSTITUTE(FilterWithUnits(S8)&amp; ";" &amp;FilterStringsWithNumericAnd(S8) &amp; ";" &amp; FilterStringsWithX(S8), ";;", ";"),LEN(SUBSTITUTE(FilterWithUnits(S8)&amp; ";" &amp;FilterStringsWithNumericAnd(S8) &amp; ";" &amp; FilterStringsWithX(S8), ";;", ";"))-1),SUBSTITUTE(FilterWithUnits(S8)&amp; ";" &amp;FilterStringsWithNumericAnd(S8) &amp; ";" &amp; FilterStringsWithX(S8), ";;", ";")))</f>
        <v>4cm</v>
      </c>
      <c r="U8" cm="1">
        <f t="array" ref="U8">IF(MaxSize((SplitDimensions(T8)))=0, "", MaxSize((SplitDimensions(T8))))</f>
        <v>4</v>
      </c>
      <c r="V8" s="17" t="str" cm="1">
        <f t="array" ref="V8">IF(ISERROR(INDEX(_xlfn._xlws.FILTER('Model output'!P:P,('Model output'!Z:Z=A8)*('Model output'!P:P&lt;&gt;"")),1)),"negative",IF(OR(ISNUMBER(SEARCH("foc",INDEX(_xlfn._xlws.FILTER('Model output'!P:P,('Model output'!Z:Z=A8)*('Model output'!P:P&lt;&gt;"")),1),1)),ISNUMBER(SEARCH("extensive",INDEX(_xlfn._xlws.FILTER('Model output'!P:P,('Model output'!Z:Z=A8)*('Model output'!P:P&lt;&gt;"")),1),1)),ISNUMBER(SEARCH("present",INDEX(_xlfn._xlws.FILTER('Model output'!P:P,('Model output'!Z:Z=A8)*('Model output'!P:P&lt;&gt;"")),1),1)),ISNUMBER(SEARCH("yes",INDEX(_xlfn._xlws.FILTER('Model output'!P:P,('Model output'!Z:Z=A8)*('Model output'!P:P&lt;&gt;"")),1),1))),"positive","negative"))</f>
        <v>negative</v>
      </c>
      <c r="X8" t="str" cm="1">
        <f t="array" ref="X8">IF(ISNUMBER(SEARCH("4",INDEX(_xlfn._xlws.FILTER('Model output'!P:P,('Model output'!Z:Z=A8)*('Model output'!P:P&lt;&gt;"")),1),1)),INDEX(_xlfn._xlws.FILTER('Model output'!P:P,('Model output'!Z:Z=A8)*('Model output'!P:P&lt;&gt;"")),1),"") &amp; _xlfn.TEXTJOIN("",TRUE,_xlfn._xlws.FILTER('Model output'!Q:Q,'Model output'!Z:Z=A8))</f>
        <v>Not mentioned</v>
      </c>
      <c r="Y8" t="str">
        <f t="shared" si="11"/>
        <v>no</v>
      </c>
      <c r="Z8" t="str" cm="1">
        <f t="array" ref="Z8">IF(OR(ISNUMBER(SEARCH("focal",_xlfn.TEXTJOIN("; ",TRUE,_xlfn._xlws.FILTER('Model output'!R:R,'Model output'!Z:Z=A8)),1)),ISNUMBER(SEARCH("present",_xlfn.TEXTJOIN("; ",TRUE,_xlfn._xlws.FILTER('Model output'!R:R,'Model output'!Z:Z=A8)),1))),"positive",IF(_xlfn.TEXTJOIN("; ",TRUE,_xlfn._xlws.FILTER('Model output'!R:R,'Model output'!Z:Z=A8))="","negative",IF(OR(ISNUMBER(SEARCH("no",_xlfn.TEXTJOIN("; ",TRUE,_xlfn._xlws.FILTER('Model output'!R:R,'Model output'!Z:Z=A8)),1)),ISNUMBER(SEARCH("absent",_xlfn.TEXTJOIN("; ",TRUE,_xlfn._xlws.FILTER('Model output'!R:R,'Model output'!Z:Z=A8)),1))),"negative","positive")))</f>
        <v>negative</v>
      </c>
      <c r="AA8" s="17" t="str">
        <f t="shared" si="1"/>
        <v>negative</v>
      </c>
      <c r="AE8" s="17" t="str">
        <f t="shared" si="12"/>
        <v>negative</v>
      </c>
      <c r="AF8" t="str" cm="1">
        <f t="array" ref="AF8">_xlfn.TEXTJOIN("; ",TRUE,_xlfn._xlws.FILTER('Model output'!S:S,'Model output'!Z:Z=A8))</f>
        <v>Not mentioned</v>
      </c>
      <c r="AG8" s="17" t="str" cm="1">
        <f t="array" ref="AG8">IF(OR(ISNUMBER(SEARCH("uninvolved",_xlfn.TEXTJOIN("; ",TRUE,_xlfn._xlws.FILTER('Model output'!V:V,'Model output'!Z:Z=A8)),1)),ISNUMBER(SEARCH("clear",_xlfn.TEXTJOIN("; ",TRUE,_xlfn._xlws.FILTER('Model output'!V:V,'Model output'!Z:Z=A8)),1))*ISNUMBER(SEARCH("not mentioned",_xlfn.TEXTJOIN("; ",TRUE,_xlfn._xlws.FILTER('Model output'!V:V,'Model output'!Z:Z=A8)),1))),"negative",IF(ISNUMBER(SEARCH("cannot be assessed",_xlfn.TEXTJOIN("; ",TRUE,_xlfn._xlws.FILTER('Model output'!V:V,'Model output'!Z:Z=A8)),1)),"unknown","negative"))</f>
        <v>negative</v>
      </c>
      <c r="AI8" s="45" t="str">
        <f t="shared" si="13"/>
        <v>low</v>
      </c>
      <c r="AJ8" s="41" t="str">
        <f t="shared" si="14"/>
        <v>2</v>
      </c>
      <c r="AK8" s="41" t="str">
        <f t="shared" si="3"/>
        <v>1a</v>
      </c>
      <c r="AL8" s="41">
        <f t="shared" si="4"/>
        <v>0</v>
      </c>
      <c r="AM8" s="41" t="str">
        <f t="shared" si="5"/>
        <v>II</v>
      </c>
      <c r="AN8" s="42" t="s">
        <v>166</v>
      </c>
      <c r="AO8" s="41" t="s">
        <v>204</v>
      </c>
      <c r="AP8" s="43" t="s">
        <v>204</v>
      </c>
      <c r="AQ8" s="43">
        <v>0</v>
      </c>
      <c r="AR8" s="43" t="s">
        <v>31</v>
      </c>
      <c r="AS8" s="42">
        <f t="shared" si="6"/>
        <v>1</v>
      </c>
      <c r="AT8" s="43">
        <f t="shared" si="7"/>
        <v>0</v>
      </c>
      <c r="AU8" s="43">
        <f t="shared" si="8"/>
        <v>0</v>
      </c>
      <c r="AV8" s="43">
        <f t="shared" si="9"/>
        <v>1</v>
      </c>
      <c r="AW8" s="44">
        <f t="shared" si="10"/>
        <v>0</v>
      </c>
    </row>
    <row r="9" spans="1:49">
      <c r="A9" s="13">
        <v>7</v>
      </c>
      <c r="B9" s="16">
        <f>_xlfn.MAXIFS('Model output'!B:B,'Model output'!Z:Z,'Classification result'!$A9)</f>
        <v>0</v>
      </c>
      <c r="C9" s="16"/>
      <c r="D9" s="16"/>
      <c r="E9" s="17">
        <f>_xlfn.MAXIFS('Model output'!C:C,'Model output'!Z:Z,'Classification result'!$A9)</f>
        <v>67</v>
      </c>
      <c r="F9" s="17" t="str" cm="1">
        <f t="array" ref="F9">LEFT(IF(ISERROR(RIGHT(IF(INDEX(_xlfn._xlws.FILTER('Model output'!D:D,('Model output'!Z:Z=A9)),1)&lt;&gt;"",INDEX(_xlfn._xlws.FILTER('Model output'!D:D,('Model output'!Z:Z=A9)),1),""),LEN(IF(INDEX(_xlfn._xlws.FILTER('Model output'!D:D,('Model output'!Z:Z=A9)),1)&lt;&gt;"",INDEX(_xlfn._xlws.FILTER('Model output'!D:D,('Model output'!Z:Z=A9)),1),""))-FIND("T",IF(INDEX(_xlfn._xlws.FILTER('Model output'!D:D,('Model output'!Z:Z=A9)),1)&lt;&gt;"",INDEX(_xlfn._xlws.FILTER('Model output'!D:D,('Model output'!Z:Z=A9)),1),""),1))),"",(RIGHT(IF(INDEX(_xlfn._xlws.FILTER('Model output'!D:D,('Model output'!Z:Z=A9)),1)&lt;&gt;"",INDEX(_xlfn._xlws.FILTER('Model output'!D:D,('Model output'!Z:Z=A9)),1),""),LEN(IF(INDEX(_xlfn._xlws.FILTER('Model output'!D:D,('Model output'!Z:Z=A9)),1)&lt;&gt;"",INDEX(_xlfn._xlws.FILTER('Model output'!D:D,('Model output'!Z:Z=A9)),1),""))-FIND("T",IF(INDEX(_xlfn._xlws.FILTER('Model output'!D:D,('Model output'!Z:Z=A9)),1)&lt;&gt;"",INDEX(_xlfn._xlws.FILTER('Model output'!D:D,('Model output'!Z:Z=A9)),1)))))),2)</f>
        <v>1a</v>
      </c>
      <c r="G9" s="17" t="str" cm="1">
        <f t="array" ref="G9">IF(ISNUMBER(SEARCH("N",IF(ISNUMBER(SEARCH("present",IF(INDEX(_xlfn._xlws.FILTER('Model output'!E:E,('Model output'!Z:Z=A9)),1)="","",INDEX(_xlfn._xlws.FILTER('Model output'!E:E,('Model output'!Z:Z=A9)),1)),1)),"N1", IF(INDEX(_xlfn._xlws.FILTER('Model output'!E:E,('Model output'!Z:Z=A9)),1)="","",INDEX(_xlfn._xlws.FILTER('Model output'!E:E,('Model output'!Z:Z=A9)),1))),1)),RIGHT(IF(ISNUMBER(SEARCH("present",IF(INDEX(_xlfn._xlws.FILTER('Model output'!E:E,('Model output'!Z:Z=A9)),1)="","",INDEX(_xlfn._xlws.FILTER('Model output'!E:E,('Model output'!Z:Z=A9)),1)),1)),"N1", IF(INDEX(_xlfn._xlws.FILTER('Model output'!E:E,('Model output'!Z:Z=A9)),1)="","",INDEX(_xlfn._xlws.FILTER('Model output'!E:E,('Model output'!Z:Z=A9)),1))),LEN(IF(ISNUMBER(SEARCH("present",IF(INDEX(_xlfn._xlws.FILTER('Model output'!E:E,('Model output'!Z:Z=A9)),1)="","",INDEX(_xlfn._xlws.FILTER('Model output'!E:E,('Model output'!Z:Z=A9)),1)),1)),"N1", IF(INDEX(_xlfn._xlws.FILTER('Model output'!E:E,('Model output'!Z:Z=A9)),1)="","",INDEX(_xlfn._xlws.FILTER('Model output'!E:E,('Model output'!Z:Z=A9)),1))))-FIND("N",IF(ISNUMBER(SEARCH("present",IF(INDEX(_xlfn._xlws.FILTER('Model output'!E:E,('Model output'!Z:Z=A9)),1)="","",INDEX(_xlfn._xlws.FILTER('Model output'!E:E,('Model output'!Z:Z=A9)),1)),1)),"N1", IF(INDEX(_xlfn._xlws.FILTER('Model output'!E:E,('Model output'!Z:Z=A9)),1)="","",INDEX(_xlfn._xlws.FILTER('Model output'!E:E,('Model output'!Z:Z=A9)),1))),1)), "")</f>
        <v/>
      </c>
      <c r="H9" s="17" cm="1">
        <f t="array" ref="H9">IF(AND(SUBSTITUTE(_xlfn.TEXTJOIN("/", TRUE, _xlfn._xlws.FILTER('Model output'!F:F, 'Model output'!Z:Z=A9)),"M", "")="", K9="negative"),0,IF(K9="positive",1,0))</f>
        <v>0</v>
      </c>
      <c r="I9" t="str">
        <f t="shared" si="0"/>
        <v/>
      </c>
      <c r="J9" t="str" cm="1">
        <f t="array" ref="J9">IF(AND(M9&gt;0, _xlfn.TEXTJOIN("; ", TRUE, _xlfn._xlws.FILTER('Model output'!G:G, 'Model output'!Z:Z=A9)) &lt;&gt;"", OR(AND(ISNUMBER(SEARCH("level", _xlfn.TEXTJOIN("; ", TRUE, _xlfn._xlws.FILTER('Model output'!G:G, 'Model output'!Z:Z=A9)),1)),OR(ISNUMBER(SEARCH(" II", _xlfn.TEXTJOIN("; ", TRUE, _xlfn._xlws.FILTER('Model output'!G:G, 'Model output'!Z:Z=A9)),1)),ISNUMBER(SEARCH("2", _xlfn.TEXTJOIN("; ", TRUE, _xlfn._xlws.FILTER('Model output'!G:G, 'Model output'!Z:Z=A9)),1)),ISNUMBER(SEARCH("two", _xlfn.TEXTJOIN("; ", TRUE, _xlfn._xlws.FILTER('Model output'!G:G, 'Model output'!Z:Z=A9)),1)),ISNUMBER(SEARCH("III", _xlfn.TEXTJOIN("; ", TRUE, _xlfn._xlws.FILTER('Model output'!G:G, 'Model output'!Z:Z=A9)),1)),ISNUMBER(SEARCH("3", _xlfn.TEXTJOIN("; ", TRUE, _xlfn._xlws.FILTER('Model output'!G:G, 'Model output'!Z:Z=A9)),1)),ISNUMBER(SEARCH("three", _xlfn.TEXTJOIN("; ", TRUE, _xlfn._xlws.FILTER('Model output'!G:G, 'Model output'!Z:Z=A9)),1)),ISNUMBER(SEARCH("IV", _xlfn.TEXTJOIN("; ", TRUE, _xlfn._xlws.FILTER('Model output'!G:G, 'Model output'!Z:Z=A9)),1)),ISNUMBER(SEARCH("4", _xlfn.TEXTJOIN("; ", TRUE, _xlfn._xlws.FILTER('Model output'!G:G, 'Model output'!Z:Z=A9)),1)),ISNUMBER(SEARCH("five", _xlfn.TEXTJOIN("; ", TRUE, _xlfn._xlws.FILTER('Model output'!G:G, 'Model output'!Z:Z=A9)),1)),ISNUMBER(SEARCH("V ", _xlfn.TEXTJOIN("; ", TRUE, _xlfn._xlws.FILTER('Model output'!G:G, 'Model output'!Z:Z=A9)),1)),ISNUMBER(SEARCH("5", _xlfn.TEXTJOIN("; ", TRUE, _xlfn._xlws.FILTER('Model output'!G:G, 'Model output'!Z:Z=A9)),1)),ISNUMBER(SEARCH("five", _xlfn.TEXTJOIN("; ", TRUE, _xlfn._xlws.FILTER('Model output'!G:G, 'Model output'!Z:Z=A9)),1)),ISNUMBER(SEARCH(" lateral", _xlfn.TEXTJOIN("; ", TRUE, _xlfn._xlws.FILTER('Model output'!G:G, 'Model output'!Z:Z=A9)),1)))),ISNUMBER(SEARCH("cervical", _xlfn.TEXTJOIN("; ", TRUE, _xlfn._xlws.FILTER('Model output'!G:G, 'Model output'!Z:Z=A9)),1)),ISNUMBER(SEARCH("jugular", _xlfn.TEXTJOIN("; ", TRUE, _xlfn._xlws.FILTER('Model output'!G:G, 'Model output'!Z:Z=A9)),1)),ISNUMBER(SEARCH("left neck", _xlfn.TEXTJOIN("; ", TRUE, _xlfn._xlws.FILTER('Model output'!G:G, 'Model output'!Z:Z=A9)),1)),ISNUMBER(SEARCH("left anterior neck", _xlfn.TEXTJOIN("; ", TRUE, _xlfn._xlws.FILTER('Model output'!G:G, 'Model output'!Z:Z=A9)),1)),ISNUMBER(SEARCH("left posterior neck", _xlfn.TEXTJOIN("; ", TRUE, _xlfn._xlws.FILTER('Model output'!G:G, 'Model output'!Z:Z=A9)),1)),ISNUMBER(SEARCH("right neck", _xlfn.TEXTJOIN("; ", TRUE, _xlfn._xlws.FILTER('Model output'!G:G, 'Model output'!Z:Z=A9)),1)),ISNUMBER(SEARCH("right anterior neck", _xlfn.TEXTJOIN("; ", TRUE, _xlfn._xlws.FILTER('Model output'!G:G, 'Model output'!Z:Z=A9)),1)),ISNUMBER(SEARCH("right posterior neck", _xlfn.TEXTJOIN("; ", TRUE, _xlfn._xlws.FILTER('Model output'!G:G, 'Model output'!Z:Z=A9)),1)))),"lateral",IF(AND(M9=0, _xlfn.TEXTJOIN("; ", TRUE, _xlfn._xlws.FILTER('Model output'!G:G, 'Model output'!Z:Z=A9))=""),"", "central"))</f>
        <v/>
      </c>
      <c r="K9" s="17" t="str" cm="1">
        <f t="array" ref="K9">IF(OR(ISNUMBER(SEARCH("lymph",_xlfn.TEXTJOIN("; ", TRUE, _xlfn._xlws.FILTER('Model output'!H:H, 'Model output'!Z:Z=A9)),1)), ISNUMBER(SEARCH("Not mentioned",_xlfn.TEXTJOIN("; ", TRUE, _xlfn._xlws.FILTER('Model output'!H:H, 'Model output'!Z:Z=A9)),1)),ISNUMBER(SEARCH("thyroid",_xlfn.TEXTJOIN("; ", TRUE, _xlfn._xlws.FILTER('Model output'!H:H, 'Model output'!Z:Z=A9)),1)),ISNUMBER(SEARCH("strap muscle",_xlfn.TEXTJOIN("; ", TRUE, _xlfn._xlws.FILTER('Model output'!H:H, 'Model output'!Z:Z=A9)),1)),ISNUMBER(SEARCH("subcutaneous soft tissues",_xlfn.TEXTJOIN("; ", TRUE, _xlfn._xlws.FILTER('Model output'!H:H, 'Model output'!Z:Z=A9)),1)),ISNUMBER(SEARCH("larynx",_xlfn.TEXTJOIN("; ", TRUE, _xlfn._xlws.FILTER('Model output'!H:H, 'Model output'!Z:Z=A9)),1)),ISNUMBER(SEARCH("trachea",_xlfn.TEXTJOIN("; ", TRUE, _xlfn._xlws.FILTER('Model output'!H:H, 'Model output'!Z:Z=A9)),1)),ISNUMBER(SEARCH("esophagus",_xlfn.TEXTJOIN("; ", TRUE, _xlfn._xlws.FILTER('Model output'!H:H, 'Model output'!Z:Z=A9)),1)),ISNUMBER(SEARCH("recurrent laryngeal nerve",_xlfn.TEXTJOIN("; ", TRUE, _xlfn._xlws.FILTER('Model output'!H:H, 'Model output'!Z:Z=A9)),1)),ISNUMBER(SEARCH("RLN",_xlfn.TEXTJOIN("; ", TRUE, _xlfn._xlws.FILTER('Model output'!H:H, 'Model output'!Z:Z=A9)),1)),_xlfn.TEXTJOIN("; ", TRUE, _xlfn._xlws.FILTER('Model output'!H:H, 'Model output'!Z:Z=A9))=""),"negative","positive")</f>
        <v>negative</v>
      </c>
      <c r="L9" s="17">
        <f>IF(IFERROR(INDEX('Model output'!I:I, MATCH(A9, 'Model output'!Z:Z, 0)), "") &lt; M9, "", IFERROR(INDEX('Model output'!I:I, MATCH(A9, 'Model output'!Z:Z, 0)), ""))</f>
        <v>13</v>
      </c>
      <c r="M9" s="17">
        <f>IFERROR(INDEX('Model output'!J:J, MATCH(A9, 'Model output'!Z:Z, 0)), "")</f>
        <v>0</v>
      </c>
      <c r="N9" s="18" t="str" cm="1">
        <f t="array" ref="N9">ReplaceTo(ReplaceAnd(SUBSTITUTE(SUBSTITUTE(_xlfn.TEXTJOIN("; ", TRUE, _xlfn._xlws.FILTER('Model output'!K:K, 'Model output'!Z:Z=A9)), " ", ""), ",", ";")))</f>
        <v/>
      </c>
      <c r="O9" t="str" cm="1">
        <f t="array" ref="O9">IF(LEFT(IF(RIGHT(SUBSTITUTE(FilterWithUnits(N9)&amp; ";" &amp;FilterStringsWithNumericAnd(N9) &amp; ";" &amp; FilterStringsWithX(N9), ";;", ";"),1)=";",LEFT(SUBSTITUTE(FilterWithUnits(N9)&amp; ";" &amp;FilterStringsWithNumericAnd(N9) &amp; ";" &amp; FilterStringsWithX(N9), ";;", ";"),LEN(SUBSTITUTE(FilterWithUnits(N9)&amp; ";" &amp;FilterStringsWithNumericAnd(N9) &amp; ";" &amp; FilterStringsWithX(N9), ";;", ";"))-1),SUBSTITUTE(FilterWithUnits(N9)&amp; ";" &amp;FilterStringsWithNumericAnd(N9) &amp; ";" &amp; FilterStringsWithX(N9), ";;", ";")),1)=";",RIGHT(IF(RIGHT(SUBSTITUTE(FilterWithUnits(N9)&amp; ";" &amp;FilterStringsWithNumericAnd(N9) &amp; ";" &amp; FilterStringsWithX(N9), ";;", ";"),1)=";",LEFT(SUBSTITUTE(FilterWithUnits(N9)&amp; ";" &amp;FilterStringsWithNumericAnd(N9) &amp; ";" &amp; FilterStringsWithX(N9), ";;", ";"),LEN(SUBSTITUTE(FilterWithUnits(N9)&amp; ";" &amp;FilterStringsWithNumericAnd(N9) &amp; ";" &amp; FilterStringsWithX(N9), ";;", ";"))-1),SUBSTITUTE(FilterWithUnits(N9)&amp; ";" &amp;FilterStringsWithNumericAnd(N9) &amp; ";" &amp; FilterStringsWithX(N9), ";;", ";")),LEN(IF(RIGHT(SUBSTITUTE(FilterWithUnits(N9)&amp; ";" &amp;FilterStringsWithNumericAnd(N9) &amp; ";" &amp; FilterStringsWithX(N9), ";;", ";"),1)=";",LEFT(SUBSTITUTE(FilterWithUnits(N9)&amp; ";" &amp;FilterStringsWithNumericAnd(N9) &amp; ";" &amp; FilterStringsWithX(N9), ";;", ";"),LEN(SUBSTITUTE(FilterWithUnits(N9)&amp; ";" &amp;FilterStringsWithNumericAnd(N9) &amp; ";" &amp; FilterStringsWithX(N9), ";;", ";"))-1),SUBSTITUTE(FilterWithUnits(N9)&amp; ";" &amp;FilterStringsWithNumericAnd(N9) &amp; ";" &amp; FilterStringsWithX(N9), ";;", ";")))-1),IF(RIGHT(SUBSTITUTE(FilterWithUnits(N9)&amp; ";" &amp;FilterStringsWithNumericAnd(N9) &amp; ";" &amp; FilterStringsWithX(N9), ";;", ";"),1)=";",LEFT(SUBSTITUTE(FilterWithUnits(N9)&amp; ";" &amp;FilterStringsWithNumericAnd(N9) &amp; ";" &amp; FilterStringsWithX(N9), ";;", ";"),LEN(SUBSTITUTE(FilterWithUnits(N9)&amp; ";" &amp;FilterStringsWithNumericAnd(N9) &amp; ";" &amp; FilterStringsWithX(N9), ";;", ";"))-1),SUBSTITUTE(FilterWithUnits(N9)&amp; ";" &amp;FilterStringsWithNumericAnd(N9) &amp; ";" &amp; FilterStringsWithX(N9), ";;", ";")))</f>
        <v/>
      </c>
      <c r="P9" t="str" cm="1">
        <f t="array" ref="P9">IF(MaxSize((SplitDimensions(O9)))=0, "", MaxSize((SplitDimensions(O9))))</f>
        <v/>
      </c>
      <c r="Q9" t="str" cm="1">
        <f t="array" ref="Q9">IF(ISERROR(INDEX(_xlfn._xlws.FILTER('Model output'!L:L, ('Model output'!Z:Z=A9)*('Model output'!L:L&lt;&gt;"")), 1)), " ", LOWER(INDEX(_xlfn._xlws.FILTER('Model output'!L:L, ('Model output'!Z:Z=A9)*('Model output'!L:L&lt;&gt;"")), 1)))</f>
        <v>papillary carcinoma</v>
      </c>
      <c r="R9" t="str" cm="1">
        <f t="array" ref="R9">IF(ISERROR(INDEX(_xlfn._xlws.FILTER('Model output'!M:M, ('Model output'!Z:Z=A9)*('Model output'!M:M&lt;&gt;"")), 1)), " ", LOWER(INDEX(_xlfn._xlws.FILTER('Model output'!M:M, ('Model output'!Z:Z=A9)*('Model output'!M:M&lt;&gt;"")), 1)))</f>
        <v>infiltrative follicular subtype</v>
      </c>
      <c r="S9" t="str" cm="1">
        <f t="array" ref="S9">IF(OR(ISNUMBER(SEARCH("ly",SUBSTITUTE(INDEX(_xlfn._xlws.FILTER('Model output'!N:N,('Model output'!Z:Z=A9)*('Model output'!N:N&lt;&gt;"")),1)," ",""),1)), ISNUMBER(SEARCH("pole",SUBSTITUTE(INDEX(_xlfn._xlws.FILTER('Model output'!N:N,('Model output'!Z:Z=A9)*('Model output'!N:N&lt;&gt;"")),1)," ",""),1))),"",SUBSTITUTE(INDEX(_xlfn._xlws.FILTER('Model output'!N:N,('Model output'!Z:Z=A9)*('Model output'!N:N&lt;&gt;"")),1)," ",""))</f>
        <v>4mm</v>
      </c>
      <c r="T9" t="str" cm="1">
        <f t="array" ref="T9">IF(LEFT(IF(RIGHT(SUBSTITUTE(FilterWithUnits(S9)&amp; ";" &amp;FilterStringsWithNumericAnd(S9) &amp; ";" &amp; FilterStringsWithX(S9), ";;", ";"),1)=";",LEFT(SUBSTITUTE(FilterWithUnits(S9)&amp; ";" &amp;FilterStringsWithNumericAnd(S9) &amp; ";" &amp; FilterStringsWithX(S9), ";;", ";"),LEN(SUBSTITUTE(FilterWithUnits(S9)&amp; ";" &amp;FilterStringsWithNumericAnd(S9) &amp; ";" &amp; FilterStringsWithX(S9), ";;", ";"))-1),SUBSTITUTE(FilterWithUnits(S9)&amp; ";" &amp;FilterStringsWithNumericAnd(S9) &amp; ";" &amp; FilterStringsWithX(S9), ";;", ";")),1)=";",RIGHT(IF(RIGHT(SUBSTITUTE(FilterWithUnits(S9)&amp; ";" &amp;FilterStringsWithNumericAnd(S9) &amp; ";" &amp; FilterStringsWithX(S9), ";;", ";"),1)=";",LEFT(SUBSTITUTE(FilterWithUnits(S9)&amp; ";" &amp;FilterStringsWithNumericAnd(S9) &amp; ";" &amp; FilterStringsWithX(S9), ";;", ";"),LEN(SUBSTITUTE(FilterWithUnits(S9)&amp; ";" &amp;FilterStringsWithNumericAnd(S9) &amp; ";" &amp; FilterStringsWithX(S9), ";;", ";"))-1),SUBSTITUTE(FilterWithUnits(S9)&amp; ";" &amp;FilterStringsWithNumericAnd(S9) &amp; ";" &amp; FilterStringsWithX(S9), ";;", ";")),LEN(IF(RIGHT(SUBSTITUTE(FilterWithUnits(S9)&amp; ";" &amp;FilterStringsWithNumericAnd(S9) &amp; ";" &amp; FilterStringsWithX(S9), ";;", ";"),1)=";",LEFT(SUBSTITUTE(FilterWithUnits(S9)&amp; ";" &amp;FilterStringsWithNumericAnd(S9) &amp; ";" &amp; FilterStringsWithX(S9), ";;", ";"),LEN(SUBSTITUTE(FilterWithUnits(S9)&amp; ";" &amp;FilterStringsWithNumericAnd(S9) &amp; ";" &amp; FilterStringsWithX(S9), ";;", ";"))-1),SUBSTITUTE(FilterWithUnits(S9)&amp; ";" &amp;FilterStringsWithNumericAnd(S9) &amp; ";" &amp; FilterStringsWithX(S9), ";;", ";")))-1),IF(RIGHT(SUBSTITUTE(FilterWithUnits(S9)&amp; ";" &amp;FilterStringsWithNumericAnd(S9) &amp; ";" &amp; FilterStringsWithX(S9), ";;", ";"),1)=";",LEFT(SUBSTITUTE(FilterWithUnits(S9)&amp; ";" &amp;FilterStringsWithNumericAnd(S9) &amp; ";" &amp; FilterStringsWithX(S9), ";;", ";"),LEN(SUBSTITUTE(FilterWithUnits(S9)&amp; ";" &amp;FilterStringsWithNumericAnd(S9) &amp; ";" &amp; FilterStringsWithX(S9), ";;", ";"))-1),SUBSTITUTE(FilterWithUnits(S9)&amp; ";" &amp;FilterStringsWithNumericAnd(S9) &amp; ";" &amp; FilterStringsWithX(S9), ";;", ";")))</f>
        <v>4mm</v>
      </c>
      <c r="U9" cm="1">
        <f t="array" ref="U9">IF(MaxSize((SplitDimensions(T9)))=0, "", MaxSize((SplitDimensions(T9))))</f>
        <v>0.4</v>
      </c>
      <c r="V9" s="17" t="str" cm="1">
        <f t="array" ref="V9">IF(ISERROR(INDEX(_xlfn._xlws.FILTER('Model output'!P:P,('Model output'!Z:Z=A9)*('Model output'!P:P&lt;&gt;"")),1)),"negative",IF(OR(ISNUMBER(SEARCH("foc",INDEX(_xlfn._xlws.FILTER('Model output'!P:P,('Model output'!Z:Z=A9)*('Model output'!P:P&lt;&gt;"")),1),1)),ISNUMBER(SEARCH("extensive",INDEX(_xlfn._xlws.FILTER('Model output'!P:P,('Model output'!Z:Z=A9)*('Model output'!P:P&lt;&gt;"")),1),1)),ISNUMBER(SEARCH("present",INDEX(_xlfn._xlws.FILTER('Model output'!P:P,('Model output'!Z:Z=A9)*('Model output'!P:P&lt;&gt;"")),1),1)),ISNUMBER(SEARCH("yes",INDEX(_xlfn._xlws.FILTER('Model output'!P:P,('Model output'!Z:Z=A9)*('Model output'!P:P&lt;&gt;"")),1),1))),"positive","negative"))</f>
        <v>negative</v>
      </c>
      <c r="X9" t="str" cm="1">
        <f t="array" ref="X9">IF(ISNUMBER(SEARCH("4",INDEX(_xlfn._xlws.FILTER('Model output'!P:P,('Model output'!Z:Z=A9)*('Model output'!P:P&lt;&gt;"")),1),1)),INDEX(_xlfn._xlws.FILTER('Model output'!P:P,('Model output'!Z:Z=A9)*('Model output'!P:P&lt;&gt;"")),1),"") &amp; _xlfn.TEXTJOIN("",TRUE,_xlfn._xlws.FILTER('Model output'!Q:Q,'Model output'!Z:Z=A9))</f>
        <v>Not mentioned</v>
      </c>
      <c r="Y9" t="str">
        <f t="shared" si="11"/>
        <v>no</v>
      </c>
      <c r="Z9" t="str" cm="1">
        <f t="array" ref="Z9">IF(OR(ISNUMBER(SEARCH("focal",_xlfn.TEXTJOIN("; ",TRUE,_xlfn._xlws.FILTER('Model output'!R:R,'Model output'!Z:Z=A9)),1)),ISNUMBER(SEARCH("present",_xlfn.TEXTJOIN("; ",TRUE,_xlfn._xlws.FILTER('Model output'!R:R,'Model output'!Z:Z=A9)),1))),"positive",IF(_xlfn.TEXTJOIN("; ",TRUE,_xlfn._xlws.FILTER('Model output'!R:R,'Model output'!Z:Z=A9))="","negative",IF(OR(ISNUMBER(SEARCH("no",_xlfn.TEXTJOIN("; ",TRUE,_xlfn._xlws.FILTER('Model output'!R:R,'Model output'!Z:Z=A9)),1)),ISNUMBER(SEARCH("absent",_xlfn.TEXTJOIN("; ",TRUE,_xlfn._xlws.FILTER('Model output'!R:R,'Model output'!Z:Z=A9)),1))),"negative","positive")))</f>
        <v>negative</v>
      </c>
      <c r="AA9" s="17" t="str">
        <f t="shared" si="1"/>
        <v>negative</v>
      </c>
      <c r="AE9" s="17" t="str">
        <f t="shared" si="12"/>
        <v>negative</v>
      </c>
      <c r="AF9" t="str" cm="1">
        <f t="array" ref="AF9">_xlfn.TEXTJOIN("; ",TRUE,_xlfn._xlws.FILTER('Model output'!S:S,'Model output'!Z:Z=A9))</f>
        <v>Not identified; Not mentioned</v>
      </c>
      <c r="AG9" s="17" t="str" cm="1">
        <f t="array" ref="AG9">IF(OR(ISNUMBER(SEARCH("uninvolved",_xlfn.TEXTJOIN("; ",TRUE,_xlfn._xlws.FILTER('Model output'!V:V,'Model output'!Z:Z=A9)),1)),ISNUMBER(SEARCH("clear",_xlfn.TEXTJOIN("; ",TRUE,_xlfn._xlws.FILTER('Model output'!V:V,'Model output'!Z:Z=A9)),1))*ISNUMBER(SEARCH("not mentioned",_xlfn.TEXTJOIN("; ",TRUE,_xlfn._xlws.FILTER('Model output'!V:V,'Model output'!Z:Z=A9)),1))),"negative",IF(ISNUMBER(SEARCH("cannot be assessed",_xlfn.TEXTJOIN("; ",TRUE,_xlfn._xlws.FILTER('Model output'!V:V,'Model output'!Z:Z=A9)),1)),"unknown","negative"))</f>
        <v>negative</v>
      </c>
      <c r="AI9" s="45" t="str">
        <f t="shared" si="13"/>
        <v>low</v>
      </c>
      <c r="AJ9" s="41" t="str">
        <f t="shared" si="14"/>
        <v>1a</v>
      </c>
      <c r="AK9" s="41">
        <f t="shared" si="3"/>
        <v>0</v>
      </c>
      <c r="AL9" s="41">
        <f t="shared" si="4"/>
        <v>0</v>
      </c>
      <c r="AM9" s="41" t="str">
        <f t="shared" si="5"/>
        <v>I</v>
      </c>
      <c r="AN9" s="42" t="s">
        <v>166</v>
      </c>
      <c r="AO9" s="43" t="s">
        <v>205</v>
      </c>
      <c r="AP9" s="43" t="s">
        <v>204</v>
      </c>
      <c r="AQ9" s="43">
        <v>0</v>
      </c>
      <c r="AR9" s="43" t="s">
        <v>31</v>
      </c>
      <c r="AS9" s="42">
        <f t="shared" si="6"/>
        <v>1</v>
      </c>
      <c r="AT9" s="43">
        <f t="shared" si="7"/>
        <v>1</v>
      </c>
      <c r="AU9" s="43">
        <f t="shared" si="8"/>
        <v>1</v>
      </c>
      <c r="AV9" s="43">
        <f t="shared" si="9"/>
        <v>1</v>
      </c>
      <c r="AW9" s="44">
        <f t="shared" si="10"/>
        <v>1</v>
      </c>
    </row>
    <row r="10" spans="1:49">
      <c r="A10" s="13">
        <v>8</v>
      </c>
      <c r="B10" s="16">
        <f>_xlfn.MAXIFS('Model output'!B:B,'Model output'!Z:Z,'Classification result'!$A10)</f>
        <v>0</v>
      </c>
      <c r="C10" s="16"/>
      <c r="D10" s="16"/>
      <c r="E10" s="17">
        <f>_xlfn.MAXIFS('Model output'!C:C,'Model output'!Z:Z,'Classification result'!$A10)</f>
        <v>78</v>
      </c>
      <c r="F10" s="17" t="str" cm="1">
        <f t="array" ref="F10">LEFT(IF(ISERROR(RIGHT(IF(INDEX(_xlfn._xlws.FILTER('Model output'!D:D,('Model output'!Z:Z=A10)),1)&lt;&gt;"",INDEX(_xlfn._xlws.FILTER('Model output'!D:D,('Model output'!Z:Z=A10)),1),""),LEN(IF(INDEX(_xlfn._xlws.FILTER('Model output'!D:D,('Model output'!Z:Z=A10)),1)&lt;&gt;"",INDEX(_xlfn._xlws.FILTER('Model output'!D:D,('Model output'!Z:Z=A10)),1),""))-FIND("T",IF(INDEX(_xlfn._xlws.FILTER('Model output'!D:D,('Model output'!Z:Z=A10)),1)&lt;&gt;"",INDEX(_xlfn._xlws.FILTER('Model output'!D:D,('Model output'!Z:Z=A10)),1),""),1))),"",(RIGHT(IF(INDEX(_xlfn._xlws.FILTER('Model output'!D:D,('Model output'!Z:Z=A10)),1)&lt;&gt;"",INDEX(_xlfn._xlws.FILTER('Model output'!D:D,('Model output'!Z:Z=A10)),1),""),LEN(IF(INDEX(_xlfn._xlws.FILTER('Model output'!D:D,('Model output'!Z:Z=A10)),1)&lt;&gt;"",INDEX(_xlfn._xlws.FILTER('Model output'!D:D,('Model output'!Z:Z=A10)),1),""))-FIND("T",IF(INDEX(_xlfn._xlws.FILTER('Model output'!D:D,('Model output'!Z:Z=A10)),1)&lt;&gt;"",INDEX(_xlfn._xlws.FILTER('Model output'!D:D,('Model output'!Z:Z=A10)),1)))))),2)</f>
        <v>1b</v>
      </c>
      <c r="G10" s="17" t="str" cm="1">
        <f t="array" ref="G10">IF(ISNUMBER(SEARCH("N",IF(ISNUMBER(SEARCH("present",IF(INDEX(_xlfn._xlws.FILTER('Model output'!E:E,('Model output'!Z:Z=A10)),1)="","",INDEX(_xlfn._xlws.FILTER('Model output'!E:E,('Model output'!Z:Z=A10)),1)),1)),"N1", IF(INDEX(_xlfn._xlws.FILTER('Model output'!E:E,('Model output'!Z:Z=A10)),1)="","",INDEX(_xlfn._xlws.FILTER('Model output'!E:E,('Model output'!Z:Z=A10)),1))),1)),RIGHT(IF(ISNUMBER(SEARCH("present",IF(INDEX(_xlfn._xlws.FILTER('Model output'!E:E,('Model output'!Z:Z=A10)),1)="","",INDEX(_xlfn._xlws.FILTER('Model output'!E:E,('Model output'!Z:Z=A10)),1)),1)),"N1", IF(INDEX(_xlfn._xlws.FILTER('Model output'!E:E,('Model output'!Z:Z=A10)),1)="","",INDEX(_xlfn._xlws.FILTER('Model output'!E:E,('Model output'!Z:Z=A10)),1))),LEN(IF(ISNUMBER(SEARCH("present",IF(INDEX(_xlfn._xlws.FILTER('Model output'!E:E,('Model output'!Z:Z=A10)),1)="","",INDEX(_xlfn._xlws.FILTER('Model output'!E:E,('Model output'!Z:Z=A10)),1)),1)),"N1", IF(INDEX(_xlfn._xlws.FILTER('Model output'!E:E,('Model output'!Z:Z=A10)),1)="","",INDEX(_xlfn._xlws.FILTER('Model output'!E:E,('Model output'!Z:Z=A10)),1))))-FIND("N",IF(ISNUMBER(SEARCH("present",IF(INDEX(_xlfn._xlws.FILTER('Model output'!E:E,('Model output'!Z:Z=A10)),1)="","",INDEX(_xlfn._xlws.FILTER('Model output'!E:E,('Model output'!Z:Z=A10)),1)),1)),"N1", IF(INDEX(_xlfn._xlws.FILTER('Model output'!E:E,('Model output'!Z:Z=A10)),1)="","",INDEX(_xlfn._xlws.FILTER('Model output'!E:E,('Model output'!Z:Z=A10)),1))),1)), "")</f>
        <v/>
      </c>
      <c r="H10" s="17" cm="1">
        <f t="array" ref="H10">IF(AND(SUBSTITUTE(_xlfn.TEXTJOIN("/", TRUE, _xlfn._xlws.FILTER('Model output'!F:F, 'Model output'!Z:Z=A10)),"M", "")="", K10="negative"),0,IF(K10="positive",1,0))</f>
        <v>0</v>
      </c>
      <c r="I10" t="str">
        <f t="shared" si="0"/>
        <v/>
      </c>
      <c r="J10" t="str" cm="1">
        <f t="array" ref="J10">IF(AND(M10&gt;0, _xlfn.TEXTJOIN("; ", TRUE, _xlfn._xlws.FILTER('Model output'!G:G, 'Model output'!Z:Z=A10)) &lt;&gt;"", OR(AND(ISNUMBER(SEARCH("level", _xlfn.TEXTJOIN("; ", TRUE, _xlfn._xlws.FILTER('Model output'!G:G, 'Model output'!Z:Z=A10)),1)),OR(ISNUMBER(SEARCH(" II", _xlfn.TEXTJOIN("; ", TRUE, _xlfn._xlws.FILTER('Model output'!G:G, 'Model output'!Z:Z=A10)),1)),ISNUMBER(SEARCH("2", _xlfn.TEXTJOIN("; ", TRUE, _xlfn._xlws.FILTER('Model output'!G:G, 'Model output'!Z:Z=A10)),1)),ISNUMBER(SEARCH("two", _xlfn.TEXTJOIN("; ", TRUE, _xlfn._xlws.FILTER('Model output'!G:G, 'Model output'!Z:Z=A10)),1)),ISNUMBER(SEARCH("III", _xlfn.TEXTJOIN("; ", TRUE, _xlfn._xlws.FILTER('Model output'!G:G, 'Model output'!Z:Z=A10)),1)),ISNUMBER(SEARCH("3", _xlfn.TEXTJOIN("; ", TRUE, _xlfn._xlws.FILTER('Model output'!G:G, 'Model output'!Z:Z=A10)),1)),ISNUMBER(SEARCH("three", _xlfn.TEXTJOIN("; ", TRUE, _xlfn._xlws.FILTER('Model output'!G:G, 'Model output'!Z:Z=A10)),1)),ISNUMBER(SEARCH("IV", _xlfn.TEXTJOIN("; ", TRUE, _xlfn._xlws.FILTER('Model output'!G:G, 'Model output'!Z:Z=A10)),1)),ISNUMBER(SEARCH("4", _xlfn.TEXTJOIN("; ", TRUE, _xlfn._xlws.FILTER('Model output'!G:G, 'Model output'!Z:Z=A10)),1)),ISNUMBER(SEARCH("five", _xlfn.TEXTJOIN("; ", TRUE, _xlfn._xlws.FILTER('Model output'!G:G, 'Model output'!Z:Z=A10)),1)),ISNUMBER(SEARCH("V ", _xlfn.TEXTJOIN("; ", TRUE, _xlfn._xlws.FILTER('Model output'!G:G, 'Model output'!Z:Z=A10)),1)),ISNUMBER(SEARCH("5", _xlfn.TEXTJOIN("; ", TRUE, _xlfn._xlws.FILTER('Model output'!G:G, 'Model output'!Z:Z=A10)),1)),ISNUMBER(SEARCH("five", _xlfn.TEXTJOIN("; ", TRUE, _xlfn._xlws.FILTER('Model output'!G:G, 'Model output'!Z:Z=A10)),1)),ISNUMBER(SEARCH(" lateral", _xlfn.TEXTJOIN("; ", TRUE, _xlfn._xlws.FILTER('Model output'!G:G, 'Model output'!Z:Z=A10)),1)))),ISNUMBER(SEARCH("cervical", _xlfn.TEXTJOIN("; ", TRUE, _xlfn._xlws.FILTER('Model output'!G:G, 'Model output'!Z:Z=A10)),1)),ISNUMBER(SEARCH("jugular", _xlfn.TEXTJOIN("; ", TRUE, _xlfn._xlws.FILTER('Model output'!G:G, 'Model output'!Z:Z=A10)),1)),ISNUMBER(SEARCH("left neck", _xlfn.TEXTJOIN("; ", TRUE, _xlfn._xlws.FILTER('Model output'!G:G, 'Model output'!Z:Z=A10)),1)),ISNUMBER(SEARCH("left anterior neck", _xlfn.TEXTJOIN("; ", TRUE, _xlfn._xlws.FILTER('Model output'!G:G, 'Model output'!Z:Z=A10)),1)),ISNUMBER(SEARCH("left posterior neck", _xlfn.TEXTJOIN("; ", TRUE, _xlfn._xlws.FILTER('Model output'!G:G, 'Model output'!Z:Z=A10)),1)),ISNUMBER(SEARCH("right neck", _xlfn.TEXTJOIN("; ", TRUE, _xlfn._xlws.FILTER('Model output'!G:G, 'Model output'!Z:Z=A10)),1)),ISNUMBER(SEARCH("right anterior neck", _xlfn.TEXTJOIN("; ", TRUE, _xlfn._xlws.FILTER('Model output'!G:G, 'Model output'!Z:Z=A10)),1)),ISNUMBER(SEARCH("right posterior neck", _xlfn.TEXTJOIN("; ", TRUE, _xlfn._xlws.FILTER('Model output'!G:G, 'Model output'!Z:Z=A10)),1)))),"lateral",IF(AND(M10=0, _xlfn.TEXTJOIN("; ", TRUE, _xlfn._xlws.FILTER('Model output'!G:G, 'Model output'!Z:Z=A10))=""),"", "central"))</f>
        <v/>
      </c>
      <c r="K10" s="17" t="str" cm="1">
        <f t="array" ref="K10">IF(OR(ISNUMBER(SEARCH("lymph",_xlfn.TEXTJOIN("; ", TRUE, _xlfn._xlws.FILTER('Model output'!H:H, 'Model output'!Z:Z=A10)),1)), ISNUMBER(SEARCH("Not mentioned",_xlfn.TEXTJOIN("; ", TRUE, _xlfn._xlws.FILTER('Model output'!H:H, 'Model output'!Z:Z=A10)),1)),ISNUMBER(SEARCH("thyroid",_xlfn.TEXTJOIN("; ", TRUE, _xlfn._xlws.FILTER('Model output'!H:H, 'Model output'!Z:Z=A10)),1)),ISNUMBER(SEARCH("strap muscle",_xlfn.TEXTJOIN("; ", TRUE, _xlfn._xlws.FILTER('Model output'!H:H, 'Model output'!Z:Z=A10)),1)),ISNUMBER(SEARCH("subcutaneous soft tissues",_xlfn.TEXTJOIN("; ", TRUE, _xlfn._xlws.FILTER('Model output'!H:H, 'Model output'!Z:Z=A10)),1)),ISNUMBER(SEARCH("larynx",_xlfn.TEXTJOIN("; ", TRUE, _xlfn._xlws.FILTER('Model output'!H:H, 'Model output'!Z:Z=A10)),1)),ISNUMBER(SEARCH("trachea",_xlfn.TEXTJOIN("; ", TRUE, _xlfn._xlws.FILTER('Model output'!H:H, 'Model output'!Z:Z=A10)),1)),ISNUMBER(SEARCH("esophagus",_xlfn.TEXTJOIN("; ", TRUE, _xlfn._xlws.FILTER('Model output'!H:H, 'Model output'!Z:Z=A10)),1)),ISNUMBER(SEARCH("recurrent laryngeal nerve",_xlfn.TEXTJOIN("; ", TRUE, _xlfn._xlws.FILTER('Model output'!H:H, 'Model output'!Z:Z=A10)),1)),ISNUMBER(SEARCH("RLN",_xlfn.TEXTJOIN("; ", TRUE, _xlfn._xlws.FILTER('Model output'!H:H, 'Model output'!Z:Z=A10)),1)),_xlfn.TEXTJOIN("; ", TRUE, _xlfn._xlws.FILTER('Model output'!H:H, 'Model output'!Z:Z=A10))=""),"negative","positive")</f>
        <v>negative</v>
      </c>
      <c r="L10" s="17">
        <f>IF(IFERROR(INDEX('Model output'!I:I, MATCH(A10, 'Model output'!Z:Z, 0)), "") &lt; M10, "", IFERROR(INDEX('Model output'!I:I, MATCH(A10, 'Model output'!Z:Z, 0)), ""))</f>
        <v>0</v>
      </c>
      <c r="M10" s="17">
        <f>IFERROR(INDEX('Model output'!J:J, MATCH(A10, 'Model output'!Z:Z, 0)), "")</f>
        <v>0</v>
      </c>
      <c r="N10" s="18" t="str" cm="1">
        <f t="array" ref="N10">ReplaceTo(ReplaceAnd(SUBSTITUTE(SUBSTITUTE(_xlfn.TEXTJOIN("; ", TRUE, _xlfn._xlws.FILTER('Model output'!K:K, 'Model output'!Z:Z=A10)), " ", ""), ",", ";")))</f>
        <v/>
      </c>
      <c r="O10" t="str" cm="1">
        <f t="array" ref="O10">IF(LEFT(IF(RIGHT(SUBSTITUTE(FilterWithUnits(N10)&amp; ";" &amp;FilterStringsWithNumericAnd(N10) &amp; ";" &amp; FilterStringsWithX(N10), ";;", ";"),1)=";",LEFT(SUBSTITUTE(FilterWithUnits(N10)&amp; ";" &amp;FilterStringsWithNumericAnd(N10) &amp; ";" &amp; FilterStringsWithX(N10), ";;", ";"),LEN(SUBSTITUTE(FilterWithUnits(N10)&amp; ";" &amp;FilterStringsWithNumericAnd(N10) &amp; ";" &amp; FilterStringsWithX(N10), ";;", ";"))-1),SUBSTITUTE(FilterWithUnits(N10)&amp; ";" &amp;FilterStringsWithNumericAnd(N10) &amp; ";" &amp; FilterStringsWithX(N10), ";;", ";")),1)=";",RIGHT(IF(RIGHT(SUBSTITUTE(FilterWithUnits(N10)&amp; ";" &amp;FilterStringsWithNumericAnd(N10) &amp; ";" &amp; FilterStringsWithX(N10), ";;", ";"),1)=";",LEFT(SUBSTITUTE(FilterWithUnits(N10)&amp; ";" &amp;FilterStringsWithNumericAnd(N10) &amp; ";" &amp; FilterStringsWithX(N10), ";;", ";"),LEN(SUBSTITUTE(FilterWithUnits(N10)&amp; ";" &amp;FilterStringsWithNumericAnd(N10) &amp; ";" &amp; FilterStringsWithX(N10), ";;", ";"))-1),SUBSTITUTE(FilterWithUnits(N10)&amp; ";" &amp;FilterStringsWithNumericAnd(N10) &amp; ";" &amp; FilterStringsWithX(N10), ";;", ";")),LEN(IF(RIGHT(SUBSTITUTE(FilterWithUnits(N10)&amp; ";" &amp;FilterStringsWithNumericAnd(N10) &amp; ";" &amp; FilterStringsWithX(N10), ";;", ";"),1)=";",LEFT(SUBSTITUTE(FilterWithUnits(N10)&amp; ";" &amp;FilterStringsWithNumericAnd(N10) &amp; ";" &amp; FilterStringsWithX(N10), ";;", ";"),LEN(SUBSTITUTE(FilterWithUnits(N10)&amp; ";" &amp;FilterStringsWithNumericAnd(N10) &amp; ";" &amp; FilterStringsWithX(N10), ";;", ";"))-1),SUBSTITUTE(FilterWithUnits(N10)&amp; ";" &amp;FilterStringsWithNumericAnd(N10) &amp; ";" &amp; FilterStringsWithX(N10), ";;", ";")))-1),IF(RIGHT(SUBSTITUTE(FilterWithUnits(N10)&amp; ";" &amp;FilterStringsWithNumericAnd(N10) &amp; ";" &amp; FilterStringsWithX(N10), ";;", ";"),1)=";",LEFT(SUBSTITUTE(FilterWithUnits(N10)&amp; ";" &amp;FilterStringsWithNumericAnd(N10) &amp; ";" &amp; FilterStringsWithX(N10), ";;", ";"),LEN(SUBSTITUTE(FilterWithUnits(N10)&amp; ";" &amp;FilterStringsWithNumericAnd(N10) &amp; ";" &amp; FilterStringsWithX(N10), ";;", ";"))-1),SUBSTITUTE(FilterWithUnits(N10)&amp; ";" &amp;FilterStringsWithNumericAnd(N10) &amp; ";" &amp; FilterStringsWithX(N10), ";;", ";")))</f>
        <v/>
      </c>
      <c r="P10" t="str" cm="1">
        <f t="array" ref="P10">IF(MaxSize((SplitDimensions(O10)))=0, "", MaxSize((SplitDimensions(O10))))</f>
        <v/>
      </c>
      <c r="Q10" t="str" cm="1">
        <f t="array" ref="Q10">IF(ISERROR(INDEX(_xlfn._xlws.FILTER('Model output'!L:L, ('Model output'!Z:Z=A10)*('Model output'!L:L&lt;&gt;"")), 1)), " ", LOWER(INDEX(_xlfn._xlws.FILTER('Model output'!L:L, ('Model output'!Z:Z=A10)*('Model output'!L:L&lt;&gt;"")), 1)))</f>
        <v>papillary carcinoma</v>
      </c>
      <c r="R10" t="str" cm="1">
        <f t="array" ref="R10">IF(ISERROR(INDEX(_xlfn._xlws.FILTER('Model output'!M:M, ('Model output'!Z:Z=A10)*('Model output'!M:M&lt;&gt;"")), 1)), " ", LOWER(INDEX(_xlfn._xlws.FILTER('Model output'!M:M, ('Model output'!Z:Z=A10)*('Model output'!M:M&lt;&gt;"")), 1)))</f>
        <v>classic</v>
      </c>
      <c r="S10" t="str" cm="1">
        <f t="array" ref="S10">IF(OR(ISNUMBER(SEARCH("ly",SUBSTITUTE(INDEX(_xlfn._xlws.FILTER('Model output'!N:N,('Model output'!Z:Z=A10)*('Model output'!N:N&lt;&gt;"")),1)," ",""),1)), ISNUMBER(SEARCH("pole",SUBSTITUTE(INDEX(_xlfn._xlws.FILTER('Model output'!N:N,('Model output'!Z:Z=A10)*('Model output'!N:N&lt;&gt;"")),1)," ",""),1))),"",SUBSTITUTE(INDEX(_xlfn._xlws.FILTER('Model output'!N:N,('Model output'!Z:Z=A10)*('Model output'!N:N&lt;&gt;"")),1)," ",""))</f>
        <v>11.5mm</v>
      </c>
      <c r="T10" t="str" cm="1">
        <f t="array" ref="T10">IF(LEFT(IF(RIGHT(SUBSTITUTE(FilterWithUnits(S10)&amp; ";" &amp;FilterStringsWithNumericAnd(S10) &amp; ";" &amp; FilterStringsWithX(S10), ";;", ";"),1)=";",LEFT(SUBSTITUTE(FilterWithUnits(S10)&amp; ";" &amp;FilterStringsWithNumericAnd(S10) &amp; ";" &amp; FilterStringsWithX(S10), ";;", ";"),LEN(SUBSTITUTE(FilterWithUnits(S10)&amp; ";" &amp;FilterStringsWithNumericAnd(S10) &amp; ";" &amp; FilterStringsWithX(S10), ";;", ";"))-1),SUBSTITUTE(FilterWithUnits(S10)&amp; ";" &amp;FilterStringsWithNumericAnd(S10) &amp; ";" &amp; FilterStringsWithX(S10), ";;", ";")),1)=";",RIGHT(IF(RIGHT(SUBSTITUTE(FilterWithUnits(S10)&amp; ";" &amp;FilterStringsWithNumericAnd(S10) &amp; ";" &amp; FilterStringsWithX(S10), ";;", ";"),1)=";",LEFT(SUBSTITUTE(FilterWithUnits(S10)&amp; ";" &amp;FilterStringsWithNumericAnd(S10) &amp; ";" &amp; FilterStringsWithX(S10), ";;", ";"),LEN(SUBSTITUTE(FilterWithUnits(S10)&amp; ";" &amp;FilterStringsWithNumericAnd(S10) &amp; ";" &amp; FilterStringsWithX(S10), ";;", ";"))-1),SUBSTITUTE(FilterWithUnits(S10)&amp; ";" &amp;FilterStringsWithNumericAnd(S10) &amp; ";" &amp; FilterStringsWithX(S10), ";;", ";")),LEN(IF(RIGHT(SUBSTITUTE(FilterWithUnits(S10)&amp; ";" &amp;FilterStringsWithNumericAnd(S10) &amp; ";" &amp; FilterStringsWithX(S10), ";;", ";"),1)=";",LEFT(SUBSTITUTE(FilterWithUnits(S10)&amp; ";" &amp;FilterStringsWithNumericAnd(S10) &amp; ";" &amp; FilterStringsWithX(S10), ";;", ";"),LEN(SUBSTITUTE(FilterWithUnits(S10)&amp; ";" &amp;FilterStringsWithNumericAnd(S10) &amp; ";" &amp; FilterStringsWithX(S10), ";;", ";"))-1),SUBSTITUTE(FilterWithUnits(S10)&amp; ";" &amp;FilterStringsWithNumericAnd(S10) &amp; ";" &amp; FilterStringsWithX(S10), ";;", ";")))-1),IF(RIGHT(SUBSTITUTE(FilterWithUnits(S10)&amp; ";" &amp;FilterStringsWithNumericAnd(S10) &amp; ";" &amp; FilterStringsWithX(S10), ";;", ";"),1)=";",LEFT(SUBSTITUTE(FilterWithUnits(S10)&amp; ";" &amp;FilterStringsWithNumericAnd(S10) &amp; ";" &amp; FilterStringsWithX(S10), ";;", ";"),LEN(SUBSTITUTE(FilterWithUnits(S10)&amp; ";" &amp;FilterStringsWithNumericAnd(S10) &amp; ";" &amp; FilterStringsWithX(S10), ";;", ";"))-1),SUBSTITUTE(FilterWithUnits(S10)&amp; ";" &amp;FilterStringsWithNumericAnd(S10) &amp; ";" &amp; FilterStringsWithX(S10), ";;", ";")))</f>
        <v>11.5mm</v>
      </c>
      <c r="U10" cm="1">
        <f t="array" ref="U10">IF(MaxSize((SplitDimensions(T10)))=0, "", MaxSize((SplitDimensions(T10))))</f>
        <v>1.1499999999999999</v>
      </c>
      <c r="V10" s="17" t="str" cm="1">
        <f t="array" ref="V10">IF(ISERROR(INDEX(_xlfn._xlws.FILTER('Model output'!P:P,('Model output'!Z:Z=A10)*('Model output'!P:P&lt;&gt;"")),1)),"negative",IF(OR(ISNUMBER(SEARCH("foc",INDEX(_xlfn._xlws.FILTER('Model output'!P:P,('Model output'!Z:Z=A10)*('Model output'!P:P&lt;&gt;"")),1),1)),ISNUMBER(SEARCH("extensive",INDEX(_xlfn._xlws.FILTER('Model output'!P:P,('Model output'!Z:Z=A10)*('Model output'!P:P&lt;&gt;"")),1),1)),ISNUMBER(SEARCH("present",INDEX(_xlfn._xlws.FILTER('Model output'!P:P,('Model output'!Z:Z=A10)*('Model output'!P:P&lt;&gt;"")),1),1)),ISNUMBER(SEARCH("yes",INDEX(_xlfn._xlws.FILTER('Model output'!P:P,('Model output'!Z:Z=A10)*('Model output'!P:P&lt;&gt;"")),1),1))),"positive","negative"))</f>
        <v>negative</v>
      </c>
      <c r="X10" t="str" cm="1">
        <f t="array" ref="X10">IF(ISNUMBER(SEARCH("4",INDEX(_xlfn._xlws.FILTER('Model output'!P:P,('Model output'!Z:Z=A10)*('Model output'!P:P&lt;&gt;"")),1),1)),INDEX(_xlfn._xlws.FILTER('Model output'!P:P,('Model output'!Z:Z=A10)*('Model output'!P:P&lt;&gt;"")),1),"") &amp; _xlfn.TEXTJOIN("",TRUE,_xlfn._xlws.FILTER('Model output'!Q:Q,'Model output'!Z:Z=A10))</f>
        <v/>
      </c>
      <c r="Y10" t="str">
        <f t="shared" si="11"/>
        <v>no</v>
      </c>
      <c r="Z10" t="str" cm="1">
        <f t="array" ref="Z10">IF(OR(ISNUMBER(SEARCH("focal",_xlfn.TEXTJOIN("; ",TRUE,_xlfn._xlws.FILTER('Model output'!R:R,'Model output'!Z:Z=A10)),1)),ISNUMBER(SEARCH("present",_xlfn.TEXTJOIN("; ",TRUE,_xlfn._xlws.FILTER('Model output'!R:R,'Model output'!Z:Z=A10)),1))),"positive",IF(_xlfn.TEXTJOIN("; ",TRUE,_xlfn._xlws.FILTER('Model output'!R:R,'Model output'!Z:Z=A10))="","negative",IF(OR(ISNUMBER(SEARCH("no",_xlfn.TEXTJOIN("; ",TRUE,_xlfn._xlws.FILTER('Model output'!R:R,'Model output'!Z:Z=A10)),1)),ISNUMBER(SEARCH("absent",_xlfn.TEXTJOIN("; ",TRUE,_xlfn._xlws.FILTER('Model output'!R:R,'Model output'!Z:Z=A10)),1))),"negative","positive")))</f>
        <v>negative</v>
      </c>
      <c r="AA10" s="17" t="str">
        <f t="shared" si="1"/>
        <v>negative</v>
      </c>
      <c r="AE10" s="17" t="str">
        <f t="shared" si="12"/>
        <v>negative</v>
      </c>
      <c r="AF10" t="str" cm="1">
        <f t="array" ref="AF10">_xlfn.TEXTJOIN("; ",TRUE,_xlfn._xlws.FILTER('Model output'!S:S,'Model output'!Z:Z=A10))</f>
        <v>Not identified</v>
      </c>
      <c r="AG10" s="17" t="str" cm="1">
        <f t="array" ref="AG10">IF(OR(ISNUMBER(SEARCH("uninvolved",_xlfn.TEXTJOIN("; ",TRUE,_xlfn._xlws.FILTER('Model output'!V:V,'Model output'!Z:Z=A10)),1)),ISNUMBER(SEARCH("clear",_xlfn.TEXTJOIN("; ",TRUE,_xlfn._xlws.FILTER('Model output'!V:V,'Model output'!Z:Z=A10)),1))*ISNUMBER(SEARCH("not mentioned",_xlfn.TEXTJOIN("; ",TRUE,_xlfn._xlws.FILTER('Model output'!V:V,'Model output'!Z:Z=A10)),1))),"negative",IF(ISNUMBER(SEARCH("cannot be assessed",_xlfn.TEXTJOIN("; ",TRUE,_xlfn._xlws.FILTER('Model output'!V:V,'Model output'!Z:Z=A10)),1)),"unknown","negative"))</f>
        <v>negative</v>
      </c>
      <c r="AI10" s="45" t="str">
        <f t="shared" si="13"/>
        <v>low</v>
      </c>
      <c r="AJ10" s="41" t="str">
        <f t="shared" si="14"/>
        <v>1b</v>
      </c>
      <c r="AK10" s="41" t="str">
        <f t="shared" si="3"/>
        <v>x</v>
      </c>
      <c r="AL10" s="41">
        <f t="shared" si="4"/>
        <v>0</v>
      </c>
      <c r="AM10" s="41" t="str">
        <f t="shared" si="5"/>
        <v>I</v>
      </c>
      <c r="AN10" s="42" t="s">
        <v>166</v>
      </c>
      <c r="AO10" s="43" t="s">
        <v>203</v>
      </c>
      <c r="AP10" s="43" t="s">
        <v>204</v>
      </c>
      <c r="AQ10" s="43">
        <v>0</v>
      </c>
      <c r="AR10" s="43" t="s">
        <v>31</v>
      </c>
      <c r="AS10" s="42">
        <f t="shared" si="6"/>
        <v>1</v>
      </c>
      <c r="AT10" s="43">
        <f t="shared" si="7"/>
        <v>1</v>
      </c>
      <c r="AU10" s="43">
        <f t="shared" si="8"/>
        <v>1</v>
      </c>
      <c r="AV10" s="43">
        <f t="shared" si="9"/>
        <v>1</v>
      </c>
      <c r="AW10" s="44">
        <f t="shared" si="10"/>
        <v>1</v>
      </c>
    </row>
    <row r="11" spans="1:49">
      <c r="A11" s="13">
        <v>9</v>
      </c>
      <c r="B11" s="16">
        <f>_xlfn.MAXIFS('Model output'!B:B,'Model output'!Z:Z,'Classification result'!$A11)</f>
        <v>45537</v>
      </c>
      <c r="C11" s="16"/>
      <c r="D11" s="16"/>
      <c r="E11" s="17">
        <f>_xlfn.MAXIFS('Model output'!C:C,'Model output'!Z:Z,'Classification result'!$A11)</f>
        <v>55</v>
      </c>
      <c r="F11" s="17" t="str" cm="1">
        <f t="array" ref="F11">LEFT(IF(ISERROR(RIGHT(IF(INDEX(_xlfn._xlws.FILTER('Model output'!D:D,('Model output'!Z:Z=A11)),1)&lt;&gt;"",INDEX(_xlfn._xlws.FILTER('Model output'!D:D,('Model output'!Z:Z=A11)),1),""),LEN(IF(INDEX(_xlfn._xlws.FILTER('Model output'!D:D,('Model output'!Z:Z=A11)),1)&lt;&gt;"",INDEX(_xlfn._xlws.FILTER('Model output'!D:D,('Model output'!Z:Z=A11)),1),""))-FIND("T",IF(INDEX(_xlfn._xlws.FILTER('Model output'!D:D,('Model output'!Z:Z=A11)),1)&lt;&gt;"",INDEX(_xlfn._xlws.FILTER('Model output'!D:D,('Model output'!Z:Z=A11)),1),""),1))),"",(RIGHT(IF(INDEX(_xlfn._xlws.FILTER('Model output'!D:D,('Model output'!Z:Z=A11)),1)&lt;&gt;"",INDEX(_xlfn._xlws.FILTER('Model output'!D:D,('Model output'!Z:Z=A11)),1),""),LEN(IF(INDEX(_xlfn._xlws.FILTER('Model output'!D:D,('Model output'!Z:Z=A11)),1)&lt;&gt;"",INDEX(_xlfn._xlws.FILTER('Model output'!D:D,('Model output'!Z:Z=A11)),1),""))-FIND("T",IF(INDEX(_xlfn._xlws.FILTER('Model output'!D:D,('Model output'!Z:Z=A11)),1)&lt;&gt;"",INDEX(_xlfn._xlws.FILTER('Model output'!D:D,('Model output'!Z:Z=A11)),1)))))),2)</f>
        <v>2</v>
      </c>
      <c r="G11" s="17" t="str" cm="1">
        <f t="array" ref="G11">IF(ISNUMBER(SEARCH("N",IF(ISNUMBER(SEARCH("present",IF(INDEX(_xlfn._xlws.FILTER('Model output'!E:E,('Model output'!Z:Z=A11)),1)="","",INDEX(_xlfn._xlws.FILTER('Model output'!E:E,('Model output'!Z:Z=A11)),1)),1)),"N1", IF(INDEX(_xlfn._xlws.FILTER('Model output'!E:E,('Model output'!Z:Z=A11)),1)="","",INDEX(_xlfn._xlws.FILTER('Model output'!E:E,('Model output'!Z:Z=A11)),1))),1)),RIGHT(IF(ISNUMBER(SEARCH("present",IF(INDEX(_xlfn._xlws.FILTER('Model output'!E:E,('Model output'!Z:Z=A11)),1)="","",INDEX(_xlfn._xlws.FILTER('Model output'!E:E,('Model output'!Z:Z=A11)),1)),1)),"N1", IF(INDEX(_xlfn._xlws.FILTER('Model output'!E:E,('Model output'!Z:Z=A11)),1)="","",INDEX(_xlfn._xlws.FILTER('Model output'!E:E,('Model output'!Z:Z=A11)),1))),LEN(IF(ISNUMBER(SEARCH("present",IF(INDEX(_xlfn._xlws.FILTER('Model output'!E:E,('Model output'!Z:Z=A11)),1)="","",INDEX(_xlfn._xlws.FILTER('Model output'!E:E,('Model output'!Z:Z=A11)),1)),1)),"N1", IF(INDEX(_xlfn._xlws.FILTER('Model output'!E:E,('Model output'!Z:Z=A11)),1)="","",INDEX(_xlfn._xlws.FILTER('Model output'!E:E,('Model output'!Z:Z=A11)),1))))-FIND("N",IF(ISNUMBER(SEARCH("present",IF(INDEX(_xlfn._xlws.FILTER('Model output'!E:E,('Model output'!Z:Z=A11)),1)="","",INDEX(_xlfn._xlws.FILTER('Model output'!E:E,('Model output'!Z:Z=A11)),1)),1)),"N1", IF(INDEX(_xlfn._xlws.FILTER('Model output'!E:E,('Model output'!Z:Z=A11)),1)="","",INDEX(_xlfn._xlws.FILTER('Model output'!E:E,('Model output'!Z:Z=A11)),1))),1)), "")</f>
        <v/>
      </c>
      <c r="H11" s="17" cm="1">
        <f t="array" ref="H11">IF(AND(SUBSTITUTE(_xlfn.TEXTJOIN("/", TRUE, _xlfn._xlws.FILTER('Model output'!F:F, 'Model output'!Z:Z=A11)),"M", "")="", K11="negative"),0,IF(K11="positive",1,0))</f>
        <v>0</v>
      </c>
      <c r="I11" t="str">
        <f t="shared" si="0"/>
        <v>positive</v>
      </c>
      <c r="J11" t="str" cm="1">
        <f t="array" ref="J11">IF(AND(M11&gt;0, _xlfn.TEXTJOIN("; ", TRUE, _xlfn._xlws.FILTER('Model output'!G:G, 'Model output'!Z:Z=A11)) &lt;&gt;"", OR(AND(ISNUMBER(SEARCH("level", _xlfn.TEXTJOIN("; ", TRUE, _xlfn._xlws.FILTER('Model output'!G:G, 'Model output'!Z:Z=A11)),1)),OR(ISNUMBER(SEARCH(" II", _xlfn.TEXTJOIN("; ", TRUE, _xlfn._xlws.FILTER('Model output'!G:G, 'Model output'!Z:Z=A11)),1)),ISNUMBER(SEARCH("2", _xlfn.TEXTJOIN("; ", TRUE, _xlfn._xlws.FILTER('Model output'!G:G, 'Model output'!Z:Z=A11)),1)),ISNUMBER(SEARCH("two", _xlfn.TEXTJOIN("; ", TRUE, _xlfn._xlws.FILTER('Model output'!G:G, 'Model output'!Z:Z=A11)),1)),ISNUMBER(SEARCH("III", _xlfn.TEXTJOIN("; ", TRUE, _xlfn._xlws.FILTER('Model output'!G:G, 'Model output'!Z:Z=A11)),1)),ISNUMBER(SEARCH("3", _xlfn.TEXTJOIN("; ", TRUE, _xlfn._xlws.FILTER('Model output'!G:G, 'Model output'!Z:Z=A11)),1)),ISNUMBER(SEARCH("three", _xlfn.TEXTJOIN("; ", TRUE, _xlfn._xlws.FILTER('Model output'!G:G, 'Model output'!Z:Z=A11)),1)),ISNUMBER(SEARCH("IV", _xlfn.TEXTJOIN("; ", TRUE, _xlfn._xlws.FILTER('Model output'!G:G, 'Model output'!Z:Z=A11)),1)),ISNUMBER(SEARCH("4", _xlfn.TEXTJOIN("; ", TRUE, _xlfn._xlws.FILTER('Model output'!G:G, 'Model output'!Z:Z=A11)),1)),ISNUMBER(SEARCH("five", _xlfn.TEXTJOIN("; ", TRUE, _xlfn._xlws.FILTER('Model output'!G:G, 'Model output'!Z:Z=A11)),1)),ISNUMBER(SEARCH("V ", _xlfn.TEXTJOIN("; ", TRUE, _xlfn._xlws.FILTER('Model output'!G:G, 'Model output'!Z:Z=A11)),1)),ISNUMBER(SEARCH("5", _xlfn.TEXTJOIN("; ", TRUE, _xlfn._xlws.FILTER('Model output'!G:G, 'Model output'!Z:Z=A11)),1)),ISNUMBER(SEARCH("five", _xlfn.TEXTJOIN("; ", TRUE, _xlfn._xlws.FILTER('Model output'!G:G, 'Model output'!Z:Z=A11)),1)),ISNUMBER(SEARCH(" lateral", _xlfn.TEXTJOIN("; ", TRUE, _xlfn._xlws.FILTER('Model output'!G:G, 'Model output'!Z:Z=A11)),1)))),ISNUMBER(SEARCH("cervical", _xlfn.TEXTJOIN("; ", TRUE, _xlfn._xlws.FILTER('Model output'!G:G, 'Model output'!Z:Z=A11)),1)),ISNUMBER(SEARCH("jugular", _xlfn.TEXTJOIN("; ", TRUE, _xlfn._xlws.FILTER('Model output'!G:G, 'Model output'!Z:Z=A11)),1)),ISNUMBER(SEARCH("left neck", _xlfn.TEXTJOIN("; ", TRUE, _xlfn._xlws.FILTER('Model output'!G:G, 'Model output'!Z:Z=A11)),1)),ISNUMBER(SEARCH("left anterior neck", _xlfn.TEXTJOIN("; ", TRUE, _xlfn._xlws.FILTER('Model output'!G:G, 'Model output'!Z:Z=A11)),1)),ISNUMBER(SEARCH("left posterior neck", _xlfn.TEXTJOIN("; ", TRUE, _xlfn._xlws.FILTER('Model output'!G:G, 'Model output'!Z:Z=A11)),1)),ISNUMBER(SEARCH("right neck", _xlfn.TEXTJOIN("; ", TRUE, _xlfn._xlws.FILTER('Model output'!G:G, 'Model output'!Z:Z=A11)),1)),ISNUMBER(SEARCH("right anterior neck", _xlfn.TEXTJOIN("; ", TRUE, _xlfn._xlws.FILTER('Model output'!G:G, 'Model output'!Z:Z=A11)),1)),ISNUMBER(SEARCH("right posterior neck", _xlfn.TEXTJOIN("; ", TRUE, _xlfn._xlws.FILTER('Model output'!G:G, 'Model output'!Z:Z=A11)),1)))),"lateral",IF(AND(M11=0, _xlfn.TEXTJOIN("; ", TRUE, _xlfn._xlws.FILTER('Model output'!G:G, 'Model output'!Z:Z=A11))=""),"", "central"))</f>
        <v>central</v>
      </c>
      <c r="K11" s="17" t="str" cm="1">
        <f t="array" ref="K11">IF(OR(ISNUMBER(SEARCH("lymph",_xlfn.TEXTJOIN("; ", TRUE, _xlfn._xlws.FILTER('Model output'!H:H, 'Model output'!Z:Z=A11)),1)), ISNUMBER(SEARCH("Not mentioned",_xlfn.TEXTJOIN("; ", TRUE, _xlfn._xlws.FILTER('Model output'!H:H, 'Model output'!Z:Z=A11)),1)),ISNUMBER(SEARCH("thyroid",_xlfn.TEXTJOIN("; ", TRUE, _xlfn._xlws.FILTER('Model output'!H:H, 'Model output'!Z:Z=A11)),1)),ISNUMBER(SEARCH("strap muscle",_xlfn.TEXTJOIN("; ", TRUE, _xlfn._xlws.FILTER('Model output'!H:H, 'Model output'!Z:Z=A11)),1)),ISNUMBER(SEARCH("subcutaneous soft tissues",_xlfn.TEXTJOIN("; ", TRUE, _xlfn._xlws.FILTER('Model output'!H:H, 'Model output'!Z:Z=A11)),1)),ISNUMBER(SEARCH("larynx",_xlfn.TEXTJOIN("; ", TRUE, _xlfn._xlws.FILTER('Model output'!H:H, 'Model output'!Z:Z=A11)),1)),ISNUMBER(SEARCH("trachea",_xlfn.TEXTJOIN("; ", TRUE, _xlfn._xlws.FILTER('Model output'!H:H, 'Model output'!Z:Z=A11)),1)),ISNUMBER(SEARCH("esophagus",_xlfn.TEXTJOIN("; ", TRUE, _xlfn._xlws.FILTER('Model output'!H:H, 'Model output'!Z:Z=A11)),1)),ISNUMBER(SEARCH("recurrent laryngeal nerve",_xlfn.TEXTJOIN("; ", TRUE, _xlfn._xlws.FILTER('Model output'!H:H, 'Model output'!Z:Z=A11)),1)),ISNUMBER(SEARCH("RLN",_xlfn.TEXTJOIN("; ", TRUE, _xlfn._xlws.FILTER('Model output'!H:H, 'Model output'!Z:Z=A11)),1)),_xlfn.TEXTJOIN("; ", TRUE, _xlfn._xlws.FILTER('Model output'!H:H, 'Model output'!Z:Z=A11))=""),"negative","positive")</f>
        <v>negative</v>
      </c>
      <c r="L11" s="17">
        <f>IF(IFERROR(INDEX('Model output'!I:I, MATCH(A11, 'Model output'!Z:Z, 0)), "") &lt; M11, "", IFERROR(INDEX('Model output'!I:I, MATCH(A11, 'Model output'!Z:Z, 0)), ""))</f>
        <v>8</v>
      </c>
      <c r="M11" s="17">
        <f>IFERROR(INDEX('Model output'!J:J, MATCH(A11, 'Model output'!Z:Z, 0)), "")</f>
        <v>4</v>
      </c>
      <c r="N11" s="18" t="str" cm="1">
        <f t="array" ref="N11">ReplaceTo(ReplaceAnd(SUBSTITUTE(SUBSTITUTE(_xlfn.TEXTJOIN("; ", TRUE, _xlfn._xlws.FILTER('Model output'!K:K, 'Model output'!Z:Z=A11)), " ", ""), ",", ";")))</f>
        <v>1.5cm</v>
      </c>
      <c r="O11" t="str" cm="1">
        <f t="array" ref="O11">IF(LEFT(IF(RIGHT(SUBSTITUTE(FilterWithUnits(N11)&amp; ";" &amp;FilterStringsWithNumericAnd(N11) &amp; ";" &amp; FilterStringsWithX(N11), ";;", ";"),1)=";",LEFT(SUBSTITUTE(FilterWithUnits(N11)&amp; ";" &amp;FilterStringsWithNumericAnd(N11) &amp; ";" &amp; FilterStringsWithX(N11), ";;", ";"),LEN(SUBSTITUTE(FilterWithUnits(N11)&amp; ";" &amp;FilterStringsWithNumericAnd(N11) &amp; ";" &amp; FilterStringsWithX(N11), ";;", ";"))-1),SUBSTITUTE(FilterWithUnits(N11)&amp; ";" &amp;FilterStringsWithNumericAnd(N11) &amp; ";" &amp; FilterStringsWithX(N11), ";;", ";")),1)=";",RIGHT(IF(RIGHT(SUBSTITUTE(FilterWithUnits(N11)&amp; ";" &amp;FilterStringsWithNumericAnd(N11) &amp; ";" &amp; FilterStringsWithX(N11), ";;", ";"),1)=";",LEFT(SUBSTITUTE(FilterWithUnits(N11)&amp; ";" &amp;FilterStringsWithNumericAnd(N11) &amp; ";" &amp; FilterStringsWithX(N11), ";;", ";"),LEN(SUBSTITUTE(FilterWithUnits(N11)&amp; ";" &amp;FilterStringsWithNumericAnd(N11) &amp; ";" &amp; FilterStringsWithX(N11), ";;", ";"))-1),SUBSTITUTE(FilterWithUnits(N11)&amp; ";" &amp;FilterStringsWithNumericAnd(N11) &amp; ";" &amp; FilterStringsWithX(N11), ";;", ";")),LEN(IF(RIGHT(SUBSTITUTE(FilterWithUnits(N11)&amp; ";" &amp;FilterStringsWithNumericAnd(N11) &amp; ";" &amp; FilterStringsWithX(N11), ";;", ";"),1)=";",LEFT(SUBSTITUTE(FilterWithUnits(N11)&amp; ";" &amp;FilterStringsWithNumericAnd(N11) &amp; ";" &amp; FilterStringsWithX(N11), ";;", ";"),LEN(SUBSTITUTE(FilterWithUnits(N11)&amp; ";" &amp;FilterStringsWithNumericAnd(N11) &amp; ";" &amp; FilterStringsWithX(N11), ";;", ";"))-1),SUBSTITUTE(FilterWithUnits(N11)&amp; ";" &amp;FilterStringsWithNumericAnd(N11) &amp; ";" &amp; FilterStringsWithX(N11), ";;", ";")))-1),IF(RIGHT(SUBSTITUTE(FilterWithUnits(N11)&amp; ";" &amp;FilterStringsWithNumericAnd(N11) &amp; ";" &amp; FilterStringsWithX(N11), ";;", ";"),1)=";",LEFT(SUBSTITUTE(FilterWithUnits(N11)&amp; ";" &amp;FilterStringsWithNumericAnd(N11) &amp; ";" &amp; FilterStringsWithX(N11), ";;", ";"),LEN(SUBSTITUTE(FilterWithUnits(N11)&amp; ";" &amp;FilterStringsWithNumericAnd(N11) &amp; ";" &amp; FilterStringsWithX(N11), ";;", ";"))-1),SUBSTITUTE(FilterWithUnits(N11)&amp; ";" &amp;FilterStringsWithNumericAnd(N11) &amp; ";" &amp; FilterStringsWithX(N11), ";;", ";")))</f>
        <v>1.5cm</v>
      </c>
      <c r="P11" cm="1">
        <f t="array" ref="P11">IF(MaxSize((SplitDimensions(O11)))=0, "", MaxSize((SplitDimensions(O11))))</f>
        <v>1.5</v>
      </c>
      <c r="Q11" t="str" cm="1">
        <f t="array" ref="Q11">IF(ISERROR(INDEX(_xlfn._xlws.FILTER('Model output'!L:L, ('Model output'!Z:Z=A11)*('Model output'!L:L&lt;&gt;"")), 1)), " ", LOWER(INDEX(_xlfn._xlws.FILTER('Model output'!L:L, ('Model output'!Z:Z=A11)*('Model output'!L:L&lt;&gt;"")), 1)))</f>
        <v>papillary carcinoma, encapsulated classic subtype</v>
      </c>
      <c r="R11" t="str" cm="1">
        <f t="array" ref="R11">IF(ISERROR(INDEX(_xlfn._xlws.FILTER('Model output'!M:M, ('Model output'!Z:Z=A11)*('Model output'!M:M&lt;&gt;"")), 1)), " ", LOWER(INDEX(_xlfn._xlws.FILTER('Model output'!M:M, ('Model output'!Z:Z=A11)*('Model output'!M:M&lt;&gt;"")), 1)))</f>
        <v>encapsulated classic</v>
      </c>
      <c r="S11" t="str" cm="1">
        <f t="array" ref="S11">IF(OR(ISNUMBER(SEARCH("ly",SUBSTITUTE(INDEX(_xlfn._xlws.FILTER('Model output'!N:N,('Model output'!Z:Z=A11)*('Model output'!N:N&lt;&gt;"")),1)," ",""),1)), ISNUMBER(SEARCH("pole",SUBSTITUTE(INDEX(_xlfn._xlws.FILTER('Model output'!N:N,('Model output'!Z:Z=A11)*('Model output'!N:N&lt;&gt;"")),1)," ",""),1))),"",SUBSTITUTE(INDEX(_xlfn._xlws.FILTER('Model output'!N:N,('Model output'!Z:Z=A11)*('Model output'!N:N&lt;&gt;"")),1)," ",""))</f>
        <v/>
      </c>
      <c r="T11" t="str" cm="1">
        <f t="array" ref="T11">IF(LEFT(IF(RIGHT(SUBSTITUTE(FilterWithUnits(S11)&amp; ";" &amp;FilterStringsWithNumericAnd(S11) &amp; ";" &amp; FilterStringsWithX(S11), ";;", ";"),1)=";",LEFT(SUBSTITUTE(FilterWithUnits(S11)&amp; ";" &amp;FilterStringsWithNumericAnd(S11) &amp; ";" &amp; FilterStringsWithX(S11), ";;", ";"),LEN(SUBSTITUTE(FilterWithUnits(S11)&amp; ";" &amp;FilterStringsWithNumericAnd(S11) &amp; ";" &amp; FilterStringsWithX(S11), ";;", ";"))-1),SUBSTITUTE(FilterWithUnits(S11)&amp; ";" &amp;FilterStringsWithNumericAnd(S11) &amp; ";" &amp; FilterStringsWithX(S11), ";;", ";")),1)=";",RIGHT(IF(RIGHT(SUBSTITUTE(FilterWithUnits(S11)&amp; ";" &amp;FilterStringsWithNumericAnd(S11) &amp; ";" &amp; FilterStringsWithX(S11), ";;", ";"),1)=";",LEFT(SUBSTITUTE(FilterWithUnits(S11)&amp; ";" &amp;FilterStringsWithNumericAnd(S11) &amp; ";" &amp; FilterStringsWithX(S11), ";;", ";"),LEN(SUBSTITUTE(FilterWithUnits(S11)&amp; ";" &amp;FilterStringsWithNumericAnd(S11) &amp; ";" &amp; FilterStringsWithX(S11), ";;", ";"))-1),SUBSTITUTE(FilterWithUnits(S11)&amp; ";" &amp;FilterStringsWithNumericAnd(S11) &amp; ";" &amp; FilterStringsWithX(S11), ";;", ";")),LEN(IF(RIGHT(SUBSTITUTE(FilterWithUnits(S11)&amp; ";" &amp;FilterStringsWithNumericAnd(S11) &amp; ";" &amp; FilterStringsWithX(S11), ";;", ";"),1)=";",LEFT(SUBSTITUTE(FilterWithUnits(S11)&amp; ";" &amp;FilterStringsWithNumericAnd(S11) &amp; ";" &amp; FilterStringsWithX(S11), ";;", ";"),LEN(SUBSTITUTE(FilterWithUnits(S11)&amp; ";" &amp;FilterStringsWithNumericAnd(S11) &amp; ";" &amp; FilterStringsWithX(S11), ";;", ";"))-1),SUBSTITUTE(FilterWithUnits(S11)&amp; ";" &amp;FilterStringsWithNumericAnd(S11) &amp; ";" &amp; FilterStringsWithX(S11), ";;", ";")))-1),IF(RIGHT(SUBSTITUTE(FilterWithUnits(S11)&amp; ";" &amp;FilterStringsWithNumericAnd(S11) &amp; ";" &amp; FilterStringsWithX(S11), ";;", ";"),1)=";",LEFT(SUBSTITUTE(FilterWithUnits(S11)&amp; ";" &amp;FilterStringsWithNumericAnd(S11) &amp; ";" &amp; FilterStringsWithX(S11), ";;", ";"),LEN(SUBSTITUTE(FilterWithUnits(S11)&amp; ";" &amp;FilterStringsWithNumericAnd(S11) &amp; ";" &amp; FilterStringsWithX(S11), ";;", ";"))-1),SUBSTITUTE(FilterWithUnits(S11)&amp; ";" &amp;FilterStringsWithNumericAnd(S11) &amp; ";" &amp; FilterStringsWithX(S11), ";;", ";")))</f>
        <v/>
      </c>
      <c r="U11" t="str" cm="1">
        <f t="array" ref="U11">IF(MaxSize((SplitDimensions(T11)))=0, "", MaxSize((SplitDimensions(T11))))</f>
        <v/>
      </c>
      <c r="V11" s="17" t="str" cm="1">
        <f t="array" ref="V11">IF(ISERROR(INDEX(_xlfn._xlws.FILTER('Model output'!P:P,('Model output'!Z:Z=A11)*('Model output'!P:P&lt;&gt;"")),1)),"negative",IF(OR(ISNUMBER(SEARCH("foc",INDEX(_xlfn._xlws.FILTER('Model output'!P:P,('Model output'!Z:Z=A11)*('Model output'!P:P&lt;&gt;"")),1),1)),ISNUMBER(SEARCH("extensive",INDEX(_xlfn._xlws.FILTER('Model output'!P:P,('Model output'!Z:Z=A11)*('Model output'!P:P&lt;&gt;"")),1),1)),ISNUMBER(SEARCH("present",INDEX(_xlfn._xlws.FILTER('Model output'!P:P,('Model output'!Z:Z=A11)*('Model output'!P:P&lt;&gt;"")),1),1)),ISNUMBER(SEARCH("yes",INDEX(_xlfn._xlws.FILTER('Model output'!P:P,('Model output'!Z:Z=A11)*('Model output'!P:P&lt;&gt;"")),1),1))),"positive","negative"))</f>
        <v>negative</v>
      </c>
      <c r="X11" t="str" cm="1">
        <f t="array" ref="X11">IF(ISNUMBER(SEARCH("4",INDEX(_xlfn._xlws.FILTER('Model output'!P:P,('Model output'!Z:Z=A11)*('Model output'!P:P&lt;&gt;"")),1),1)),INDEX(_xlfn._xlws.FILTER('Model output'!P:P,('Model output'!Z:Z=A11)*('Model output'!P:P&lt;&gt;"")),1),"") &amp; _xlfn.TEXTJOIN("",TRUE,_xlfn._xlws.FILTER('Model output'!Q:Q,'Model output'!Z:Z=A11))</f>
        <v>Not mentioned</v>
      </c>
      <c r="Y11" t="str">
        <f t="shared" si="11"/>
        <v>no</v>
      </c>
      <c r="Z11" t="str" cm="1">
        <f t="array" ref="Z11">IF(OR(ISNUMBER(SEARCH("focal",_xlfn.TEXTJOIN("; ",TRUE,_xlfn._xlws.FILTER('Model output'!R:R,'Model output'!Z:Z=A11)),1)),ISNUMBER(SEARCH("present",_xlfn.TEXTJOIN("; ",TRUE,_xlfn._xlws.FILTER('Model output'!R:R,'Model output'!Z:Z=A11)),1))),"positive",IF(_xlfn.TEXTJOIN("; ",TRUE,_xlfn._xlws.FILTER('Model output'!R:R,'Model output'!Z:Z=A11))="","negative",IF(OR(ISNUMBER(SEARCH("no",_xlfn.TEXTJOIN("; ",TRUE,_xlfn._xlws.FILTER('Model output'!R:R,'Model output'!Z:Z=A11)),1)),ISNUMBER(SEARCH("absent",_xlfn.TEXTJOIN("; ",TRUE,_xlfn._xlws.FILTER('Model output'!R:R,'Model output'!Z:Z=A11)),1))),"negative","positive")))</f>
        <v>negative</v>
      </c>
      <c r="AA11" s="17" t="str">
        <f t="shared" si="1"/>
        <v>negative</v>
      </c>
      <c r="AE11" s="17" t="str">
        <f t="shared" si="12"/>
        <v>negative</v>
      </c>
      <c r="AF11" t="str" cm="1">
        <f t="array" ref="AF11">_xlfn.TEXTJOIN("; ",TRUE,_xlfn._xlws.FILTER('Model output'!S:S,'Model output'!Z:Z=A11))</f>
        <v>Not identified; Not mentioned</v>
      </c>
      <c r="AG11" s="17" t="str" cm="1">
        <f t="array" ref="AG11">IF(OR(ISNUMBER(SEARCH("uninvolved",_xlfn.TEXTJOIN("; ",TRUE,_xlfn._xlws.FILTER('Model output'!V:V,'Model output'!Z:Z=A11)),1)),ISNUMBER(SEARCH("clear",_xlfn.TEXTJOIN("; ",TRUE,_xlfn._xlws.FILTER('Model output'!V:V,'Model output'!Z:Z=A11)),1))*ISNUMBER(SEARCH("not mentioned",_xlfn.TEXTJOIN("; ",TRUE,_xlfn._xlws.FILTER('Model output'!V:V,'Model output'!Z:Z=A11)),1))),"negative",IF(ISNUMBER(SEARCH("cannot be assessed",_xlfn.TEXTJOIN("; ",TRUE,_xlfn._xlws.FILTER('Model output'!V:V,'Model output'!Z:Z=A11)),1)),"unknown","negative"))</f>
        <v>negative</v>
      </c>
      <c r="AI11" s="45" t="str">
        <f t="shared" si="13"/>
        <v>low</v>
      </c>
      <c r="AJ11" s="41" t="str">
        <f t="shared" si="14"/>
        <v>1a</v>
      </c>
      <c r="AK11" s="41" t="str">
        <f t="shared" si="3"/>
        <v>1a</v>
      </c>
      <c r="AL11" s="41">
        <f t="shared" si="4"/>
        <v>0</v>
      </c>
      <c r="AM11" s="41" t="str">
        <f t="shared" si="5"/>
        <v>II</v>
      </c>
      <c r="AN11" s="42" t="s">
        <v>164</v>
      </c>
      <c r="AO11" s="43" t="s">
        <v>443</v>
      </c>
      <c r="AP11" s="43" t="s">
        <v>205</v>
      </c>
      <c r="AQ11" s="43">
        <v>0</v>
      </c>
      <c r="AR11" s="43" t="s">
        <v>44</v>
      </c>
      <c r="AS11" s="42">
        <f t="shared" si="6"/>
        <v>0</v>
      </c>
      <c r="AT11" s="43">
        <f t="shared" si="7"/>
        <v>0</v>
      </c>
      <c r="AU11" s="43">
        <f t="shared" si="8"/>
        <v>1</v>
      </c>
      <c r="AV11" s="43">
        <f t="shared" si="9"/>
        <v>1</v>
      </c>
      <c r="AW11" s="44">
        <f t="shared" si="10"/>
        <v>1</v>
      </c>
    </row>
    <row r="12" spans="1:49">
      <c r="A12" s="13">
        <v>10</v>
      </c>
      <c r="B12" s="16">
        <f>_xlfn.MAXIFS('Model output'!B:B,'Model output'!Z:Z,'Classification result'!$A12)</f>
        <v>0</v>
      </c>
      <c r="C12" s="16"/>
      <c r="D12" s="16"/>
      <c r="E12" s="17">
        <f>_xlfn.MAXIFS('Model output'!C:C,'Model output'!Z:Z,'Classification result'!$A12)</f>
        <v>24</v>
      </c>
      <c r="F12" s="17" t="str" cm="1">
        <f t="array" ref="F12">LEFT(IF(ISERROR(RIGHT(IF(INDEX(_xlfn._xlws.FILTER('Model output'!D:D,('Model output'!Z:Z=A12)),1)&lt;&gt;"",INDEX(_xlfn._xlws.FILTER('Model output'!D:D,('Model output'!Z:Z=A12)),1),""),LEN(IF(INDEX(_xlfn._xlws.FILTER('Model output'!D:D,('Model output'!Z:Z=A12)),1)&lt;&gt;"",INDEX(_xlfn._xlws.FILTER('Model output'!D:D,('Model output'!Z:Z=A12)),1),""))-FIND("T",IF(INDEX(_xlfn._xlws.FILTER('Model output'!D:D,('Model output'!Z:Z=A12)),1)&lt;&gt;"",INDEX(_xlfn._xlws.FILTER('Model output'!D:D,('Model output'!Z:Z=A12)),1),""),1))),"",(RIGHT(IF(INDEX(_xlfn._xlws.FILTER('Model output'!D:D,('Model output'!Z:Z=A12)),1)&lt;&gt;"",INDEX(_xlfn._xlws.FILTER('Model output'!D:D,('Model output'!Z:Z=A12)),1),""),LEN(IF(INDEX(_xlfn._xlws.FILTER('Model output'!D:D,('Model output'!Z:Z=A12)),1)&lt;&gt;"",INDEX(_xlfn._xlws.FILTER('Model output'!D:D,('Model output'!Z:Z=A12)),1),""))-FIND("T",IF(INDEX(_xlfn._xlws.FILTER('Model output'!D:D,('Model output'!Z:Z=A12)),1)&lt;&gt;"",INDEX(_xlfn._xlws.FILTER('Model output'!D:D,('Model output'!Z:Z=A12)),1)))))),2)</f>
        <v>1b</v>
      </c>
      <c r="G12" s="17" t="str" cm="1">
        <f t="array" ref="G12">IF(ISNUMBER(SEARCH("N",IF(ISNUMBER(SEARCH("present",IF(INDEX(_xlfn._xlws.FILTER('Model output'!E:E,('Model output'!Z:Z=A12)),1)="","",INDEX(_xlfn._xlws.FILTER('Model output'!E:E,('Model output'!Z:Z=A12)),1)),1)),"N1", IF(INDEX(_xlfn._xlws.FILTER('Model output'!E:E,('Model output'!Z:Z=A12)),1)="","",INDEX(_xlfn._xlws.FILTER('Model output'!E:E,('Model output'!Z:Z=A12)),1))),1)),RIGHT(IF(ISNUMBER(SEARCH("present",IF(INDEX(_xlfn._xlws.FILTER('Model output'!E:E,('Model output'!Z:Z=A12)),1)="","",INDEX(_xlfn._xlws.FILTER('Model output'!E:E,('Model output'!Z:Z=A12)),1)),1)),"N1", IF(INDEX(_xlfn._xlws.FILTER('Model output'!E:E,('Model output'!Z:Z=A12)),1)="","",INDEX(_xlfn._xlws.FILTER('Model output'!E:E,('Model output'!Z:Z=A12)),1))),LEN(IF(ISNUMBER(SEARCH("present",IF(INDEX(_xlfn._xlws.FILTER('Model output'!E:E,('Model output'!Z:Z=A12)),1)="","",INDEX(_xlfn._xlws.FILTER('Model output'!E:E,('Model output'!Z:Z=A12)),1)),1)),"N1", IF(INDEX(_xlfn._xlws.FILTER('Model output'!E:E,('Model output'!Z:Z=A12)),1)="","",INDEX(_xlfn._xlws.FILTER('Model output'!E:E,('Model output'!Z:Z=A12)),1))))-FIND("N",IF(ISNUMBER(SEARCH("present",IF(INDEX(_xlfn._xlws.FILTER('Model output'!E:E,('Model output'!Z:Z=A12)),1)="","",INDEX(_xlfn._xlws.FILTER('Model output'!E:E,('Model output'!Z:Z=A12)),1)),1)),"N1", IF(INDEX(_xlfn._xlws.FILTER('Model output'!E:E,('Model output'!Z:Z=A12)),1)="","",INDEX(_xlfn._xlws.FILTER('Model output'!E:E,('Model output'!Z:Z=A12)),1))),1)), "")</f>
        <v/>
      </c>
      <c r="H12" s="17" cm="1">
        <f t="array" ref="H12">IF(AND(SUBSTITUTE(_xlfn.TEXTJOIN("/", TRUE, _xlfn._xlws.FILTER('Model output'!F:F, 'Model output'!Z:Z=A12)),"M", "")="", K12="negative"),0,IF(K12="positive",1,0))</f>
        <v>0</v>
      </c>
      <c r="I12" t="str">
        <f t="shared" si="0"/>
        <v>positive</v>
      </c>
      <c r="J12" t="str" cm="1">
        <f t="array" ref="J12">IF(AND(M12&gt;0, _xlfn.TEXTJOIN("; ", TRUE, _xlfn._xlws.FILTER('Model output'!G:G, 'Model output'!Z:Z=A12)) &lt;&gt;"", OR(AND(ISNUMBER(SEARCH("level", _xlfn.TEXTJOIN("; ", TRUE, _xlfn._xlws.FILTER('Model output'!G:G, 'Model output'!Z:Z=A12)),1)),OR(ISNUMBER(SEARCH(" II", _xlfn.TEXTJOIN("; ", TRUE, _xlfn._xlws.FILTER('Model output'!G:G, 'Model output'!Z:Z=A12)),1)),ISNUMBER(SEARCH("2", _xlfn.TEXTJOIN("; ", TRUE, _xlfn._xlws.FILTER('Model output'!G:G, 'Model output'!Z:Z=A12)),1)),ISNUMBER(SEARCH("two", _xlfn.TEXTJOIN("; ", TRUE, _xlfn._xlws.FILTER('Model output'!G:G, 'Model output'!Z:Z=A12)),1)),ISNUMBER(SEARCH("III", _xlfn.TEXTJOIN("; ", TRUE, _xlfn._xlws.FILTER('Model output'!G:G, 'Model output'!Z:Z=A12)),1)),ISNUMBER(SEARCH("3", _xlfn.TEXTJOIN("; ", TRUE, _xlfn._xlws.FILTER('Model output'!G:G, 'Model output'!Z:Z=A12)),1)),ISNUMBER(SEARCH("three", _xlfn.TEXTJOIN("; ", TRUE, _xlfn._xlws.FILTER('Model output'!G:G, 'Model output'!Z:Z=A12)),1)),ISNUMBER(SEARCH("IV", _xlfn.TEXTJOIN("; ", TRUE, _xlfn._xlws.FILTER('Model output'!G:G, 'Model output'!Z:Z=A12)),1)),ISNUMBER(SEARCH("4", _xlfn.TEXTJOIN("; ", TRUE, _xlfn._xlws.FILTER('Model output'!G:G, 'Model output'!Z:Z=A12)),1)),ISNUMBER(SEARCH("five", _xlfn.TEXTJOIN("; ", TRUE, _xlfn._xlws.FILTER('Model output'!G:G, 'Model output'!Z:Z=A12)),1)),ISNUMBER(SEARCH("V ", _xlfn.TEXTJOIN("; ", TRUE, _xlfn._xlws.FILTER('Model output'!G:G, 'Model output'!Z:Z=A12)),1)),ISNUMBER(SEARCH("5", _xlfn.TEXTJOIN("; ", TRUE, _xlfn._xlws.FILTER('Model output'!G:G, 'Model output'!Z:Z=A12)),1)),ISNUMBER(SEARCH("five", _xlfn.TEXTJOIN("; ", TRUE, _xlfn._xlws.FILTER('Model output'!G:G, 'Model output'!Z:Z=A12)),1)),ISNUMBER(SEARCH(" lateral", _xlfn.TEXTJOIN("; ", TRUE, _xlfn._xlws.FILTER('Model output'!G:G, 'Model output'!Z:Z=A12)),1)))),ISNUMBER(SEARCH("cervical", _xlfn.TEXTJOIN("; ", TRUE, _xlfn._xlws.FILTER('Model output'!G:G, 'Model output'!Z:Z=A12)),1)),ISNUMBER(SEARCH("jugular", _xlfn.TEXTJOIN("; ", TRUE, _xlfn._xlws.FILTER('Model output'!G:G, 'Model output'!Z:Z=A12)),1)),ISNUMBER(SEARCH("left neck", _xlfn.TEXTJOIN("; ", TRUE, _xlfn._xlws.FILTER('Model output'!G:G, 'Model output'!Z:Z=A12)),1)),ISNUMBER(SEARCH("left anterior neck", _xlfn.TEXTJOIN("; ", TRUE, _xlfn._xlws.FILTER('Model output'!G:G, 'Model output'!Z:Z=A12)),1)),ISNUMBER(SEARCH("left posterior neck", _xlfn.TEXTJOIN("; ", TRUE, _xlfn._xlws.FILTER('Model output'!G:G, 'Model output'!Z:Z=A12)),1)),ISNUMBER(SEARCH("right neck", _xlfn.TEXTJOIN("; ", TRUE, _xlfn._xlws.FILTER('Model output'!G:G, 'Model output'!Z:Z=A12)),1)),ISNUMBER(SEARCH("right anterior neck", _xlfn.TEXTJOIN("; ", TRUE, _xlfn._xlws.FILTER('Model output'!G:G, 'Model output'!Z:Z=A12)),1)),ISNUMBER(SEARCH("right posterior neck", _xlfn.TEXTJOIN("; ", TRUE, _xlfn._xlws.FILTER('Model output'!G:G, 'Model output'!Z:Z=A12)),1)))),"lateral",IF(AND(M12=0, _xlfn.TEXTJOIN("; ", TRUE, _xlfn._xlws.FILTER('Model output'!G:G, 'Model output'!Z:Z=A12))=""),"", "central"))</f>
        <v>central</v>
      </c>
      <c r="K12" s="17" t="str" cm="1">
        <f t="array" ref="K12">IF(OR(ISNUMBER(SEARCH("lymph",_xlfn.TEXTJOIN("; ", TRUE, _xlfn._xlws.FILTER('Model output'!H:H, 'Model output'!Z:Z=A12)),1)), ISNUMBER(SEARCH("Not mentioned",_xlfn.TEXTJOIN("; ", TRUE, _xlfn._xlws.FILTER('Model output'!H:H, 'Model output'!Z:Z=A12)),1)),ISNUMBER(SEARCH("thyroid",_xlfn.TEXTJOIN("; ", TRUE, _xlfn._xlws.FILTER('Model output'!H:H, 'Model output'!Z:Z=A12)),1)),ISNUMBER(SEARCH("strap muscle",_xlfn.TEXTJOIN("; ", TRUE, _xlfn._xlws.FILTER('Model output'!H:H, 'Model output'!Z:Z=A12)),1)),ISNUMBER(SEARCH("subcutaneous soft tissues",_xlfn.TEXTJOIN("; ", TRUE, _xlfn._xlws.FILTER('Model output'!H:H, 'Model output'!Z:Z=A12)),1)),ISNUMBER(SEARCH("larynx",_xlfn.TEXTJOIN("; ", TRUE, _xlfn._xlws.FILTER('Model output'!H:H, 'Model output'!Z:Z=A12)),1)),ISNUMBER(SEARCH("trachea",_xlfn.TEXTJOIN("; ", TRUE, _xlfn._xlws.FILTER('Model output'!H:H, 'Model output'!Z:Z=A12)),1)),ISNUMBER(SEARCH("esophagus",_xlfn.TEXTJOIN("; ", TRUE, _xlfn._xlws.FILTER('Model output'!H:H, 'Model output'!Z:Z=A12)),1)),ISNUMBER(SEARCH("recurrent laryngeal nerve",_xlfn.TEXTJOIN("; ", TRUE, _xlfn._xlws.FILTER('Model output'!H:H, 'Model output'!Z:Z=A12)),1)),ISNUMBER(SEARCH("RLN",_xlfn.TEXTJOIN("; ", TRUE, _xlfn._xlws.FILTER('Model output'!H:H, 'Model output'!Z:Z=A12)),1)),_xlfn.TEXTJOIN("; ", TRUE, _xlfn._xlws.FILTER('Model output'!H:H, 'Model output'!Z:Z=A12))=""),"negative","positive")</f>
        <v>negative</v>
      </c>
      <c r="L12" s="17">
        <f>IF(IFERROR(INDEX('Model output'!I:I, MATCH(A12, 'Model output'!Z:Z, 0)), "") &lt; M12, "", IFERROR(INDEX('Model output'!I:I, MATCH(A12, 'Model output'!Z:Z, 0)), ""))</f>
        <v>1</v>
      </c>
      <c r="M12" s="17">
        <f>IFERROR(INDEX('Model output'!J:J, MATCH(A12, 'Model output'!Z:Z, 0)), "")</f>
        <v>1</v>
      </c>
      <c r="N12" s="18" t="str" cm="1">
        <f t="array" ref="N12">ReplaceTo(ReplaceAnd(SUBSTITUTE(SUBSTITUTE(_xlfn.TEXTJOIN("; ", TRUE, _xlfn._xlws.FILTER('Model output'!K:K, 'Model output'!Z:Z=A12)), " ", ""), ",", ";")))</f>
        <v/>
      </c>
      <c r="O12" t="str" cm="1">
        <f t="array" ref="O12">IF(LEFT(IF(RIGHT(SUBSTITUTE(FilterWithUnits(N12)&amp; ";" &amp;FilterStringsWithNumericAnd(N12) &amp; ";" &amp; FilterStringsWithX(N12), ";;", ";"),1)=";",LEFT(SUBSTITUTE(FilterWithUnits(N12)&amp; ";" &amp;FilterStringsWithNumericAnd(N12) &amp; ";" &amp; FilterStringsWithX(N12), ";;", ";"),LEN(SUBSTITUTE(FilterWithUnits(N12)&amp; ";" &amp;FilterStringsWithNumericAnd(N12) &amp; ";" &amp; FilterStringsWithX(N12), ";;", ";"))-1),SUBSTITUTE(FilterWithUnits(N12)&amp; ";" &amp;FilterStringsWithNumericAnd(N12) &amp; ";" &amp; FilterStringsWithX(N12), ";;", ";")),1)=";",RIGHT(IF(RIGHT(SUBSTITUTE(FilterWithUnits(N12)&amp; ";" &amp;FilterStringsWithNumericAnd(N12) &amp; ";" &amp; FilterStringsWithX(N12), ";;", ";"),1)=";",LEFT(SUBSTITUTE(FilterWithUnits(N12)&amp; ";" &amp;FilterStringsWithNumericAnd(N12) &amp; ";" &amp; FilterStringsWithX(N12), ";;", ";"),LEN(SUBSTITUTE(FilterWithUnits(N12)&amp; ";" &amp;FilterStringsWithNumericAnd(N12) &amp; ";" &amp; FilterStringsWithX(N12), ";;", ";"))-1),SUBSTITUTE(FilterWithUnits(N12)&amp; ";" &amp;FilterStringsWithNumericAnd(N12) &amp; ";" &amp; FilterStringsWithX(N12), ";;", ";")),LEN(IF(RIGHT(SUBSTITUTE(FilterWithUnits(N12)&amp; ";" &amp;FilterStringsWithNumericAnd(N12) &amp; ";" &amp; FilterStringsWithX(N12), ";;", ";"),1)=";",LEFT(SUBSTITUTE(FilterWithUnits(N12)&amp; ";" &amp;FilterStringsWithNumericAnd(N12) &amp; ";" &amp; FilterStringsWithX(N12), ";;", ";"),LEN(SUBSTITUTE(FilterWithUnits(N12)&amp; ";" &amp;FilterStringsWithNumericAnd(N12) &amp; ";" &amp; FilterStringsWithX(N12), ";;", ";"))-1),SUBSTITUTE(FilterWithUnits(N12)&amp; ";" &amp;FilterStringsWithNumericAnd(N12) &amp; ";" &amp; FilterStringsWithX(N12), ";;", ";")))-1),IF(RIGHT(SUBSTITUTE(FilterWithUnits(N12)&amp; ";" &amp;FilterStringsWithNumericAnd(N12) &amp; ";" &amp; FilterStringsWithX(N12), ";;", ";"),1)=";",LEFT(SUBSTITUTE(FilterWithUnits(N12)&amp; ";" &amp;FilterStringsWithNumericAnd(N12) &amp; ";" &amp; FilterStringsWithX(N12), ";;", ";"),LEN(SUBSTITUTE(FilterWithUnits(N12)&amp; ";" &amp;FilterStringsWithNumericAnd(N12) &amp; ";" &amp; FilterStringsWithX(N12), ";;", ";"))-1),SUBSTITUTE(FilterWithUnits(N12)&amp; ";" &amp;FilterStringsWithNumericAnd(N12) &amp; ";" &amp; FilterStringsWithX(N12), ";;", ";")))</f>
        <v/>
      </c>
      <c r="P12" t="str" cm="1">
        <f t="array" ref="P12">IF(MaxSize((SplitDimensions(O12)))=0, "", MaxSize((SplitDimensions(O12))))</f>
        <v/>
      </c>
      <c r="Q12" t="str" cm="1">
        <f t="array" ref="Q12">IF(ISERROR(INDEX(_xlfn._xlws.FILTER('Model output'!L:L, ('Model output'!Z:Z=A12)*('Model output'!L:L&lt;&gt;"")), 1)), " ", LOWER(INDEX(_xlfn._xlws.FILTER('Model output'!L:L, ('Model output'!Z:Z=A12)*('Model output'!L:L&lt;&gt;"")), 1)))</f>
        <v>papillary carcinoma, classic subtype</v>
      </c>
      <c r="R12" t="str" cm="1">
        <f t="array" ref="R12">IF(ISERROR(INDEX(_xlfn._xlws.FILTER('Model output'!M:M, ('Model output'!Z:Z=A12)*('Model output'!M:M&lt;&gt;"")), 1)), " ", LOWER(INDEX(_xlfn._xlws.FILTER('Model output'!M:M, ('Model output'!Z:Z=A12)*('Model output'!M:M&lt;&gt;"")), 1)))</f>
        <v>not mentioned</v>
      </c>
      <c r="S12" t="str" cm="1">
        <f t="array" ref="S12">IF(OR(ISNUMBER(SEARCH("ly",SUBSTITUTE(INDEX(_xlfn._xlws.FILTER('Model output'!N:N,('Model output'!Z:Z=A12)*('Model output'!N:N&lt;&gt;"")),1)," ",""),1)), ISNUMBER(SEARCH("pole",SUBSTITUTE(INDEX(_xlfn._xlws.FILTER('Model output'!N:N,('Model output'!Z:Z=A12)*('Model output'!N:N&lt;&gt;"")),1)," ",""),1))),"",SUBSTITUTE(INDEX(_xlfn._xlws.FILTER('Model output'!N:N,('Model output'!Z:Z=A12)*('Model output'!N:N&lt;&gt;"")),1)," ",""))</f>
        <v>1.5x0.5x0.8cm</v>
      </c>
      <c r="T12" t="str" cm="1">
        <f t="array" ref="T12">IF(LEFT(IF(RIGHT(SUBSTITUTE(FilterWithUnits(S12)&amp; ";" &amp;FilterStringsWithNumericAnd(S12) &amp; ";" &amp; FilterStringsWithX(S12), ";;", ";"),1)=";",LEFT(SUBSTITUTE(FilterWithUnits(S12)&amp; ";" &amp;FilterStringsWithNumericAnd(S12) &amp; ";" &amp; FilterStringsWithX(S12), ";;", ";"),LEN(SUBSTITUTE(FilterWithUnits(S12)&amp; ";" &amp;FilterStringsWithNumericAnd(S12) &amp; ";" &amp; FilterStringsWithX(S12), ";;", ";"))-1),SUBSTITUTE(FilterWithUnits(S12)&amp; ";" &amp;FilterStringsWithNumericAnd(S12) &amp; ";" &amp; FilterStringsWithX(S12), ";;", ";")),1)=";",RIGHT(IF(RIGHT(SUBSTITUTE(FilterWithUnits(S12)&amp; ";" &amp;FilterStringsWithNumericAnd(S12) &amp; ";" &amp; FilterStringsWithX(S12), ";;", ";"),1)=";",LEFT(SUBSTITUTE(FilterWithUnits(S12)&amp; ";" &amp;FilterStringsWithNumericAnd(S12) &amp; ";" &amp; FilterStringsWithX(S12), ";;", ";"),LEN(SUBSTITUTE(FilterWithUnits(S12)&amp; ";" &amp;FilterStringsWithNumericAnd(S12) &amp; ";" &amp; FilterStringsWithX(S12), ";;", ";"))-1),SUBSTITUTE(FilterWithUnits(S12)&amp; ";" &amp;FilterStringsWithNumericAnd(S12) &amp; ";" &amp; FilterStringsWithX(S12), ";;", ";")),LEN(IF(RIGHT(SUBSTITUTE(FilterWithUnits(S12)&amp; ";" &amp;FilterStringsWithNumericAnd(S12) &amp; ";" &amp; FilterStringsWithX(S12), ";;", ";"),1)=";",LEFT(SUBSTITUTE(FilterWithUnits(S12)&amp; ";" &amp;FilterStringsWithNumericAnd(S12) &amp; ";" &amp; FilterStringsWithX(S12), ";;", ";"),LEN(SUBSTITUTE(FilterWithUnits(S12)&amp; ";" &amp;FilterStringsWithNumericAnd(S12) &amp; ";" &amp; FilterStringsWithX(S12), ";;", ";"))-1),SUBSTITUTE(FilterWithUnits(S12)&amp; ";" &amp;FilterStringsWithNumericAnd(S12) &amp; ";" &amp; FilterStringsWithX(S12), ";;", ";")))-1),IF(RIGHT(SUBSTITUTE(FilterWithUnits(S12)&amp; ";" &amp;FilterStringsWithNumericAnd(S12) &amp; ";" &amp; FilterStringsWithX(S12), ";;", ";"),1)=";",LEFT(SUBSTITUTE(FilterWithUnits(S12)&amp; ";" &amp;FilterStringsWithNumericAnd(S12) &amp; ";" &amp; FilterStringsWithX(S12), ";;", ";"),LEN(SUBSTITUTE(FilterWithUnits(S12)&amp; ";" &amp;FilterStringsWithNumericAnd(S12) &amp; ";" &amp; FilterStringsWithX(S12), ";;", ";"))-1),SUBSTITUTE(FilterWithUnits(S12)&amp; ";" &amp;FilterStringsWithNumericAnd(S12) &amp; ";" &amp; FilterStringsWithX(S12), ";;", ";")))</f>
        <v>1.5x0.5x0.8cm</v>
      </c>
      <c r="U12" cm="1">
        <f t="array" ref="U12">IF(MaxSize((SplitDimensions(T12)))=0, "", MaxSize((SplitDimensions(T12))))</f>
        <v>1.5</v>
      </c>
      <c r="V12" s="17" t="str" cm="1">
        <f t="array" ref="V12">IF(ISERROR(INDEX(_xlfn._xlws.FILTER('Model output'!P:P,('Model output'!Z:Z=A12)*('Model output'!P:P&lt;&gt;"")),1)),"negative",IF(OR(ISNUMBER(SEARCH("foc",INDEX(_xlfn._xlws.FILTER('Model output'!P:P,('Model output'!Z:Z=A12)*('Model output'!P:P&lt;&gt;"")),1),1)),ISNUMBER(SEARCH("extensive",INDEX(_xlfn._xlws.FILTER('Model output'!P:P,('Model output'!Z:Z=A12)*('Model output'!P:P&lt;&gt;"")),1),1)),ISNUMBER(SEARCH("present",INDEX(_xlfn._xlws.FILTER('Model output'!P:P,('Model output'!Z:Z=A12)*('Model output'!P:P&lt;&gt;"")),1),1)),ISNUMBER(SEARCH("yes",INDEX(_xlfn._xlws.FILTER('Model output'!P:P,('Model output'!Z:Z=A12)*('Model output'!P:P&lt;&gt;"")),1),1))),"positive","negative"))</f>
        <v>negative</v>
      </c>
      <c r="X12" t="str" cm="1">
        <f t="array" ref="X12">IF(ISNUMBER(SEARCH("4",INDEX(_xlfn._xlws.FILTER('Model output'!P:P,('Model output'!Z:Z=A12)*('Model output'!P:P&lt;&gt;"")),1),1)),INDEX(_xlfn._xlws.FILTER('Model output'!P:P,('Model output'!Z:Z=A12)*('Model output'!P:P&lt;&gt;"")),1),"") &amp; _xlfn.TEXTJOIN("",TRUE,_xlfn._xlws.FILTER('Model output'!Q:Q,'Model output'!Z:Z=A12))</f>
        <v>Not mentioned</v>
      </c>
      <c r="Y12" t="str">
        <f t="shared" si="11"/>
        <v>no</v>
      </c>
      <c r="Z12" t="str" cm="1">
        <f t="array" ref="Z12">IF(OR(ISNUMBER(SEARCH("focal",_xlfn.TEXTJOIN("; ",TRUE,_xlfn._xlws.FILTER('Model output'!R:R,'Model output'!Z:Z=A12)),1)),ISNUMBER(SEARCH("present",_xlfn.TEXTJOIN("; ",TRUE,_xlfn._xlws.FILTER('Model output'!R:R,'Model output'!Z:Z=A12)),1))),"positive",IF(_xlfn.TEXTJOIN("; ",TRUE,_xlfn._xlws.FILTER('Model output'!R:R,'Model output'!Z:Z=A12))="","negative",IF(OR(ISNUMBER(SEARCH("no",_xlfn.TEXTJOIN("; ",TRUE,_xlfn._xlws.FILTER('Model output'!R:R,'Model output'!Z:Z=A12)),1)),ISNUMBER(SEARCH("absent",_xlfn.TEXTJOIN("; ",TRUE,_xlfn._xlws.FILTER('Model output'!R:R,'Model output'!Z:Z=A12)),1))),"negative","positive")))</f>
        <v>negative</v>
      </c>
      <c r="AA12" s="17" t="str">
        <f t="shared" si="1"/>
        <v>negative</v>
      </c>
      <c r="AE12" s="17" t="str">
        <f t="shared" si="12"/>
        <v>negative</v>
      </c>
      <c r="AF12" t="str" cm="1">
        <f t="array" ref="AF12">_xlfn.TEXTJOIN("; ",TRUE,_xlfn._xlws.FILTER('Model output'!S:S,'Model output'!Z:Z=A12))</f>
        <v>Not identified; Not mentioned</v>
      </c>
      <c r="AG12" s="17" t="str" cm="1">
        <f t="array" ref="AG12">IF(OR(ISNUMBER(SEARCH("uninvolved",_xlfn.TEXTJOIN("; ",TRUE,_xlfn._xlws.FILTER('Model output'!V:V,'Model output'!Z:Z=A12)),1)),ISNUMBER(SEARCH("clear",_xlfn.TEXTJOIN("; ",TRUE,_xlfn._xlws.FILTER('Model output'!V:V,'Model output'!Z:Z=A12)),1))*ISNUMBER(SEARCH("not mentioned",_xlfn.TEXTJOIN("; ",TRUE,_xlfn._xlws.FILTER('Model output'!V:V,'Model output'!Z:Z=A12)),1))),"negative",IF(ISNUMBER(SEARCH("cannot be assessed",_xlfn.TEXTJOIN("; ",TRUE,_xlfn._xlws.FILTER('Model output'!V:V,'Model output'!Z:Z=A12)),1)),"unknown","negative"))</f>
        <v>negative</v>
      </c>
      <c r="AI12" s="45" t="str">
        <f t="shared" si="13"/>
        <v>low</v>
      </c>
      <c r="AJ12" s="41" t="str">
        <f t="shared" si="14"/>
        <v>1b</v>
      </c>
      <c r="AK12" s="41" t="str">
        <f t="shared" si="3"/>
        <v>1a</v>
      </c>
      <c r="AL12" s="41">
        <f t="shared" si="4"/>
        <v>0</v>
      </c>
      <c r="AM12" s="41" t="str">
        <f t="shared" si="5"/>
        <v>I</v>
      </c>
      <c r="AN12" s="42" t="s">
        <v>166</v>
      </c>
      <c r="AO12" s="43" t="s">
        <v>203</v>
      </c>
      <c r="AP12" s="43" t="s">
        <v>205</v>
      </c>
      <c r="AQ12" s="43">
        <v>0</v>
      </c>
      <c r="AR12" s="43" t="s">
        <v>31</v>
      </c>
      <c r="AS12" s="42">
        <f t="shared" si="6"/>
        <v>1</v>
      </c>
      <c r="AT12" s="43">
        <f t="shared" si="7"/>
        <v>1</v>
      </c>
      <c r="AU12" s="43">
        <f t="shared" si="8"/>
        <v>1</v>
      </c>
      <c r="AV12" s="43">
        <f t="shared" si="9"/>
        <v>1</v>
      </c>
      <c r="AW12" s="44">
        <f t="shared" si="10"/>
        <v>1</v>
      </c>
    </row>
    <row r="13" spans="1:49">
      <c r="A13" s="13">
        <v>11</v>
      </c>
      <c r="B13" s="16">
        <f>_xlfn.MAXIFS('Model output'!B:B,'Model output'!Z:Z,'Classification result'!$A13)</f>
        <v>45443</v>
      </c>
      <c r="C13" s="16"/>
      <c r="D13" s="16"/>
      <c r="E13" s="17">
        <f>_xlfn.MAXIFS('Model output'!C:C,'Model output'!Z:Z,'Classification result'!$A13)</f>
        <v>70</v>
      </c>
      <c r="F13" s="17" t="str" cm="1">
        <f t="array" ref="F13">LEFT(IF(ISERROR(RIGHT(IF(INDEX(_xlfn._xlws.FILTER('Model output'!D:D,('Model output'!Z:Z=A13)),1)&lt;&gt;"",INDEX(_xlfn._xlws.FILTER('Model output'!D:D,('Model output'!Z:Z=A13)),1),""),LEN(IF(INDEX(_xlfn._xlws.FILTER('Model output'!D:D,('Model output'!Z:Z=A13)),1)&lt;&gt;"",INDEX(_xlfn._xlws.FILTER('Model output'!D:D,('Model output'!Z:Z=A13)),1),""))-FIND("T",IF(INDEX(_xlfn._xlws.FILTER('Model output'!D:D,('Model output'!Z:Z=A13)),1)&lt;&gt;"",INDEX(_xlfn._xlws.FILTER('Model output'!D:D,('Model output'!Z:Z=A13)),1),""),1))),"",(RIGHT(IF(INDEX(_xlfn._xlws.FILTER('Model output'!D:D,('Model output'!Z:Z=A13)),1)&lt;&gt;"",INDEX(_xlfn._xlws.FILTER('Model output'!D:D,('Model output'!Z:Z=A13)),1),""),LEN(IF(INDEX(_xlfn._xlws.FILTER('Model output'!D:D,('Model output'!Z:Z=A13)),1)&lt;&gt;"",INDEX(_xlfn._xlws.FILTER('Model output'!D:D,('Model output'!Z:Z=A13)),1),""))-FIND("T",IF(INDEX(_xlfn._xlws.FILTER('Model output'!D:D,('Model output'!Z:Z=A13)),1)&lt;&gt;"",INDEX(_xlfn._xlws.FILTER('Model output'!D:D,('Model output'!Z:Z=A13)),1)))))),2)</f>
        <v>3a</v>
      </c>
      <c r="G13" s="17" t="str" cm="1">
        <f t="array" ref="G13">IF(ISNUMBER(SEARCH("N",IF(ISNUMBER(SEARCH("present",IF(INDEX(_xlfn._xlws.FILTER('Model output'!E:E,('Model output'!Z:Z=A13)),1)="","",INDEX(_xlfn._xlws.FILTER('Model output'!E:E,('Model output'!Z:Z=A13)),1)),1)),"N1", IF(INDEX(_xlfn._xlws.FILTER('Model output'!E:E,('Model output'!Z:Z=A13)),1)="","",INDEX(_xlfn._xlws.FILTER('Model output'!E:E,('Model output'!Z:Z=A13)),1))),1)),RIGHT(IF(ISNUMBER(SEARCH("present",IF(INDEX(_xlfn._xlws.FILTER('Model output'!E:E,('Model output'!Z:Z=A13)),1)="","",INDEX(_xlfn._xlws.FILTER('Model output'!E:E,('Model output'!Z:Z=A13)),1)),1)),"N1", IF(INDEX(_xlfn._xlws.FILTER('Model output'!E:E,('Model output'!Z:Z=A13)),1)="","",INDEX(_xlfn._xlws.FILTER('Model output'!E:E,('Model output'!Z:Z=A13)),1))),LEN(IF(ISNUMBER(SEARCH("present",IF(INDEX(_xlfn._xlws.FILTER('Model output'!E:E,('Model output'!Z:Z=A13)),1)="","",INDEX(_xlfn._xlws.FILTER('Model output'!E:E,('Model output'!Z:Z=A13)),1)),1)),"N1", IF(INDEX(_xlfn._xlws.FILTER('Model output'!E:E,('Model output'!Z:Z=A13)),1)="","",INDEX(_xlfn._xlws.FILTER('Model output'!E:E,('Model output'!Z:Z=A13)),1))))-FIND("N",IF(ISNUMBER(SEARCH("present",IF(INDEX(_xlfn._xlws.FILTER('Model output'!E:E,('Model output'!Z:Z=A13)),1)="","",INDEX(_xlfn._xlws.FILTER('Model output'!E:E,('Model output'!Z:Z=A13)),1)),1)),"N1", IF(INDEX(_xlfn._xlws.FILTER('Model output'!E:E,('Model output'!Z:Z=A13)),1)="","",INDEX(_xlfn._xlws.FILTER('Model output'!E:E,('Model output'!Z:Z=A13)),1))),1)), "")</f>
        <v/>
      </c>
      <c r="H13" s="17" cm="1">
        <f t="array" ref="H13">IF(AND(SUBSTITUTE(_xlfn.TEXTJOIN("/", TRUE, _xlfn._xlws.FILTER('Model output'!F:F, 'Model output'!Z:Z=A13)),"M", "")="", K13="negative"),0,IF(K13="positive",1,0))</f>
        <v>0</v>
      </c>
      <c r="I13" t="str">
        <f t="shared" si="0"/>
        <v/>
      </c>
      <c r="J13" t="str" cm="1">
        <f t="array" ref="J13">IF(AND(M13&gt;0, _xlfn.TEXTJOIN("; ", TRUE, _xlfn._xlws.FILTER('Model output'!G:G, 'Model output'!Z:Z=A13)) &lt;&gt;"", OR(AND(ISNUMBER(SEARCH("level", _xlfn.TEXTJOIN("; ", TRUE, _xlfn._xlws.FILTER('Model output'!G:G, 'Model output'!Z:Z=A13)),1)),OR(ISNUMBER(SEARCH(" II", _xlfn.TEXTJOIN("; ", TRUE, _xlfn._xlws.FILTER('Model output'!G:G, 'Model output'!Z:Z=A13)),1)),ISNUMBER(SEARCH("2", _xlfn.TEXTJOIN("; ", TRUE, _xlfn._xlws.FILTER('Model output'!G:G, 'Model output'!Z:Z=A13)),1)),ISNUMBER(SEARCH("two", _xlfn.TEXTJOIN("; ", TRUE, _xlfn._xlws.FILTER('Model output'!G:G, 'Model output'!Z:Z=A13)),1)),ISNUMBER(SEARCH("III", _xlfn.TEXTJOIN("; ", TRUE, _xlfn._xlws.FILTER('Model output'!G:G, 'Model output'!Z:Z=A13)),1)),ISNUMBER(SEARCH("3", _xlfn.TEXTJOIN("; ", TRUE, _xlfn._xlws.FILTER('Model output'!G:G, 'Model output'!Z:Z=A13)),1)),ISNUMBER(SEARCH("three", _xlfn.TEXTJOIN("; ", TRUE, _xlfn._xlws.FILTER('Model output'!G:G, 'Model output'!Z:Z=A13)),1)),ISNUMBER(SEARCH("IV", _xlfn.TEXTJOIN("; ", TRUE, _xlfn._xlws.FILTER('Model output'!G:G, 'Model output'!Z:Z=A13)),1)),ISNUMBER(SEARCH("4", _xlfn.TEXTJOIN("; ", TRUE, _xlfn._xlws.FILTER('Model output'!G:G, 'Model output'!Z:Z=A13)),1)),ISNUMBER(SEARCH("five", _xlfn.TEXTJOIN("; ", TRUE, _xlfn._xlws.FILTER('Model output'!G:G, 'Model output'!Z:Z=A13)),1)),ISNUMBER(SEARCH("V ", _xlfn.TEXTJOIN("; ", TRUE, _xlfn._xlws.FILTER('Model output'!G:G, 'Model output'!Z:Z=A13)),1)),ISNUMBER(SEARCH("5", _xlfn.TEXTJOIN("; ", TRUE, _xlfn._xlws.FILTER('Model output'!G:G, 'Model output'!Z:Z=A13)),1)),ISNUMBER(SEARCH("five", _xlfn.TEXTJOIN("; ", TRUE, _xlfn._xlws.FILTER('Model output'!G:G, 'Model output'!Z:Z=A13)),1)),ISNUMBER(SEARCH(" lateral", _xlfn.TEXTJOIN("; ", TRUE, _xlfn._xlws.FILTER('Model output'!G:G, 'Model output'!Z:Z=A13)),1)))),ISNUMBER(SEARCH("cervical", _xlfn.TEXTJOIN("; ", TRUE, _xlfn._xlws.FILTER('Model output'!G:G, 'Model output'!Z:Z=A13)),1)),ISNUMBER(SEARCH("jugular", _xlfn.TEXTJOIN("; ", TRUE, _xlfn._xlws.FILTER('Model output'!G:G, 'Model output'!Z:Z=A13)),1)),ISNUMBER(SEARCH("left neck", _xlfn.TEXTJOIN("; ", TRUE, _xlfn._xlws.FILTER('Model output'!G:G, 'Model output'!Z:Z=A13)),1)),ISNUMBER(SEARCH("left anterior neck", _xlfn.TEXTJOIN("; ", TRUE, _xlfn._xlws.FILTER('Model output'!G:G, 'Model output'!Z:Z=A13)),1)),ISNUMBER(SEARCH("left posterior neck", _xlfn.TEXTJOIN("; ", TRUE, _xlfn._xlws.FILTER('Model output'!G:G, 'Model output'!Z:Z=A13)),1)),ISNUMBER(SEARCH("right neck", _xlfn.TEXTJOIN("; ", TRUE, _xlfn._xlws.FILTER('Model output'!G:G, 'Model output'!Z:Z=A13)),1)),ISNUMBER(SEARCH("right anterior neck", _xlfn.TEXTJOIN("; ", TRUE, _xlfn._xlws.FILTER('Model output'!G:G, 'Model output'!Z:Z=A13)),1)),ISNUMBER(SEARCH("right posterior neck", _xlfn.TEXTJOIN("; ", TRUE, _xlfn._xlws.FILTER('Model output'!G:G, 'Model output'!Z:Z=A13)),1)))),"lateral",IF(AND(M13=0, _xlfn.TEXTJOIN("; ", TRUE, _xlfn._xlws.FILTER('Model output'!G:G, 'Model output'!Z:Z=A13))=""),"", "central"))</f>
        <v/>
      </c>
      <c r="K13" s="17" t="str" cm="1">
        <f t="array" ref="K13">IF(OR(ISNUMBER(SEARCH("lymph",_xlfn.TEXTJOIN("; ", TRUE, _xlfn._xlws.FILTER('Model output'!H:H, 'Model output'!Z:Z=A13)),1)), ISNUMBER(SEARCH("Not mentioned",_xlfn.TEXTJOIN("; ", TRUE, _xlfn._xlws.FILTER('Model output'!H:H, 'Model output'!Z:Z=A13)),1)),ISNUMBER(SEARCH("thyroid",_xlfn.TEXTJOIN("; ", TRUE, _xlfn._xlws.FILTER('Model output'!H:H, 'Model output'!Z:Z=A13)),1)),ISNUMBER(SEARCH("strap muscle",_xlfn.TEXTJOIN("; ", TRUE, _xlfn._xlws.FILTER('Model output'!H:H, 'Model output'!Z:Z=A13)),1)),ISNUMBER(SEARCH("subcutaneous soft tissues",_xlfn.TEXTJOIN("; ", TRUE, _xlfn._xlws.FILTER('Model output'!H:H, 'Model output'!Z:Z=A13)),1)),ISNUMBER(SEARCH("larynx",_xlfn.TEXTJOIN("; ", TRUE, _xlfn._xlws.FILTER('Model output'!H:H, 'Model output'!Z:Z=A13)),1)),ISNUMBER(SEARCH("trachea",_xlfn.TEXTJOIN("; ", TRUE, _xlfn._xlws.FILTER('Model output'!H:H, 'Model output'!Z:Z=A13)),1)),ISNUMBER(SEARCH("esophagus",_xlfn.TEXTJOIN("; ", TRUE, _xlfn._xlws.FILTER('Model output'!H:H, 'Model output'!Z:Z=A13)),1)),ISNUMBER(SEARCH("recurrent laryngeal nerve",_xlfn.TEXTJOIN("; ", TRUE, _xlfn._xlws.FILTER('Model output'!H:H, 'Model output'!Z:Z=A13)),1)),ISNUMBER(SEARCH("RLN",_xlfn.TEXTJOIN("; ", TRUE, _xlfn._xlws.FILTER('Model output'!H:H, 'Model output'!Z:Z=A13)),1)),_xlfn.TEXTJOIN("; ", TRUE, _xlfn._xlws.FILTER('Model output'!H:H, 'Model output'!Z:Z=A13))=""),"negative","positive")</f>
        <v>negative</v>
      </c>
      <c r="L13" s="17">
        <f>IF(IFERROR(INDEX('Model output'!I:I, MATCH(A13, 'Model output'!Z:Z, 0)), "") &lt; M13, "", IFERROR(INDEX('Model output'!I:I, MATCH(A13, 'Model output'!Z:Z, 0)), ""))</f>
        <v>13</v>
      </c>
      <c r="M13" s="17">
        <f>IFERROR(INDEX('Model output'!J:J, MATCH(A13, 'Model output'!Z:Z, 0)), "")</f>
        <v>0</v>
      </c>
      <c r="N13" s="18" t="str" cm="1">
        <f t="array" ref="N13">ReplaceTo(ReplaceAnd(SUBSTITUTE(SUBSTITUTE(_xlfn.TEXTJOIN("; ", TRUE, _xlfn._xlws.FILTER('Model output'!K:K, 'Model output'!Z:Z=A13)), " ", ""), ",", ";")))</f>
        <v/>
      </c>
      <c r="O13" t="str" cm="1">
        <f t="array" ref="O13">IF(LEFT(IF(RIGHT(SUBSTITUTE(FilterWithUnits(N13)&amp; ";" &amp;FilterStringsWithNumericAnd(N13) &amp; ";" &amp; FilterStringsWithX(N13), ";;", ";"),1)=";",LEFT(SUBSTITUTE(FilterWithUnits(N13)&amp; ";" &amp;FilterStringsWithNumericAnd(N13) &amp; ";" &amp; FilterStringsWithX(N13), ";;", ";"),LEN(SUBSTITUTE(FilterWithUnits(N13)&amp; ";" &amp;FilterStringsWithNumericAnd(N13) &amp; ";" &amp; FilterStringsWithX(N13), ";;", ";"))-1),SUBSTITUTE(FilterWithUnits(N13)&amp; ";" &amp;FilterStringsWithNumericAnd(N13) &amp; ";" &amp; FilterStringsWithX(N13), ";;", ";")),1)=";",RIGHT(IF(RIGHT(SUBSTITUTE(FilterWithUnits(N13)&amp; ";" &amp;FilterStringsWithNumericAnd(N13) &amp; ";" &amp; FilterStringsWithX(N13), ";;", ";"),1)=";",LEFT(SUBSTITUTE(FilterWithUnits(N13)&amp; ";" &amp;FilterStringsWithNumericAnd(N13) &amp; ";" &amp; FilterStringsWithX(N13), ";;", ";"),LEN(SUBSTITUTE(FilterWithUnits(N13)&amp; ";" &amp;FilterStringsWithNumericAnd(N13) &amp; ";" &amp; FilterStringsWithX(N13), ";;", ";"))-1),SUBSTITUTE(FilterWithUnits(N13)&amp; ";" &amp;FilterStringsWithNumericAnd(N13) &amp; ";" &amp; FilterStringsWithX(N13), ";;", ";")),LEN(IF(RIGHT(SUBSTITUTE(FilterWithUnits(N13)&amp; ";" &amp;FilterStringsWithNumericAnd(N13) &amp; ";" &amp; FilterStringsWithX(N13), ";;", ";"),1)=";",LEFT(SUBSTITUTE(FilterWithUnits(N13)&amp; ";" &amp;FilterStringsWithNumericAnd(N13) &amp; ";" &amp; FilterStringsWithX(N13), ";;", ";"),LEN(SUBSTITUTE(FilterWithUnits(N13)&amp; ";" &amp;FilterStringsWithNumericAnd(N13) &amp; ";" &amp; FilterStringsWithX(N13), ";;", ";"))-1),SUBSTITUTE(FilterWithUnits(N13)&amp; ";" &amp;FilterStringsWithNumericAnd(N13) &amp; ";" &amp; FilterStringsWithX(N13), ";;", ";")))-1),IF(RIGHT(SUBSTITUTE(FilterWithUnits(N13)&amp; ";" &amp;FilterStringsWithNumericAnd(N13) &amp; ";" &amp; FilterStringsWithX(N13), ";;", ";"),1)=";",LEFT(SUBSTITUTE(FilterWithUnits(N13)&amp; ";" &amp;FilterStringsWithNumericAnd(N13) &amp; ";" &amp; FilterStringsWithX(N13), ";;", ";"),LEN(SUBSTITUTE(FilterWithUnits(N13)&amp; ";" &amp;FilterStringsWithNumericAnd(N13) &amp; ";" &amp; FilterStringsWithX(N13), ";;", ";"))-1),SUBSTITUTE(FilterWithUnits(N13)&amp; ";" &amp;FilterStringsWithNumericAnd(N13) &amp; ";" &amp; FilterStringsWithX(N13), ";;", ";")))</f>
        <v/>
      </c>
      <c r="P13" t="str" cm="1">
        <f t="array" ref="P13">IF(MaxSize((SplitDimensions(O13)))=0, "", MaxSize((SplitDimensions(O13))))</f>
        <v/>
      </c>
      <c r="Q13" t="str" cm="1">
        <f t="array" ref="Q13">IF(ISERROR(INDEX(_xlfn._xlws.FILTER('Model output'!L:L, ('Model output'!Z:Z=A13)*('Model output'!L:L&lt;&gt;"")), 1)), " ", LOWER(INDEX(_xlfn._xlws.FILTER('Model output'!L:L, ('Model output'!Z:Z=A13)*('Model output'!L:L&lt;&gt;"")), 1)))</f>
        <v>minimally invasive follicular carcinoma</v>
      </c>
      <c r="R13" t="str" cm="1">
        <f t="array" ref="R13">IF(ISERROR(INDEX(_xlfn._xlws.FILTER('Model output'!M:M, ('Model output'!Z:Z=A13)*('Model output'!M:M&lt;&gt;"")), 1)), " ", LOWER(INDEX(_xlfn._xlws.FILTER('Model output'!M:M, ('Model output'!Z:Z=A13)*('Model output'!M:M&lt;&gt;"")), 1)))</f>
        <v xml:space="preserve"> </v>
      </c>
      <c r="S13" t="str" cm="1">
        <f t="array" ref="S13">IF(OR(ISNUMBER(SEARCH("ly",SUBSTITUTE(INDEX(_xlfn._xlws.FILTER('Model output'!N:N,('Model output'!Z:Z=A13)*('Model output'!N:N&lt;&gt;"")),1)," ",""),1)), ISNUMBER(SEARCH("pole",SUBSTITUTE(INDEX(_xlfn._xlws.FILTER('Model output'!N:N,('Model output'!Z:Z=A13)*('Model output'!N:N&lt;&gt;"")),1)," ",""),1))),"",SUBSTITUTE(INDEX(_xlfn._xlws.FILTER('Model output'!N:N,('Model output'!Z:Z=A13)*('Model output'!N:N&lt;&gt;"")),1)," ",""))</f>
        <v/>
      </c>
      <c r="T13" t="str" cm="1">
        <f t="array" ref="T13">IF(LEFT(IF(RIGHT(SUBSTITUTE(FilterWithUnits(S13)&amp; ";" &amp;FilterStringsWithNumericAnd(S13) &amp; ";" &amp; FilterStringsWithX(S13), ";;", ";"),1)=";",LEFT(SUBSTITUTE(FilterWithUnits(S13)&amp; ";" &amp;FilterStringsWithNumericAnd(S13) &amp; ";" &amp; FilterStringsWithX(S13), ";;", ";"),LEN(SUBSTITUTE(FilterWithUnits(S13)&amp; ";" &amp;FilterStringsWithNumericAnd(S13) &amp; ";" &amp; FilterStringsWithX(S13), ";;", ";"))-1),SUBSTITUTE(FilterWithUnits(S13)&amp; ";" &amp;FilterStringsWithNumericAnd(S13) &amp; ";" &amp; FilterStringsWithX(S13), ";;", ";")),1)=";",RIGHT(IF(RIGHT(SUBSTITUTE(FilterWithUnits(S13)&amp; ";" &amp;FilterStringsWithNumericAnd(S13) &amp; ";" &amp; FilterStringsWithX(S13), ";;", ";"),1)=";",LEFT(SUBSTITUTE(FilterWithUnits(S13)&amp; ";" &amp;FilterStringsWithNumericAnd(S13) &amp; ";" &amp; FilterStringsWithX(S13), ";;", ";"),LEN(SUBSTITUTE(FilterWithUnits(S13)&amp; ";" &amp;FilterStringsWithNumericAnd(S13) &amp; ";" &amp; FilterStringsWithX(S13), ";;", ";"))-1),SUBSTITUTE(FilterWithUnits(S13)&amp; ";" &amp;FilterStringsWithNumericAnd(S13) &amp; ";" &amp; FilterStringsWithX(S13), ";;", ";")),LEN(IF(RIGHT(SUBSTITUTE(FilterWithUnits(S13)&amp; ";" &amp;FilterStringsWithNumericAnd(S13) &amp; ";" &amp; FilterStringsWithX(S13), ";;", ";"),1)=";",LEFT(SUBSTITUTE(FilterWithUnits(S13)&amp; ";" &amp;FilterStringsWithNumericAnd(S13) &amp; ";" &amp; FilterStringsWithX(S13), ";;", ";"),LEN(SUBSTITUTE(FilterWithUnits(S13)&amp; ";" &amp;FilterStringsWithNumericAnd(S13) &amp; ";" &amp; FilterStringsWithX(S13), ";;", ";"))-1),SUBSTITUTE(FilterWithUnits(S13)&amp; ";" &amp;FilterStringsWithNumericAnd(S13) &amp; ";" &amp; FilterStringsWithX(S13), ";;", ";")))-1),IF(RIGHT(SUBSTITUTE(FilterWithUnits(S13)&amp; ";" &amp;FilterStringsWithNumericAnd(S13) &amp; ";" &amp; FilterStringsWithX(S13), ";;", ";"),1)=";",LEFT(SUBSTITUTE(FilterWithUnits(S13)&amp; ";" &amp;FilterStringsWithNumericAnd(S13) &amp; ";" &amp; FilterStringsWithX(S13), ";;", ";"),LEN(SUBSTITUTE(FilterWithUnits(S13)&amp; ";" &amp;FilterStringsWithNumericAnd(S13) &amp; ";" &amp; FilterStringsWithX(S13), ";;", ";"))-1),SUBSTITUTE(FilterWithUnits(S13)&amp; ";" &amp;FilterStringsWithNumericAnd(S13) &amp; ";" &amp; FilterStringsWithX(S13), ";;", ";")))</f>
        <v/>
      </c>
      <c r="U13" t="str" cm="1">
        <f t="array" ref="U13">IF(MaxSize((SplitDimensions(T13)))=0, "", MaxSize((SplitDimensions(T13))))</f>
        <v/>
      </c>
      <c r="V13" s="17" t="str" cm="1">
        <f t="array" ref="V13">IF(ISERROR(INDEX(_xlfn._xlws.FILTER('Model output'!P:P,('Model output'!Z:Z=A13)*('Model output'!P:P&lt;&gt;"")),1)),"negative",IF(OR(ISNUMBER(SEARCH("foc",INDEX(_xlfn._xlws.FILTER('Model output'!P:P,('Model output'!Z:Z=A13)*('Model output'!P:P&lt;&gt;"")),1),1)),ISNUMBER(SEARCH("extensive",INDEX(_xlfn._xlws.FILTER('Model output'!P:P,('Model output'!Z:Z=A13)*('Model output'!P:P&lt;&gt;"")),1),1)),ISNUMBER(SEARCH("present",INDEX(_xlfn._xlws.FILTER('Model output'!P:P,('Model output'!Z:Z=A13)*('Model output'!P:P&lt;&gt;"")),1),1)),ISNUMBER(SEARCH("yes",INDEX(_xlfn._xlws.FILTER('Model output'!P:P,('Model output'!Z:Z=A13)*('Model output'!P:P&lt;&gt;"")),1),1))),"positive","negative"))</f>
        <v>negative</v>
      </c>
      <c r="X13" t="str" cm="1">
        <f t="array" ref="X13">IF(ISNUMBER(SEARCH("4",INDEX(_xlfn._xlws.FILTER('Model output'!P:P,('Model output'!Z:Z=A13)*('Model output'!P:P&lt;&gt;"")),1),1)),INDEX(_xlfn._xlws.FILTER('Model output'!P:P,('Model output'!Z:Z=A13)*('Model output'!P:P&lt;&gt;"")),1),"") &amp; _xlfn.TEXTJOIN("",TRUE,_xlfn._xlws.FILTER('Model output'!Q:Q,'Model output'!Z:Z=A13))</f>
        <v>Not mentioned</v>
      </c>
      <c r="Y13" t="str">
        <f t="shared" si="11"/>
        <v>no</v>
      </c>
      <c r="Z13" t="str" cm="1">
        <f t="array" ref="Z13">IF(OR(ISNUMBER(SEARCH("focal",_xlfn.TEXTJOIN("; ",TRUE,_xlfn._xlws.FILTER('Model output'!R:R,'Model output'!Z:Z=A13)),1)),ISNUMBER(SEARCH("present",_xlfn.TEXTJOIN("; ",TRUE,_xlfn._xlws.FILTER('Model output'!R:R,'Model output'!Z:Z=A13)),1))),"positive",IF(_xlfn.TEXTJOIN("; ",TRUE,_xlfn._xlws.FILTER('Model output'!R:R,'Model output'!Z:Z=A13))="","negative",IF(OR(ISNUMBER(SEARCH("no",_xlfn.TEXTJOIN("; ",TRUE,_xlfn._xlws.FILTER('Model output'!R:R,'Model output'!Z:Z=A13)),1)),ISNUMBER(SEARCH("absent",_xlfn.TEXTJOIN("; ",TRUE,_xlfn._xlws.FILTER('Model output'!R:R,'Model output'!Z:Z=A13)),1))),"negative","positive")))</f>
        <v>negative</v>
      </c>
      <c r="AA13" s="17" t="str">
        <f t="shared" si="1"/>
        <v>negative</v>
      </c>
      <c r="AE13" s="17" t="str">
        <f t="shared" si="12"/>
        <v>negative</v>
      </c>
      <c r="AF13" t="str" cm="1">
        <f t="array" ref="AF13">_xlfn.TEXTJOIN("; ",TRUE,_xlfn._xlws.FILTER('Model output'!S:S,'Model output'!Z:Z=A13))</f>
        <v>Not identified; Not mentioned</v>
      </c>
      <c r="AG13" s="17" t="str" cm="1">
        <f t="array" ref="AG13">IF(OR(ISNUMBER(SEARCH("uninvolved",_xlfn.TEXTJOIN("; ",TRUE,_xlfn._xlws.FILTER('Model output'!V:V,'Model output'!Z:Z=A13)),1)),ISNUMBER(SEARCH("clear",_xlfn.TEXTJOIN("; ",TRUE,_xlfn._xlws.FILTER('Model output'!V:V,'Model output'!Z:Z=A13)),1))*ISNUMBER(SEARCH("not mentioned",_xlfn.TEXTJOIN("; ",TRUE,_xlfn._xlws.FILTER('Model output'!V:V,'Model output'!Z:Z=A13)),1))),"negative",IF(ISNUMBER(SEARCH("cannot be assessed",_xlfn.TEXTJOIN("; ",TRUE,_xlfn._xlws.FILTER('Model output'!V:V,'Model output'!Z:Z=A13)),1)),"unknown","negative"))</f>
        <v>negative</v>
      </c>
      <c r="AI13" s="45" t="str">
        <f t="shared" si="13"/>
        <v>low</v>
      </c>
      <c r="AJ13" s="41" t="str">
        <f t="shared" si="14"/>
        <v>3a</v>
      </c>
      <c r="AK13" s="41">
        <f t="shared" si="3"/>
        <v>0</v>
      </c>
      <c r="AL13" s="41">
        <f t="shared" si="4"/>
        <v>0</v>
      </c>
      <c r="AM13" s="41" t="str">
        <f t="shared" si="5"/>
        <v>II</v>
      </c>
      <c r="AN13" s="42" t="s">
        <v>166</v>
      </c>
      <c r="AO13" s="43" t="s">
        <v>207</v>
      </c>
      <c r="AP13" s="43" t="s">
        <v>204</v>
      </c>
      <c r="AQ13" s="43">
        <v>0</v>
      </c>
      <c r="AR13" s="43" t="s">
        <v>44</v>
      </c>
      <c r="AS13" s="42">
        <f t="shared" si="6"/>
        <v>1</v>
      </c>
      <c r="AT13" s="43">
        <f t="shared" si="7"/>
        <v>1</v>
      </c>
      <c r="AU13" s="43">
        <f t="shared" si="8"/>
        <v>1</v>
      </c>
      <c r="AV13" s="43">
        <f t="shared" si="9"/>
        <v>1</v>
      </c>
      <c r="AW13" s="44">
        <f t="shared" si="10"/>
        <v>1</v>
      </c>
    </row>
    <row r="14" spans="1:49">
      <c r="A14" s="13">
        <v>12</v>
      </c>
      <c r="B14" s="16">
        <f>_xlfn.MAXIFS('Model output'!B:B,'Model output'!Z:Z,'Classification result'!$A14)</f>
        <v>45356</v>
      </c>
      <c r="C14" s="16"/>
      <c r="D14" s="16"/>
      <c r="E14" s="17">
        <f>_xlfn.MAXIFS('Model output'!C:C,'Model output'!Z:Z,'Classification result'!$A14)</f>
        <v>67</v>
      </c>
      <c r="F14" s="17" t="str" cm="1">
        <f t="array" ref="F14">LEFT(IF(ISERROR(RIGHT(IF(INDEX(_xlfn._xlws.FILTER('Model output'!D:D,('Model output'!Z:Z=A14)),1)&lt;&gt;"",INDEX(_xlfn._xlws.FILTER('Model output'!D:D,('Model output'!Z:Z=A14)),1),""),LEN(IF(INDEX(_xlfn._xlws.FILTER('Model output'!D:D,('Model output'!Z:Z=A14)),1)&lt;&gt;"",INDEX(_xlfn._xlws.FILTER('Model output'!D:D,('Model output'!Z:Z=A14)),1),""))-FIND("T",IF(INDEX(_xlfn._xlws.FILTER('Model output'!D:D,('Model output'!Z:Z=A14)),1)&lt;&gt;"",INDEX(_xlfn._xlws.FILTER('Model output'!D:D,('Model output'!Z:Z=A14)),1),""),1))),"",(RIGHT(IF(INDEX(_xlfn._xlws.FILTER('Model output'!D:D,('Model output'!Z:Z=A14)),1)&lt;&gt;"",INDEX(_xlfn._xlws.FILTER('Model output'!D:D,('Model output'!Z:Z=A14)),1),""),LEN(IF(INDEX(_xlfn._xlws.FILTER('Model output'!D:D,('Model output'!Z:Z=A14)),1)&lt;&gt;"",INDEX(_xlfn._xlws.FILTER('Model output'!D:D,('Model output'!Z:Z=A14)),1),""))-FIND("T",IF(INDEX(_xlfn._xlws.FILTER('Model output'!D:D,('Model output'!Z:Z=A14)),1)&lt;&gt;"",INDEX(_xlfn._xlws.FILTER('Model output'!D:D,('Model output'!Z:Z=A14)),1)))))),2)</f>
        <v>3a</v>
      </c>
      <c r="G14" s="17" t="str" cm="1">
        <f t="array" ref="G14">IF(ISNUMBER(SEARCH("N",IF(ISNUMBER(SEARCH("present",IF(INDEX(_xlfn._xlws.FILTER('Model output'!E:E,('Model output'!Z:Z=A14)),1)="","",INDEX(_xlfn._xlws.FILTER('Model output'!E:E,('Model output'!Z:Z=A14)),1)),1)),"N1", IF(INDEX(_xlfn._xlws.FILTER('Model output'!E:E,('Model output'!Z:Z=A14)),1)="","",INDEX(_xlfn._xlws.FILTER('Model output'!E:E,('Model output'!Z:Z=A14)),1))),1)),RIGHT(IF(ISNUMBER(SEARCH("present",IF(INDEX(_xlfn._xlws.FILTER('Model output'!E:E,('Model output'!Z:Z=A14)),1)="","",INDEX(_xlfn._xlws.FILTER('Model output'!E:E,('Model output'!Z:Z=A14)),1)),1)),"N1", IF(INDEX(_xlfn._xlws.FILTER('Model output'!E:E,('Model output'!Z:Z=A14)),1)="","",INDEX(_xlfn._xlws.FILTER('Model output'!E:E,('Model output'!Z:Z=A14)),1))),LEN(IF(ISNUMBER(SEARCH("present",IF(INDEX(_xlfn._xlws.FILTER('Model output'!E:E,('Model output'!Z:Z=A14)),1)="","",INDEX(_xlfn._xlws.FILTER('Model output'!E:E,('Model output'!Z:Z=A14)),1)),1)),"N1", IF(INDEX(_xlfn._xlws.FILTER('Model output'!E:E,('Model output'!Z:Z=A14)),1)="","",INDEX(_xlfn._xlws.FILTER('Model output'!E:E,('Model output'!Z:Z=A14)),1))))-FIND("N",IF(ISNUMBER(SEARCH("present",IF(INDEX(_xlfn._xlws.FILTER('Model output'!E:E,('Model output'!Z:Z=A14)),1)="","",INDEX(_xlfn._xlws.FILTER('Model output'!E:E,('Model output'!Z:Z=A14)),1)),1)),"N1", IF(INDEX(_xlfn._xlws.FILTER('Model output'!E:E,('Model output'!Z:Z=A14)),1)="","",INDEX(_xlfn._xlws.FILTER('Model output'!E:E,('Model output'!Z:Z=A14)),1))),1)), "")</f>
        <v/>
      </c>
      <c r="H14" s="17" cm="1">
        <f t="array" ref="H14">IF(AND(SUBSTITUTE(_xlfn.TEXTJOIN("/", TRUE, _xlfn._xlws.FILTER('Model output'!F:F, 'Model output'!Z:Z=A14)),"M", "")="", K14="negative"),0,IF(K14="positive",1,0))</f>
        <v>0</v>
      </c>
      <c r="I14" t="str">
        <f t="shared" si="0"/>
        <v>positive</v>
      </c>
      <c r="J14" t="str" cm="1">
        <f t="array" ref="J14">IF(AND(M14&gt;0, _xlfn.TEXTJOIN("; ", TRUE, _xlfn._xlws.FILTER('Model output'!G:G, 'Model output'!Z:Z=A14)) &lt;&gt;"", OR(AND(ISNUMBER(SEARCH("level", _xlfn.TEXTJOIN("; ", TRUE, _xlfn._xlws.FILTER('Model output'!G:G, 'Model output'!Z:Z=A14)),1)),OR(ISNUMBER(SEARCH(" II", _xlfn.TEXTJOIN("; ", TRUE, _xlfn._xlws.FILTER('Model output'!G:G, 'Model output'!Z:Z=A14)),1)),ISNUMBER(SEARCH("2", _xlfn.TEXTJOIN("; ", TRUE, _xlfn._xlws.FILTER('Model output'!G:G, 'Model output'!Z:Z=A14)),1)),ISNUMBER(SEARCH("two", _xlfn.TEXTJOIN("; ", TRUE, _xlfn._xlws.FILTER('Model output'!G:G, 'Model output'!Z:Z=A14)),1)),ISNUMBER(SEARCH("III", _xlfn.TEXTJOIN("; ", TRUE, _xlfn._xlws.FILTER('Model output'!G:G, 'Model output'!Z:Z=A14)),1)),ISNUMBER(SEARCH("3", _xlfn.TEXTJOIN("; ", TRUE, _xlfn._xlws.FILTER('Model output'!G:G, 'Model output'!Z:Z=A14)),1)),ISNUMBER(SEARCH("three", _xlfn.TEXTJOIN("; ", TRUE, _xlfn._xlws.FILTER('Model output'!G:G, 'Model output'!Z:Z=A14)),1)),ISNUMBER(SEARCH("IV", _xlfn.TEXTJOIN("; ", TRUE, _xlfn._xlws.FILTER('Model output'!G:G, 'Model output'!Z:Z=A14)),1)),ISNUMBER(SEARCH("4", _xlfn.TEXTJOIN("; ", TRUE, _xlfn._xlws.FILTER('Model output'!G:G, 'Model output'!Z:Z=A14)),1)),ISNUMBER(SEARCH("five", _xlfn.TEXTJOIN("; ", TRUE, _xlfn._xlws.FILTER('Model output'!G:G, 'Model output'!Z:Z=A14)),1)),ISNUMBER(SEARCH("V ", _xlfn.TEXTJOIN("; ", TRUE, _xlfn._xlws.FILTER('Model output'!G:G, 'Model output'!Z:Z=A14)),1)),ISNUMBER(SEARCH("5", _xlfn.TEXTJOIN("; ", TRUE, _xlfn._xlws.FILTER('Model output'!G:G, 'Model output'!Z:Z=A14)),1)),ISNUMBER(SEARCH("five", _xlfn.TEXTJOIN("; ", TRUE, _xlfn._xlws.FILTER('Model output'!G:G, 'Model output'!Z:Z=A14)),1)),ISNUMBER(SEARCH(" lateral", _xlfn.TEXTJOIN("; ", TRUE, _xlfn._xlws.FILTER('Model output'!G:G, 'Model output'!Z:Z=A14)),1)))),ISNUMBER(SEARCH("cervical", _xlfn.TEXTJOIN("; ", TRUE, _xlfn._xlws.FILTER('Model output'!G:G, 'Model output'!Z:Z=A14)),1)),ISNUMBER(SEARCH("jugular", _xlfn.TEXTJOIN("; ", TRUE, _xlfn._xlws.FILTER('Model output'!G:G, 'Model output'!Z:Z=A14)),1)),ISNUMBER(SEARCH("left neck", _xlfn.TEXTJOIN("; ", TRUE, _xlfn._xlws.FILTER('Model output'!G:G, 'Model output'!Z:Z=A14)),1)),ISNUMBER(SEARCH("left anterior neck", _xlfn.TEXTJOIN("; ", TRUE, _xlfn._xlws.FILTER('Model output'!G:G, 'Model output'!Z:Z=A14)),1)),ISNUMBER(SEARCH("left posterior neck", _xlfn.TEXTJOIN("; ", TRUE, _xlfn._xlws.FILTER('Model output'!G:G, 'Model output'!Z:Z=A14)),1)),ISNUMBER(SEARCH("right neck", _xlfn.TEXTJOIN("; ", TRUE, _xlfn._xlws.FILTER('Model output'!G:G, 'Model output'!Z:Z=A14)),1)),ISNUMBER(SEARCH("right anterior neck", _xlfn.TEXTJOIN("; ", TRUE, _xlfn._xlws.FILTER('Model output'!G:G, 'Model output'!Z:Z=A14)),1)),ISNUMBER(SEARCH("right posterior neck", _xlfn.TEXTJOIN("; ", TRUE, _xlfn._xlws.FILTER('Model output'!G:G, 'Model output'!Z:Z=A14)),1)))),"lateral",IF(AND(M14=0, _xlfn.TEXTJOIN("; ", TRUE, _xlfn._xlws.FILTER('Model output'!G:G, 'Model output'!Z:Z=A14))=""),"", "central"))</f>
        <v>central</v>
      </c>
      <c r="K14" s="17" t="str" cm="1">
        <f t="array" ref="K14">IF(OR(ISNUMBER(SEARCH("lymph",_xlfn.TEXTJOIN("; ", TRUE, _xlfn._xlws.FILTER('Model output'!H:H, 'Model output'!Z:Z=A14)),1)), ISNUMBER(SEARCH("Not mentioned",_xlfn.TEXTJOIN("; ", TRUE, _xlfn._xlws.FILTER('Model output'!H:H, 'Model output'!Z:Z=A14)),1)),ISNUMBER(SEARCH("thyroid",_xlfn.TEXTJOIN("; ", TRUE, _xlfn._xlws.FILTER('Model output'!H:H, 'Model output'!Z:Z=A14)),1)),ISNUMBER(SEARCH("strap muscle",_xlfn.TEXTJOIN("; ", TRUE, _xlfn._xlws.FILTER('Model output'!H:H, 'Model output'!Z:Z=A14)),1)),ISNUMBER(SEARCH("subcutaneous soft tissues",_xlfn.TEXTJOIN("; ", TRUE, _xlfn._xlws.FILTER('Model output'!H:H, 'Model output'!Z:Z=A14)),1)),ISNUMBER(SEARCH("larynx",_xlfn.TEXTJOIN("; ", TRUE, _xlfn._xlws.FILTER('Model output'!H:H, 'Model output'!Z:Z=A14)),1)),ISNUMBER(SEARCH("trachea",_xlfn.TEXTJOIN("; ", TRUE, _xlfn._xlws.FILTER('Model output'!H:H, 'Model output'!Z:Z=A14)),1)),ISNUMBER(SEARCH("esophagus",_xlfn.TEXTJOIN("; ", TRUE, _xlfn._xlws.FILTER('Model output'!H:H, 'Model output'!Z:Z=A14)),1)),ISNUMBER(SEARCH("recurrent laryngeal nerve",_xlfn.TEXTJOIN("; ", TRUE, _xlfn._xlws.FILTER('Model output'!H:H, 'Model output'!Z:Z=A14)),1)),ISNUMBER(SEARCH("RLN",_xlfn.TEXTJOIN("; ", TRUE, _xlfn._xlws.FILTER('Model output'!H:H, 'Model output'!Z:Z=A14)),1)),_xlfn.TEXTJOIN("; ", TRUE, _xlfn._xlws.FILTER('Model output'!H:H, 'Model output'!Z:Z=A14))=""),"negative","positive")</f>
        <v>negative</v>
      </c>
      <c r="L14" s="17">
        <f>IF(IFERROR(INDEX('Model output'!I:I, MATCH(A14, 'Model output'!Z:Z, 0)), "") &lt; M14, "", IFERROR(INDEX('Model output'!I:I, MATCH(A14, 'Model output'!Z:Z, 0)), ""))</f>
        <v>22</v>
      </c>
      <c r="M14" s="17">
        <f>IFERROR(INDEX('Model output'!J:J, MATCH(A14, 'Model output'!Z:Z, 0)), "")</f>
        <v>1</v>
      </c>
      <c r="N14" s="18" t="str" cm="1">
        <f t="array" ref="N14">ReplaceTo(ReplaceAnd(SUBSTITUTE(SUBSTITUTE(_xlfn.TEXTJOIN("; ", TRUE, _xlfn._xlws.FILTER('Model output'!K:K, 'Model output'!Z:Z=A14)), " ", ""), ",", ";")))</f>
        <v>50mm;Notmentioned</v>
      </c>
      <c r="O14" t="str" cm="1">
        <f t="array" ref="O14">IF(LEFT(IF(RIGHT(SUBSTITUTE(FilterWithUnits(N14)&amp; ";" &amp;FilterStringsWithNumericAnd(N14) &amp; ";" &amp; FilterStringsWithX(N14), ";;", ";"),1)=";",LEFT(SUBSTITUTE(FilterWithUnits(N14)&amp; ";" &amp;FilterStringsWithNumericAnd(N14) &amp; ";" &amp; FilterStringsWithX(N14), ";;", ";"),LEN(SUBSTITUTE(FilterWithUnits(N14)&amp; ";" &amp;FilterStringsWithNumericAnd(N14) &amp; ";" &amp; FilterStringsWithX(N14), ";;", ";"))-1),SUBSTITUTE(FilterWithUnits(N14)&amp; ";" &amp;FilterStringsWithNumericAnd(N14) &amp; ";" &amp; FilterStringsWithX(N14), ";;", ";")),1)=";",RIGHT(IF(RIGHT(SUBSTITUTE(FilterWithUnits(N14)&amp; ";" &amp;FilterStringsWithNumericAnd(N14) &amp; ";" &amp; FilterStringsWithX(N14), ";;", ";"),1)=";",LEFT(SUBSTITUTE(FilterWithUnits(N14)&amp; ";" &amp;FilterStringsWithNumericAnd(N14) &amp; ";" &amp; FilterStringsWithX(N14), ";;", ";"),LEN(SUBSTITUTE(FilterWithUnits(N14)&amp; ";" &amp;FilterStringsWithNumericAnd(N14) &amp; ";" &amp; FilterStringsWithX(N14), ";;", ";"))-1),SUBSTITUTE(FilterWithUnits(N14)&amp; ";" &amp;FilterStringsWithNumericAnd(N14) &amp; ";" &amp; FilterStringsWithX(N14), ";;", ";")),LEN(IF(RIGHT(SUBSTITUTE(FilterWithUnits(N14)&amp; ";" &amp;FilterStringsWithNumericAnd(N14) &amp; ";" &amp; FilterStringsWithX(N14), ";;", ";"),1)=";",LEFT(SUBSTITUTE(FilterWithUnits(N14)&amp; ";" &amp;FilterStringsWithNumericAnd(N14) &amp; ";" &amp; FilterStringsWithX(N14), ";;", ";"),LEN(SUBSTITUTE(FilterWithUnits(N14)&amp; ";" &amp;FilterStringsWithNumericAnd(N14) &amp; ";" &amp; FilterStringsWithX(N14), ";;", ";"))-1),SUBSTITUTE(FilterWithUnits(N14)&amp; ";" &amp;FilterStringsWithNumericAnd(N14) &amp; ";" &amp; FilterStringsWithX(N14), ";;", ";")))-1),IF(RIGHT(SUBSTITUTE(FilterWithUnits(N14)&amp; ";" &amp;FilterStringsWithNumericAnd(N14) &amp; ";" &amp; FilterStringsWithX(N14), ";;", ";"),1)=";",LEFT(SUBSTITUTE(FilterWithUnits(N14)&amp; ";" &amp;FilterStringsWithNumericAnd(N14) &amp; ";" &amp; FilterStringsWithX(N14), ";;", ";"),LEN(SUBSTITUTE(FilterWithUnits(N14)&amp; ";" &amp;FilterStringsWithNumericAnd(N14) &amp; ";" &amp; FilterStringsWithX(N14), ";;", ";"))-1),SUBSTITUTE(FilterWithUnits(N14)&amp; ";" &amp;FilterStringsWithNumericAnd(N14) &amp; ";" &amp; FilterStringsWithX(N14), ";;", ";")))</f>
        <v>50mm</v>
      </c>
      <c r="P14" cm="1">
        <f t="array" ref="P14">IF(MaxSize((SplitDimensions(O14)))=0, "", MaxSize((SplitDimensions(O14))))</f>
        <v>5</v>
      </c>
      <c r="Q14" t="str" cm="1">
        <f t="array" ref="Q14">IF(ISERROR(INDEX(_xlfn._xlws.FILTER('Model output'!L:L, ('Model output'!Z:Z=A14)*('Model output'!L:L&lt;&gt;"")), 1)), " ", LOWER(INDEX(_xlfn._xlws.FILTER('Model output'!L:L, ('Model output'!Z:Z=A14)*('Model output'!L:L&lt;&gt;"")), 1)))</f>
        <v>follicular neoplasm</v>
      </c>
      <c r="R14" t="str" cm="1">
        <f t="array" ref="R14">IF(ISERROR(INDEX(_xlfn._xlws.FILTER('Model output'!M:M, ('Model output'!Z:Z=A14)*('Model output'!M:M&lt;&gt;"")), 1)), " ", LOWER(INDEX(_xlfn._xlws.FILTER('Model output'!M:M, ('Model output'!Z:Z=A14)*('Model output'!M:M&lt;&gt;"")), 1)))</f>
        <v>minimally invasive follicular carcinoma</v>
      </c>
      <c r="S14" t="str" cm="1">
        <f t="array" ref="S14">IF(OR(ISNUMBER(SEARCH("ly",SUBSTITUTE(INDEX(_xlfn._xlws.FILTER('Model output'!N:N,('Model output'!Z:Z=A14)*('Model output'!N:N&lt;&gt;"")),1)," ",""),1)), ISNUMBER(SEARCH("pole",SUBSTITUTE(INDEX(_xlfn._xlws.FILTER('Model output'!N:N,('Model output'!Z:Z=A14)*('Model output'!N:N&lt;&gt;"")),1)," ",""),1))),"",SUBSTITUTE(INDEX(_xlfn._xlws.FILTER('Model output'!N:N,('Model output'!Z:Z=A14)*('Model output'!N:N&lt;&gt;"")),1)," ",""))</f>
        <v>50mm</v>
      </c>
      <c r="T14" t="str" cm="1">
        <f t="array" ref="T14">IF(LEFT(IF(RIGHT(SUBSTITUTE(FilterWithUnits(S14)&amp; ";" &amp;FilterStringsWithNumericAnd(S14) &amp; ";" &amp; FilterStringsWithX(S14), ";;", ";"),1)=";",LEFT(SUBSTITUTE(FilterWithUnits(S14)&amp; ";" &amp;FilterStringsWithNumericAnd(S14) &amp; ";" &amp; FilterStringsWithX(S14), ";;", ";"),LEN(SUBSTITUTE(FilterWithUnits(S14)&amp; ";" &amp;FilterStringsWithNumericAnd(S14) &amp; ";" &amp; FilterStringsWithX(S14), ";;", ";"))-1),SUBSTITUTE(FilterWithUnits(S14)&amp; ";" &amp;FilterStringsWithNumericAnd(S14) &amp; ";" &amp; FilterStringsWithX(S14), ";;", ";")),1)=";",RIGHT(IF(RIGHT(SUBSTITUTE(FilterWithUnits(S14)&amp; ";" &amp;FilterStringsWithNumericAnd(S14) &amp; ";" &amp; FilterStringsWithX(S14), ";;", ";"),1)=";",LEFT(SUBSTITUTE(FilterWithUnits(S14)&amp; ";" &amp;FilterStringsWithNumericAnd(S14) &amp; ";" &amp; FilterStringsWithX(S14), ";;", ";"),LEN(SUBSTITUTE(FilterWithUnits(S14)&amp; ";" &amp;FilterStringsWithNumericAnd(S14) &amp; ";" &amp; FilterStringsWithX(S14), ";;", ";"))-1),SUBSTITUTE(FilterWithUnits(S14)&amp; ";" &amp;FilterStringsWithNumericAnd(S14) &amp; ";" &amp; FilterStringsWithX(S14), ";;", ";")),LEN(IF(RIGHT(SUBSTITUTE(FilterWithUnits(S14)&amp; ";" &amp;FilterStringsWithNumericAnd(S14) &amp; ";" &amp; FilterStringsWithX(S14), ";;", ";"),1)=";",LEFT(SUBSTITUTE(FilterWithUnits(S14)&amp; ";" &amp;FilterStringsWithNumericAnd(S14) &amp; ";" &amp; FilterStringsWithX(S14), ";;", ";"),LEN(SUBSTITUTE(FilterWithUnits(S14)&amp; ";" &amp;FilterStringsWithNumericAnd(S14) &amp; ";" &amp; FilterStringsWithX(S14), ";;", ";"))-1),SUBSTITUTE(FilterWithUnits(S14)&amp; ";" &amp;FilterStringsWithNumericAnd(S14) &amp; ";" &amp; FilterStringsWithX(S14), ";;", ";")))-1),IF(RIGHT(SUBSTITUTE(FilterWithUnits(S14)&amp; ";" &amp;FilterStringsWithNumericAnd(S14) &amp; ";" &amp; FilterStringsWithX(S14), ";;", ";"),1)=";",LEFT(SUBSTITUTE(FilterWithUnits(S14)&amp; ";" &amp;FilterStringsWithNumericAnd(S14) &amp; ";" &amp; FilterStringsWithX(S14), ";;", ";"),LEN(SUBSTITUTE(FilterWithUnits(S14)&amp; ";" &amp;FilterStringsWithNumericAnd(S14) &amp; ";" &amp; FilterStringsWithX(S14), ";;", ";"))-1),SUBSTITUTE(FilterWithUnits(S14)&amp; ";" &amp;FilterStringsWithNumericAnd(S14) &amp; ";" &amp; FilterStringsWithX(S14), ";;", ";")))</f>
        <v>50mm</v>
      </c>
      <c r="U14" cm="1">
        <f t="array" ref="U14">IF(MaxSize((SplitDimensions(T14)))=0, "", MaxSize((SplitDimensions(T14))))</f>
        <v>5</v>
      </c>
      <c r="V14" s="17" t="str" cm="1">
        <f t="array" ref="V14">IF(ISERROR(INDEX(_xlfn._xlws.FILTER('Model output'!P:P,('Model output'!Z:Z=A14)*('Model output'!P:P&lt;&gt;"")),1)),"negative",IF(OR(ISNUMBER(SEARCH("foc",INDEX(_xlfn._xlws.FILTER('Model output'!P:P,('Model output'!Z:Z=A14)*('Model output'!P:P&lt;&gt;"")),1),1)),ISNUMBER(SEARCH("extensive",INDEX(_xlfn._xlws.FILTER('Model output'!P:P,('Model output'!Z:Z=A14)*('Model output'!P:P&lt;&gt;"")),1),1)),ISNUMBER(SEARCH("present",INDEX(_xlfn._xlws.FILTER('Model output'!P:P,('Model output'!Z:Z=A14)*('Model output'!P:P&lt;&gt;"")),1),1)),ISNUMBER(SEARCH("yes",INDEX(_xlfn._xlws.FILTER('Model output'!P:P,('Model output'!Z:Z=A14)*('Model output'!P:P&lt;&gt;"")),1),1))),"positive","negative"))</f>
        <v>positive</v>
      </c>
      <c r="X14" t="str" cm="1">
        <f t="array" ref="X14">IF(ISNUMBER(SEARCH("4",INDEX(_xlfn._xlws.FILTER('Model output'!P:P,('Model output'!Z:Z=A14)*('Model output'!P:P&lt;&gt;"")),1),1)),INDEX(_xlfn._xlws.FILTER('Model output'!P:P,('Model output'!Z:Z=A14)*('Model output'!P:P&lt;&gt;"")),1),"") &amp; _xlfn.TEXTJOIN("",TRUE,_xlfn._xlws.FILTER('Model output'!Q:Q,'Model output'!Z:Z=A14))</f>
        <v>Focal (&lt; 4 vessels)Not mentioned</v>
      </c>
      <c r="Y14" t="str">
        <f t="shared" si="11"/>
        <v>minimal</v>
      </c>
      <c r="Z14" t="str" cm="1">
        <f t="array" ref="Z14">IF(OR(ISNUMBER(SEARCH("focal",_xlfn.TEXTJOIN("; ",TRUE,_xlfn._xlws.FILTER('Model output'!R:R,'Model output'!Z:Z=A14)),1)),ISNUMBER(SEARCH("present",_xlfn.TEXTJOIN("; ",TRUE,_xlfn._xlws.FILTER('Model output'!R:R,'Model output'!Z:Z=A14)),1))),"positive",IF(_xlfn.TEXTJOIN("; ",TRUE,_xlfn._xlws.FILTER('Model output'!R:R,'Model output'!Z:Z=A14))="","negative",IF(OR(ISNUMBER(SEARCH("no",_xlfn.TEXTJOIN("; ",TRUE,_xlfn._xlws.FILTER('Model output'!R:R,'Model output'!Z:Z=A14)),1)),ISNUMBER(SEARCH("absent",_xlfn.TEXTJOIN("; ",TRUE,_xlfn._xlws.FILTER('Model output'!R:R,'Model output'!Z:Z=A14)),1))),"negative","positive")))</f>
        <v>negative</v>
      </c>
      <c r="AA14" s="17" t="str">
        <f t="shared" si="1"/>
        <v>negative</v>
      </c>
      <c r="AE14" s="17" t="str">
        <f t="shared" si="12"/>
        <v>negative</v>
      </c>
      <c r="AF14" t="str" cm="1">
        <f t="array" ref="AF14">_xlfn.TEXTJOIN("; ",TRUE,_xlfn._xlws.FILTER('Model output'!S:S,'Model output'!Z:Z=A14))</f>
        <v>Not identified; Not mentioned</v>
      </c>
      <c r="AG14" s="17" t="str" cm="1">
        <f t="array" ref="AG14">IF(OR(ISNUMBER(SEARCH("uninvolved",_xlfn.TEXTJOIN("; ",TRUE,_xlfn._xlws.FILTER('Model output'!V:V,'Model output'!Z:Z=A14)),1)),ISNUMBER(SEARCH("clear",_xlfn.TEXTJOIN("; ",TRUE,_xlfn._xlws.FILTER('Model output'!V:V,'Model output'!Z:Z=A14)),1))*ISNUMBER(SEARCH("not mentioned",_xlfn.TEXTJOIN("; ",TRUE,_xlfn._xlws.FILTER('Model output'!V:V,'Model output'!Z:Z=A14)),1))),"negative",IF(ISNUMBER(SEARCH("cannot be assessed",_xlfn.TEXTJOIN("; ",TRUE,_xlfn._xlws.FILTER('Model output'!V:V,'Model output'!Z:Z=A14)),1)),"unknown","negative"))</f>
        <v>negative</v>
      </c>
      <c r="AI14" s="45" t="str">
        <f t="shared" si="13"/>
        <v>high</v>
      </c>
      <c r="AJ14" s="41" t="str">
        <f t="shared" si="14"/>
        <v>3a</v>
      </c>
      <c r="AK14" s="41" t="str">
        <f t="shared" si="3"/>
        <v>1a</v>
      </c>
      <c r="AL14" s="41">
        <f t="shared" si="4"/>
        <v>0</v>
      </c>
      <c r="AM14" s="41" t="str">
        <f t="shared" si="5"/>
        <v>II</v>
      </c>
      <c r="AN14" s="42" t="s">
        <v>164</v>
      </c>
      <c r="AO14" s="43" t="s">
        <v>207</v>
      </c>
      <c r="AP14" s="43" t="s">
        <v>204</v>
      </c>
      <c r="AQ14" s="43">
        <v>0</v>
      </c>
      <c r="AR14" s="43" t="s">
        <v>44</v>
      </c>
      <c r="AS14" s="42">
        <f t="shared" si="6"/>
        <v>0</v>
      </c>
      <c r="AT14" s="43">
        <f t="shared" si="7"/>
        <v>1</v>
      </c>
      <c r="AU14" s="43">
        <f t="shared" si="8"/>
        <v>0</v>
      </c>
      <c r="AV14" s="43">
        <f t="shared" si="9"/>
        <v>1</v>
      </c>
      <c r="AW14" s="44">
        <f t="shared" si="10"/>
        <v>1</v>
      </c>
    </row>
    <row r="15" spans="1:49">
      <c r="A15" s="13">
        <v>13</v>
      </c>
      <c r="B15" s="16">
        <f>_xlfn.MAXIFS('Model output'!B:B,'Model output'!Z:Z,'Classification result'!$A15)</f>
        <v>45509</v>
      </c>
      <c r="C15" s="16"/>
      <c r="D15" s="16"/>
      <c r="E15" s="17">
        <f>_xlfn.MAXIFS('Model output'!C:C,'Model output'!Z:Z,'Classification result'!$A15)</f>
        <v>66</v>
      </c>
      <c r="F15" s="17" t="str" cm="1">
        <f t="array" ref="F15">LEFT(IF(ISERROR(RIGHT(IF(INDEX(_xlfn._xlws.FILTER('Model output'!D:D,('Model output'!Z:Z=A15)),1)&lt;&gt;"",INDEX(_xlfn._xlws.FILTER('Model output'!D:D,('Model output'!Z:Z=A15)),1),""),LEN(IF(INDEX(_xlfn._xlws.FILTER('Model output'!D:D,('Model output'!Z:Z=A15)),1)&lt;&gt;"",INDEX(_xlfn._xlws.FILTER('Model output'!D:D,('Model output'!Z:Z=A15)),1),""))-FIND("T",IF(INDEX(_xlfn._xlws.FILTER('Model output'!D:D,('Model output'!Z:Z=A15)),1)&lt;&gt;"",INDEX(_xlfn._xlws.FILTER('Model output'!D:D,('Model output'!Z:Z=A15)),1),""),1))),"",(RIGHT(IF(INDEX(_xlfn._xlws.FILTER('Model output'!D:D,('Model output'!Z:Z=A15)),1)&lt;&gt;"",INDEX(_xlfn._xlws.FILTER('Model output'!D:D,('Model output'!Z:Z=A15)),1),""),LEN(IF(INDEX(_xlfn._xlws.FILTER('Model output'!D:D,('Model output'!Z:Z=A15)),1)&lt;&gt;"",INDEX(_xlfn._xlws.FILTER('Model output'!D:D,('Model output'!Z:Z=A15)),1),""))-FIND("T",IF(INDEX(_xlfn._xlws.FILTER('Model output'!D:D,('Model output'!Z:Z=A15)),1)&lt;&gt;"",INDEX(_xlfn._xlws.FILTER('Model output'!D:D,('Model output'!Z:Z=A15)),1)))))),2)</f>
        <v/>
      </c>
      <c r="G15" s="17" t="str" cm="1">
        <f t="array" ref="G15">IF(ISNUMBER(SEARCH("N",IF(ISNUMBER(SEARCH("present",IF(INDEX(_xlfn._xlws.FILTER('Model output'!E:E,('Model output'!Z:Z=A15)),1)="","",INDEX(_xlfn._xlws.FILTER('Model output'!E:E,('Model output'!Z:Z=A15)),1)),1)),"N1", IF(INDEX(_xlfn._xlws.FILTER('Model output'!E:E,('Model output'!Z:Z=A15)),1)="","",INDEX(_xlfn._xlws.FILTER('Model output'!E:E,('Model output'!Z:Z=A15)),1))),1)),RIGHT(IF(ISNUMBER(SEARCH("present",IF(INDEX(_xlfn._xlws.FILTER('Model output'!E:E,('Model output'!Z:Z=A15)),1)="","",INDEX(_xlfn._xlws.FILTER('Model output'!E:E,('Model output'!Z:Z=A15)),1)),1)),"N1", IF(INDEX(_xlfn._xlws.FILTER('Model output'!E:E,('Model output'!Z:Z=A15)),1)="","",INDEX(_xlfn._xlws.FILTER('Model output'!E:E,('Model output'!Z:Z=A15)),1))),LEN(IF(ISNUMBER(SEARCH("present",IF(INDEX(_xlfn._xlws.FILTER('Model output'!E:E,('Model output'!Z:Z=A15)),1)="","",INDEX(_xlfn._xlws.FILTER('Model output'!E:E,('Model output'!Z:Z=A15)),1)),1)),"N1", IF(INDEX(_xlfn._xlws.FILTER('Model output'!E:E,('Model output'!Z:Z=A15)),1)="","",INDEX(_xlfn._xlws.FILTER('Model output'!E:E,('Model output'!Z:Z=A15)),1))))-FIND("N",IF(ISNUMBER(SEARCH("present",IF(INDEX(_xlfn._xlws.FILTER('Model output'!E:E,('Model output'!Z:Z=A15)),1)="","",INDEX(_xlfn._xlws.FILTER('Model output'!E:E,('Model output'!Z:Z=A15)),1)),1)),"N1", IF(INDEX(_xlfn._xlws.FILTER('Model output'!E:E,('Model output'!Z:Z=A15)),1)="","",INDEX(_xlfn._xlws.FILTER('Model output'!E:E,('Model output'!Z:Z=A15)),1))),1)), "")</f>
        <v>1b</v>
      </c>
      <c r="H15" s="17" cm="1">
        <f t="array" ref="H15">IF(AND(SUBSTITUTE(_xlfn.TEXTJOIN("/", TRUE, _xlfn._xlws.FILTER('Model output'!F:F, 'Model output'!Z:Z=A15)),"M", "")="", K15="negative"),0,IF(K15="positive",1,0))</f>
        <v>0</v>
      </c>
      <c r="I15" t="str">
        <f t="shared" si="0"/>
        <v>positive</v>
      </c>
      <c r="J15" t="str" cm="1">
        <f t="array" ref="J15">IF(AND(M15&gt;0, _xlfn.TEXTJOIN("; ", TRUE, _xlfn._xlws.FILTER('Model output'!G:G, 'Model output'!Z:Z=A15)) &lt;&gt;"", OR(AND(ISNUMBER(SEARCH("level", _xlfn.TEXTJOIN("; ", TRUE, _xlfn._xlws.FILTER('Model output'!G:G, 'Model output'!Z:Z=A15)),1)),OR(ISNUMBER(SEARCH(" II", _xlfn.TEXTJOIN("; ", TRUE, _xlfn._xlws.FILTER('Model output'!G:G, 'Model output'!Z:Z=A15)),1)),ISNUMBER(SEARCH("2", _xlfn.TEXTJOIN("; ", TRUE, _xlfn._xlws.FILTER('Model output'!G:G, 'Model output'!Z:Z=A15)),1)),ISNUMBER(SEARCH("two", _xlfn.TEXTJOIN("; ", TRUE, _xlfn._xlws.FILTER('Model output'!G:G, 'Model output'!Z:Z=A15)),1)),ISNUMBER(SEARCH("III", _xlfn.TEXTJOIN("; ", TRUE, _xlfn._xlws.FILTER('Model output'!G:G, 'Model output'!Z:Z=A15)),1)),ISNUMBER(SEARCH("3", _xlfn.TEXTJOIN("; ", TRUE, _xlfn._xlws.FILTER('Model output'!G:G, 'Model output'!Z:Z=A15)),1)),ISNUMBER(SEARCH("three", _xlfn.TEXTJOIN("; ", TRUE, _xlfn._xlws.FILTER('Model output'!G:G, 'Model output'!Z:Z=A15)),1)),ISNUMBER(SEARCH("IV", _xlfn.TEXTJOIN("; ", TRUE, _xlfn._xlws.FILTER('Model output'!G:G, 'Model output'!Z:Z=A15)),1)),ISNUMBER(SEARCH("4", _xlfn.TEXTJOIN("; ", TRUE, _xlfn._xlws.FILTER('Model output'!G:G, 'Model output'!Z:Z=A15)),1)),ISNUMBER(SEARCH("five", _xlfn.TEXTJOIN("; ", TRUE, _xlfn._xlws.FILTER('Model output'!G:G, 'Model output'!Z:Z=A15)),1)),ISNUMBER(SEARCH("V ", _xlfn.TEXTJOIN("; ", TRUE, _xlfn._xlws.FILTER('Model output'!G:G, 'Model output'!Z:Z=A15)),1)),ISNUMBER(SEARCH("5", _xlfn.TEXTJOIN("; ", TRUE, _xlfn._xlws.FILTER('Model output'!G:G, 'Model output'!Z:Z=A15)),1)),ISNUMBER(SEARCH("five", _xlfn.TEXTJOIN("; ", TRUE, _xlfn._xlws.FILTER('Model output'!G:G, 'Model output'!Z:Z=A15)),1)),ISNUMBER(SEARCH(" lateral", _xlfn.TEXTJOIN("; ", TRUE, _xlfn._xlws.FILTER('Model output'!G:G, 'Model output'!Z:Z=A15)),1)))),ISNUMBER(SEARCH("cervical", _xlfn.TEXTJOIN("; ", TRUE, _xlfn._xlws.FILTER('Model output'!G:G, 'Model output'!Z:Z=A15)),1)),ISNUMBER(SEARCH("jugular", _xlfn.TEXTJOIN("; ", TRUE, _xlfn._xlws.FILTER('Model output'!G:G, 'Model output'!Z:Z=A15)),1)),ISNUMBER(SEARCH("left neck", _xlfn.TEXTJOIN("; ", TRUE, _xlfn._xlws.FILTER('Model output'!G:G, 'Model output'!Z:Z=A15)),1)),ISNUMBER(SEARCH("left anterior neck", _xlfn.TEXTJOIN("; ", TRUE, _xlfn._xlws.FILTER('Model output'!G:G, 'Model output'!Z:Z=A15)),1)),ISNUMBER(SEARCH("left posterior neck", _xlfn.TEXTJOIN("; ", TRUE, _xlfn._xlws.FILTER('Model output'!G:G, 'Model output'!Z:Z=A15)),1)),ISNUMBER(SEARCH("right neck", _xlfn.TEXTJOIN("; ", TRUE, _xlfn._xlws.FILTER('Model output'!G:G, 'Model output'!Z:Z=A15)),1)),ISNUMBER(SEARCH("right anterior neck", _xlfn.TEXTJOIN("; ", TRUE, _xlfn._xlws.FILTER('Model output'!G:G, 'Model output'!Z:Z=A15)),1)),ISNUMBER(SEARCH("right posterior neck", _xlfn.TEXTJOIN("; ", TRUE, _xlfn._xlws.FILTER('Model output'!G:G, 'Model output'!Z:Z=A15)),1)))),"lateral",IF(AND(M15=0, _xlfn.TEXTJOIN("; ", TRUE, _xlfn._xlws.FILTER('Model output'!G:G, 'Model output'!Z:Z=A15))=""),"", "central"))</f>
        <v>lateral</v>
      </c>
      <c r="K15" s="17" t="str" cm="1">
        <f t="array" ref="K15">IF(OR(ISNUMBER(SEARCH("lymph",_xlfn.TEXTJOIN("; ", TRUE, _xlfn._xlws.FILTER('Model output'!H:H, 'Model output'!Z:Z=A15)),1)), ISNUMBER(SEARCH("Not mentioned",_xlfn.TEXTJOIN("; ", TRUE, _xlfn._xlws.FILTER('Model output'!H:H, 'Model output'!Z:Z=A15)),1)),ISNUMBER(SEARCH("thyroid",_xlfn.TEXTJOIN("; ", TRUE, _xlfn._xlws.FILTER('Model output'!H:H, 'Model output'!Z:Z=A15)),1)),ISNUMBER(SEARCH("strap muscle",_xlfn.TEXTJOIN("; ", TRUE, _xlfn._xlws.FILTER('Model output'!H:H, 'Model output'!Z:Z=A15)),1)),ISNUMBER(SEARCH("subcutaneous soft tissues",_xlfn.TEXTJOIN("; ", TRUE, _xlfn._xlws.FILTER('Model output'!H:H, 'Model output'!Z:Z=A15)),1)),ISNUMBER(SEARCH("larynx",_xlfn.TEXTJOIN("; ", TRUE, _xlfn._xlws.FILTER('Model output'!H:H, 'Model output'!Z:Z=A15)),1)),ISNUMBER(SEARCH("trachea",_xlfn.TEXTJOIN("; ", TRUE, _xlfn._xlws.FILTER('Model output'!H:H, 'Model output'!Z:Z=A15)),1)),ISNUMBER(SEARCH("esophagus",_xlfn.TEXTJOIN("; ", TRUE, _xlfn._xlws.FILTER('Model output'!H:H, 'Model output'!Z:Z=A15)),1)),ISNUMBER(SEARCH("recurrent laryngeal nerve",_xlfn.TEXTJOIN("; ", TRUE, _xlfn._xlws.FILTER('Model output'!H:H, 'Model output'!Z:Z=A15)),1)),ISNUMBER(SEARCH("RLN",_xlfn.TEXTJOIN("; ", TRUE, _xlfn._xlws.FILTER('Model output'!H:H, 'Model output'!Z:Z=A15)),1)),_xlfn.TEXTJOIN("; ", TRUE, _xlfn._xlws.FILTER('Model output'!H:H, 'Model output'!Z:Z=A15))=""),"negative","positive")</f>
        <v>negative</v>
      </c>
      <c r="L15" s="17">
        <f>IF(IFERROR(INDEX('Model output'!I:I, MATCH(A15, 'Model output'!Z:Z, 0)), "") &lt; M15, "", IFERROR(INDEX('Model output'!I:I, MATCH(A15, 'Model output'!Z:Z, 0)), ""))</f>
        <v>19</v>
      </c>
      <c r="M15" s="17">
        <f>IFERROR(INDEX('Model output'!J:J, MATCH(A15, 'Model output'!Z:Z, 0)), "")</f>
        <v>2</v>
      </c>
      <c r="N15" s="18" t="str" cm="1">
        <f t="array" ref="N15">ReplaceTo(ReplaceAnd(SUBSTITUTE(SUBSTITUTE(_xlfn.TEXTJOIN("; ", TRUE, _xlfn._xlws.FILTER('Model output'!K:K, 'Model output'!Z:Z=A15)), " ", ""), ",", ";")))</f>
        <v>4x3x2.1cm;4cm</v>
      </c>
      <c r="O15" t="str" cm="1">
        <f t="array" ref="O15">IF(LEFT(IF(RIGHT(SUBSTITUTE(FilterWithUnits(N15)&amp; ";" &amp;FilterStringsWithNumericAnd(N15) &amp; ";" &amp; FilterStringsWithX(N15), ";;", ";"),1)=";",LEFT(SUBSTITUTE(FilterWithUnits(N15)&amp; ";" &amp;FilterStringsWithNumericAnd(N15) &amp; ";" &amp; FilterStringsWithX(N15), ";;", ";"),LEN(SUBSTITUTE(FilterWithUnits(N15)&amp; ";" &amp;FilterStringsWithNumericAnd(N15) &amp; ";" &amp; FilterStringsWithX(N15), ";;", ";"))-1),SUBSTITUTE(FilterWithUnits(N15)&amp; ";" &amp;FilterStringsWithNumericAnd(N15) &amp; ";" &amp; FilterStringsWithX(N15), ";;", ";")),1)=";",RIGHT(IF(RIGHT(SUBSTITUTE(FilterWithUnits(N15)&amp; ";" &amp;FilterStringsWithNumericAnd(N15) &amp; ";" &amp; FilterStringsWithX(N15), ";;", ";"),1)=";",LEFT(SUBSTITUTE(FilterWithUnits(N15)&amp; ";" &amp;FilterStringsWithNumericAnd(N15) &amp; ";" &amp; FilterStringsWithX(N15), ";;", ";"),LEN(SUBSTITUTE(FilterWithUnits(N15)&amp; ";" &amp;FilterStringsWithNumericAnd(N15) &amp; ";" &amp; FilterStringsWithX(N15), ";;", ";"))-1),SUBSTITUTE(FilterWithUnits(N15)&amp; ";" &amp;FilterStringsWithNumericAnd(N15) &amp; ";" &amp; FilterStringsWithX(N15), ";;", ";")),LEN(IF(RIGHT(SUBSTITUTE(FilterWithUnits(N15)&amp; ";" &amp;FilterStringsWithNumericAnd(N15) &amp; ";" &amp; FilterStringsWithX(N15), ";;", ";"),1)=";",LEFT(SUBSTITUTE(FilterWithUnits(N15)&amp; ";" &amp;FilterStringsWithNumericAnd(N15) &amp; ";" &amp; FilterStringsWithX(N15), ";;", ";"),LEN(SUBSTITUTE(FilterWithUnits(N15)&amp; ";" &amp;FilterStringsWithNumericAnd(N15) &amp; ";" &amp; FilterStringsWithX(N15), ";;", ";"))-1),SUBSTITUTE(FilterWithUnits(N15)&amp; ";" &amp;FilterStringsWithNumericAnd(N15) &amp; ";" &amp; FilterStringsWithX(N15), ";;", ";")))-1),IF(RIGHT(SUBSTITUTE(FilterWithUnits(N15)&amp; ";" &amp;FilterStringsWithNumericAnd(N15) &amp; ";" &amp; FilterStringsWithX(N15), ";;", ";"),1)=";",LEFT(SUBSTITUTE(FilterWithUnits(N15)&amp; ";" &amp;FilterStringsWithNumericAnd(N15) &amp; ";" &amp; FilterStringsWithX(N15), ";;", ";"),LEN(SUBSTITUTE(FilterWithUnits(N15)&amp; ";" &amp;FilterStringsWithNumericAnd(N15) &amp; ";" &amp; FilterStringsWithX(N15), ";;", ";"))-1),SUBSTITUTE(FilterWithUnits(N15)&amp; ";" &amp;FilterStringsWithNumericAnd(N15) &amp; ";" &amp; FilterStringsWithX(N15), ";;", ";")))</f>
        <v>4cm;4x3x2.1cm</v>
      </c>
      <c r="P15" cm="1">
        <f t="array" ref="P15">IF(MaxSize((SplitDimensions(O15)))=0, "", MaxSize((SplitDimensions(O15))))</f>
        <v>4</v>
      </c>
      <c r="Q15" t="str" cm="1">
        <f t="array" ref="Q15">IF(ISERROR(INDEX(_xlfn._xlws.FILTER('Model output'!L:L, ('Model output'!Z:Z=A15)*('Model output'!L:L&lt;&gt;"")), 1)), " ", LOWER(INDEX(_xlfn._xlws.FILTER('Model output'!L:L, ('Model output'!Z:Z=A15)*('Model output'!L:L&lt;&gt;"")), 1)))</f>
        <v>papillary carcinoma, classic subtype</v>
      </c>
      <c r="R15" t="str" cm="1">
        <f t="array" ref="R15">IF(ISERROR(INDEX(_xlfn._xlws.FILTER('Model output'!M:M, ('Model output'!Z:Z=A15)*('Model output'!M:M&lt;&gt;"")), 1)), " ", LOWER(INDEX(_xlfn._xlws.FILTER('Model output'!M:M, ('Model output'!Z:Z=A15)*('Model output'!M:M&lt;&gt;"")), 1)))</f>
        <v>not mentioned</v>
      </c>
      <c r="S15" t="str" cm="1">
        <f t="array" ref="S15">IF(OR(ISNUMBER(SEARCH("ly",SUBSTITUTE(INDEX(_xlfn._xlws.FILTER('Model output'!N:N,('Model output'!Z:Z=A15)*('Model output'!N:N&lt;&gt;"")),1)," ",""),1)), ISNUMBER(SEARCH("pole",SUBSTITUTE(INDEX(_xlfn._xlws.FILTER('Model output'!N:N,('Model output'!Z:Z=A15)*('Model output'!N:N&lt;&gt;"")),1)," ",""),1))),"",SUBSTITUTE(INDEX(_xlfn._xlws.FILTER('Model output'!N:N,('Model output'!Z:Z=A15)*('Model output'!N:N&lt;&gt;"")),1)," ",""))</f>
        <v>63mm(macroscopic)</v>
      </c>
      <c r="T15" t="str" cm="1">
        <f t="array" ref="T15">IF(LEFT(IF(RIGHT(SUBSTITUTE(FilterWithUnits(S15)&amp; ";" &amp;FilterStringsWithNumericAnd(S15) &amp; ";" &amp; FilterStringsWithX(S15), ";;", ";"),1)=";",LEFT(SUBSTITUTE(FilterWithUnits(S15)&amp; ";" &amp;FilterStringsWithNumericAnd(S15) &amp; ";" &amp; FilterStringsWithX(S15), ";;", ";"),LEN(SUBSTITUTE(FilterWithUnits(S15)&amp; ";" &amp;FilterStringsWithNumericAnd(S15) &amp; ";" &amp; FilterStringsWithX(S15), ";;", ";"))-1),SUBSTITUTE(FilterWithUnits(S15)&amp; ";" &amp;FilterStringsWithNumericAnd(S15) &amp; ";" &amp; FilterStringsWithX(S15), ";;", ";")),1)=";",RIGHT(IF(RIGHT(SUBSTITUTE(FilterWithUnits(S15)&amp; ";" &amp;FilterStringsWithNumericAnd(S15) &amp; ";" &amp; FilterStringsWithX(S15), ";;", ";"),1)=";",LEFT(SUBSTITUTE(FilterWithUnits(S15)&amp; ";" &amp;FilterStringsWithNumericAnd(S15) &amp; ";" &amp; FilterStringsWithX(S15), ";;", ";"),LEN(SUBSTITUTE(FilterWithUnits(S15)&amp; ";" &amp;FilterStringsWithNumericAnd(S15) &amp; ";" &amp; FilterStringsWithX(S15), ";;", ";"))-1),SUBSTITUTE(FilterWithUnits(S15)&amp; ";" &amp;FilterStringsWithNumericAnd(S15) &amp; ";" &amp; FilterStringsWithX(S15), ";;", ";")),LEN(IF(RIGHT(SUBSTITUTE(FilterWithUnits(S15)&amp; ";" &amp;FilterStringsWithNumericAnd(S15) &amp; ";" &amp; FilterStringsWithX(S15), ";;", ";"),1)=";",LEFT(SUBSTITUTE(FilterWithUnits(S15)&amp; ";" &amp;FilterStringsWithNumericAnd(S15) &amp; ";" &amp; FilterStringsWithX(S15), ";;", ";"),LEN(SUBSTITUTE(FilterWithUnits(S15)&amp; ";" &amp;FilterStringsWithNumericAnd(S15) &amp; ";" &amp; FilterStringsWithX(S15), ";;", ";"))-1),SUBSTITUTE(FilterWithUnits(S15)&amp; ";" &amp;FilterStringsWithNumericAnd(S15) &amp; ";" &amp; FilterStringsWithX(S15), ";;", ";")))-1),IF(RIGHT(SUBSTITUTE(FilterWithUnits(S15)&amp; ";" &amp;FilterStringsWithNumericAnd(S15) &amp; ";" &amp; FilterStringsWithX(S15), ";;", ";"),1)=";",LEFT(SUBSTITUTE(FilterWithUnits(S15)&amp; ";" &amp;FilterStringsWithNumericAnd(S15) &amp; ";" &amp; FilterStringsWithX(S15), ";;", ";"),LEN(SUBSTITUTE(FilterWithUnits(S15)&amp; ";" &amp;FilterStringsWithNumericAnd(S15) &amp; ";" &amp; FilterStringsWithX(S15), ";;", ";"))-1),SUBSTITUTE(FilterWithUnits(S15)&amp; ";" &amp;FilterStringsWithNumericAnd(S15) &amp; ";" &amp; FilterStringsWithX(S15), ";;", ";")))</f>
        <v>63mm</v>
      </c>
      <c r="U15" cm="1">
        <f t="array" ref="U15">IF(MaxSize((SplitDimensions(T15)))=0, "", MaxSize((SplitDimensions(T15))))</f>
        <v>6.3</v>
      </c>
      <c r="V15" s="17" t="str" cm="1">
        <f t="array" ref="V15">IF(ISERROR(INDEX(_xlfn._xlws.FILTER('Model output'!P:P,('Model output'!Z:Z=A15)*('Model output'!P:P&lt;&gt;"")),1)),"negative",IF(OR(ISNUMBER(SEARCH("foc",INDEX(_xlfn._xlws.FILTER('Model output'!P:P,('Model output'!Z:Z=A15)*('Model output'!P:P&lt;&gt;"")),1),1)),ISNUMBER(SEARCH("extensive",INDEX(_xlfn._xlws.FILTER('Model output'!P:P,('Model output'!Z:Z=A15)*('Model output'!P:P&lt;&gt;"")),1),1)),ISNUMBER(SEARCH("present",INDEX(_xlfn._xlws.FILTER('Model output'!P:P,('Model output'!Z:Z=A15)*('Model output'!P:P&lt;&gt;"")),1),1)),ISNUMBER(SEARCH("yes",INDEX(_xlfn._xlws.FILTER('Model output'!P:P,('Model output'!Z:Z=A15)*('Model output'!P:P&lt;&gt;"")),1),1))),"positive","negative"))</f>
        <v>positive</v>
      </c>
      <c r="X15" t="str" cm="1">
        <f t="array" ref="X15">IF(ISNUMBER(SEARCH("4",INDEX(_xlfn._xlws.FILTER('Model output'!P:P,('Model output'!Z:Z=A15)*('Model output'!P:P&lt;&gt;"")),1),1)),INDEX(_xlfn._xlws.FILTER('Model output'!P:P,('Model output'!Z:Z=A15)*('Model output'!P:P&lt;&gt;"")),1),"") &amp; _xlfn.TEXTJOIN("",TRUE,_xlfn._xlws.FILTER('Model output'!Q:Q,'Model output'!Z:Z=A15))</f>
        <v>Extrathyroidal tumour invasion into the surrounding skeletal muscleGross ETE to surrounding muscles, posteriorly adherent to trachea and esophagus at cricoid level</v>
      </c>
      <c r="Y15" t="str">
        <f t="shared" si="11"/>
        <v>minimal</v>
      </c>
      <c r="Z15" t="str" cm="1">
        <f t="array" ref="Z15">IF(OR(ISNUMBER(SEARCH("focal",_xlfn.TEXTJOIN("; ",TRUE,_xlfn._xlws.FILTER('Model output'!R:R,'Model output'!Z:Z=A15)),1)),ISNUMBER(SEARCH("present",_xlfn.TEXTJOIN("; ",TRUE,_xlfn._xlws.FILTER('Model output'!R:R,'Model output'!Z:Z=A15)),1))),"positive",IF(_xlfn.TEXTJOIN("; ",TRUE,_xlfn._xlws.FILTER('Model output'!R:R,'Model output'!Z:Z=A15))="","negative",IF(OR(ISNUMBER(SEARCH("no",_xlfn.TEXTJOIN("; ",TRUE,_xlfn._xlws.FILTER('Model output'!R:R,'Model output'!Z:Z=A15)),1)),ISNUMBER(SEARCH("absent",_xlfn.TEXTJOIN("; ",TRUE,_xlfn._xlws.FILTER('Model output'!R:R,'Model output'!Z:Z=A15)),1))),"negative","positive")))</f>
        <v>positive</v>
      </c>
      <c r="AA15" s="17" t="str">
        <f t="shared" si="1"/>
        <v>positive</v>
      </c>
      <c r="AE15" s="17" t="str">
        <f t="shared" si="12"/>
        <v>positive</v>
      </c>
      <c r="AF15" t="str" cm="1">
        <f t="array" ref="AF15">_xlfn.TEXTJOIN("; ",TRUE,_xlfn._xlws.FILTER('Model output'!S:S,'Model output'!Z:Z=A15))</f>
        <v>gross ETE to surrounding muscles, posteriorly adherent to trachea and esophagus at cricoid level; To surrounding muscles, posteriorly adherent to trachea and esophagus at cricoid level</v>
      </c>
      <c r="AG15" s="17" t="str" cm="1">
        <f t="array" ref="AG15">IF(OR(ISNUMBER(SEARCH("uninvolved",_xlfn.TEXTJOIN("; ",TRUE,_xlfn._xlws.FILTER('Model output'!V:V,'Model output'!Z:Z=A15)),1)),ISNUMBER(SEARCH("clear",_xlfn.TEXTJOIN("; ",TRUE,_xlfn._xlws.FILTER('Model output'!V:V,'Model output'!Z:Z=A15)),1))*ISNUMBER(SEARCH("not mentioned",_xlfn.TEXTJOIN("; ",TRUE,_xlfn._xlws.FILTER('Model output'!V:V,'Model output'!Z:Z=A15)),1))),"negative",IF(ISNUMBER(SEARCH("cannot be assessed",_xlfn.TEXTJOIN("; ",TRUE,_xlfn._xlws.FILTER('Model output'!V:V,'Model output'!Z:Z=A15)),1)),"unknown","negative"))</f>
        <v>negative</v>
      </c>
      <c r="AI15" s="45" t="str">
        <f t="shared" si="13"/>
        <v>high</v>
      </c>
      <c r="AJ15" s="41" t="str">
        <f t="shared" si="14"/>
        <v>4a</v>
      </c>
      <c r="AK15" s="41" t="str">
        <f t="shared" si="3"/>
        <v>1b</v>
      </c>
      <c r="AL15" s="41">
        <f t="shared" si="4"/>
        <v>0</v>
      </c>
      <c r="AM15" s="41" t="str">
        <f t="shared" si="5"/>
        <v>III</v>
      </c>
      <c r="AN15" s="42" t="s">
        <v>165</v>
      </c>
      <c r="AO15" s="43" t="s">
        <v>208</v>
      </c>
      <c r="AP15" s="43" t="s">
        <v>203</v>
      </c>
      <c r="AQ15" s="43">
        <v>0</v>
      </c>
      <c r="AR15" s="43" t="s">
        <v>68</v>
      </c>
      <c r="AS15" s="42">
        <f t="shared" si="6"/>
        <v>1</v>
      </c>
      <c r="AT15" s="43">
        <f t="shared" si="7"/>
        <v>1</v>
      </c>
      <c r="AU15" s="43">
        <f t="shared" si="8"/>
        <v>1</v>
      </c>
      <c r="AV15" s="43">
        <f t="shared" si="9"/>
        <v>1</v>
      </c>
      <c r="AW15" s="44">
        <f t="shared" si="10"/>
        <v>1</v>
      </c>
    </row>
    <row r="16" spans="1:49">
      <c r="A16" s="13">
        <v>14</v>
      </c>
      <c r="B16" s="16">
        <f>_xlfn.MAXIFS('Model output'!B:B,'Model output'!Z:Z,'Classification result'!$A16)</f>
        <v>45630</v>
      </c>
      <c r="C16" s="16"/>
      <c r="D16" s="16"/>
      <c r="E16" s="17">
        <f>_xlfn.MAXIFS('Model output'!C:C,'Model output'!Z:Z,'Classification result'!$A16)</f>
        <v>51</v>
      </c>
      <c r="F16" s="17" t="str" cm="1">
        <f t="array" ref="F16">LEFT(IF(ISERROR(RIGHT(IF(INDEX(_xlfn._xlws.FILTER('Model output'!D:D,('Model output'!Z:Z=A16)),1)&lt;&gt;"",INDEX(_xlfn._xlws.FILTER('Model output'!D:D,('Model output'!Z:Z=A16)),1),""),LEN(IF(INDEX(_xlfn._xlws.FILTER('Model output'!D:D,('Model output'!Z:Z=A16)),1)&lt;&gt;"",INDEX(_xlfn._xlws.FILTER('Model output'!D:D,('Model output'!Z:Z=A16)),1),""))-FIND("T",IF(INDEX(_xlfn._xlws.FILTER('Model output'!D:D,('Model output'!Z:Z=A16)),1)&lt;&gt;"",INDEX(_xlfn._xlws.FILTER('Model output'!D:D,('Model output'!Z:Z=A16)),1),""),1))),"",(RIGHT(IF(INDEX(_xlfn._xlws.FILTER('Model output'!D:D,('Model output'!Z:Z=A16)),1)&lt;&gt;"",INDEX(_xlfn._xlws.FILTER('Model output'!D:D,('Model output'!Z:Z=A16)),1),""),LEN(IF(INDEX(_xlfn._xlws.FILTER('Model output'!D:D,('Model output'!Z:Z=A16)),1)&lt;&gt;"",INDEX(_xlfn._xlws.FILTER('Model output'!D:D,('Model output'!Z:Z=A16)),1),""))-FIND("T",IF(INDEX(_xlfn._xlws.FILTER('Model output'!D:D,('Model output'!Z:Z=A16)),1)&lt;&gt;"",INDEX(_xlfn._xlws.FILTER('Model output'!D:D,('Model output'!Z:Z=A16)),1)))))),2)</f>
        <v>3b</v>
      </c>
      <c r="G16" s="17" t="str" cm="1">
        <f t="array" ref="G16">IF(ISNUMBER(SEARCH("N",IF(ISNUMBER(SEARCH("present",IF(INDEX(_xlfn._xlws.FILTER('Model output'!E:E,('Model output'!Z:Z=A16)),1)="","",INDEX(_xlfn._xlws.FILTER('Model output'!E:E,('Model output'!Z:Z=A16)),1)),1)),"N1", IF(INDEX(_xlfn._xlws.FILTER('Model output'!E:E,('Model output'!Z:Z=A16)),1)="","",INDEX(_xlfn._xlws.FILTER('Model output'!E:E,('Model output'!Z:Z=A16)),1))),1)),RIGHT(IF(ISNUMBER(SEARCH("present",IF(INDEX(_xlfn._xlws.FILTER('Model output'!E:E,('Model output'!Z:Z=A16)),1)="","",INDEX(_xlfn._xlws.FILTER('Model output'!E:E,('Model output'!Z:Z=A16)),1)),1)),"N1", IF(INDEX(_xlfn._xlws.FILTER('Model output'!E:E,('Model output'!Z:Z=A16)),1)="","",INDEX(_xlfn._xlws.FILTER('Model output'!E:E,('Model output'!Z:Z=A16)),1))),LEN(IF(ISNUMBER(SEARCH("present",IF(INDEX(_xlfn._xlws.FILTER('Model output'!E:E,('Model output'!Z:Z=A16)),1)="","",INDEX(_xlfn._xlws.FILTER('Model output'!E:E,('Model output'!Z:Z=A16)),1)),1)),"N1", IF(INDEX(_xlfn._xlws.FILTER('Model output'!E:E,('Model output'!Z:Z=A16)),1)="","",INDEX(_xlfn._xlws.FILTER('Model output'!E:E,('Model output'!Z:Z=A16)),1))))-FIND("N",IF(ISNUMBER(SEARCH("present",IF(INDEX(_xlfn._xlws.FILTER('Model output'!E:E,('Model output'!Z:Z=A16)),1)="","",INDEX(_xlfn._xlws.FILTER('Model output'!E:E,('Model output'!Z:Z=A16)),1)),1)),"N1", IF(INDEX(_xlfn._xlws.FILTER('Model output'!E:E,('Model output'!Z:Z=A16)),1)="","",INDEX(_xlfn._xlws.FILTER('Model output'!E:E,('Model output'!Z:Z=A16)),1))),1)), "")</f>
        <v/>
      </c>
      <c r="H16" s="17" cm="1">
        <f t="array" ref="H16">IF(AND(SUBSTITUTE(_xlfn.TEXTJOIN("/", TRUE, _xlfn._xlws.FILTER('Model output'!F:F, 'Model output'!Z:Z=A16)),"M", "")="", K16="negative"),0,IF(K16="positive",1,0))</f>
        <v>0</v>
      </c>
      <c r="I16" t="str">
        <f t="shared" si="0"/>
        <v>positive</v>
      </c>
      <c r="J16" t="str" cm="1">
        <f t="array" ref="J16">IF(AND(M16&gt;0, _xlfn.TEXTJOIN("; ", TRUE, _xlfn._xlws.FILTER('Model output'!G:G, 'Model output'!Z:Z=A16)) &lt;&gt;"", OR(AND(ISNUMBER(SEARCH("level", _xlfn.TEXTJOIN("; ", TRUE, _xlfn._xlws.FILTER('Model output'!G:G, 'Model output'!Z:Z=A16)),1)),OR(ISNUMBER(SEARCH(" II", _xlfn.TEXTJOIN("; ", TRUE, _xlfn._xlws.FILTER('Model output'!G:G, 'Model output'!Z:Z=A16)),1)),ISNUMBER(SEARCH("2", _xlfn.TEXTJOIN("; ", TRUE, _xlfn._xlws.FILTER('Model output'!G:G, 'Model output'!Z:Z=A16)),1)),ISNUMBER(SEARCH("two", _xlfn.TEXTJOIN("; ", TRUE, _xlfn._xlws.FILTER('Model output'!G:G, 'Model output'!Z:Z=A16)),1)),ISNUMBER(SEARCH("III", _xlfn.TEXTJOIN("; ", TRUE, _xlfn._xlws.FILTER('Model output'!G:G, 'Model output'!Z:Z=A16)),1)),ISNUMBER(SEARCH("3", _xlfn.TEXTJOIN("; ", TRUE, _xlfn._xlws.FILTER('Model output'!G:G, 'Model output'!Z:Z=A16)),1)),ISNUMBER(SEARCH("three", _xlfn.TEXTJOIN("; ", TRUE, _xlfn._xlws.FILTER('Model output'!G:G, 'Model output'!Z:Z=A16)),1)),ISNUMBER(SEARCH("IV", _xlfn.TEXTJOIN("; ", TRUE, _xlfn._xlws.FILTER('Model output'!G:G, 'Model output'!Z:Z=A16)),1)),ISNUMBER(SEARCH("4", _xlfn.TEXTJOIN("; ", TRUE, _xlfn._xlws.FILTER('Model output'!G:G, 'Model output'!Z:Z=A16)),1)),ISNUMBER(SEARCH("five", _xlfn.TEXTJOIN("; ", TRUE, _xlfn._xlws.FILTER('Model output'!G:G, 'Model output'!Z:Z=A16)),1)),ISNUMBER(SEARCH("V ", _xlfn.TEXTJOIN("; ", TRUE, _xlfn._xlws.FILTER('Model output'!G:G, 'Model output'!Z:Z=A16)),1)),ISNUMBER(SEARCH("5", _xlfn.TEXTJOIN("; ", TRUE, _xlfn._xlws.FILTER('Model output'!G:G, 'Model output'!Z:Z=A16)),1)),ISNUMBER(SEARCH("five", _xlfn.TEXTJOIN("; ", TRUE, _xlfn._xlws.FILTER('Model output'!G:G, 'Model output'!Z:Z=A16)),1)),ISNUMBER(SEARCH(" lateral", _xlfn.TEXTJOIN("; ", TRUE, _xlfn._xlws.FILTER('Model output'!G:G, 'Model output'!Z:Z=A16)),1)))),ISNUMBER(SEARCH("cervical", _xlfn.TEXTJOIN("; ", TRUE, _xlfn._xlws.FILTER('Model output'!G:G, 'Model output'!Z:Z=A16)),1)),ISNUMBER(SEARCH("jugular", _xlfn.TEXTJOIN("; ", TRUE, _xlfn._xlws.FILTER('Model output'!G:G, 'Model output'!Z:Z=A16)),1)),ISNUMBER(SEARCH("left neck", _xlfn.TEXTJOIN("; ", TRUE, _xlfn._xlws.FILTER('Model output'!G:G, 'Model output'!Z:Z=A16)),1)),ISNUMBER(SEARCH("left anterior neck", _xlfn.TEXTJOIN("; ", TRUE, _xlfn._xlws.FILTER('Model output'!G:G, 'Model output'!Z:Z=A16)),1)),ISNUMBER(SEARCH("left posterior neck", _xlfn.TEXTJOIN("; ", TRUE, _xlfn._xlws.FILTER('Model output'!G:G, 'Model output'!Z:Z=A16)),1)),ISNUMBER(SEARCH("right neck", _xlfn.TEXTJOIN("; ", TRUE, _xlfn._xlws.FILTER('Model output'!G:G, 'Model output'!Z:Z=A16)),1)),ISNUMBER(SEARCH("right anterior neck", _xlfn.TEXTJOIN("; ", TRUE, _xlfn._xlws.FILTER('Model output'!G:G, 'Model output'!Z:Z=A16)),1)),ISNUMBER(SEARCH("right posterior neck", _xlfn.TEXTJOIN("; ", TRUE, _xlfn._xlws.FILTER('Model output'!G:G, 'Model output'!Z:Z=A16)),1)))),"lateral",IF(AND(M16=0, _xlfn.TEXTJOIN("; ", TRUE, _xlfn._xlws.FILTER('Model output'!G:G, 'Model output'!Z:Z=A16))=""),"", "central"))</f>
        <v>central</v>
      </c>
      <c r="K16" s="17" t="str" cm="1">
        <f t="array" ref="K16">IF(OR(ISNUMBER(SEARCH("lymph",_xlfn.TEXTJOIN("; ", TRUE, _xlfn._xlws.FILTER('Model output'!H:H, 'Model output'!Z:Z=A16)),1)), ISNUMBER(SEARCH("Not mentioned",_xlfn.TEXTJOIN("; ", TRUE, _xlfn._xlws.FILTER('Model output'!H:H, 'Model output'!Z:Z=A16)),1)),ISNUMBER(SEARCH("thyroid",_xlfn.TEXTJOIN("; ", TRUE, _xlfn._xlws.FILTER('Model output'!H:H, 'Model output'!Z:Z=A16)),1)),ISNUMBER(SEARCH("strap muscle",_xlfn.TEXTJOIN("; ", TRUE, _xlfn._xlws.FILTER('Model output'!H:H, 'Model output'!Z:Z=A16)),1)),ISNUMBER(SEARCH("subcutaneous soft tissues",_xlfn.TEXTJOIN("; ", TRUE, _xlfn._xlws.FILTER('Model output'!H:H, 'Model output'!Z:Z=A16)),1)),ISNUMBER(SEARCH("larynx",_xlfn.TEXTJOIN("; ", TRUE, _xlfn._xlws.FILTER('Model output'!H:H, 'Model output'!Z:Z=A16)),1)),ISNUMBER(SEARCH("trachea",_xlfn.TEXTJOIN("; ", TRUE, _xlfn._xlws.FILTER('Model output'!H:H, 'Model output'!Z:Z=A16)),1)),ISNUMBER(SEARCH("esophagus",_xlfn.TEXTJOIN("; ", TRUE, _xlfn._xlws.FILTER('Model output'!H:H, 'Model output'!Z:Z=A16)),1)),ISNUMBER(SEARCH("recurrent laryngeal nerve",_xlfn.TEXTJOIN("; ", TRUE, _xlfn._xlws.FILTER('Model output'!H:H, 'Model output'!Z:Z=A16)),1)),ISNUMBER(SEARCH("RLN",_xlfn.TEXTJOIN("; ", TRUE, _xlfn._xlws.FILTER('Model output'!H:H, 'Model output'!Z:Z=A16)),1)),_xlfn.TEXTJOIN("; ", TRUE, _xlfn._xlws.FILTER('Model output'!H:H, 'Model output'!Z:Z=A16))=""),"negative","positive")</f>
        <v>negative</v>
      </c>
      <c r="L16" s="17">
        <f>IF(IFERROR(INDEX('Model output'!I:I, MATCH(A16, 'Model output'!Z:Z, 0)), "") &lt; M16, "", IFERROR(INDEX('Model output'!I:I, MATCH(A16, 'Model output'!Z:Z, 0)), ""))</f>
        <v>1</v>
      </c>
      <c r="M16" s="17">
        <f>IFERROR(INDEX('Model output'!J:J, MATCH(A16, 'Model output'!Z:Z, 0)), "")</f>
        <v>0</v>
      </c>
      <c r="N16" s="18" t="str" cm="1">
        <f t="array" ref="N16">ReplaceTo(ReplaceAnd(SUBSTITUTE(SUBSTITUTE(_xlfn.TEXTJOIN("; ", TRUE, _xlfn._xlws.FILTER('Model output'!K:K, 'Model output'!Z:Z=A16)), " ", ""), ",", ";")))</f>
        <v>Notmentioned</v>
      </c>
      <c r="O16" t="str" cm="1">
        <f t="array" ref="O16">IF(LEFT(IF(RIGHT(SUBSTITUTE(FilterWithUnits(N16)&amp; ";" &amp;FilterStringsWithNumericAnd(N16) &amp; ";" &amp; FilterStringsWithX(N16), ";;", ";"),1)=";",LEFT(SUBSTITUTE(FilterWithUnits(N16)&amp; ";" &amp;FilterStringsWithNumericAnd(N16) &amp; ";" &amp; FilterStringsWithX(N16), ";;", ";"),LEN(SUBSTITUTE(FilterWithUnits(N16)&amp; ";" &amp;FilterStringsWithNumericAnd(N16) &amp; ";" &amp; FilterStringsWithX(N16), ";;", ";"))-1),SUBSTITUTE(FilterWithUnits(N16)&amp; ";" &amp;FilterStringsWithNumericAnd(N16) &amp; ";" &amp; FilterStringsWithX(N16), ";;", ";")),1)=";",RIGHT(IF(RIGHT(SUBSTITUTE(FilterWithUnits(N16)&amp; ";" &amp;FilterStringsWithNumericAnd(N16) &amp; ";" &amp; FilterStringsWithX(N16), ";;", ";"),1)=";",LEFT(SUBSTITUTE(FilterWithUnits(N16)&amp; ";" &amp;FilterStringsWithNumericAnd(N16) &amp; ";" &amp; FilterStringsWithX(N16), ";;", ";"),LEN(SUBSTITUTE(FilterWithUnits(N16)&amp; ";" &amp;FilterStringsWithNumericAnd(N16) &amp; ";" &amp; FilterStringsWithX(N16), ";;", ";"))-1),SUBSTITUTE(FilterWithUnits(N16)&amp; ";" &amp;FilterStringsWithNumericAnd(N16) &amp; ";" &amp; FilterStringsWithX(N16), ";;", ";")),LEN(IF(RIGHT(SUBSTITUTE(FilterWithUnits(N16)&amp; ";" &amp;FilterStringsWithNumericAnd(N16) &amp; ";" &amp; FilterStringsWithX(N16), ";;", ";"),1)=";",LEFT(SUBSTITUTE(FilterWithUnits(N16)&amp; ";" &amp;FilterStringsWithNumericAnd(N16) &amp; ";" &amp; FilterStringsWithX(N16), ";;", ";"),LEN(SUBSTITUTE(FilterWithUnits(N16)&amp; ";" &amp;FilterStringsWithNumericAnd(N16) &amp; ";" &amp; FilterStringsWithX(N16), ";;", ";"))-1),SUBSTITUTE(FilterWithUnits(N16)&amp; ";" &amp;FilterStringsWithNumericAnd(N16) &amp; ";" &amp; FilterStringsWithX(N16), ";;", ";")))-1),IF(RIGHT(SUBSTITUTE(FilterWithUnits(N16)&amp; ";" &amp;FilterStringsWithNumericAnd(N16) &amp; ";" &amp; FilterStringsWithX(N16), ";;", ";"),1)=";",LEFT(SUBSTITUTE(FilterWithUnits(N16)&amp; ";" &amp;FilterStringsWithNumericAnd(N16) &amp; ";" &amp; FilterStringsWithX(N16), ";;", ";"),LEN(SUBSTITUTE(FilterWithUnits(N16)&amp; ";" &amp;FilterStringsWithNumericAnd(N16) &amp; ";" &amp; FilterStringsWithX(N16), ";;", ";"))-1),SUBSTITUTE(FilterWithUnits(N16)&amp; ";" &amp;FilterStringsWithNumericAnd(N16) &amp; ";" &amp; FilterStringsWithX(N16), ";;", ";")))</f>
        <v/>
      </c>
      <c r="P16" t="str" cm="1">
        <f t="array" ref="P16">IF(MaxSize((SplitDimensions(O16)))=0, "", MaxSize((SplitDimensions(O16))))</f>
        <v/>
      </c>
      <c r="Q16" t="str" cm="1">
        <f t="array" ref="Q16">IF(ISERROR(INDEX(_xlfn._xlws.FILTER('Model output'!L:L, ('Model output'!Z:Z=A16)*('Model output'!L:L&lt;&gt;"")), 1)), " ", LOWER(INDEX(_xlfn._xlws.FILTER('Model output'!L:L, ('Model output'!Z:Z=A16)*('Model output'!L:L&lt;&gt;"")), 1)))</f>
        <v>papillary carcinoma, encapsulated classic subtype</v>
      </c>
      <c r="R16" t="str" cm="1">
        <f t="array" ref="R16">IF(ISERROR(INDEX(_xlfn._xlws.FILTER('Model output'!M:M, ('Model output'!Z:Z=A16)*('Model output'!M:M&lt;&gt;"")), 1)), " ", LOWER(INDEX(_xlfn._xlws.FILTER('Model output'!M:M, ('Model output'!Z:Z=A16)*('Model output'!M:M&lt;&gt;"")), 1)))</f>
        <v>not mentioned</v>
      </c>
      <c r="S16" t="str" cm="1">
        <f t="array" ref="S16">IF(OR(ISNUMBER(SEARCH("ly",SUBSTITUTE(INDEX(_xlfn._xlws.FILTER('Model output'!N:N,('Model output'!Z:Z=A16)*('Model output'!N:N&lt;&gt;"")),1)," ",""),1)), ISNUMBER(SEARCH("pole",SUBSTITUTE(INDEX(_xlfn._xlws.FILTER('Model output'!N:N,('Model output'!Z:Z=A16)*('Model output'!N:N&lt;&gt;"")),1)," ",""),1))),"",SUBSTITUTE(INDEX(_xlfn._xlws.FILTER('Model output'!N:N,('Model output'!Z:Z=A16)*('Model output'!N:N&lt;&gt;"")),1)," ",""))</f>
        <v>3.9cm</v>
      </c>
      <c r="T16" t="str" cm="1">
        <f t="array" ref="T16">IF(LEFT(IF(RIGHT(SUBSTITUTE(FilterWithUnits(S16)&amp; ";" &amp;FilterStringsWithNumericAnd(S16) &amp; ";" &amp; FilterStringsWithX(S16), ";;", ";"),1)=";",LEFT(SUBSTITUTE(FilterWithUnits(S16)&amp; ";" &amp;FilterStringsWithNumericAnd(S16) &amp; ";" &amp; FilterStringsWithX(S16), ";;", ";"),LEN(SUBSTITUTE(FilterWithUnits(S16)&amp; ";" &amp;FilterStringsWithNumericAnd(S16) &amp; ";" &amp; FilterStringsWithX(S16), ";;", ";"))-1),SUBSTITUTE(FilterWithUnits(S16)&amp; ";" &amp;FilterStringsWithNumericAnd(S16) &amp; ";" &amp; FilterStringsWithX(S16), ";;", ";")),1)=";",RIGHT(IF(RIGHT(SUBSTITUTE(FilterWithUnits(S16)&amp; ";" &amp;FilterStringsWithNumericAnd(S16) &amp; ";" &amp; FilterStringsWithX(S16), ";;", ";"),1)=";",LEFT(SUBSTITUTE(FilterWithUnits(S16)&amp; ";" &amp;FilterStringsWithNumericAnd(S16) &amp; ";" &amp; FilterStringsWithX(S16), ";;", ";"),LEN(SUBSTITUTE(FilterWithUnits(S16)&amp; ";" &amp;FilterStringsWithNumericAnd(S16) &amp; ";" &amp; FilterStringsWithX(S16), ";;", ";"))-1),SUBSTITUTE(FilterWithUnits(S16)&amp; ";" &amp;FilterStringsWithNumericAnd(S16) &amp; ";" &amp; FilterStringsWithX(S16), ";;", ";")),LEN(IF(RIGHT(SUBSTITUTE(FilterWithUnits(S16)&amp; ";" &amp;FilterStringsWithNumericAnd(S16) &amp; ";" &amp; FilterStringsWithX(S16), ";;", ";"),1)=";",LEFT(SUBSTITUTE(FilterWithUnits(S16)&amp; ";" &amp;FilterStringsWithNumericAnd(S16) &amp; ";" &amp; FilterStringsWithX(S16), ";;", ";"),LEN(SUBSTITUTE(FilterWithUnits(S16)&amp; ";" &amp;FilterStringsWithNumericAnd(S16) &amp; ";" &amp; FilterStringsWithX(S16), ";;", ";"))-1),SUBSTITUTE(FilterWithUnits(S16)&amp; ";" &amp;FilterStringsWithNumericAnd(S16) &amp; ";" &amp; FilterStringsWithX(S16), ";;", ";")))-1),IF(RIGHT(SUBSTITUTE(FilterWithUnits(S16)&amp; ";" &amp;FilterStringsWithNumericAnd(S16) &amp; ";" &amp; FilterStringsWithX(S16), ";;", ";"),1)=";",LEFT(SUBSTITUTE(FilterWithUnits(S16)&amp; ";" &amp;FilterStringsWithNumericAnd(S16) &amp; ";" &amp; FilterStringsWithX(S16), ";;", ";"),LEN(SUBSTITUTE(FilterWithUnits(S16)&amp; ";" &amp;FilterStringsWithNumericAnd(S16) &amp; ";" &amp; FilterStringsWithX(S16), ";;", ";"))-1),SUBSTITUTE(FilterWithUnits(S16)&amp; ";" &amp;FilterStringsWithNumericAnd(S16) &amp; ";" &amp; FilterStringsWithX(S16), ";;", ";")))</f>
        <v>3.9cm</v>
      </c>
      <c r="U16" cm="1">
        <f t="array" ref="U16">IF(MaxSize((SplitDimensions(T16)))=0, "", MaxSize((SplitDimensions(T16))))</f>
        <v>3.9</v>
      </c>
      <c r="V16" s="17" t="str" cm="1">
        <f t="array" ref="V16">IF(ISERROR(INDEX(_xlfn._xlws.FILTER('Model output'!P:P,('Model output'!Z:Z=A16)*('Model output'!P:P&lt;&gt;"")),1)),"negative",IF(OR(ISNUMBER(SEARCH("foc",INDEX(_xlfn._xlws.FILTER('Model output'!P:P,('Model output'!Z:Z=A16)*('Model output'!P:P&lt;&gt;"")),1),1)),ISNUMBER(SEARCH("extensive",INDEX(_xlfn._xlws.FILTER('Model output'!P:P,('Model output'!Z:Z=A16)*('Model output'!P:P&lt;&gt;"")),1),1)),ISNUMBER(SEARCH("present",INDEX(_xlfn._xlws.FILTER('Model output'!P:P,('Model output'!Z:Z=A16)*('Model output'!P:P&lt;&gt;"")),1),1)),ISNUMBER(SEARCH("yes",INDEX(_xlfn._xlws.FILTER('Model output'!P:P,('Model output'!Z:Z=A16)*('Model output'!P:P&lt;&gt;"")),1),1))),"positive","negative"))</f>
        <v>positive</v>
      </c>
      <c r="X16" t="str" cm="1">
        <f t="array" ref="X16">IF(ISNUMBER(SEARCH("4",INDEX(_xlfn._xlws.FILTER('Model output'!P:P,('Model output'!Z:Z=A16)*('Model output'!P:P&lt;&gt;"")),1),1)),INDEX(_xlfn._xlws.FILTER('Model output'!P:P,('Model output'!Z:Z=A16)*('Model output'!P:P&lt;&gt;"")),1),"") &amp; _xlfn.TEXTJOIN("",TRUE,_xlfn._xlws.FILTER('Model output'!Q:Q,'Model output'!Z:Z=A16))</f>
        <v>Invading only strap muscles (sterohyoid, sternothyroid, thyrohyoid, or omohyoid muscles)Gross ETE at upper pole</v>
      </c>
      <c r="Y16" t="str">
        <f t="shared" si="11"/>
        <v>minimal</v>
      </c>
      <c r="Z16" t="str" cm="1">
        <f t="array" ref="Z16">IF(OR(ISNUMBER(SEARCH("focal",_xlfn.TEXTJOIN("; ",TRUE,_xlfn._xlws.FILTER('Model output'!R:R,'Model output'!Z:Z=A16)),1)),ISNUMBER(SEARCH("present",_xlfn.TEXTJOIN("; ",TRUE,_xlfn._xlws.FILTER('Model output'!R:R,'Model output'!Z:Z=A16)),1))),"positive",IF(_xlfn.TEXTJOIN("; ",TRUE,_xlfn._xlws.FILTER('Model output'!R:R,'Model output'!Z:Z=A16))="","negative",IF(OR(ISNUMBER(SEARCH("no",_xlfn.TEXTJOIN("; ",TRUE,_xlfn._xlws.FILTER('Model output'!R:R,'Model output'!Z:Z=A16)),1)),ISNUMBER(SEARCH("absent",_xlfn.TEXTJOIN("; ",TRUE,_xlfn._xlws.FILTER('Model output'!R:R,'Model output'!Z:Z=A16)),1))),"negative","positive")))</f>
        <v>positive</v>
      </c>
      <c r="AA16" s="17" t="str">
        <f t="shared" si="1"/>
        <v>positive</v>
      </c>
      <c r="AE16" s="17" t="str">
        <f t="shared" si="12"/>
        <v>negative</v>
      </c>
      <c r="AF16" t="str" cm="1">
        <f t="array" ref="AF16">_xlfn.TEXTJOIN("; ",TRUE,_xlfn._xlws.FILTER('Model output'!S:S,'Model output'!Z:Z=A16))</f>
        <v>Yes, perithyroidal fibradipose tissue; Perithyroidal fibradipose tissue (due to tumor infiltration of tubercle)</v>
      </c>
      <c r="AG16" s="17" t="str" cm="1">
        <f t="array" ref="AG16">IF(OR(ISNUMBER(SEARCH("uninvolved",_xlfn.TEXTJOIN("; ",TRUE,_xlfn._xlws.FILTER('Model output'!V:V,'Model output'!Z:Z=A16)),1)),ISNUMBER(SEARCH("clear",_xlfn.TEXTJOIN("; ",TRUE,_xlfn._xlws.FILTER('Model output'!V:V,'Model output'!Z:Z=A16)),1))*ISNUMBER(SEARCH("not mentioned",_xlfn.TEXTJOIN("; ",TRUE,_xlfn._xlws.FILTER('Model output'!V:V,'Model output'!Z:Z=A16)),1))),"negative",IF(ISNUMBER(SEARCH("cannot be assessed",_xlfn.TEXTJOIN("; ",TRUE,_xlfn._xlws.FILTER('Model output'!V:V,'Model output'!Z:Z=A16)),1)),"unknown","negative"))</f>
        <v>negative</v>
      </c>
      <c r="AI16" s="45" t="str">
        <f t="shared" si="13"/>
        <v>intermediate</v>
      </c>
      <c r="AJ16" s="41" t="str">
        <f t="shared" si="14"/>
        <v>3b</v>
      </c>
      <c r="AK16" s="41">
        <f t="shared" si="3"/>
        <v>0</v>
      </c>
      <c r="AL16" s="41">
        <f t="shared" si="4"/>
        <v>0</v>
      </c>
      <c r="AM16" s="41" t="str">
        <f t="shared" si="5"/>
        <v>I</v>
      </c>
      <c r="AN16" s="42" t="s">
        <v>165</v>
      </c>
      <c r="AO16" s="43" t="s">
        <v>206</v>
      </c>
      <c r="AP16" s="43" t="s">
        <v>204</v>
      </c>
      <c r="AQ16" s="43">
        <v>0</v>
      </c>
      <c r="AR16" s="43" t="s">
        <v>31</v>
      </c>
      <c r="AS16" s="42">
        <f t="shared" si="6"/>
        <v>0</v>
      </c>
      <c r="AT16" s="43">
        <f t="shared" si="7"/>
        <v>1</v>
      </c>
      <c r="AU16" s="43">
        <f t="shared" si="8"/>
        <v>1</v>
      </c>
      <c r="AV16" s="43">
        <f t="shared" si="9"/>
        <v>1</v>
      </c>
      <c r="AW16" s="44">
        <f t="shared" si="10"/>
        <v>1</v>
      </c>
    </row>
    <row r="17" spans="1:49">
      <c r="A17" s="13">
        <v>15</v>
      </c>
      <c r="B17" s="16">
        <f>_xlfn.MAXIFS('Model output'!B:B,'Model output'!Z:Z,'Classification result'!$A17)</f>
        <v>0</v>
      </c>
      <c r="C17" s="16"/>
      <c r="D17" s="16"/>
      <c r="E17" s="17">
        <f>_xlfn.MAXIFS('Model output'!C:C,'Model output'!Z:Z,'Classification result'!$A17)</f>
        <v>64</v>
      </c>
      <c r="F17" s="17" t="str" cm="1">
        <f t="array" ref="F17">LEFT(IF(ISERROR(RIGHT(IF(INDEX(_xlfn._xlws.FILTER('Model output'!D:D,('Model output'!Z:Z=A17)),1)&lt;&gt;"",INDEX(_xlfn._xlws.FILTER('Model output'!D:D,('Model output'!Z:Z=A17)),1),""),LEN(IF(INDEX(_xlfn._xlws.FILTER('Model output'!D:D,('Model output'!Z:Z=A17)),1)&lt;&gt;"",INDEX(_xlfn._xlws.FILTER('Model output'!D:D,('Model output'!Z:Z=A17)),1),""))-FIND("T",IF(INDEX(_xlfn._xlws.FILTER('Model output'!D:D,('Model output'!Z:Z=A17)),1)&lt;&gt;"",INDEX(_xlfn._xlws.FILTER('Model output'!D:D,('Model output'!Z:Z=A17)),1),""),1))),"",(RIGHT(IF(INDEX(_xlfn._xlws.FILTER('Model output'!D:D,('Model output'!Z:Z=A17)),1)&lt;&gt;"",INDEX(_xlfn._xlws.FILTER('Model output'!D:D,('Model output'!Z:Z=A17)),1),""),LEN(IF(INDEX(_xlfn._xlws.FILTER('Model output'!D:D,('Model output'!Z:Z=A17)),1)&lt;&gt;"",INDEX(_xlfn._xlws.FILTER('Model output'!D:D,('Model output'!Z:Z=A17)),1),""))-FIND("T",IF(INDEX(_xlfn._xlws.FILTER('Model output'!D:D,('Model output'!Z:Z=A17)),1)&lt;&gt;"",INDEX(_xlfn._xlws.FILTER('Model output'!D:D,('Model output'!Z:Z=A17)),1)))))),2)</f>
        <v/>
      </c>
      <c r="G17" s="17" t="str" cm="1">
        <f t="array" ref="G17">IF(ISNUMBER(SEARCH("N",IF(ISNUMBER(SEARCH("present",IF(INDEX(_xlfn._xlws.FILTER('Model output'!E:E,('Model output'!Z:Z=A17)),1)="","",INDEX(_xlfn._xlws.FILTER('Model output'!E:E,('Model output'!Z:Z=A17)),1)),1)),"N1", IF(INDEX(_xlfn._xlws.FILTER('Model output'!E:E,('Model output'!Z:Z=A17)),1)="","",INDEX(_xlfn._xlws.FILTER('Model output'!E:E,('Model output'!Z:Z=A17)),1))),1)),RIGHT(IF(ISNUMBER(SEARCH("present",IF(INDEX(_xlfn._xlws.FILTER('Model output'!E:E,('Model output'!Z:Z=A17)),1)="","",INDEX(_xlfn._xlws.FILTER('Model output'!E:E,('Model output'!Z:Z=A17)),1)),1)),"N1", IF(INDEX(_xlfn._xlws.FILTER('Model output'!E:E,('Model output'!Z:Z=A17)),1)="","",INDEX(_xlfn._xlws.FILTER('Model output'!E:E,('Model output'!Z:Z=A17)),1))),LEN(IF(ISNUMBER(SEARCH("present",IF(INDEX(_xlfn._xlws.FILTER('Model output'!E:E,('Model output'!Z:Z=A17)),1)="","",INDEX(_xlfn._xlws.FILTER('Model output'!E:E,('Model output'!Z:Z=A17)),1)),1)),"N1", IF(INDEX(_xlfn._xlws.FILTER('Model output'!E:E,('Model output'!Z:Z=A17)),1)="","",INDEX(_xlfn._xlws.FILTER('Model output'!E:E,('Model output'!Z:Z=A17)),1))))-FIND("N",IF(ISNUMBER(SEARCH("present",IF(INDEX(_xlfn._xlws.FILTER('Model output'!E:E,('Model output'!Z:Z=A17)),1)="","",INDEX(_xlfn._xlws.FILTER('Model output'!E:E,('Model output'!Z:Z=A17)),1)),1)),"N1", IF(INDEX(_xlfn._xlws.FILTER('Model output'!E:E,('Model output'!Z:Z=A17)),1)="","",INDEX(_xlfn._xlws.FILTER('Model output'!E:E,('Model output'!Z:Z=A17)),1))),1)), "")</f>
        <v/>
      </c>
      <c r="H17" s="17" cm="1">
        <f t="array" ref="H17">IF(AND(SUBSTITUTE(_xlfn.TEXTJOIN("/", TRUE, _xlfn._xlws.FILTER('Model output'!F:F, 'Model output'!Z:Z=A17)),"M", "")="", K17="negative"),0,IF(K17="positive",1,0))</f>
        <v>0</v>
      </c>
      <c r="I17" t="str">
        <f t="shared" si="0"/>
        <v>positive</v>
      </c>
      <c r="J17" t="str" cm="1">
        <f t="array" ref="J17">IF(AND(M17&gt;0, _xlfn.TEXTJOIN("; ", TRUE, _xlfn._xlws.FILTER('Model output'!G:G, 'Model output'!Z:Z=A17)) &lt;&gt;"", OR(AND(ISNUMBER(SEARCH("level", _xlfn.TEXTJOIN("; ", TRUE, _xlfn._xlws.FILTER('Model output'!G:G, 'Model output'!Z:Z=A17)),1)),OR(ISNUMBER(SEARCH(" II", _xlfn.TEXTJOIN("; ", TRUE, _xlfn._xlws.FILTER('Model output'!G:G, 'Model output'!Z:Z=A17)),1)),ISNUMBER(SEARCH("2", _xlfn.TEXTJOIN("; ", TRUE, _xlfn._xlws.FILTER('Model output'!G:G, 'Model output'!Z:Z=A17)),1)),ISNUMBER(SEARCH("two", _xlfn.TEXTJOIN("; ", TRUE, _xlfn._xlws.FILTER('Model output'!G:G, 'Model output'!Z:Z=A17)),1)),ISNUMBER(SEARCH("III", _xlfn.TEXTJOIN("; ", TRUE, _xlfn._xlws.FILTER('Model output'!G:G, 'Model output'!Z:Z=A17)),1)),ISNUMBER(SEARCH("3", _xlfn.TEXTJOIN("; ", TRUE, _xlfn._xlws.FILTER('Model output'!G:G, 'Model output'!Z:Z=A17)),1)),ISNUMBER(SEARCH("three", _xlfn.TEXTJOIN("; ", TRUE, _xlfn._xlws.FILTER('Model output'!G:G, 'Model output'!Z:Z=A17)),1)),ISNUMBER(SEARCH("IV", _xlfn.TEXTJOIN("; ", TRUE, _xlfn._xlws.FILTER('Model output'!G:G, 'Model output'!Z:Z=A17)),1)),ISNUMBER(SEARCH("4", _xlfn.TEXTJOIN("; ", TRUE, _xlfn._xlws.FILTER('Model output'!G:G, 'Model output'!Z:Z=A17)),1)),ISNUMBER(SEARCH("five", _xlfn.TEXTJOIN("; ", TRUE, _xlfn._xlws.FILTER('Model output'!G:G, 'Model output'!Z:Z=A17)),1)),ISNUMBER(SEARCH("V ", _xlfn.TEXTJOIN("; ", TRUE, _xlfn._xlws.FILTER('Model output'!G:G, 'Model output'!Z:Z=A17)),1)),ISNUMBER(SEARCH("5", _xlfn.TEXTJOIN("; ", TRUE, _xlfn._xlws.FILTER('Model output'!G:G, 'Model output'!Z:Z=A17)),1)),ISNUMBER(SEARCH("five", _xlfn.TEXTJOIN("; ", TRUE, _xlfn._xlws.FILTER('Model output'!G:G, 'Model output'!Z:Z=A17)),1)),ISNUMBER(SEARCH(" lateral", _xlfn.TEXTJOIN("; ", TRUE, _xlfn._xlws.FILTER('Model output'!G:G, 'Model output'!Z:Z=A17)),1)))),ISNUMBER(SEARCH("cervical", _xlfn.TEXTJOIN("; ", TRUE, _xlfn._xlws.FILTER('Model output'!G:G, 'Model output'!Z:Z=A17)),1)),ISNUMBER(SEARCH("jugular", _xlfn.TEXTJOIN("; ", TRUE, _xlfn._xlws.FILTER('Model output'!G:G, 'Model output'!Z:Z=A17)),1)),ISNUMBER(SEARCH("left neck", _xlfn.TEXTJOIN("; ", TRUE, _xlfn._xlws.FILTER('Model output'!G:G, 'Model output'!Z:Z=A17)),1)),ISNUMBER(SEARCH("left anterior neck", _xlfn.TEXTJOIN("; ", TRUE, _xlfn._xlws.FILTER('Model output'!G:G, 'Model output'!Z:Z=A17)),1)),ISNUMBER(SEARCH("left posterior neck", _xlfn.TEXTJOIN("; ", TRUE, _xlfn._xlws.FILTER('Model output'!G:G, 'Model output'!Z:Z=A17)),1)),ISNUMBER(SEARCH("right neck", _xlfn.TEXTJOIN("; ", TRUE, _xlfn._xlws.FILTER('Model output'!G:G, 'Model output'!Z:Z=A17)),1)),ISNUMBER(SEARCH("right anterior neck", _xlfn.TEXTJOIN("; ", TRUE, _xlfn._xlws.FILTER('Model output'!G:G, 'Model output'!Z:Z=A17)),1)),ISNUMBER(SEARCH("right posterior neck", _xlfn.TEXTJOIN("; ", TRUE, _xlfn._xlws.FILTER('Model output'!G:G, 'Model output'!Z:Z=A17)),1)))),"lateral",IF(AND(M17=0, _xlfn.TEXTJOIN("; ", TRUE, _xlfn._xlws.FILTER('Model output'!G:G, 'Model output'!Z:Z=A17))=""),"", "central"))</f>
        <v>central</v>
      </c>
      <c r="K17" s="17" t="str" cm="1">
        <f t="array" ref="K17">IF(OR(ISNUMBER(SEARCH("lymph",_xlfn.TEXTJOIN("; ", TRUE, _xlfn._xlws.FILTER('Model output'!H:H, 'Model output'!Z:Z=A17)),1)), ISNUMBER(SEARCH("Not mentioned",_xlfn.TEXTJOIN("; ", TRUE, _xlfn._xlws.FILTER('Model output'!H:H, 'Model output'!Z:Z=A17)),1)),ISNUMBER(SEARCH("thyroid",_xlfn.TEXTJOIN("; ", TRUE, _xlfn._xlws.FILTER('Model output'!H:H, 'Model output'!Z:Z=A17)),1)),ISNUMBER(SEARCH("strap muscle",_xlfn.TEXTJOIN("; ", TRUE, _xlfn._xlws.FILTER('Model output'!H:H, 'Model output'!Z:Z=A17)),1)),ISNUMBER(SEARCH("subcutaneous soft tissues",_xlfn.TEXTJOIN("; ", TRUE, _xlfn._xlws.FILTER('Model output'!H:H, 'Model output'!Z:Z=A17)),1)),ISNUMBER(SEARCH("larynx",_xlfn.TEXTJOIN("; ", TRUE, _xlfn._xlws.FILTER('Model output'!H:H, 'Model output'!Z:Z=A17)),1)),ISNUMBER(SEARCH("trachea",_xlfn.TEXTJOIN("; ", TRUE, _xlfn._xlws.FILTER('Model output'!H:H, 'Model output'!Z:Z=A17)),1)),ISNUMBER(SEARCH("esophagus",_xlfn.TEXTJOIN("; ", TRUE, _xlfn._xlws.FILTER('Model output'!H:H, 'Model output'!Z:Z=A17)),1)),ISNUMBER(SEARCH("recurrent laryngeal nerve",_xlfn.TEXTJOIN("; ", TRUE, _xlfn._xlws.FILTER('Model output'!H:H, 'Model output'!Z:Z=A17)),1)),ISNUMBER(SEARCH("RLN",_xlfn.TEXTJOIN("; ", TRUE, _xlfn._xlws.FILTER('Model output'!H:H, 'Model output'!Z:Z=A17)),1)),_xlfn.TEXTJOIN("; ", TRUE, _xlfn._xlws.FILTER('Model output'!H:H, 'Model output'!Z:Z=A17))=""),"negative","positive")</f>
        <v>negative</v>
      </c>
      <c r="L17" s="17" t="str">
        <f>IF(IFERROR(INDEX('Model output'!I:I, MATCH(A17, 'Model output'!Z:Z, 0)), "") &lt; M17, "", IFERROR(INDEX('Model output'!I:I, MATCH(A17, 'Model output'!Z:Z, 0)), ""))</f>
        <v/>
      </c>
      <c r="M17" s="17" t="str">
        <f>IFERROR(INDEX('Model output'!J:J, MATCH(A17, 'Model output'!Z:Z, 0)), "")</f>
        <v>3/7</v>
      </c>
      <c r="N17" s="18" t="str" cm="1">
        <f t="array" ref="N17">ReplaceTo(ReplaceAnd(SUBSTITUTE(SUBSTITUTE(_xlfn.TEXTJOIN("; ", TRUE, _xlfn._xlws.FILTER('Model output'!K:K, 'Model output'!Z:Z=A17)), " ", ""), ",", ";")))</f>
        <v/>
      </c>
      <c r="O17" t="str" cm="1">
        <f t="array" ref="O17">IF(LEFT(IF(RIGHT(SUBSTITUTE(FilterWithUnits(N17)&amp; ";" &amp;FilterStringsWithNumericAnd(N17) &amp; ";" &amp; FilterStringsWithX(N17), ";;", ";"),1)=";",LEFT(SUBSTITUTE(FilterWithUnits(N17)&amp; ";" &amp;FilterStringsWithNumericAnd(N17) &amp; ";" &amp; FilterStringsWithX(N17), ";;", ";"),LEN(SUBSTITUTE(FilterWithUnits(N17)&amp; ";" &amp;FilterStringsWithNumericAnd(N17) &amp; ";" &amp; FilterStringsWithX(N17), ";;", ";"))-1),SUBSTITUTE(FilterWithUnits(N17)&amp; ";" &amp;FilterStringsWithNumericAnd(N17) &amp; ";" &amp; FilterStringsWithX(N17), ";;", ";")),1)=";",RIGHT(IF(RIGHT(SUBSTITUTE(FilterWithUnits(N17)&amp; ";" &amp;FilterStringsWithNumericAnd(N17) &amp; ";" &amp; FilterStringsWithX(N17), ";;", ";"),1)=";",LEFT(SUBSTITUTE(FilterWithUnits(N17)&amp; ";" &amp;FilterStringsWithNumericAnd(N17) &amp; ";" &amp; FilterStringsWithX(N17), ";;", ";"),LEN(SUBSTITUTE(FilterWithUnits(N17)&amp; ";" &amp;FilterStringsWithNumericAnd(N17) &amp; ";" &amp; FilterStringsWithX(N17), ";;", ";"))-1),SUBSTITUTE(FilterWithUnits(N17)&amp; ";" &amp;FilterStringsWithNumericAnd(N17) &amp; ";" &amp; FilterStringsWithX(N17), ";;", ";")),LEN(IF(RIGHT(SUBSTITUTE(FilterWithUnits(N17)&amp; ";" &amp;FilterStringsWithNumericAnd(N17) &amp; ";" &amp; FilterStringsWithX(N17), ";;", ";"),1)=";",LEFT(SUBSTITUTE(FilterWithUnits(N17)&amp; ";" &amp;FilterStringsWithNumericAnd(N17) &amp; ";" &amp; FilterStringsWithX(N17), ";;", ";"),LEN(SUBSTITUTE(FilterWithUnits(N17)&amp; ";" &amp;FilterStringsWithNumericAnd(N17) &amp; ";" &amp; FilterStringsWithX(N17), ";;", ";"))-1),SUBSTITUTE(FilterWithUnits(N17)&amp; ";" &amp;FilterStringsWithNumericAnd(N17) &amp; ";" &amp; FilterStringsWithX(N17), ";;", ";")))-1),IF(RIGHT(SUBSTITUTE(FilterWithUnits(N17)&amp; ";" &amp;FilterStringsWithNumericAnd(N17) &amp; ";" &amp; FilterStringsWithX(N17), ";;", ";"),1)=";",LEFT(SUBSTITUTE(FilterWithUnits(N17)&amp; ";" &amp;FilterStringsWithNumericAnd(N17) &amp; ";" &amp; FilterStringsWithX(N17), ";;", ";"),LEN(SUBSTITUTE(FilterWithUnits(N17)&amp; ";" &amp;FilterStringsWithNumericAnd(N17) &amp; ";" &amp; FilterStringsWithX(N17), ";;", ";"))-1),SUBSTITUTE(FilterWithUnits(N17)&amp; ";" &amp;FilterStringsWithNumericAnd(N17) &amp; ";" &amp; FilterStringsWithX(N17), ";;", ";")))</f>
        <v/>
      </c>
      <c r="P17" t="str" cm="1">
        <f t="array" ref="P17">IF(MaxSize((SplitDimensions(O17)))=0, "", MaxSize((SplitDimensions(O17))))</f>
        <v/>
      </c>
      <c r="Q17" t="str" cm="1">
        <f t="array" ref="Q17">IF(ISERROR(INDEX(_xlfn._xlws.FILTER('Model output'!L:L, ('Model output'!Z:Z=A17)*('Model output'!L:L&lt;&gt;"")), 1)), " ", LOWER(INDEX(_xlfn._xlws.FILTER('Model output'!L:L, ('Model output'!Z:Z=A17)*('Model output'!L:L&lt;&gt;"")), 1)))</f>
        <v>non-invasive follicular thyroid neoplasm</v>
      </c>
      <c r="R17" t="str" cm="1">
        <f t="array" ref="R17">IF(ISERROR(INDEX(_xlfn._xlws.FILTER('Model output'!M:M, ('Model output'!Z:Z=A17)*('Model output'!M:M&lt;&gt;"")), 1)), " ", LOWER(INDEX(_xlfn._xlws.FILTER('Model output'!M:M, ('Model output'!Z:Z=A17)*('Model output'!M:M&lt;&gt;"")), 1)))</f>
        <v>with papillary like nuclear features</v>
      </c>
      <c r="S17" t="str" cm="1">
        <f t="array" ref="S17">IF(OR(ISNUMBER(SEARCH("ly",SUBSTITUTE(INDEX(_xlfn._xlws.FILTER('Model output'!N:N,('Model output'!Z:Z=A17)*('Model output'!N:N&lt;&gt;"")),1)," ",""),1)), ISNUMBER(SEARCH("pole",SUBSTITUTE(INDEX(_xlfn._xlws.FILTER('Model output'!N:N,('Model output'!Z:Z=A17)*('Model output'!N:N&lt;&gt;"")),1)," ",""),1))),"",SUBSTITUTE(INDEX(_xlfn._xlws.FILTER('Model output'!N:N,('Model output'!Z:Z=A17)*('Model output'!N:N&lt;&gt;"")),1)," ",""))</f>
        <v>40x20x20mm(leftthyroidlobe)and50x15x5mm(isthmusandpyramidallobe)</v>
      </c>
      <c r="T17" t="str" cm="1">
        <f t="array" ref="T17">IF(LEFT(IF(RIGHT(SUBSTITUTE(FilterWithUnits(S17)&amp; ";" &amp;FilterStringsWithNumericAnd(S17) &amp; ";" &amp; FilterStringsWithX(S17), ";;", ";"),1)=";",LEFT(SUBSTITUTE(FilterWithUnits(S17)&amp; ";" &amp;FilterStringsWithNumericAnd(S17) &amp; ";" &amp; FilterStringsWithX(S17), ";;", ";"),LEN(SUBSTITUTE(FilterWithUnits(S17)&amp; ";" &amp;FilterStringsWithNumericAnd(S17) &amp; ";" &amp; FilterStringsWithX(S17), ";;", ";"))-1),SUBSTITUTE(FilterWithUnits(S17)&amp; ";" &amp;FilterStringsWithNumericAnd(S17) &amp; ";" &amp; FilterStringsWithX(S17), ";;", ";")),1)=";",RIGHT(IF(RIGHT(SUBSTITUTE(FilterWithUnits(S17)&amp; ";" &amp;FilterStringsWithNumericAnd(S17) &amp; ";" &amp; FilterStringsWithX(S17), ";;", ";"),1)=";",LEFT(SUBSTITUTE(FilterWithUnits(S17)&amp; ";" &amp;FilterStringsWithNumericAnd(S17) &amp; ";" &amp; FilterStringsWithX(S17), ";;", ";"),LEN(SUBSTITUTE(FilterWithUnits(S17)&amp; ";" &amp;FilterStringsWithNumericAnd(S17) &amp; ";" &amp; FilterStringsWithX(S17), ";;", ";"))-1),SUBSTITUTE(FilterWithUnits(S17)&amp; ";" &amp;FilterStringsWithNumericAnd(S17) &amp; ";" &amp; FilterStringsWithX(S17), ";;", ";")),LEN(IF(RIGHT(SUBSTITUTE(FilterWithUnits(S17)&amp; ";" &amp;FilterStringsWithNumericAnd(S17) &amp; ";" &amp; FilterStringsWithX(S17), ";;", ";"),1)=";",LEFT(SUBSTITUTE(FilterWithUnits(S17)&amp; ";" &amp;FilterStringsWithNumericAnd(S17) &amp; ";" &amp; FilterStringsWithX(S17), ";;", ";"),LEN(SUBSTITUTE(FilterWithUnits(S17)&amp; ";" &amp;FilterStringsWithNumericAnd(S17) &amp; ";" &amp; FilterStringsWithX(S17), ";;", ";"))-1),SUBSTITUTE(FilterWithUnits(S17)&amp; ";" &amp;FilterStringsWithNumericAnd(S17) &amp; ";" &amp; FilterStringsWithX(S17), ";;", ";")))-1),IF(RIGHT(SUBSTITUTE(FilterWithUnits(S17)&amp; ";" &amp;FilterStringsWithNumericAnd(S17) &amp; ";" &amp; FilterStringsWithX(S17), ";;", ";"),1)=";",LEFT(SUBSTITUTE(FilterWithUnits(S17)&amp; ";" &amp;FilterStringsWithNumericAnd(S17) &amp; ";" &amp; FilterStringsWithX(S17), ";;", ";"),LEN(SUBSTITUTE(FilterWithUnits(S17)&amp; ";" &amp;FilterStringsWithNumericAnd(S17) &amp; ";" &amp; FilterStringsWithX(S17), ";;", ";"))-1),SUBSTITUTE(FilterWithUnits(S17)&amp; ";" &amp;FilterStringsWithNumericAnd(S17) &amp; ";" &amp; FilterStringsWithX(S17), ";;", ";")))</f>
        <v>40x20x20mm(leftthyroidlobe)and50x15x5mm(isthmusandpyramidallobe)</v>
      </c>
      <c r="U17" t="str" cm="1">
        <f t="array" ref="U17">IF(MaxSize((SplitDimensions(T17)))=0, "", MaxSize((SplitDimensions(T17))))</f>
        <v/>
      </c>
      <c r="V17" s="17" t="str" cm="1">
        <f t="array" ref="V17">IF(ISERROR(INDEX(_xlfn._xlws.FILTER('Model output'!P:P,('Model output'!Z:Z=A17)*('Model output'!P:P&lt;&gt;"")),1)),"negative",IF(OR(ISNUMBER(SEARCH("foc",INDEX(_xlfn._xlws.FILTER('Model output'!P:P,('Model output'!Z:Z=A17)*('Model output'!P:P&lt;&gt;"")),1),1)),ISNUMBER(SEARCH("extensive",INDEX(_xlfn._xlws.FILTER('Model output'!P:P,('Model output'!Z:Z=A17)*('Model output'!P:P&lt;&gt;"")),1),1)),ISNUMBER(SEARCH("present",INDEX(_xlfn._xlws.FILTER('Model output'!P:P,('Model output'!Z:Z=A17)*('Model output'!P:P&lt;&gt;"")),1),1)),ISNUMBER(SEARCH("yes",INDEX(_xlfn._xlws.FILTER('Model output'!P:P,('Model output'!Z:Z=A17)*('Model output'!P:P&lt;&gt;"")),1),1))),"positive","negative"))</f>
        <v>negative</v>
      </c>
      <c r="X17" t="str" cm="1">
        <f t="array" ref="X17">IF(ISNUMBER(SEARCH("4",INDEX(_xlfn._xlws.FILTER('Model output'!P:P,('Model output'!Z:Z=A17)*('Model output'!P:P&lt;&gt;"")),1),1)),INDEX(_xlfn._xlws.FILTER('Model output'!P:P,('Model output'!Z:Z=A17)*('Model output'!P:P&lt;&gt;"")),1),"") &amp; _xlfn.TEXTJOIN("",TRUE,_xlfn._xlws.FILTER('Model output'!Q:Q,'Model output'!Z:Z=A17))</f>
        <v/>
      </c>
      <c r="Y17" t="str">
        <f t="shared" si="11"/>
        <v>no</v>
      </c>
      <c r="Z17" t="str" cm="1">
        <f t="array" ref="Z17">IF(OR(ISNUMBER(SEARCH("focal",_xlfn.TEXTJOIN("; ",TRUE,_xlfn._xlws.FILTER('Model output'!R:R,'Model output'!Z:Z=A17)),1)),ISNUMBER(SEARCH("present",_xlfn.TEXTJOIN("; ",TRUE,_xlfn._xlws.FILTER('Model output'!R:R,'Model output'!Z:Z=A17)),1))),"positive",IF(_xlfn.TEXTJOIN("; ",TRUE,_xlfn._xlws.FILTER('Model output'!R:R,'Model output'!Z:Z=A17))="","negative",IF(OR(ISNUMBER(SEARCH("no",_xlfn.TEXTJOIN("; ",TRUE,_xlfn._xlws.FILTER('Model output'!R:R,'Model output'!Z:Z=A17)),1)),ISNUMBER(SEARCH("absent",_xlfn.TEXTJOIN("; ",TRUE,_xlfn._xlws.FILTER('Model output'!R:R,'Model output'!Z:Z=A17)),1))),"negative","positive")))</f>
        <v>negative</v>
      </c>
      <c r="AA17" s="17" t="str">
        <f t="shared" si="1"/>
        <v>negative</v>
      </c>
      <c r="AE17" s="17" t="str">
        <f t="shared" si="12"/>
        <v>negative</v>
      </c>
      <c r="AF17" t="str" cm="1">
        <f t="array" ref="AF17">_xlfn.TEXTJOIN("; ",TRUE,_xlfn._xlws.FILTER('Model output'!S:S,'Model output'!Z:Z=A17))</f>
        <v>Not mentioned</v>
      </c>
      <c r="AG17" s="17" t="str" cm="1">
        <f t="array" ref="AG17">IF(OR(ISNUMBER(SEARCH("uninvolved",_xlfn.TEXTJOIN("; ",TRUE,_xlfn._xlws.FILTER('Model output'!V:V,'Model output'!Z:Z=A17)),1)),ISNUMBER(SEARCH("clear",_xlfn.TEXTJOIN("; ",TRUE,_xlfn._xlws.FILTER('Model output'!V:V,'Model output'!Z:Z=A17)),1))*ISNUMBER(SEARCH("not mentioned",_xlfn.TEXTJOIN("; ",TRUE,_xlfn._xlws.FILTER('Model output'!V:V,'Model output'!Z:Z=A17)),1))),"negative",IF(ISNUMBER(SEARCH("cannot be assessed",_xlfn.TEXTJOIN("; ",TRUE,_xlfn._xlws.FILTER('Model output'!V:V,'Model output'!Z:Z=A17)),1)),"unknown","negative"))</f>
        <v>negative</v>
      </c>
      <c r="AI17" s="45" t="str">
        <f t="shared" si="13"/>
        <v>NIFTP</v>
      </c>
      <c r="AJ17" s="41" t="str">
        <f t="shared" si="14"/>
        <v>NIFTP</v>
      </c>
      <c r="AK17" s="41" t="str">
        <f t="shared" si="3"/>
        <v>NIFTP</v>
      </c>
      <c r="AL17" s="41" t="str">
        <f t="shared" si="4"/>
        <v>NIFTP</v>
      </c>
      <c r="AM17" s="41" t="str">
        <f t="shared" si="5"/>
        <v>NIFTP</v>
      </c>
      <c r="AN17" s="42" t="s">
        <v>75</v>
      </c>
      <c r="AO17" s="43" t="s">
        <v>75</v>
      </c>
      <c r="AP17" s="43" t="s">
        <v>75</v>
      </c>
      <c r="AQ17" s="43" t="s">
        <v>75</v>
      </c>
      <c r="AR17" s="43" t="s">
        <v>75</v>
      </c>
      <c r="AS17" s="42">
        <f t="shared" si="6"/>
        <v>1</v>
      </c>
      <c r="AT17" s="43">
        <f t="shared" si="7"/>
        <v>1</v>
      </c>
      <c r="AU17" s="43">
        <f t="shared" si="8"/>
        <v>1</v>
      </c>
      <c r="AV17" s="43">
        <f t="shared" si="9"/>
        <v>1</v>
      </c>
      <c r="AW17" s="44">
        <f t="shared" si="10"/>
        <v>1</v>
      </c>
    </row>
    <row r="18" spans="1:49">
      <c r="A18" s="13">
        <v>16</v>
      </c>
      <c r="B18" s="16">
        <f>_xlfn.MAXIFS('Model output'!B:B,'Model output'!Z:Z,'Classification result'!$A18)</f>
        <v>45537</v>
      </c>
      <c r="C18" s="16"/>
      <c r="D18" s="16"/>
      <c r="E18" s="17">
        <f>_xlfn.MAXIFS('Model output'!C:C,'Model output'!Z:Z,'Classification result'!$A18)</f>
        <v>43</v>
      </c>
      <c r="F18" s="17" t="str" cm="1">
        <f t="array" ref="F18">LEFT(IF(ISERROR(RIGHT(IF(INDEX(_xlfn._xlws.FILTER('Model output'!D:D,('Model output'!Z:Z=A18)),1)&lt;&gt;"",INDEX(_xlfn._xlws.FILTER('Model output'!D:D,('Model output'!Z:Z=A18)),1),""),LEN(IF(INDEX(_xlfn._xlws.FILTER('Model output'!D:D,('Model output'!Z:Z=A18)),1)&lt;&gt;"",INDEX(_xlfn._xlws.FILTER('Model output'!D:D,('Model output'!Z:Z=A18)),1),""))-FIND("T",IF(INDEX(_xlfn._xlws.FILTER('Model output'!D:D,('Model output'!Z:Z=A18)),1)&lt;&gt;"",INDEX(_xlfn._xlws.FILTER('Model output'!D:D,('Model output'!Z:Z=A18)),1),""),1))),"",(RIGHT(IF(INDEX(_xlfn._xlws.FILTER('Model output'!D:D,('Model output'!Z:Z=A18)),1)&lt;&gt;"",INDEX(_xlfn._xlws.FILTER('Model output'!D:D,('Model output'!Z:Z=A18)),1),""),LEN(IF(INDEX(_xlfn._xlws.FILTER('Model output'!D:D,('Model output'!Z:Z=A18)),1)&lt;&gt;"",INDEX(_xlfn._xlws.FILTER('Model output'!D:D,('Model output'!Z:Z=A18)),1),""))-FIND("T",IF(INDEX(_xlfn._xlws.FILTER('Model output'!D:D,('Model output'!Z:Z=A18)),1)&lt;&gt;"",INDEX(_xlfn._xlws.FILTER('Model output'!D:D,('Model output'!Z:Z=A18)),1)))))),2)</f>
        <v>2</v>
      </c>
      <c r="G18" s="17" t="str" cm="1">
        <f t="array" ref="G18">IF(ISNUMBER(SEARCH("N",IF(ISNUMBER(SEARCH("present",IF(INDEX(_xlfn._xlws.FILTER('Model output'!E:E,('Model output'!Z:Z=A18)),1)="","",INDEX(_xlfn._xlws.FILTER('Model output'!E:E,('Model output'!Z:Z=A18)),1)),1)),"N1", IF(INDEX(_xlfn._xlws.FILTER('Model output'!E:E,('Model output'!Z:Z=A18)),1)="","",INDEX(_xlfn._xlws.FILTER('Model output'!E:E,('Model output'!Z:Z=A18)),1))),1)),RIGHT(IF(ISNUMBER(SEARCH("present",IF(INDEX(_xlfn._xlws.FILTER('Model output'!E:E,('Model output'!Z:Z=A18)),1)="","",INDEX(_xlfn._xlws.FILTER('Model output'!E:E,('Model output'!Z:Z=A18)),1)),1)),"N1", IF(INDEX(_xlfn._xlws.FILTER('Model output'!E:E,('Model output'!Z:Z=A18)),1)="","",INDEX(_xlfn._xlws.FILTER('Model output'!E:E,('Model output'!Z:Z=A18)),1))),LEN(IF(ISNUMBER(SEARCH("present",IF(INDEX(_xlfn._xlws.FILTER('Model output'!E:E,('Model output'!Z:Z=A18)),1)="","",INDEX(_xlfn._xlws.FILTER('Model output'!E:E,('Model output'!Z:Z=A18)),1)),1)),"N1", IF(INDEX(_xlfn._xlws.FILTER('Model output'!E:E,('Model output'!Z:Z=A18)),1)="","",INDEX(_xlfn._xlws.FILTER('Model output'!E:E,('Model output'!Z:Z=A18)),1))))-FIND("N",IF(ISNUMBER(SEARCH("present",IF(INDEX(_xlfn._xlws.FILTER('Model output'!E:E,('Model output'!Z:Z=A18)),1)="","",INDEX(_xlfn._xlws.FILTER('Model output'!E:E,('Model output'!Z:Z=A18)),1)),1)),"N1", IF(INDEX(_xlfn._xlws.FILTER('Model output'!E:E,('Model output'!Z:Z=A18)),1)="","",INDEX(_xlfn._xlws.FILTER('Model output'!E:E,('Model output'!Z:Z=A18)),1))),1)), "")</f>
        <v/>
      </c>
      <c r="H18" s="17" cm="1">
        <f t="array" ref="H18">IF(AND(SUBSTITUTE(_xlfn.TEXTJOIN("/", TRUE, _xlfn._xlws.FILTER('Model output'!F:F, 'Model output'!Z:Z=A18)),"M", "")="", K18="negative"),0,IF(K18="positive",1,0))</f>
        <v>0</v>
      </c>
      <c r="I18" t="str">
        <f t="shared" si="0"/>
        <v>positive</v>
      </c>
      <c r="J18" t="str" cm="1">
        <f t="array" ref="J18">IF(AND(M18&gt;0, _xlfn.TEXTJOIN("; ", TRUE, _xlfn._xlws.FILTER('Model output'!G:G, 'Model output'!Z:Z=A18)) &lt;&gt;"", OR(AND(ISNUMBER(SEARCH("level", _xlfn.TEXTJOIN("; ", TRUE, _xlfn._xlws.FILTER('Model output'!G:G, 'Model output'!Z:Z=A18)),1)),OR(ISNUMBER(SEARCH(" II", _xlfn.TEXTJOIN("; ", TRUE, _xlfn._xlws.FILTER('Model output'!G:G, 'Model output'!Z:Z=A18)),1)),ISNUMBER(SEARCH("2", _xlfn.TEXTJOIN("; ", TRUE, _xlfn._xlws.FILTER('Model output'!G:G, 'Model output'!Z:Z=A18)),1)),ISNUMBER(SEARCH("two", _xlfn.TEXTJOIN("; ", TRUE, _xlfn._xlws.FILTER('Model output'!G:G, 'Model output'!Z:Z=A18)),1)),ISNUMBER(SEARCH("III", _xlfn.TEXTJOIN("; ", TRUE, _xlfn._xlws.FILTER('Model output'!G:G, 'Model output'!Z:Z=A18)),1)),ISNUMBER(SEARCH("3", _xlfn.TEXTJOIN("; ", TRUE, _xlfn._xlws.FILTER('Model output'!G:G, 'Model output'!Z:Z=A18)),1)),ISNUMBER(SEARCH("three", _xlfn.TEXTJOIN("; ", TRUE, _xlfn._xlws.FILTER('Model output'!G:G, 'Model output'!Z:Z=A18)),1)),ISNUMBER(SEARCH("IV", _xlfn.TEXTJOIN("; ", TRUE, _xlfn._xlws.FILTER('Model output'!G:G, 'Model output'!Z:Z=A18)),1)),ISNUMBER(SEARCH("4", _xlfn.TEXTJOIN("; ", TRUE, _xlfn._xlws.FILTER('Model output'!G:G, 'Model output'!Z:Z=A18)),1)),ISNUMBER(SEARCH("five", _xlfn.TEXTJOIN("; ", TRUE, _xlfn._xlws.FILTER('Model output'!G:G, 'Model output'!Z:Z=A18)),1)),ISNUMBER(SEARCH("V ", _xlfn.TEXTJOIN("; ", TRUE, _xlfn._xlws.FILTER('Model output'!G:G, 'Model output'!Z:Z=A18)),1)),ISNUMBER(SEARCH("5", _xlfn.TEXTJOIN("; ", TRUE, _xlfn._xlws.FILTER('Model output'!G:G, 'Model output'!Z:Z=A18)),1)),ISNUMBER(SEARCH("five", _xlfn.TEXTJOIN("; ", TRUE, _xlfn._xlws.FILTER('Model output'!G:G, 'Model output'!Z:Z=A18)),1)),ISNUMBER(SEARCH(" lateral", _xlfn.TEXTJOIN("; ", TRUE, _xlfn._xlws.FILTER('Model output'!G:G, 'Model output'!Z:Z=A18)),1)))),ISNUMBER(SEARCH("cervical", _xlfn.TEXTJOIN("; ", TRUE, _xlfn._xlws.FILTER('Model output'!G:G, 'Model output'!Z:Z=A18)),1)),ISNUMBER(SEARCH("jugular", _xlfn.TEXTJOIN("; ", TRUE, _xlfn._xlws.FILTER('Model output'!G:G, 'Model output'!Z:Z=A18)),1)),ISNUMBER(SEARCH("left neck", _xlfn.TEXTJOIN("; ", TRUE, _xlfn._xlws.FILTER('Model output'!G:G, 'Model output'!Z:Z=A18)),1)),ISNUMBER(SEARCH("left anterior neck", _xlfn.TEXTJOIN("; ", TRUE, _xlfn._xlws.FILTER('Model output'!G:G, 'Model output'!Z:Z=A18)),1)),ISNUMBER(SEARCH("left posterior neck", _xlfn.TEXTJOIN("; ", TRUE, _xlfn._xlws.FILTER('Model output'!G:G, 'Model output'!Z:Z=A18)),1)),ISNUMBER(SEARCH("right neck", _xlfn.TEXTJOIN("; ", TRUE, _xlfn._xlws.FILTER('Model output'!G:G, 'Model output'!Z:Z=A18)),1)),ISNUMBER(SEARCH("right anterior neck", _xlfn.TEXTJOIN("; ", TRUE, _xlfn._xlws.FILTER('Model output'!G:G, 'Model output'!Z:Z=A18)),1)),ISNUMBER(SEARCH("right posterior neck", _xlfn.TEXTJOIN("; ", TRUE, _xlfn._xlws.FILTER('Model output'!G:G, 'Model output'!Z:Z=A18)),1)))),"lateral",IF(AND(M18=0, _xlfn.TEXTJOIN("; ", TRUE, _xlfn._xlws.FILTER('Model output'!G:G, 'Model output'!Z:Z=A18))=""),"", "central"))</f>
        <v>central</v>
      </c>
      <c r="K18" s="17" t="str" cm="1">
        <f t="array" ref="K18">IF(OR(ISNUMBER(SEARCH("lymph",_xlfn.TEXTJOIN("; ", TRUE, _xlfn._xlws.FILTER('Model output'!H:H, 'Model output'!Z:Z=A18)),1)), ISNUMBER(SEARCH("Not mentioned",_xlfn.TEXTJOIN("; ", TRUE, _xlfn._xlws.FILTER('Model output'!H:H, 'Model output'!Z:Z=A18)),1)),ISNUMBER(SEARCH("thyroid",_xlfn.TEXTJOIN("; ", TRUE, _xlfn._xlws.FILTER('Model output'!H:H, 'Model output'!Z:Z=A18)),1)),ISNUMBER(SEARCH("strap muscle",_xlfn.TEXTJOIN("; ", TRUE, _xlfn._xlws.FILTER('Model output'!H:H, 'Model output'!Z:Z=A18)),1)),ISNUMBER(SEARCH("subcutaneous soft tissues",_xlfn.TEXTJOIN("; ", TRUE, _xlfn._xlws.FILTER('Model output'!H:H, 'Model output'!Z:Z=A18)),1)),ISNUMBER(SEARCH("larynx",_xlfn.TEXTJOIN("; ", TRUE, _xlfn._xlws.FILTER('Model output'!H:H, 'Model output'!Z:Z=A18)),1)),ISNUMBER(SEARCH("trachea",_xlfn.TEXTJOIN("; ", TRUE, _xlfn._xlws.FILTER('Model output'!H:H, 'Model output'!Z:Z=A18)),1)),ISNUMBER(SEARCH("esophagus",_xlfn.TEXTJOIN("; ", TRUE, _xlfn._xlws.FILTER('Model output'!H:H, 'Model output'!Z:Z=A18)),1)),ISNUMBER(SEARCH("recurrent laryngeal nerve",_xlfn.TEXTJOIN("; ", TRUE, _xlfn._xlws.FILTER('Model output'!H:H, 'Model output'!Z:Z=A18)),1)),ISNUMBER(SEARCH("RLN",_xlfn.TEXTJOIN("; ", TRUE, _xlfn._xlws.FILTER('Model output'!H:H, 'Model output'!Z:Z=A18)),1)),_xlfn.TEXTJOIN("; ", TRUE, _xlfn._xlws.FILTER('Model output'!H:H, 'Model output'!Z:Z=A18))=""),"negative","positive")</f>
        <v>negative</v>
      </c>
      <c r="L18" s="17">
        <f>IF(IFERROR(INDEX('Model output'!I:I, MATCH(A18, 'Model output'!Z:Z, 0)), "") &lt; M18, "", IFERROR(INDEX('Model output'!I:I, MATCH(A18, 'Model output'!Z:Z, 0)), ""))</f>
        <v>15</v>
      </c>
      <c r="M18" s="17">
        <f>IFERROR(INDEX('Model output'!J:J, MATCH(A18, 'Model output'!Z:Z, 0)), "")</f>
        <v>2</v>
      </c>
      <c r="N18" s="18" t="str" cm="1">
        <f t="array" ref="N18">ReplaceTo(ReplaceAnd(SUBSTITUTE(SUBSTITUTE(_xlfn.TEXTJOIN("; ", TRUE, _xlfn._xlws.FILTER('Model output'!K:K, 'Model output'!Z:Z=A18)), " ", ""), ",", ";")))</f>
        <v>Notmentioned</v>
      </c>
      <c r="O18" t="str" cm="1">
        <f t="array" ref="O18">IF(LEFT(IF(RIGHT(SUBSTITUTE(FilterWithUnits(N18)&amp; ";" &amp;FilterStringsWithNumericAnd(N18) &amp; ";" &amp; FilterStringsWithX(N18), ";;", ";"),1)=";",LEFT(SUBSTITUTE(FilterWithUnits(N18)&amp; ";" &amp;FilterStringsWithNumericAnd(N18) &amp; ";" &amp; FilterStringsWithX(N18), ";;", ";"),LEN(SUBSTITUTE(FilterWithUnits(N18)&amp; ";" &amp;FilterStringsWithNumericAnd(N18) &amp; ";" &amp; FilterStringsWithX(N18), ";;", ";"))-1),SUBSTITUTE(FilterWithUnits(N18)&amp; ";" &amp;FilterStringsWithNumericAnd(N18) &amp; ";" &amp; FilterStringsWithX(N18), ";;", ";")),1)=";",RIGHT(IF(RIGHT(SUBSTITUTE(FilterWithUnits(N18)&amp; ";" &amp;FilterStringsWithNumericAnd(N18) &amp; ";" &amp; FilterStringsWithX(N18), ";;", ";"),1)=";",LEFT(SUBSTITUTE(FilterWithUnits(N18)&amp; ";" &amp;FilterStringsWithNumericAnd(N18) &amp; ";" &amp; FilterStringsWithX(N18), ";;", ";"),LEN(SUBSTITUTE(FilterWithUnits(N18)&amp; ";" &amp;FilterStringsWithNumericAnd(N18) &amp; ";" &amp; FilterStringsWithX(N18), ";;", ";"))-1),SUBSTITUTE(FilterWithUnits(N18)&amp; ";" &amp;FilterStringsWithNumericAnd(N18) &amp; ";" &amp; FilterStringsWithX(N18), ";;", ";")),LEN(IF(RIGHT(SUBSTITUTE(FilterWithUnits(N18)&amp; ";" &amp;FilterStringsWithNumericAnd(N18) &amp; ";" &amp; FilterStringsWithX(N18), ";;", ";"),1)=";",LEFT(SUBSTITUTE(FilterWithUnits(N18)&amp; ";" &amp;FilterStringsWithNumericAnd(N18) &amp; ";" &amp; FilterStringsWithX(N18), ";;", ";"),LEN(SUBSTITUTE(FilterWithUnits(N18)&amp; ";" &amp;FilterStringsWithNumericAnd(N18) &amp; ";" &amp; FilterStringsWithX(N18), ";;", ";"))-1),SUBSTITUTE(FilterWithUnits(N18)&amp; ";" &amp;FilterStringsWithNumericAnd(N18) &amp; ";" &amp; FilterStringsWithX(N18), ";;", ";")))-1),IF(RIGHT(SUBSTITUTE(FilterWithUnits(N18)&amp; ";" &amp;FilterStringsWithNumericAnd(N18) &amp; ";" &amp; FilterStringsWithX(N18), ";;", ";"),1)=";",LEFT(SUBSTITUTE(FilterWithUnits(N18)&amp; ";" &amp;FilterStringsWithNumericAnd(N18) &amp; ";" &amp; FilterStringsWithX(N18), ";;", ";"),LEN(SUBSTITUTE(FilterWithUnits(N18)&amp; ";" &amp;FilterStringsWithNumericAnd(N18) &amp; ";" &amp; FilterStringsWithX(N18), ";;", ";"))-1),SUBSTITUTE(FilterWithUnits(N18)&amp; ";" &amp;FilterStringsWithNumericAnd(N18) &amp; ";" &amp; FilterStringsWithX(N18), ";;", ";")))</f>
        <v/>
      </c>
      <c r="P18" t="str" cm="1">
        <f t="array" ref="P18">IF(MaxSize((SplitDimensions(O18)))=0, "", MaxSize((SplitDimensions(O18))))</f>
        <v/>
      </c>
      <c r="Q18" t="str" cm="1">
        <f t="array" ref="Q18">IF(ISERROR(INDEX(_xlfn._xlws.FILTER('Model output'!L:L, ('Model output'!Z:Z=A18)*('Model output'!L:L&lt;&gt;"")), 1)), " ", LOWER(INDEX(_xlfn._xlws.FILTER('Model output'!L:L, ('Model output'!Z:Z=A18)*('Model output'!L:L&lt;&gt;"")), 1)))</f>
        <v>papillary carcinoma, classic subtype</v>
      </c>
      <c r="R18" t="str" cm="1">
        <f t="array" ref="R18">IF(ISERROR(INDEX(_xlfn._xlws.FILTER('Model output'!M:M, ('Model output'!Z:Z=A18)*('Model output'!M:M&lt;&gt;"")), 1)), " ", LOWER(INDEX(_xlfn._xlws.FILTER('Model output'!M:M, ('Model output'!Z:Z=A18)*('Model output'!M:M&lt;&gt;"")), 1)))</f>
        <v>not mentioned</v>
      </c>
      <c r="S18" t="str" cm="1">
        <f t="array" ref="S18">IF(OR(ISNUMBER(SEARCH("ly",SUBSTITUTE(INDEX(_xlfn._xlws.FILTER('Model output'!N:N,('Model output'!Z:Z=A18)*('Model output'!N:N&lt;&gt;"")),1)," ",""),1)), ISNUMBER(SEARCH("pole",SUBSTITUTE(INDEX(_xlfn._xlws.FILTER('Model output'!N:N,('Model output'!Z:Z=A18)*('Model output'!N:N&lt;&gt;"")),1)," ",""),1))),"",SUBSTITUTE(INDEX(_xlfn._xlws.FILTER('Model output'!N:N,('Model output'!Z:Z=A18)*('Model output'!N:N&lt;&gt;"")),1)," ",""))</f>
        <v/>
      </c>
      <c r="T18" t="str" cm="1">
        <f t="array" ref="T18">IF(LEFT(IF(RIGHT(SUBSTITUTE(FilterWithUnits(S18)&amp; ";" &amp;FilterStringsWithNumericAnd(S18) &amp; ";" &amp; FilterStringsWithX(S18), ";;", ";"),1)=";",LEFT(SUBSTITUTE(FilterWithUnits(S18)&amp; ";" &amp;FilterStringsWithNumericAnd(S18) &amp; ";" &amp; FilterStringsWithX(S18), ";;", ";"),LEN(SUBSTITUTE(FilterWithUnits(S18)&amp; ";" &amp;FilterStringsWithNumericAnd(S18) &amp; ";" &amp; FilterStringsWithX(S18), ";;", ";"))-1),SUBSTITUTE(FilterWithUnits(S18)&amp; ";" &amp;FilterStringsWithNumericAnd(S18) &amp; ";" &amp; FilterStringsWithX(S18), ";;", ";")),1)=";",RIGHT(IF(RIGHT(SUBSTITUTE(FilterWithUnits(S18)&amp; ";" &amp;FilterStringsWithNumericAnd(S18) &amp; ";" &amp; FilterStringsWithX(S18), ";;", ";"),1)=";",LEFT(SUBSTITUTE(FilterWithUnits(S18)&amp; ";" &amp;FilterStringsWithNumericAnd(S18) &amp; ";" &amp; FilterStringsWithX(S18), ";;", ";"),LEN(SUBSTITUTE(FilterWithUnits(S18)&amp; ";" &amp;FilterStringsWithNumericAnd(S18) &amp; ";" &amp; FilterStringsWithX(S18), ";;", ";"))-1),SUBSTITUTE(FilterWithUnits(S18)&amp; ";" &amp;FilterStringsWithNumericAnd(S18) &amp; ";" &amp; FilterStringsWithX(S18), ";;", ";")),LEN(IF(RIGHT(SUBSTITUTE(FilterWithUnits(S18)&amp; ";" &amp;FilterStringsWithNumericAnd(S18) &amp; ";" &amp; FilterStringsWithX(S18), ";;", ";"),1)=";",LEFT(SUBSTITUTE(FilterWithUnits(S18)&amp; ";" &amp;FilterStringsWithNumericAnd(S18) &amp; ";" &amp; FilterStringsWithX(S18), ";;", ";"),LEN(SUBSTITUTE(FilterWithUnits(S18)&amp; ";" &amp;FilterStringsWithNumericAnd(S18) &amp; ";" &amp; FilterStringsWithX(S18), ";;", ";"))-1),SUBSTITUTE(FilterWithUnits(S18)&amp; ";" &amp;FilterStringsWithNumericAnd(S18) &amp; ";" &amp; FilterStringsWithX(S18), ";;", ";")))-1),IF(RIGHT(SUBSTITUTE(FilterWithUnits(S18)&amp; ";" &amp;FilterStringsWithNumericAnd(S18) &amp; ";" &amp; FilterStringsWithX(S18), ";;", ";"),1)=";",LEFT(SUBSTITUTE(FilterWithUnits(S18)&amp; ";" &amp;FilterStringsWithNumericAnd(S18) &amp; ";" &amp; FilterStringsWithX(S18), ";;", ";"),LEN(SUBSTITUTE(FilterWithUnits(S18)&amp; ";" &amp;FilterStringsWithNumericAnd(S18) &amp; ";" &amp; FilterStringsWithX(S18), ";;", ";"))-1),SUBSTITUTE(FilterWithUnits(S18)&amp; ";" &amp;FilterStringsWithNumericAnd(S18) &amp; ";" &amp; FilterStringsWithX(S18), ";;", ";")))</f>
        <v/>
      </c>
      <c r="U18" t="str" cm="1">
        <f t="array" ref="U18">IF(MaxSize((SplitDimensions(T18)))=0, "", MaxSize((SplitDimensions(T18))))</f>
        <v/>
      </c>
      <c r="V18" s="17" t="str" cm="1">
        <f t="array" ref="V18">IF(ISERROR(INDEX(_xlfn._xlws.FILTER('Model output'!P:P,('Model output'!Z:Z=A18)*('Model output'!P:P&lt;&gt;"")),1)),"negative",IF(OR(ISNUMBER(SEARCH("foc",INDEX(_xlfn._xlws.FILTER('Model output'!P:P,('Model output'!Z:Z=A18)*('Model output'!P:P&lt;&gt;"")),1),1)),ISNUMBER(SEARCH("extensive",INDEX(_xlfn._xlws.FILTER('Model output'!P:P,('Model output'!Z:Z=A18)*('Model output'!P:P&lt;&gt;"")),1),1)),ISNUMBER(SEARCH("present",INDEX(_xlfn._xlws.FILTER('Model output'!P:P,('Model output'!Z:Z=A18)*('Model output'!P:P&lt;&gt;"")),1),1)),ISNUMBER(SEARCH("yes",INDEX(_xlfn._xlws.FILTER('Model output'!P:P,('Model output'!Z:Z=A18)*('Model output'!P:P&lt;&gt;"")),1),1))),"positive","negative"))</f>
        <v>positive</v>
      </c>
      <c r="X18" t="str" cm="1">
        <f t="array" ref="X18">IF(ISNUMBER(SEARCH("4",INDEX(_xlfn._xlws.FILTER('Model output'!P:P,('Model output'!Z:Z=A18)*('Model output'!P:P&lt;&gt;"")),1),1)),INDEX(_xlfn._xlws.FILTER('Model output'!P:P,('Model output'!Z:Z=A18)*('Model output'!P:P&lt;&gt;"")),1),"") &amp; _xlfn.TEXTJOIN("",TRUE,_xlfn._xlws.FILTER('Model output'!Q:Q,'Model output'!Z:Z=A18))</f>
        <v>Gross extrathyroidal extension</v>
      </c>
      <c r="Y18" t="str">
        <f t="shared" si="11"/>
        <v>minimal</v>
      </c>
      <c r="Z18" t="str" cm="1">
        <f t="array" ref="Z18">IF(OR(ISNUMBER(SEARCH("focal",_xlfn.TEXTJOIN("; ",TRUE,_xlfn._xlws.FILTER('Model output'!R:R,'Model output'!Z:Z=A18)),1)),ISNUMBER(SEARCH("present",_xlfn.TEXTJOIN("; ",TRUE,_xlfn._xlws.FILTER('Model output'!R:R,'Model output'!Z:Z=A18)),1))),"positive",IF(_xlfn.TEXTJOIN("; ",TRUE,_xlfn._xlws.FILTER('Model output'!R:R,'Model output'!Z:Z=A18))="","negative",IF(OR(ISNUMBER(SEARCH("no",_xlfn.TEXTJOIN("; ",TRUE,_xlfn._xlws.FILTER('Model output'!R:R,'Model output'!Z:Z=A18)),1)),ISNUMBER(SEARCH("absent",_xlfn.TEXTJOIN("; ",TRUE,_xlfn._xlws.FILTER('Model output'!R:R,'Model output'!Z:Z=A18)),1))),"negative","positive")))</f>
        <v>positive</v>
      </c>
      <c r="AA18" s="17" t="str">
        <f t="shared" si="1"/>
        <v>positive</v>
      </c>
      <c r="AE18" s="17" t="str">
        <f t="shared" si="12"/>
        <v>positive</v>
      </c>
      <c r="AF18" t="str" cm="1">
        <f t="array" ref="AF18">_xlfn.TEXTJOIN("; ",TRUE,_xlfn._xlws.FILTER('Model output'!S:S,'Model output'!Z:Z=A18))</f>
        <v>Not identified; Overlying strap muscles</v>
      </c>
      <c r="AG18" s="17" t="str" cm="1">
        <f t="array" ref="AG18">IF(OR(ISNUMBER(SEARCH("uninvolved",_xlfn.TEXTJOIN("; ",TRUE,_xlfn._xlws.FILTER('Model output'!V:V,'Model output'!Z:Z=A18)),1)),ISNUMBER(SEARCH("clear",_xlfn.TEXTJOIN("; ",TRUE,_xlfn._xlws.FILTER('Model output'!V:V,'Model output'!Z:Z=A18)),1))*ISNUMBER(SEARCH("not mentioned",_xlfn.TEXTJOIN("; ",TRUE,_xlfn._xlws.FILTER('Model output'!V:V,'Model output'!Z:Z=A18)),1))),"negative",IF(ISNUMBER(SEARCH("cannot be assessed",_xlfn.TEXTJOIN("; ",TRUE,_xlfn._xlws.FILTER('Model output'!V:V,'Model output'!Z:Z=A18)),1)),"unknown","negative"))</f>
        <v>negative</v>
      </c>
      <c r="AI18" s="45" t="str">
        <f t="shared" si="13"/>
        <v>high</v>
      </c>
      <c r="AJ18" s="41" t="str">
        <f t="shared" si="14"/>
        <v>3b</v>
      </c>
      <c r="AK18" s="41" t="str">
        <f t="shared" si="3"/>
        <v>1a</v>
      </c>
      <c r="AL18" s="41">
        <f t="shared" si="4"/>
        <v>0</v>
      </c>
      <c r="AM18" s="41" t="str">
        <f t="shared" si="5"/>
        <v>I</v>
      </c>
      <c r="AN18" s="42" t="s">
        <v>164</v>
      </c>
      <c r="AO18" s="43" t="s">
        <v>443</v>
      </c>
      <c r="AP18" s="43">
        <v>0</v>
      </c>
      <c r="AQ18" s="43">
        <v>0</v>
      </c>
      <c r="AR18" s="43" t="s">
        <v>31</v>
      </c>
      <c r="AS18" s="42">
        <f t="shared" si="6"/>
        <v>0</v>
      </c>
      <c r="AT18" s="43">
        <f t="shared" si="7"/>
        <v>0</v>
      </c>
      <c r="AU18" s="43">
        <f t="shared" si="8"/>
        <v>0</v>
      </c>
      <c r="AV18" s="43">
        <f t="shared" si="9"/>
        <v>1</v>
      </c>
      <c r="AW18" s="44">
        <f t="shared" si="10"/>
        <v>1</v>
      </c>
    </row>
    <row r="19" spans="1:49">
      <c r="A19" s="13">
        <v>17</v>
      </c>
      <c r="B19" s="16">
        <f>_xlfn.MAXIFS('Model output'!B:B,'Model output'!Z:Z,'Classification result'!$A19)</f>
        <v>0</v>
      </c>
      <c r="C19" s="16"/>
      <c r="D19" s="16"/>
      <c r="E19" s="17">
        <f>_xlfn.MAXIFS('Model output'!C:C,'Model output'!Z:Z,'Classification result'!$A19)</f>
        <v>49</v>
      </c>
      <c r="F19" s="17" t="str" cm="1">
        <f t="array" ref="F19">LEFT(IF(ISERROR(RIGHT(IF(INDEX(_xlfn._xlws.FILTER('Model output'!D:D,('Model output'!Z:Z=A19)),1)&lt;&gt;"",INDEX(_xlfn._xlws.FILTER('Model output'!D:D,('Model output'!Z:Z=A19)),1),""),LEN(IF(INDEX(_xlfn._xlws.FILTER('Model output'!D:D,('Model output'!Z:Z=A19)),1)&lt;&gt;"",INDEX(_xlfn._xlws.FILTER('Model output'!D:D,('Model output'!Z:Z=A19)),1),""))-FIND("T",IF(INDEX(_xlfn._xlws.FILTER('Model output'!D:D,('Model output'!Z:Z=A19)),1)&lt;&gt;"",INDEX(_xlfn._xlws.FILTER('Model output'!D:D,('Model output'!Z:Z=A19)),1),""),1))),"",(RIGHT(IF(INDEX(_xlfn._xlws.FILTER('Model output'!D:D,('Model output'!Z:Z=A19)),1)&lt;&gt;"",INDEX(_xlfn._xlws.FILTER('Model output'!D:D,('Model output'!Z:Z=A19)),1),""),LEN(IF(INDEX(_xlfn._xlws.FILTER('Model output'!D:D,('Model output'!Z:Z=A19)),1)&lt;&gt;"",INDEX(_xlfn._xlws.FILTER('Model output'!D:D,('Model output'!Z:Z=A19)),1),""))-FIND("T",IF(INDEX(_xlfn._xlws.FILTER('Model output'!D:D,('Model output'!Z:Z=A19)),1)&lt;&gt;"",INDEX(_xlfn._xlws.FILTER('Model output'!D:D,('Model output'!Z:Z=A19)),1)))))),2)</f>
        <v>1b</v>
      </c>
      <c r="G19" s="17" t="str" cm="1">
        <f t="array" ref="G19">IF(ISNUMBER(SEARCH("N",IF(ISNUMBER(SEARCH("present",IF(INDEX(_xlfn._xlws.FILTER('Model output'!E:E,('Model output'!Z:Z=A19)),1)="","",INDEX(_xlfn._xlws.FILTER('Model output'!E:E,('Model output'!Z:Z=A19)),1)),1)),"N1", IF(INDEX(_xlfn._xlws.FILTER('Model output'!E:E,('Model output'!Z:Z=A19)),1)="","",INDEX(_xlfn._xlws.FILTER('Model output'!E:E,('Model output'!Z:Z=A19)),1))),1)),RIGHT(IF(ISNUMBER(SEARCH("present",IF(INDEX(_xlfn._xlws.FILTER('Model output'!E:E,('Model output'!Z:Z=A19)),1)="","",INDEX(_xlfn._xlws.FILTER('Model output'!E:E,('Model output'!Z:Z=A19)),1)),1)),"N1", IF(INDEX(_xlfn._xlws.FILTER('Model output'!E:E,('Model output'!Z:Z=A19)),1)="","",INDEX(_xlfn._xlws.FILTER('Model output'!E:E,('Model output'!Z:Z=A19)),1))),LEN(IF(ISNUMBER(SEARCH("present",IF(INDEX(_xlfn._xlws.FILTER('Model output'!E:E,('Model output'!Z:Z=A19)),1)="","",INDEX(_xlfn._xlws.FILTER('Model output'!E:E,('Model output'!Z:Z=A19)),1)),1)),"N1", IF(INDEX(_xlfn._xlws.FILTER('Model output'!E:E,('Model output'!Z:Z=A19)),1)="","",INDEX(_xlfn._xlws.FILTER('Model output'!E:E,('Model output'!Z:Z=A19)),1))))-FIND("N",IF(ISNUMBER(SEARCH("present",IF(INDEX(_xlfn._xlws.FILTER('Model output'!E:E,('Model output'!Z:Z=A19)),1)="","",INDEX(_xlfn._xlws.FILTER('Model output'!E:E,('Model output'!Z:Z=A19)),1)),1)),"N1", IF(INDEX(_xlfn._xlws.FILTER('Model output'!E:E,('Model output'!Z:Z=A19)),1)="","",INDEX(_xlfn._xlws.FILTER('Model output'!E:E,('Model output'!Z:Z=A19)),1))),1)), "")</f>
        <v>1b</v>
      </c>
      <c r="H19" s="17" cm="1">
        <f t="array" ref="H19">IF(AND(SUBSTITUTE(_xlfn.TEXTJOIN("/", TRUE, _xlfn._xlws.FILTER('Model output'!F:F, 'Model output'!Z:Z=A19)),"M", "")="", K19="negative"),0,IF(K19="positive",1,0))</f>
        <v>0</v>
      </c>
      <c r="I19" t="str">
        <f t="shared" si="0"/>
        <v>positive</v>
      </c>
      <c r="J19" t="str" cm="1">
        <f t="array" ref="J19">IF(AND(M19&gt;0, _xlfn.TEXTJOIN("; ", TRUE, _xlfn._xlws.FILTER('Model output'!G:G, 'Model output'!Z:Z=A19)) &lt;&gt;"", OR(AND(ISNUMBER(SEARCH("level", _xlfn.TEXTJOIN("; ", TRUE, _xlfn._xlws.FILTER('Model output'!G:G, 'Model output'!Z:Z=A19)),1)),OR(ISNUMBER(SEARCH(" II", _xlfn.TEXTJOIN("; ", TRUE, _xlfn._xlws.FILTER('Model output'!G:G, 'Model output'!Z:Z=A19)),1)),ISNUMBER(SEARCH("2", _xlfn.TEXTJOIN("; ", TRUE, _xlfn._xlws.FILTER('Model output'!G:G, 'Model output'!Z:Z=A19)),1)),ISNUMBER(SEARCH("two", _xlfn.TEXTJOIN("; ", TRUE, _xlfn._xlws.FILTER('Model output'!G:G, 'Model output'!Z:Z=A19)),1)),ISNUMBER(SEARCH("III", _xlfn.TEXTJOIN("; ", TRUE, _xlfn._xlws.FILTER('Model output'!G:G, 'Model output'!Z:Z=A19)),1)),ISNUMBER(SEARCH("3", _xlfn.TEXTJOIN("; ", TRUE, _xlfn._xlws.FILTER('Model output'!G:G, 'Model output'!Z:Z=A19)),1)),ISNUMBER(SEARCH("three", _xlfn.TEXTJOIN("; ", TRUE, _xlfn._xlws.FILTER('Model output'!G:G, 'Model output'!Z:Z=A19)),1)),ISNUMBER(SEARCH("IV", _xlfn.TEXTJOIN("; ", TRUE, _xlfn._xlws.FILTER('Model output'!G:G, 'Model output'!Z:Z=A19)),1)),ISNUMBER(SEARCH("4", _xlfn.TEXTJOIN("; ", TRUE, _xlfn._xlws.FILTER('Model output'!G:G, 'Model output'!Z:Z=A19)),1)),ISNUMBER(SEARCH("five", _xlfn.TEXTJOIN("; ", TRUE, _xlfn._xlws.FILTER('Model output'!G:G, 'Model output'!Z:Z=A19)),1)),ISNUMBER(SEARCH("V ", _xlfn.TEXTJOIN("; ", TRUE, _xlfn._xlws.FILTER('Model output'!G:G, 'Model output'!Z:Z=A19)),1)),ISNUMBER(SEARCH("5", _xlfn.TEXTJOIN("; ", TRUE, _xlfn._xlws.FILTER('Model output'!G:G, 'Model output'!Z:Z=A19)),1)),ISNUMBER(SEARCH("five", _xlfn.TEXTJOIN("; ", TRUE, _xlfn._xlws.FILTER('Model output'!G:G, 'Model output'!Z:Z=A19)),1)),ISNUMBER(SEARCH(" lateral", _xlfn.TEXTJOIN("; ", TRUE, _xlfn._xlws.FILTER('Model output'!G:G, 'Model output'!Z:Z=A19)),1)))),ISNUMBER(SEARCH("cervical", _xlfn.TEXTJOIN("; ", TRUE, _xlfn._xlws.FILTER('Model output'!G:G, 'Model output'!Z:Z=A19)),1)),ISNUMBER(SEARCH("jugular", _xlfn.TEXTJOIN("; ", TRUE, _xlfn._xlws.FILTER('Model output'!G:G, 'Model output'!Z:Z=A19)),1)),ISNUMBER(SEARCH("left neck", _xlfn.TEXTJOIN("; ", TRUE, _xlfn._xlws.FILTER('Model output'!G:G, 'Model output'!Z:Z=A19)),1)),ISNUMBER(SEARCH("left anterior neck", _xlfn.TEXTJOIN("; ", TRUE, _xlfn._xlws.FILTER('Model output'!G:G, 'Model output'!Z:Z=A19)),1)),ISNUMBER(SEARCH("left posterior neck", _xlfn.TEXTJOIN("; ", TRUE, _xlfn._xlws.FILTER('Model output'!G:G, 'Model output'!Z:Z=A19)),1)),ISNUMBER(SEARCH("right neck", _xlfn.TEXTJOIN("; ", TRUE, _xlfn._xlws.FILTER('Model output'!G:G, 'Model output'!Z:Z=A19)),1)),ISNUMBER(SEARCH("right anterior neck", _xlfn.TEXTJOIN("; ", TRUE, _xlfn._xlws.FILTER('Model output'!G:G, 'Model output'!Z:Z=A19)),1)),ISNUMBER(SEARCH("right posterior neck", _xlfn.TEXTJOIN("; ", TRUE, _xlfn._xlws.FILTER('Model output'!G:G, 'Model output'!Z:Z=A19)),1)))),"lateral",IF(AND(M19=0, _xlfn.TEXTJOIN("; ", TRUE, _xlfn._xlws.FILTER('Model output'!G:G, 'Model output'!Z:Z=A19))=""),"", "central"))</f>
        <v>lateral</v>
      </c>
      <c r="K19" s="17" t="str" cm="1">
        <f t="array" ref="K19">IF(OR(ISNUMBER(SEARCH("lymph",_xlfn.TEXTJOIN("; ", TRUE, _xlfn._xlws.FILTER('Model output'!H:H, 'Model output'!Z:Z=A19)),1)), ISNUMBER(SEARCH("Not mentioned",_xlfn.TEXTJOIN("; ", TRUE, _xlfn._xlws.FILTER('Model output'!H:H, 'Model output'!Z:Z=A19)),1)),ISNUMBER(SEARCH("thyroid",_xlfn.TEXTJOIN("; ", TRUE, _xlfn._xlws.FILTER('Model output'!H:H, 'Model output'!Z:Z=A19)),1)),ISNUMBER(SEARCH("strap muscle",_xlfn.TEXTJOIN("; ", TRUE, _xlfn._xlws.FILTER('Model output'!H:H, 'Model output'!Z:Z=A19)),1)),ISNUMBER(SEARCH("subcutaneous soft tissues",_xlfn.TEXTJOIN("; ", TRUE, _xlfn._xlws.FILTER('Model output'!H:H, 'Model output'!Z:Z=A19)),1)),ISNUMBER(SEARCH("larynx",_xlfn.TEXTJOIN("; ", TRUE, _xlfn._xlws.FILTER('Model output'!H:H, 'Model output'!Z:Z=A19)),1)),ISNUMBER(SEARCH("trachea",_xlfn.TEXTJOIN("; ", TRUE, _xlfn._xlws.FILTER('Model output'!H:H, 'Model output'!Z:Z=A19)),1)),ISNUMBER(SEARCH("esophagus",_xlfn.TEXTJOIN("; ", TRUE, _xlfn._xlws.FILTER('Model output'!H:H, 'Model output'!Z:Z=A19)),1)),ISNUMBER(SEARCH("recurrent laryngeal nerve",_xlfn.TEXTJOIN("; ", TRUE, _xlfn._xlws.FILTER('Model output'!H:H, 'Model output'!Z:Z=A19)),1)),ISNUMBER(SEARCH("RLN",_xlfn.TEXTJOIN("; ", TRUE, _xlfn._xlws.FILTER('Model output'!H:H, 'Model output'!Z:Z=A19)),1)),_xlfn.TEXTJOIN("; ", TRUE, _xlfn._xlws.FILTER('Model output'!H:H, 'Model output'!Z:Z=A19))=""),"negative","positive")</f>
        <v>negative</v>
      </c>
      <c r="L19" s="17">
        <f>IF(IFERROR(INDEX('Model output'!I:I, MATCH(A19, 'Model output'!Z:Z, 0)), "") &lt; M19, "", IFERROR(INDEX('Model output'!I:I, MATCH(A19, 'Model output'!Z:Z, 0)), ""))</f>
        <v>21</v>
      </c>
      <c r="M19" s="17">
        <f>IFERROR(INDEX('Model output'!J:J, MATCH(A19, 'Model output'!Z:Z, 0)), "")</f>
        <v>5</v>
      </c>
      <c r="N19" s="18" t="str" cm="1">
        <f t="array" ref="N19">ReplaceTo(ReplaceAnd(SUBSTITUTE(SUBSTITUTE(_xlfn.TEXTJOIN("; ", TRUE, _xlfn._xlws.FILTER('Model output'!K:K, 'Model output'!Z:Z=A19)), " ", ""), ",", ";")))</f>
        <v>8</v>
      </c>
      <c r="O19" t="str" cm="1">
        <f t="array" ref="O19">IF(LEFT(IF(RIGHT(SUBSTITUTE(FilterWithUnits(N19)&amp; ";" &amp;FilterStringsWithNumericAnd(N19) &amp; ";" &amp; FilterStringsWithX(N19), ";;", ";"),1)=";",LEFT(SUBSTITUTE(FilterWithUnits(N19)&amp; ";" &amp;FilterStringsWithNumericAnd(N19) &amp; ";" &amp; FilterStringsWithX(N19), ";;", ";"),LEN(SUBSTITUTE(FilterWithUnits(N19)&amp; ";" &amp;FilterStringsWithNumericAnd(N19) &amp; ";" &amp; FilterStringsWithX(N19), ";;", ";"))-1),SUBSTITUTE(FilterWithUnits(N19)&amp; ";" &amp;FilterStringsWithNumericAnd(N19) &amp; ";" &amp; FilterStringsWithX(N19), ";;", ";")),1)=";",RIGHT(IF(RIGHT(SUBSTITUTE(FilterWithUnits(N19)&amp; ";" &amp;FilterStringsWithNumericAnd(N19) &amp; ";" &amp; FilterStringsWithX(N19), ";;", ";"),1)=";",LEFT(SUBSTITUTE(FilterWithUnits(N19)&amp; ";" &amp;FilterStringsWithNumericAnd(N19) &amp; ";" &amp; FilterStringsWithX(N19), ";;", ";"),LEN(SUBSTITUTE(FilterWithUnits(N19)&amp; ";" &amp;FilterStringsWithNumericAnd(N19) &amp; ";" &amp; FilterStringsWithX(N19), ";;", ";"))-1),SUBSTITUTE(FilterWithUnits(N19)&amp; ";" &amp;FilterStringsWithNumericAnd(N19) &amp; ";" &amp; FilterStringsWithX(N19), ";;", ";")),LEN(IF(RIGHT(SUBSTITUTE(FilterWithUnits(N19)&amp; ";" &amp;FilterStringsWithNumericAnd(N19) &amp; ";" &amp; FilterStringsWithX(N19), ";;", ";"),1)=";",LEFT(SUBSTITUTE(FilterWithUnits(N19)&amp; ";" &amp;FilterStringsWithNumericAnd(N19) &amp; ";" &amp; FilterStringsWithX(N19), ";;", ";"),LEN(SUBSTITUTE(FilterWithUnits(N19)&amp; ";" &amp;FilterStringsWithNumericAnd(N19) &amp; ";" &amp; FilterStringsWithX(N19), ";;", ";"))-1),SUBSTITUTE(FilterWithUnits(N19)&amp; ";" &amp;FilterStringsWithNumericAnd(N19) &amp; ";" &amp; FilterStringsWithX(N19), ";;", ";")))-1),IF(RIGHT(SUBSTITUTE(FilterWithUnits(N19)&amp; ";" &amp;FilterStringsWithNumericAnd(N19) &amp; ";" &amp; FilterStringsWithX(N19), ";;", ";"),1)=";",LEFT(SUBSTITUTE(FilterWithUnits(N19)&amp; ";" &amp;FilterStringsWithNumericAnd(N19) &amp; ";" &amp; FilterStringsWithX(N19), ";;", ";"),LEN(SUBSTITUTE(FilterWithUnits(N19)&amp; ";" &amp;FilterStringsWithNumericAnd(N19) &amp; ";" &amp; FilterStringsWithX(N19), ";;", ";"))-1),SUBSTITUTE(FilterWithUnits(N19)&amp; ";" &amp;FilterStringsWithNumericAnd(N19) &amp; ";" &amp; FilterStringsWithX(N19), ";;", ";")))</f>
        <v/>
      </c>
      <c r="P19" t="str" cm="1">
        <f t="array" ref="P19">IF(MaxSize((SplitDimensions(O19)))=0, "", MaxSize((SplitDimensions(O19))))</f>
        <v/>
      </c>
      <c r="Q19" t="str" cm="1">
        <f t="array" ref="Q19">IF(ISERROR(INDEX(_xlfn._xlws.FILTER('Model output'!L:L, ('Model output'!Z:Z=A19)*('Model output'!L:L&lt;&gt;"")), 1)), " ", LOWER(INDEX(_xlfn._xlws.FILTER('Model output'!L:L, ('Model output'!Z:Z=A19)*('Model output'!L:L&lt;&gt;"")), 1)))</f>
        <v>papillary carcinoma, classic subtype</v>
      </c>
      <c r="R19" t="str" cm="1">
        <f t="array" ref="R19">IF(ISERROR(INDEX(_xlfn._xlws.FILTER('Model output'!M:M, ('Model output'!Z:Z=A19)*('Model output'!M:M&lt;&gt;"")), 1)), " ", LOWER(INDEX(_xlfn._xlws.FILTER('Model output'!M:M, ('Model output'!Z:Z=A19)*('Model output'!M:M&lt;&gt;"")), 1)))</f>
        <v>papillary</v>
      </c>
      <c r="S19" t="str" cm="1">
        <f t="array" ref="S19">IF(OR(ISNUMBER(SEARCH("ly",SUBSTITUTE(INDEX(_xlfn._xlws.FILTER('Model output'!N:N,('Model output'!Z:Z=A19)*('Model output'!N:N&lt;&gt;"")),1)," ",""),1)), ISNUMBER(SEARCH("pole",SUBSTITUTE(INDEX(_xlfn._xlws.FILTER('Model output'!N:N,('Model output'!Z:Z=A19)*('Model output'!N:N&lt;&gt;"")),1)," ",""),1))),"",SUBSTITUTE(INDEX(_xlfn._xlws.FILTER('Model output'!N:N,('Model output'!Z:Z=A19)*('Model output'!N:N&lt;&gt;"")),1)," ",""))</f>
        <v>11mm</v>
      </c>
      <c r="T19" t="str" cm="1">
        <f t="array" ref="T19">IF(LEFT(IF(RIGHT(SUBSTITUTE(FilterWithUnits(S19)&amp; ";" &amp;FilterStringsWithNumericAnd(S19) &amp; ";" &amp; FilterStringsWithX(S19), ";;", ";"),1)=";",LEFT(SUBSTITUTE(FilterWithUnits(S19)&amp; ";" &amp;FilterStringsWithNumericAnd(S19) &amp; ";" &amp; FilterStringsWithX(S19), ";;", ";"),LEN(SUBSTITUTE(FilterWithUnits(S19)&amp; ";" &amp;FilterStringsWithNumericAnd(S19) &amp; ";" &amp; FilterStringsWithX(S19), ";;", ";"))-1),SUBSTITUTE(FilterWithUnits(S19)&amp; ";" &amp;FilterStringsWithNumericAnd(S19) &amp; ";" &amp; FilterStringsWithX(S19), ";;", ";")),1)=";",RIGHT(IF(RIGHT(SUBSTITUTE(FilterWithUnits(S19)&amp; ";" &amp;FilterStringsWithNumericAnd(S19) &amp; ";" &amp; FilterStringsWithX(S19), ";;", ";"),1)=";",LEFT(SUBSTITUTE(FilterWithUnits(S19)&amp; ";" &amp;FilterStringsWithNumericAnd(S19) &amp; ";" &amp; FilterStringsWithX(S19), ";;", ";"),LEN(SUBSTITUTE(FilterWithUnits(S19)&amp; ";" &amp;FilterStringsWithNumericAnd(S19) &amp; ";" &amp; FilterStringsWithX(S19), ";;", ";"))-1),SUBSTITUTE(FilterWithUnits(S19)&amp; ";" &amp;FilterStringsWithNumericAnd(S19) &amp; ";" &amp; FilterStringsWithX(S19), ";;", ";")),LEN(IF(RIGHT(SUBSTITUTE(FilterWithUnits(S19)&amp; ";" &amp;FilterStringsWithNumericAnd(S19) &amp; ";" &amp; FilterStringsWithX(S19), ";;", ";"),1)=";",LEFT(SUBSTITUTE(FilterWithUnits(S19)&amp; ";" &amp;FilterStringsWithNumericAnd(S19) &amp; ";" &amp; FilterStringsWithX(S19), ";;", ";"),LEN(SUBSTITUTE(FilterWithUnits(S19)&amp; ";" &amp;FilterStringsWithNumericAnd(S19) &amp; ";" &amp; FilterStringsWithX(S19), ";;", ";"))-1),SUBSTITUTE(FilterWithUnits(S19)&amp; ";" &amp;FilterStringsWithNumericAnd(S19) &amp; ";" &amp; FilterStringsWithX(S19), ";;", ";")))-1),IF(RIGHT(SUBSTITUTE(FilterWithUnits(S19)&amp; ";" &amp;FilterStringsWithNumericAnd(S19) &amp; ";" &amp; FilterStringsWithX(S19), ";;", ";"),1)=";",LEFT(SUBSTITUTE(FilterWithUnits(S19)&amp; ";" &amp;FilterStringsWithNumericAnd(S19) &amp; ";" &amp; FilterStringsWithX(S19), ";;", ";"),LEN(SUBSTITUTE(FilterWithUnits(S19)&amp; ";" &amp;FilterStringsWithNumericAnd(S19) &amp; ";" &amp; FilterStringsWithX(S19), ";;", ";"))-1),SUBSTITUTE(FilterWithUnits(S19)&amp; ";" &amp;FilterStringsWithNumericAnd(S19) &amp; ";" &amp; FilterStringsWithX(S19), ";;", ";")))</f>
        <v>11mm</v>
      </c>
      <c r="U19" cm="1">
        <f t="array" ref="U19">IF(MaxSize((SplitDimensions(T19)))=0, "", MaxSize((SplitDimensions(T19))))</f>
        <v>1.1000000000000001</v>
      </c>
      <c r="V19" s="17" t="str" cm="1">
        <f t="array" ref="V19">IF(ISERROR(INDEX(_xlfn._xlws.FILTER('Model output'!P:P,('Model output'!Z:Z=A19)*('Model output'!P:P&lt;&gt;"")),1)),"negative",IF(OR(ISNUMBER(SEARCH("foc",INDEX(_xlfn._xlws.FILTER('Model output'!P:P,('Model output'!Z:Z=A19)*('Model output'!P:P&lt;&gt;"")),1),1)),ISNUMBER(SEARCH("extensive",INDEX(_xlfn._xlws.FILTER('Model output'!P:P,('Model output'!Z:Z=A19)*('Model output'!P:P&lt;&gt;"")),1),1)),ISNUMBER(SEARCH("present",INDEX(_xlfn._xlws.FILTER('Model output'!P:P,('Model output'!Z:Z=A19)*('Model output'!P:P&lt;&gt;"")),1),1)),ISNUMBER(SEARCH("yes",INDEX(_xlfn._xlws.FILTER('Model output'!P:P,('Model output'!Z:Z=A19)*('Model output'!P:P&lt;&gt;"")),1),1))),"positive","negative"))</f>
        <v>negative</v>
      </c>
      <c r="X19" t="str" cm="1">
        <f t="array" ref="X19">IF(ISNUMBER(SEARCH("4",INDEX(_xlfn._xlws.FILTER('Model output'!P:P,('Model output'!Z:Z=A19)*('Model output'!P:P&lt;&gt;"")),1),1)),INDEX(_xlfn._xlws.FILTER('Model output'!P:P,('Model output'!Z:Z=A19)*('Model output'!P:P&lt;&gt;"")),1),"") &amp; _xlfn.TEXTJOIN("",TRUE,_xlfn._xlws.FILTER('Model output'!Q:Q,'Model output'!Z:Z=A19))</f>
        <v/>
      </c>
      <c r="Y19" t="str">
        <f t="shared" si="11"/>
        <v>no</v>
      </c>
      <c r="Z19" t="str" cm="1">
        <f t="array" ref="Z19">IF(OR(ISNUMBER(SEARCH("focal",_xlfn.TEXTJOIN("; ",TRUE,_xlfn._xlws.FILTER('Model output'!R:R,'Model output'!Z:Z=A19)),1)),ISNUMBER(SEARCH("present",_xlfn.TEXTJOIN("; ",TRUE,_xlfn._xlws.FILTER('Model output'!R:R,'Model output'!Z:Z=A19)),1))),"positive",IF(_xlfn.TEXTJOIN("; ",TRUE,_xlfn._xlws.FILTER('Model output'!R:R,'Model output'!Z:Z=A19))="","negative",IF(OR(ISNUMBER(SEARCH("no",_xlfn.TEXTJOIN("; ",TRUE,_xlfn._xlws.FILTER('Model output'!R:R,'Model output'!Z:Z=A19)),1)),ISNUMBER(SEARCH("absent",_xlfn.TEXTJOIN("; ",TRUE,_xlfn._xlws.FILTER('Model output'!R:R,'Model output'!Z:Z=A19)),1))),"negative","positive")))</f>
        <v>negative</v>
      </c>
      <c r="AA19" s="17" t="str">
        <f t="shared" si="1"/>
        <v>negative</v>
      </c>
      <c r="AE19" s="17" t="str">
        <f t="shared" si="12"/>
        <v>negative</v>
      </c>
      <c r="AF19" t="str" cm="1">
        <f t="array" ref="AF19">_xlfn.TEXTJOIN("; ",TRUE,_xlfn._xlws.FILTER('Model output'!S:S,'Model output'!Z:Z=A19))</f>
        <v>Not identified; Not mentioned</v>
      </c>
      <c r="AG19" s="17" t="str" cm="1">
        <f t="array" ref="AG19">IF(OR(ISNUMBER(SEARCH("uninvolved",_xlfn.TEXTJOIN("; ",TRUE,_xlfn._xlws.FILTER('Model output'!V:V,'Model output'!Z:Z=A19)),1)),ISNUMBER(SEARCH("clear",_xlfn.TEXTJOIN("; ",TRUE,_xlfn._xlws.FILTER('Model output'!V:V,'Model output'!Z:Z=A19)),1))*ISNUMBER(SEARCH("not mentioned",_xlfn.TEXTJOIN("; ",TRUE,_xlfn._xlws.FILTER('Model output'!V:V,'Model output'!Z:Z=A19)),1))),"negative",IF(ISNUMBER(SEARCH("cannot be assessed",_xlfn.TEXTJOIN("; ",TRUE,_xlfn._xlws.FILTER('Model output'!V:V,'Model output'!Z:Z=A19)),1)),"unknown","negative"))</f>
        <v>negative</v>
      </c>
      <c r="AI19" s="45" t="str">
        <f t="shared" si="13"/>
        <v>intermediate</v>
      </c>
      <c r="AJ19" s="41" t="str">
        <f t="shared" si="14"/>
        <v>1b</v>
      </c>
      <c r="AK19" s="41" t="str">
        <f t="shared" si="3"/>
        <v>1b</v>
      </c>
      <c r="AL19" s="41">
        <f t="shared" si="4"/>
        <v>0</v>
      </c>
      <c r="AM19" s="41" t="str">
        <f t="shared" si="5"/>
        <v>I</v>
      </c>
      <c r="AN19" s="42" t="s">
        <v>164</v>
      </c>
      <c r="AO19" s="43" t="s">
        <v>203</v>
      </c>
      <c r="AP19" s="43" t="s">
        <v>203</v>
      </c>
      <c r="AQ19" s="43">
        <v>0</v>
      </c>
      <c r="AR19" s="43" t="s">
        <v>31</v>
      </c>
      <c r="AS19" s="42">
        <f t="shared" si="6"/>
        <v>1</v>
      </c>
      <c r="AT19" s="43">
        <f t="shared" si="7"/>
        <v>1</v>
      </c>
      <c r="AU19" s="43">
        <f t="shared" si="8"/>
        <v>1</v>
      </c>
      <c r="AV19" s="43">
        <f t="shared" si="9"/>
        <v>1</v>
      </c>
      <c r="AW19" s="44">
        <f t="shared" si="10"/>
        <v>1</v>
      </c>
    </row>
    <row r="20" spans="1:49">
      <c r="A20" s="13">
        <v>18</v>
      </c>
      <c r="B20" s="16">
        <f>_xlfn.MAXIFS('Model output'!B:B,'Model output'!Z:Z,'Classification result'!$A20)</f>
        <v>45385</v>
      </c>
      <c r="C20" s="16"/>
      <c r="D20" s="16"/>
      <c r="E20" s="17">
        <f>_xlfn.MAXIFS('Model output'!C:C,'Model output'!Z:Z,'Classification result'!$A20)</f>
        <v>55</v>
      </c>
      <c r="F20" s="17" t="str" cm="1">
        <f t="array" ref="F20">LEFT(IF(ISERROR(RIGHT(IF(INDEX(_xlfn._xlws.FILTER('Model output'!D:D,('Model output'!Z:Z=A20)),1)&lt;&gt;"",INDEX(_xlfn._xlws.FILTER('Model output'!D:D,('Model output'!Z:Z=A20)),1),""),LEN(IF(INDEX(_xlfn._xlws.FILTER('Model output'!D:D,('Model output'!Z:Z=A20)),1)&lt;&gt;"",INDEX(_xlfn._xlws.FILTER('Model output'!D:D,('Model output'!Z:Z=A20)),1),""))-FIND("T",IF(INDEX(_xlfn._xlws.FILTER('Model output'!D:D,('Model output'!Z:Z=A20)),1)&lt;&gt;"",INDEX(_xlfn._xlws.FILTER('Model output'!D:D,('Model output'!Z:Z=A20)),1),""),1))),"",(RIGHT(IF(INDEX(_xlfn._xlws.FILTER('Model output'!D:D,('Model output'!Z:Z=A20)),1)&lt;&gt;"",INDEX(_xlfn._xlws.FILTER('Model output'!D:D,('Model output'!Z:Z=A20)),1),""),LEN(IF(INDEX(_xlfn._xlws.FILTER('Model output'!D:D,('Model output'!Z:Z=A20)),1)&lt;&gt;"",INDEX(_xlfn._xlws.FILTER('Model output'!D:D,('Model output'!Z:Z=A20)),1),""))-FIND("T",IF(INDEX(_xlfn._xlws.FILTER('Model output'!D:D,('Model output'!Z:Z=A20)),1)&lt;&gt;"",INDEX(_xlfn._xlws.FILTER('Model output'!D:D,('Model output'!Z:Z=A20)),1)))))),2)</f>
        <v>4a</v>
      </c>
      <c r="G20" s="17" t="str" cm="1">
        <f t="array" ref="G20">IF(ISNUMBER(SEARCH("N",IF(ISNUMBER(SEARCH("present",IF(INDEX(_xlfn._xlws.FILTER('Model output'!E:E,('Model output'!Z:Z=A20)),1)="","",INDEX(_xlfn._xlws.FILTER('Model output'!E:E,('Model output'!Z:Z=A20)),1)),1)),"N1", IF(INDEX(_xlfn._xlws.FILTER('Model output'!E:E,('Model output'!Z:Z=A20)),1)="","",INDEX(_xlfn._xlws.FILTER('Model output'!E:E,('Model output'!Z:Z=A20)),1))),1)),RIGHT(IF(ISNUMBER(SEARCH("present",IF(INDEX(_xlfn._xlws.FILTER('Model output'!E:E,('Model output'!Z:Z=A20)),1)="","",INDEX(_xlfn._xlws.FILTER('Model output'!E:E,('Model output'!Z:Z=A20)),1)),1)),"N1", IF(INDEX(_xlfn._xlws.FILTER('Model output'!E:E,('Model output'!Z:Z=A20)),1)="","",INDEX(_xlfn._xlws.FILTER('Model output'!E:E,('Model output'!Z:Z=A20)),1))),LEN(IF(ISNUMBER(SEARCH("present",IF(INDEX(_xlfn._xlws.FILTER('Model output'!E:E,('Model output'!Z:Z=A20)),1)="","",INDEX(_xlfn._xlws.FILTER('Model output'!E:E,('Model output'!Z:Z=A20)),1)),1)),"N1", IF(INDEX(_xlfn._xlws.FILTER('Model output'!E:E,('Model output'!Z:Z=A20)),1)="","",INDEX(_xlfn._xlws.FILTER('Model output'!E:E,('Model output'!Z:Z=A20)),1))))-FIND("N",IF(ISNUMBER(SEARCH("present",IF(INDEX(_xlfn._xlws.FILTER('Model output'!E:E,('Model output'!Z:Z=A20)),1)="","",INDEX(_xlfn._xlws.FILTER('Model output'!E:E,('Model output'!Z:Z=A20)),1)),1)),"N1", IF(INDEX(_xlfn._xlws.FILTER('Model output'!E:E,('Model output'!Z:Z=A20)),1)="","",INDEX(_xlfn._xlws.FILTER('Model output'!E:E,('Model output'!Z:Z=A20)),1))),1)), "")</f>
        <v>1a</v>
      </c>
      <c r="H20" s="17" cm="1">
        <f t="array" ref="H20">IF(AND(SUBSTITUTE(_xlfn.TEXTJOIN("/", TRUE, _xlfn._xlws.FILTER('Model output'!F:F, 'Model output'!Z:Z=A20)),"M", "")="", K20="negative"),0,IF(K20="positive",1,0))</f>
        <v>0</v>
      </c>
      <c r="I20" t="str">
        <f t="shared" si="0"/>
        <v>positive</v>
      </c>
      <c r="J20" t="str" cm="1">
        <f t="array" ref="J20">IF(AND(M20&gt;0, _xlfn.TEXTJOIN("; ", TRUE, _xlfn._xlws.FILTER('Model output'!G:G, 'Model output'!Z:Z=A20)) &lt;&gt;"", OR(AND(ISNUMBER(SEARCH("level", _xlfn.TEXTJOIN("; ", TRUE, _xlfn._xlws.FILTER('Model output'!G:G, 'Model output'!Z:Z=A20)),1)),OR(ISNUMBER(SEARCH(" II", _xlfn.TEXTJOIN("; ", TRUE, _xlfn._xlws.FILTER('Model output'!G:G, 'Model output'!Z:Z=A20)),1)),ISNUMBER(SEARCH("2", _xlfn.TEXTJOIN("; ", TRUE, _xlfn._xlws.FILTER('Model output'!G:G, 'Model output'!Z:Z=A20)),1)),ISNUMBER(SEARCH("two", _xlfn.TEXTJOIN("; ", TRUE, _xlfn._xlws.FILTER('Model output'!G:G, 'Model output'!Z:Z=A20)),1)),ISNUMBER(SEARCH("III", _xlfn.TEXTJOIN("; ", TRUE, _xlfn._xlws.FILTER('Model output'!G:G, 'Model output'!Z:Z=A20)),1)),ISNUMBER(SEARCH("3", _xlfn.TEXTJOIN("; ", TRUE, _xlfn._xlws.FILTER('Model output'!G:G, 'Model output'!Z:Z=A20)),1)),ISNUMBER(SEARCH("three", _xlfn.TEXTJOIN("; ", TRUE, _xlfn._xlws.FILTER('Model output'!G:G, 'Model output'!Z:Z=A20)),1)),ISNUMBER(SEARCH("IV", _xlfn.TEXTJOIN("; ", TRUE, _xlfn._xlws.FILTER('Model output'!G:G, 'Model output'!Z:Z=A20)),1)),ISNUMBER(SEARCH("4", _xlfn.TEXTJOIN("; ", TRUE, _xlfn._xlws.FILTER('Model output'!G:G, 'Model output'!Z:Z=A20)),1)),ISNUMBER(SEARCH("five", _xlfn.TEXTJOIN("; ", TRUE, _xlfn._xlws.FILTER('Model output'!G:G, 'Model output'!Z:Z=A20)),1)),ISNUMBER(SEARCH("V ", _xlfn.TEXTJOIN("; ", TRUE, _xlfn._xlws.FILTER('Model output'!G:G, 'Model output'!Z:Z=A20)),1)),ISNUMBER(SEARCH("5", _xlfn.TEXTJOIN("; ", TRUE, _xlfn._xlws.FILTER('Model output'!G:G, 'Model output'!Z:Z=A20)),1)),ISNUMBER(SEARCH("five", _xlfn.TEXTJOIN("; ", TRUE, _xlfn._xlws.FILTER('Model output'!G:G, 'Model output'!Z:Z=A20)),1)),ISNUMBER(SEARCH(" lateral", _xlfn.TEXTJOIN("; ", TRUE, _xlfn._xlws.FILTER('Model output'!G:G, 'Model output'!Z:Z=A20)),1)))),ISNUMBER(SEARCH("cervical", _xlfn.TEXTJOIN("; ", TRUE, _xlfn._xlws.FILTER('Model output'!G:G, 'Model output'!Z:Z=A20)),1)),ISNUMBER(SEARCH("jugular", _xlfn.TEXTJOIN("; ", TRUE, _xlfn._xlws.FILTER('Model output'!G:G, 'Model output'!Z:Z=A20)),1)),ISNUMBER(SEARCH("left neck", _xlfn.TEXTJOIN("; ", TRUE, _xlfn._xlws.FILTER('Model output'!G:G, 'Model output'!Z:Z=A20)),1)),ISNUMBER(SEARCH("left anterior neck", _xlfn.TEXTJOIN("; ", TRUE, _xlfn._xlws.FILTER('Model output'!G:G, 'Model output'!Z:Z=A20)),1)),ISNUMBER(SEARCH("left posterior neck", _xlfn.TEXTJOIN("; ", TRUE, _xlfn._xlws.FILTER('Model output'!G:G, 'Model output'!Z:Z=A20)),1)),ISNUMBER(SEARCH("right neck", _xlfn.TEXTJOIN("; ", TRUE, _xlfn._xlws.FILTER('Model output'!G:G, 'Model output'!Z:Z=A20)),1)),ISNUMBER(SEARCH("right anterior neck", _xlfn.TEXTJOIN("; ", TRUE, _xlfn._xlws.FILTER('Model output'!G:G, 'Model output'!Z:Z=A20)),1)),ISNUMBER(SEARCH("right posterior neck", _xlfn.TEXTJOIN("; ", TRUE, _xlfn._xlws.FILTER('Model output'!G:G, 'Model output'!Z:Z=A20)),1)))),"lateral",IF(AND(M20=0, _xlfn.TEXTJOIN("; ", TRUE, _xlfn._xlws.FILTER('Model output'!G:G, 'Model output'!Z:Z=A20))=""),"", "central"))</f>
        <v>central</v>
      </c>
      <c r="K20" s="17" t="str" cm="1">
        <f t="array" ref="K20">IF(OR(ISNUMBER(SEARCH("lymph",_xlfn.TEXTJOIN("; ", TRUE, _xlfn._xlws.FILTER('Model output'!H:H, 'Model output'!Z:Z=A20)),1)), ISNUMBER(SEARCH("Not mentioned",_xlfn.TEXTJOIN("; ", TRUE, _xlfn._xlws.FILTER('Model output'!H:H, 'Model output'!Z:Z=A20)),1)),ISNUMBER(SEARCH("thyroid",_xlfn.TEXTJOIN("; ", TRUE, _xlfn._xlws.FILTER('Model output'!H:H, 'Model output'!Z:Z=A20)),1)),ISNUMBER(SEARCH("strap muscle",_xlfn.TEXTJOIN("; ", TRUE, _xlfn._xlws.FILTER('Model output'!H:H, 'Model output'!Z:Z=A20)),1)),ISNUMBER(SEARCH("subcutaneous soft tissues",_xlfn.TEXTJOIN("; ", TRUE, _xlfn._xlws.FILTER('Model output'!H:H, 'Model output'!Z:Z=A20)),1)),ISNUMBER(SEARCH("larynx",_xlfn.TEXTJOIN("; ", TRUE, _xlfn._xlws.FILTER('Model output'!H:H, 'Model output'!Z:Z=A20)),1)),ISNUMBER(SEARCH("trachea",_xlfn.TEXTJOIN("; ", TRUE, _xlfn._xlws.FILTER('Model output'!H:H, 'Model output'!Z:Z=A20)),1)),ISNUMBER(SEARCH("esophagus",_xlfn.TEXTJOIN("; ", TRUE, _xlfn._xlws.FILTER('Model output'!H:H, 'Model output'!Z:Z=A20)),1)),ISNUMBER(SEARCH("recurrent laryngeal nerve",_xlfn.TEXTJOIN("; ", TRUE, _xlfn._xlws.FILTER('Model output'!H:H, 'Model output'!Z:Z=A20)),1)),ISNUMBER(SEARCH("RLN",_xlfn.TEXTJOIN("; ", TRUE, _xlfn._xlws.FILTER('Model output'!H:H, 'Model output'!Z:Z=A20)),1)),_xlfn.TEXTJOIN("; ", TRUE, _xlfn._xlws.FILTER('Model output'!H:H, 'Model output'!Z:Z=A20))=""),"negative","positive")</f>
        <v>negative</v>
      </c>
      <c r="L20" s="17">
        <f>IF(IFERROR(INDEX('Model output'!I:I, MATCH(A20, 'Model output'!Z:Z, 0)), "") &lt; M20, "", IFERROR(INDEX('Model output'!I:I, MATCH(A20, 'Model output'!Z:Z, 0)), ""))</f>
        <v>4</v>
      </c>
      <c r="M20" s="17">
        <f>IFERROR(INDEX('Model output'!J:J, MATCH(A20, 'Model output'!Z:Z, 0)), "")</f>
        <v>4</v>
      </c>
      <c r="N20" s="18" t="str" cm="1">
        <f t="array" ref="N20">ReplaceTo(ReplaceAnd(SUBSTITUTE(SUBSTITUTE(_xlfn.TEXTJOIN("; ", TRUE, _xlfn._xlws.FILTER('Model output'!K:K, 'Model output'!Z:Z=A20)), " ", ""), ",", ";")))</f>
        <v>Notmentioned</v>
      </c>
      <c r="O20" t="str" cm="1">
        <f t="array" ref="O20">IF(LEFT(IF(RIGHT(SUBSTITUTE(FilterWithUnits(N20)&amp; ";" &amp;FilterStringsWithNumericAnd(N20) &amp; ";" &amp; FilterStringsWithX(N20), ";;", ";"),1)=";",LEFT(SUBSTITUTE(FilterWithUnits(N20)&amp; ";" &amp;FilterStringsWithNumericAnd(N20) &amp; ";" &amp; FilterStringsWithX(N20), ";;", ";"),LEN(SUBSTITUTE(FilterWithUnits(N20)&amp; ";" &amp;FilterStringsWithNumericAnd(N20) &amp; ";" &amp; FilterStringsWithX(N20), ";;", ";"))-1),SUBSTITUTE(FilterWithUnits(N20)&amp; ";" &amp;FilterStringsWithNumericAnd(N20) &amp; ";" &amp; FilterStringsWithX(N20), ";;", ";")),1)=";",RIGHT(IF(RIGHT(SUBSTITUTE(FilterWithUnits(N20)&amp; ";" &amp;FilterStringsWithNumericAnd(N20) &amp; ";" &amp; FilterStringsWithX(N20), ";;", ";"),1)=";",LEFT(SUBSTITUTE(FilterWithUnits(N20)&amp; ";" &amp;FilterStringsWithNumericAnd(N20) &amp; ";" &amp; FilterStringsWithX(N20), ";;", ";"),LEN(SUBSTITUTE(FilterWithUnits(N20)&amp; ";" &amp;FilterStringsWithNumericAnd(N20) &amp; ";" &amp; FilterStringsWithX(N20), ";;", ";"))-1),SUBSTITUTE(FilterWithUnits(N20)&amp; ";" &amp;FilterStringsWithNumericAnd(N20) &amp; ";" &amp; FilterStringsWithX(N20), ";;", ";")),LEN(IF(RIGHT(SUBSTITUTE(FilterWithUnits(N20)&amp; ";" &amp;FilterStringsWithNumericAnd(N20) &amp; ";" &amp; FilterStringsWithX(N20), ";;", ";"),1)=";",LEFT(SUBSTITUTE(FilterWithUnits(N20)&amp; ";" &amp;FilterStringsWithNumericAnd(N20) &amp; ";" &amp; FilterStringsWithX(N20), ";;", ";"),LEN(SUBSTITUTE(FilterWithUnits(N20)&amp; ";" &amp;FilterStringsWithNumericAnd(N20) &amp; ";" &amp; FilterStringsWithX(N20), ";;", ";"))-1),SUBSTITUTE(FilterWithUnits(N20)&amp; ";" &amp;FilterStringsWithNumericAnd(N20) &amp; ";" &amp; FilterStringsWithX(N20), ";;", ";")))-1),IF(RIGHT(SUBSTITUTE(FilterWithUnits(N20)&amp; ";" &amp;FilterStringsWithNumericAnd(N20) &amp; ";" &amp; FilterStringsWithX(N20), ";;", ";"),1)=";",LEFT(SUBSTITUTE(FilterWithUnits(N20)&amp; ";" &amp;FilterStringsWithNumericAnd(N20) &amp; ";" &amp; FilterStringsWithX(N20), ";;", ";"),LEN(SUBSTITUTE(FilterWithUnits(N20)&amp; ";" &amp;FilterStringsWithNumericAnd(N20) &amp; ";" &amp; FilterStringsWithX(N20), ";;", ";"))-1),SUBSTITUTE(FilterWithUnits(N20)&amp; ";" &amp;FilterStringsWithNumericAnd(N20) &amp; ";" &amp; FilterStringsWithX(N20), ";;", ";")))</f>
        <v/>
      </c>
      <c r="P20" t="str" cm="1">
        <f t="array" ref="P20">IF(MaxSize((SplitDimensions(O20)))=0, "", MaxSize((SplitDimensions(O20))))</f>
        <v/>
      </c>
      <c r="Q20" t="str" cm="1">
        <f t="array" ref="Q20">IF(ISERROR(INDEX(_xlfn._xlws.FILTER('Model output'!L:L, ('Model output'!Z:Z=A20)*('Model output'!L:L&lt;&gt;"")), 1)), " ", LOWER(INDEX(_xlfn._xlws.FILTER('Model output'!L:L, ('Model output'!Z:Z=A20)*('Model output'!L:L&lt;&gt;"")), 1)))</f>
        <v>papillary carcinoma, classic subtype</v>
      </c>
      <c r="R20" t="str" cm="1">
        <f t="array" ref="R20">IF(ISERROR(INDEX(_xlfn._xlws.FILTER('Model output'!M:M, ('Model output'!Z:Z=A20)*('Model output'!M:M&lt;&gt;"")), 1)), " ", LOWER(INDEX(_xlfn._xlws.FILTER('Model output'!M:M, ('Model output'!Z:Z=A20)*('Model output'!M:M&lt;&gt;"")), 1)))</f>
        <v>not mentioned</v>
      </c>
      <c r="S20" t="str" cm="1">
        <f t="array" ref="S20">IF(OR(ISNUMBER(SEARCH("ly",SUBSTITUTE(INDEX(_xlfn._xlws.FILTER('Model output'!N:N,('Model output'!Z:Z=A20)*('Model output'!N:N&lt;&gt;"")),1)," ",""),1)), ISNUMBER(SEARCH("pole",SUBSTITUTE(INDEX(_xlfn._xlws.FILTER('Model output'!N:N,('Model output'!Z:Z=A20)*('Model output'!N:N&lt;&gt;"")),1)," ",""),1))),"",SUBSTITUTE(INDEX(_xlfn._xlws.FILTER('Model output'!N:N,('Model output'!Z:Z=A20)*('Model output'!N:N&lt;&gt;"")),1)," ",""))</f>
        <v>30mm</v>
      </c>
      <c r="T20" t="str" cm="1">
        <f t="array" ref="T20">IF(LEFT(IF(RIGHT(SUBSTITUTE(FilterWithUnits(S20)&amp; ";" &amp;FilterStringsWithNumericAnd(S20) &amp; ";" &amp; FilterStringsWithX(S20), ";;", ";"),1)=";",LEFT(SUBSTITUTE(FilterWithUnits(S20)&amp; ";" &amp;FilterStringsWithNumericAnd(S20) &amp; ";" &amp; FilterStringsWithX(S20), ";;", ";"),LEN(SUBSTITUTE(FilterWithUnits(S20)&amp; ";" &amp;FilterStringsWithNumericAnd(S20) &amp; ";" &amp; FilterStringsWithX(S20), ";;", ";"))-1),SUBSTITUTE(FilterWithUnits(S20)&amp; ";" &amp;FilterStringsWithNumericAnd(S20) &amp; ";" &amp; FilterStringsWithX(S20), ";;", ";")),1)=";",RIGHT(IF(RIGHT(SUBSTITUTE(FilterWithUnits(S20)&amp; ";" &amp;FilterStringsWithNumericAnd(S20) &amp; ";" &amp; FilterStringsWithX(S20), ";;", ";"),1)=";",LEFT(SUBSTITUTE(FilterWithUnits(S20)&amp; ";" &amp;FilterStringsWithNumericAnd(S20) &amp; ";" &amp; FilterStringsWithX(S20), ";;", ";"),LEN(SUBSTITUTE(FilterWithUnits(S20)&amp; ";" &amp;FilterStringsWithNumericAnd(S20) &amp; ";" &amp; FilterStringsWithX(S20), ";;", ";"))-1),SUBSTITUTE(FilterWithUnits(S20)&amp; ";" &amp;FilterStringsWithNumericAnd(S20) &amp; ";" &amp; FilterStringsWithX(S20), ";;", ";")),LEN(IF(RIGHT(SUBSTITUTE(FilterWithUnits(S20)&amp; ";" &amp;FilterStringsWithNumericAnd(S20) &amp; ";" &amp; FilterStringsWithX(S20), ";;", ";"),1)=";",LEFT(SUBSTITUTE(FilterWithUnits(S20)&amp; ";" &amp;FilterStringsWithNumericAnd(S20) &amp; ";" &amp; FilterStringsWithX(S20), ";;", ";"),LEN(SUBSTITUTE(FilterWithUnits(S20)&amp; ";" &amp;FilterStringsWithNumericAnd(S20) &amp; ";" &amp; FilterStringsWithX(S20), ";;", ";"))-1),SUBSTITUTE(FilterWithUnits(S20)&amp; ";" &amp;FilterStringsWithNumericAnd(S20) &amp; ";" &amp; FilterStringsWithX(S20), ";;", ";")))-1),IF(RIGHT(SUBSTITUTE(FilterWithUnits(S20)&amp; ";" &amp;FilterStringsWithNumericAnd(S20) &amp; ";" &amp; FilterStringsWithX(S20), ";;", ";"),1)=";",LEFT(SUBSTITUTE(FilterWithUnits(S20)&amp; ";" &amp;FilterStringsWithNumericAnd(S20) &amp; ";" &amp; FilterStringsWithX(S20), ";;", ";"),LEN(SUBSTITUTE(FilterWithUnits(S20)&amp; ";" &amp;FilterStringsWithNumericAnd(S20) &amp; ";" &amp; FilterStringsWithX(S20), ";;", ";"))-1),SUBSTITUTE(FilterWithUnits(S20)&amp; ";" &amp;FilterStringsWithNumericAnd(S20) &amp; ";" &amp; FilterStringsWithX(S20), ";;", ";")))</f>
        <v>30mm</v>
      </c>
      <c r="U20" cm="1">
        <f t="array" ref="U20">IF(MaxSize((SplitDimensions(T20)))=0, "", MaxSize((SplitDimensions(T20))))</f>
        <v>3</v>
      </c>
      <c r="V20" s="17" t="str" cm="1">
        <f t="array" ref="V20">IF(ISERROR(INDEX(_xlfn._xlws.FILTER('Model output'!P:P,('Model output'!Z:Z=A20)*('Model output'!P:P&lt;&gt;"")),1)),"negative",IF(OR(ISNUMBER(SEARCH("foc",INDEX(_xlfn._xlws.FILTER('Model output'!P:P,('Model output'!Z:Z=A20)*('Model output'!P:P&lt;&gt;"")),1),1)),ISNUMBER(SEARCH("extensive",INDEX(_xlfn._xlws.FILTER('Model output'!P:P,('Model output'!Z:Z=A20)*('Model output'!P:P&lt;&gt;"")),1),1)),ISNUMBER(SEARCH("present",INDEX(_xlfn._xlws.FILTER('Model output'!P:P,('Model output'!Z:Z=A20)*('Model output'!P:P&lt;&gt;"")),1),1)),ISNUMBER(SEARCH("yes",INDEX(_xlfn._xlws.FILTER('Model output'!P:P,('Model output'!Z:Z=A20)*('Model output'!P:P&lt;&gt;"")),1),1))),"positive","negative"))</f>
        <v>positive</v>
      </c>
      <c r="X20" t="str" cm="1">
        <f t="array" ref="X20">IF(ISNUMBER(SEARCH("4",INDEX(_xlfn._xlws.FILTER('Model output'!P:P,('Model output'!Z:Z=A20)*('Model output'!P:P&lt;&gt;"")),1),1)),INDEX(_xlfn._xlws.FILTER('Model output'!P:P,('Model output'!Z:Z=A20)*('Model output'!P:P&lt;&gt;"")),1),"") &amp; _xlfn.TEXTJOIN("",TRUE,_xlfn._xlws.FILTER('Model output'!Q:Q,'Model output'!Z:Z=A20))</f>
        <v>Invading only strap musclesGross extrathyroidal extension</v>
      </c>
      <c r="Y20" t="str">
        <f t="shared" si="11"/>
        <v>minimal</v>
      </c>
      <c r="Z20" t="str" cm="1">
        <f t="array" ref="Z20">IF(OR(ISNUMBER(SEARCH("focal",_xlfn.TEXTJOIN("; ",TRUE,_xlfn._xlws.FILTER('Model output'!R:R,'Model output'!Z:Z=A20)),1)),ISNUMBER(SEARCH("present",_xlfn.TEXTJOIN("; ",TRUE,_xlfn._xlws.FILTER('Model output'!R:R,'Model output'!Z:Z=A20)),1))),"positive",IF(_xlfn.TEXTJOIN("; ",TRUE,_xlfn._xlws.FILTER('Model output'!R:R,'Model output'!Z:Z=A20))="","negative",IF(OR(ISNUMBER(SEARCH("no",_xlfn.TEXTJOIN("; ",TRUE,_xlfn._xlws.FILTER('Model output'!R:R,'Model output'!Z:Z=A20)),1)),ISNUMBER(SEARCH("absent",_xlfn.TEXTJOIN("; ",TRUE,_xlfn._xlws.FILTER('Model output'!R:R,'Model output'!Z:Z=A20)),1))),"negative","positive")))</f>
        <v>negative</v>
      </c>
      <c r="AA20" s="17" t="str">
        <f t="shared" si="1"/>
        <v>positive</v>
      </c>
      <c r="AE20" s="17" t="str">
        <f t="shared" si="12"/>
        <v>positive</v>
      </c>
      <c r="AF20" t="str" cm="1">
        <f t="array" ref="AF20">_xlfn.TEXTJOIN("; ",TRUE,_xlfn._xlws.FILTER('Model output'!S:S,'Model output'!Z:Z=A20))</f>
        <v>Invading only strap muscles (Please correlate with operation record for gross extrathyroidal extension); Right cricothyroid and inferior constrictor muscle</v>
      </c>
      <c r="AG20" s="17" t="str" cm="1">
        <f t="array" ref="AG20">IF(OR(ISNUMBER(SEARCH("uninvolved",_xlfn.TEXTJOIN("; ",TRUE,_xlfn._xlws.FILTER('Model output'!V:V,'Model output'!Z:Z=A20)),1)),ISNUMBER(SEARCH("clear",_xlfn.TEXTJOIN("; ",TRUE,_xlfn._xlws.FILTER('Model output'!V:V,'Model output'!Z:Z=A20)),1))*ISNUMBER(SEARCH("not mentioned",_xlfn.TEXTJOIN("; ",TRUE,_xlfn._xlws.FILTER('Model output'!V:V,'Model output'!Z:Z=A20)),1))),"negative",IF(ISNUMBER(SEARCH("cannot be assessed",_xlfn.TEXTJOIN("; ",TRUE,_xlfn._xlws.FILTER('Model output'!V:V,'Model output'!Z:Z=A20)),1)),"unknown","negative"))</f>
        <v>negative</v>
      </c>
      <c r="AI20" s="45" t="str">
        <f t="shared" si="13"/>
        <v>high</v>
      </c>
      <c r="AJ20" s="41" t="str">
        <f t="shared" si="14"/>
        <v>4a</v>
      </c>
      <c r="AK20" s="41" t="str">
        <f t="shared" si="3"/>
        <v>1a</v>
      </c>
      <c r="AL20" s="41">
        <f t="shared" si="4"/>
        <v>0</v>
      </c>
      <c r="AM20" s="41" t="str">
        <f t="shared" si="5"/>
        <v>III</v>
      </c>
      <c r="AN20" s="42" t="s">
        <v>165</v>
      </c>
      <c r="AO20" s="43" t="s">
        <v>208</v>
      </c>
      <c r="AP20" s="43" t="s">
        <v>205</v>
      </c>
      <c r="AQ20" s="43">
        <v>0</v>
      </c>
      <c r="AR20" s="43" t="s">
        <v>68</v>
      </c>
      <c r="AS20" s="42">
        <f t="shared" si="6"/>
        <v>1</v>
      </c>
      <c r="AT20" s="43">
        <f t="shared" si="7"/>
        <v>1</v>
      </c>
      <c r="AU20" s="43">
        <f t="shared" si="8"/>
        <v>1</v>
      </c>
      <c r="AV20" s="43">
        <f t="shared" si="9"/>
        <v>1</v>
      </c>
      <c r="AW20" s="44">
        <f t="shared" si="10"/>
        <v>1</v>
      </c>
    </row>
    <row r="21" spans="1:49">
      <c r="A21" s="13">
        <v>19</v>
      </c>
      <c r="B21" s="16">
        <f>_xlfn.MAXIFS('Model output'!B:B,'Model output'!Z:Z,'Classification result'!$A21)</f>
        <v>0</v>
      </c>
      <c r="C21" s="16"/>
      <c r="D21" s="16"/>
      <c r="E21" s="17">
        <f>_xlfn.MAXIFS('Model output'!C:C,'Model output'!Z:Z,'Classification result'!$A21)</f>
        <v>23</v>
      </c>
      <c r="F21" s="17" t="str" cm="1">
        <f t="array" ref="F21">LEFT(IF(ISERROR(RIGHT(IF(INDEX(_xlfn._xlws.FILTER('Model output'!D:D,('Model output'!Z:Z=A21)),1)&lt;&gt;"",INDEX(_xlfn._xlws.FILTER('Model output'!D:D,('Model output'!Z:Z=A21)),1),""),LEN(IF(INDEX(_xlfn._xlws.FILTER('Model output'!D:D,('Model output'!Z:Z=A21)),1)&lt;&gt;"",INDEX(_xlfn._xlws.FILTER('Model output'!D:D,('Model output'!Z:Z=A21)),1),""))-FIND("T",IF(INDEX(_xlfn._xlws.FILTER('Model output'!D:D,('Model output'!Z:Z=A21)),1)&lt;&gt;"",INDEX(_xlfn._xlws.FILTER('Model output'!D:D,('Model output'!Z:Z=A21)),1),""),1))),"",(RIGHT(IF(INDEX(_xlfn._xlws.FILTER('Model output'!D:D,('Model output'!Z:Z=A21)),1)&lt;&gt;"",INDEX(_xlfn._xlws.FILTER('Model output'!D:D,('Model output'!Z:Z=A21)),1),""),LEN(IF(INDEX(_xlfn._xlws.FILTER('Model output'!D:D,('Model output'!Z:Z=A21)),1)&lt;&gt;"",INDEX(_xlfn._xlws.FILTER('Model output'!D:D,('Model output'!Z:Z=A21)),1),""))-FIND("T",IF(INDEX(_xlfn._xlws.FILTER('Model output'!D:D,('Model output'!Z:Z=A21)),1)&lt;&gt;"",INDEX(_xlfn._xlws.FILTER('Model output'!D:D,('Model output'!Z:Z=A21)),1)))))),2)</f>
        <v/>
      </c>
      <c r="G21" s="17" t="str" cm="1">
        <f t="array" ref="G21">IF(ISNUMBER(SEARCH("N",IF(ISNUMBER(SEARCH("present",IF(INDEX(_xlfn._xlws.FILTER('Model output'!E:E,('Model output'!Z:Z=A21)),1)="","",INDEX(_xlfn._xlws.FILTER('Model output'!E:E,('Model output'!Z:Z=A21)),1)),1)),"N1", IF(INDEX(_xlfn._xlws.FILTER('Model output'!E:E,('Model output'!Z:Z=A21)),1)="","",INDEX(_xlfn._xlws.FILTER('Model output'!E:E,('Model output'!Z:Z=A21)),1))),1)),RIGHT(IF(ISNUMBER(SEARCH("present",IF(INDEX(_xlfn._xlws.FILTER('Model output'!E:E,('Model output'!Z:Z=A21)),1)="","",INDEX(_xlfn._xlws.FILTER('Model output'!E:E,('Model output'!Z:Z=A21)),1)),1)),"N1", IF(INDEX(_xlfn._xlws.FILTER('Model output'!E:E,('Model output'!Z:Z=A21)),1)="","",INDEX(_xlfn._xlws.FILTER('Model output'!E:E,('Model output'!Z:Z=A21)),1))),LEN(IF(ISNUMBER(SEARCH("present",IF(INDEX(_xlfn._xlws.FILTER('Model output'!E:E,('Model output'!Z:Z=A21)),1)="","",INDEX(_xlfn._xlws.FILTER('Model output'!E:E,('Model output'!Z:Z=A21)),1)),1)),"N1", IF(INDEX(_xlfn._xlws.FILTER('Model output'!E:E,('Model output'!Z:Z=A21)),1)="","",INDEX(_xlfn._xlws.FILTER('Model output'!E:E,('Model output'!Z:Z=A21)),1))))-FIND("N",IF(ISNUMBER(SEARCH("present",IF(INDEX(_xlfn._xlws.FILTER('Model output'!E:E,('Model output'!Z:Z=A21)),1)="","",INDEX(_xlfn._xlws.FILTER('Model output'!E:E,('Model output'!Z:Z=A21)),1)),1)),"N1", IF(INDEX(_xlfn._xlws.FILTER('Model output'!E:E,('Model output'!Z:Z=A21)),1)="","",INDEX(_xlfn._xlws.FILTER('Model output'!E:E,('Model output'!Z:Z=A21)),1))),1)), "")</f>
        <v/>
      </c>
      <c r="H21" s="17" cm="1">
        <f t="array" ref="H21">IF(AND(SUBSTITUTE(_xlfn.TEXTJOIN("/", TRUE, _xlfn._xlws.FILTER('Model output'!F:F, 'Model output'!Z:Z=A21)),"M", "")="", K21="negative"),0,IF(K21="positive",1,0))</f>
        <v>0</v>
      </c>
      <c r="I21" t="str">
        <f t="shared" si="0"/>
        <v/>
      </c>
      <c r="J21" t="str" cm="1">
        <f t="array" ref="J21">IF(AND(M21&gt;0, _xlfn.TEXTJOIN("; ", TRUE, _xlfn._xlws.FILTER('Model output'!G:G, 'Model output'!Z:Z=A21)) &lt;&gt;"", OR(AND(ISNUMBER(SEARCH("level", _xlfn.TEXTJOIN("; ", TRUE, _xlfn._xlws.FILTER('Model output'!G:G, 'Model output'!Z:Z=A21)),1)),OR(ISNUMBER(SEARCH(" II", _xlfn.TEXTJOIN("; ", TRUE, _xlfn._xlws.FILTER('Model output'!G:G, 'Model output'!Z:Z=A21)),1)),ISNUMBER(SEARCH("2", _xlfn.TEXTJOIN("; ", TRUE, _xlfn._xlws.FILTER('Model output'!G:G, 'Model output'!Z:Z=A21)),1)),ISNUMBER(SEARCH("two", _xlfn.TEXTJOIN("; ", TRUE, _xlfn._xlws.FILTER('Model output'!G:G, 'Model output'!Z:Z=A21)),1)),ISNUMBER(SEARCH("III", _xlfn.TEXTJOIN("; ", TRUE, _xlfn._xlws.FILTER('Model output'!G:G, 'Model output'!Z:Z=A21)),1)),ISNUMBER(SEARCH("3", _xlfn.TEXTJOIN("; ", TRUE, _xlfn._xlws.FILTER('Model output'!G:G, 'Model output'!Z:Z=A21)),1)),ISNUMBER(SEARCH("three", _xlfn.TEXTJOIN("; ", TRUE, _xlfn._xlws.FILTER('Model output'!G:G, 'Model output'!Z:Z=A21)),1)),ISNUMBER(SEARCH("IV", _xlfn.TEXTJOIN("; ", TRUE, _xlfn._xlws.FILTER('Model output'!G:G, 'Model output'!Z:Z=A21)),1)),ISNUMBER(SEARCH("4", _xlfn.TEXTJOIN("; ", TRUE, _xlfn._xlws.FILTER('Model output'!G:G, 'Model output'!Z:Z=A21)),1)),ISNUMBER(SEARCH("five", _xlfn.TEXTJOIN("; ", TRUE, _xlfn._xlws.FILTER('Model output'!G:G, 'Model output'!Z:Z=A21)),1)),ISNUMBER(SEARCH("V ", _xlfn.TEXTJOIN("; ", TRUE, _xlfn._xlws.FILTER('Model output'!G:G, 'Model output'!Z:Z=A21)),1)),ISNUMBER(SEARCH("5", _xlfn.TEXTJOIN("; ", TRUE, _xlfn._xlws.FILTER('Model output'!G:G, 'Model output'!Z:Z=A21)),1)),ISNUMBER(SEARCH("five", _xlfn.TEXTJOIN("; ", TRUE, _xlfn._xlws.FILTER('Model output'!G:G, 'Model output'!Z:Z=A21)),1)),ISNUMBER(SEARCH(" lateral", _xlfn.TEXTJOIN("; ", TRUE, _xlfn._xlws.FILTER('Model output'!G:G, 'Model output'!Z:Z=A21)),1)))),ISNUMBER(SEARCH("cervical", _xlfn.TEXTJOIN("; ", TRUE, _xlfn._xlws.FILTER('Model output'!G:G, 'Model output'!Z:Z=A21)),1)),ISNUMBER(SEARCH("jugular", _xlfn.TEXTJOIN("; ", TRUE, _xlfn._xlws.FILTER('Model output'!G:G, 'Model output'!Z:Z=A21)),1)),ISNUMBER(SEARCH("left neck", _xlfn.TEXTJOIN("; ", TRUE, _xlfn._xlws.FILTER('Model output'!G:G, 'Model output'!Z:Z=A21)),1)),ISNUMBER(SEARCH("left anterior neck", _xlfn.TEXTJOIN("; ", TRUE, _xlfn._xlws.FILTER('Model output'!G:G, 'Model output'!Z:Z=A21)),1)),ISNUMBER(SEARCH("left posterior neck", _xlfn.TEXTJOIN("; ", TRUE, _xlfn._xlws.FILTER('Model output'!G:G, 'Model output'!Z:Z=A21)),1)),ISNUMBER(SEARCH("right neck", _xlfn.TEXTJOIN("; ", TRUE, _xlfn._xlws.FILTER('Model output'!G:G, 'Model output'!Z:Z=A21)),1)),ISNUMBER(SEARCH("right anterior neck", _xlfn.TEXTJOIN("; ", TRUE, _xlfn._xlws.FILTER('Model output'!G:G, 'Model output'!Z:Z=A21)),1)),ISNUMBER(SEARCH("right posterior neck", _xlfn.TEXTJOIN("; ", TRUE, _xlfn._xlws.FILTER('Model output'!G:G, 'Model output'!Z:Z=A21)),1)))),"lateral",IF(AND(M21=0, _xlfn.TEXTJOIN("; ", TRUE, _xlfn._xlws.FILTER('Model output'!G:G, 'Model output'!Z:Z=A21))=""),"", "central"))</f>
        <v/>
      </c>
      <c r="K21" s="17" t="str" cm="1">
        <f t="array" ref="K21">IF(OR(ISNUMBER(SEARCH("lymph",_xlfn.TEXTJOIN("; ", TRUE, _xlfn._xlws.FILTER('Model output'!H:H, 'Model output'!Z:Z=A21)),1)), ISNUMBER(SEARCH("Not mentioned",_xlfn.TEXTJOIN("; ", TRUE, _xlfn._xlws.FILTER('Model output'!H:H, 'Model output'!Z:Z=A21)),1)),ISNUMBER(SEARCH("thyroid",_xlfn.TEXTJOIN("; ", TRUE, _xlfn._xlws.FILTER('Model output'!H:H, 'Model output'!Z:Z=A21)),1)),ISNUMBER(SEARCH("strap muscle",_xlfn.TEXTJOIN("; ", TRUE, _xlfn._xlws.FILTER('Model output'!H:H, 'Model output'!Z:Z=A21)),1)),ISNUMBER(SEARCH("subcutaneous soft tissues",_xlfn.TEXTJOIN("; ", TRUE, _xlfn._xlws.FILTER('Model output'!H:H, 'Model output'!Z:Z=A21)),1)),ISNUMBER(SEARCH("larynx",_xlfn.TEXTJOIN("; ", TRUE, _xlfn._xlws.FILTER('Model output'!H:H, 'Model output'!Z:Z=A21)),1)),ISNUMBER(SEARCH("trachea",_xlfn.TEXTJOIN("; ", TRUE, _xlfn._xlws.FILTER('Model output'!H:H, 'Model output'!Z:Z=A21)),1)),ISNUMBER(SEARCH("esophagus",_xlfn.TEXTJOIN("; ", TRUE, _xlfn._xlws.FILTER('Model output'!H:H, 'Model output'!Z:Z=A21)),1)),ISNUMBER(SEARCH("recurrent laryngeal nerve",_xlfn.TEXTJOIN("; ", TRUE, _xlfn._xlws.FILTER('Model output'!H:H, 'Model output'!Z:Z=A21)),1)),ISNUMBER(SEARCH("RLN",_xlfn.TEXTJOIN("; ", TRUE, _xlfn._xlws.FILTER('Model output'!H:H, 'Model output'!Z:Z=A21)),1)),_xlfn.TEXTJOIN("; ", TRUE, _xlfn._xlws.FILTER('Model output'!H:H, 'Model output'!Z:Z=A21))=""),"negative","positive")</f>
        <v>negative</v>
      </c>
      <c r="L21" s="17">
        <f>IF(IFERROR(INDEX('Model output'!I:I, MATCH(A21, 'Model output'!Z:Z, 0)), "") &lt; M21, "", IFERROR(INDEX('Model output'!I:I, MATCH(A21, 'Model output'!Z:Z, 0)), ""))</f>
        <v>1</v>
      </c>
      <c r="M21" s="17">
        <f>IFERROR(INDEX('Model output'!J:J, MATCH(A21, 'Model output'!Z:Z, 0)), "")</f>
        <v>0</v>
      </c>
      <c r="N21" s="18" t="str" cm="1">
        <f t="array" ref="N21">ReplaceTo(ReplaceAnd(SUBSTITUTE(SUBSTITUTE(_xlfn.TEXTJOIN("; ", TRUE, _xlfn._xlws.FILTER('Model output'!K:K, 'Model output'!Z:Z=A21)), " ", ""), ",", ";")))</f>
        <v/>
      </c>
      <c r="O21" t="str" cm="1">
        <f t="array" ref="O21">IF(LEFT(IF(RIGHT(SUBSTITUTE(FilterWithUnits(N21)&amp; ";" &amp;FilterStringsWithNumericAnd(N21) &amp; ";" &amp; FilterStringsWithX(N21), ";;", ";"),1)=";",LEFT(SUBSTITUTE(FilterWithUnits(N21)&amp; ";" &amp;FilterStringsWithNumericAnd(N21) &amp; ";" &amp; FilterStringsWithX(N21), ";;", ";"),LEN(SUBSTITUTE(FilterWithUnits(N21)&amp; ";" &amp;FilterStringsWithNumericAnd(N21) &amp; ";" &amp; FilterStringsWithX(N21), ";;", ";"))-1),SUBSTITUTE(FilterWithUnits(N21)&amp; ";" &amp;FilterStringsWithNumericAnd(N21) &amp; ";" &amp; FilterStringsWithX(N21), ";;", ";")),1)=";",RIGHT(IF(RIGHT(SUBSTITUTE(FilterWithUnits(N21)&amp; ";" &amp;FilterStringsWithNumericAnd(N21) &amp; ";" &amp; FilterStringsWithX(N21), ";;", ";"),1)=";",LEFT(SUBSTITUTE(FilterWithUnits(N21)&amp; ";" &amp;FilterStringsWithNumericAnd(N21) &amp; ";" &amp; FilterStringsWithX(N21), ";;", ";"),LEN(SUBSTITUTE(FilterWithUnits(N21)&amp; ";" &amp;FilterStringsWithNumericAnd(N21) &amp; ";" &amp; FilterStringsWithX(N21), ";;", ";"))-1),SUBSTITUTE(FilterWithUnits(N21)&amp; ";" &amp;FilterStringsWithNumericAnd(N21) &amp; ";" &amp; FilterStringsWithX(N21), ";;", ";")),LEN(IF(RIGHT(SUBSTITUTE(FilterWithUnits(N21)&amp; ";" &amp;FilterStringsWithNumericAnd(N21) &amp; ";" &amp; FilterStringsWithX(N21), ";;", ";"),1)=";",LEFT(SUBSTITUTE(FilterWithUnits(N21)&amp; ";" &amp;FilterStringsWithNumericAnd(N21) &amp; ";" &amp; FilterStringsWithX(N21), ";;", ";"),LEN(SUBSTITUTE(FilterWithUnits(N21)&amp; ";" &amp;FilterStringsWithNumericAnd(N21) &amp; ";" &amp; FilterStringsWithX(N21), ";;", ";"))-1),SUBSTITUTE(FilterWithUnits(N21)&amp; ";" &amp;FilterStringsWithNumericAnd(N21) &amp; ";" &amp; FilterStringsWithX(N21), ";;", ";")))-1),IF(RIGHT(SUBSTITUTE(FilterWithUnits(N21)&amp; ";" &amp;FilterStringsWithNumericAnd(N21) &amp; ";" &amp; FilterStringsWithX(N21), ";;", ";"),1)=";",LEFT(SUBSTITUTE(FilterWithUnits(N21)&amp; ";" &amp;FilterStringsWithNumericAnd(N21) &amp; ";" &amp; FilterStringsWithX(N21), ";;", ";"),LEN(SUBSTITUTE(FilterWithUnits(N21)&amp; ";" &amp;FilterStringsWithNumericAnd(N21) &amp; ";" &amp; FilterStringsWithX(N21), ";;", ";"))-1),SUBSTITUTE(FilterWithUnits(N21)&amp; ";" &amp;FilterStringsWithNumericAnd(N21) &amp; ";" &amp; FilterStringsWithX(N21), ";;", ";")))</f>
        <v/>
      </c>
      <c r="P21" t="str" cm="1">
        <f t="array" ref="P21">IF(MaxSize((SplitDimensions(O21)))=0, "", MaxSize((SplitDimensions(O21))))</f>
        <v/>
      </c>
      <c r="Q21" t="str" cm="1">
        <f t="array" ref="Q21">IF(ISERROR(INDEX(_xlfn._xlws.FILTER('Model output'!L:L, ('Model output'!Z:Z=A21)*('Model output'!L:L&lt;&gt;"")), 1)), " ", LOWER(INDEX(_xlfn._xlws.FILTER('Model output'!L:L, ('Model output'!Z:Z=A21)*('Model output'!L:L&lt;&gt;"")), 1)))</f>
        <v>papillary carcinoma</v>
      </c>
      <c r="R21" t="str" cm="1">
        <f t="array" ref="R21">IF(ISERROR(INDEX(_xlfn._xlws.FILTER('Model output'!M:M, ('Model output'!Z:Z=A21)*('Model output'!M:M&lt;&gt;"")), 1)), " ", LOWER(INDEX(_xlfn._xlws.FILTER('Model output'!M:M, ('Model output'!Z:Z=A21)*('Model output'!M:M&lt;&gt;"")), 1)))</f>
        <v>classic subtype</v>
      </c>
      <c r="S21" t="str" cm="1">
        <f t="array" ref="S21">IF(OR(ISNUMBER(SEARCH("ly",SUBSTITUTE(INDEX(_xlfn._xlws.FILTER('Model output'!N:N,('Model output'!Z:Z=A21)*('Model output'!N:N&lt;&gt;"")),1)," ",""),1)), ISNUMBER(SEARCH("pole",SUBSTITUTE(INDEX(_xlfn._xlws.FILTER('Model output'!N:N,('Model output'!Z:Z=A21)*('Model output'!N:N&lt;&gt;"")),1)," ",""),1))),"",SUBSTITUTE(INDEX(_xlfn._xlws.FILTER('Model output'!N:N,('Model output'!Z:Z=A21)*('Model output'!N:N&lt;&gt;"")),1)," ",""))</f>
        <v>2mm</v>
      </c>
      <c r="T21" t="str" cm="1">
        <f t="array" ref="T21">IF(LEFT(IF(RIGHT(SUBSTITUTE(FilterWithUnits(S21)&amp; ";" &amp;FilterStringsWithNumericAnd(S21) &amp; ";" &amp; FilterStringsWithX(S21), ";;", ";"),1)=";",LEFT(SUBSTITUTE(FilterWithUnits(S21)&amp; ";" &amp;FilterStringsWithNumericAnd(S21) &amp; ";" &amp; FilterStringsWithX(S21), ";;", ";"),LEN(SUBSTITUTE(FilterWithUnits(S21)&amp; ";" &amp;FilterStringsWithNumericAnd(S21) &amp; ";" &amp; FilterStringsWithX(S21), ";;", ";"))-1),SUBSTITUTE(FilterWithUnits(S21)&amp; ";" &amp;FilterStringsWithNumericAnd(S21) &amp; ";" &amp; FilterStringsWithX(S21), ";;", ";")),1)=";",RIGHT(IF(RIGHT(SUBSTITUTE(FilterWithUnits(S21)&amp; ";" &amp;FilterStringsWithNumericAnd(S21) &amp; ";" &amp; FilterStringsWithX(S21), ";;", ";"),1)=";",LEFT(SUBSTITUTE(FilterWithUnits(S21)&amp; ";" &amp;FilterStringsWithNumericAnd(S21) &amp; ";" &amp; FilterStringsWithX(S21), ";;", ";"),LEN(SUBSTITUTE(FilterWithUnits(S21)&amp; ";" &amp;FilterStringsWithNumericAnd(S21) &amp; ";" &amp; FilterStringsWithX(S21), ";;", ";"))-1),SUBSTITUTE(FilterWithUnits(S21)&amp; ";" &amp;FilterStringsWithNumericAnd(S21) &amp; ";" &amp; FilterStringsWithX(S21), ";;", ";")),LEN(IF(RIGHT(SUBSTITUTE(FilterWithUnits(S21)&amp; ";" &amp;FilterStringsWithNumericAnd(S21) &amp; ";" &amp; FilterStringsWithX(S21), ";;", ";"),1)=";",LEFT(SUBSTITUTE(FilterWithUnits(S21)&amp; ";" &amp;FilterStringsWithNumericAnd(S21) &amp; ";" &amp; FilterStringsWithX(S21), ";;", ";"),LEN(SUBSTITUTE(FilterWithUnits(S21)&amp; ";" &amp;FilterStringsWithNumericAnd(S21) &amp; ";" &amp; FilterStringsWithX(S21), ";;", ";"))-1),SUBSTITUTE(FilterWithUnits(S21)&amp; ";" &amp;FilterStringsWithNumericAnd(S21) &amp; ";" &amp; FilterStringsWithX(S21), ";;", ";")))-1),IF(RIGHT(SUBSTITUTE(FilterWithUnits(S21)&amp; ";" &amp;FilterStringsWithNumericAnd(S21) &amp; ";" &amp; FilterStringsWithX(S21), ";;", ";"),1)=";",LEFT(SUBSTITUTE(FilterWithUnits(S21)&amp; ";" &amp;FilterStringsWithNumericAnd(S21) &amp; ";" &amp; FilterStringsWithX(S21), ";;", ";"),LEN(SUBSTITUTE(FilterWithUnits(S21)&amp; ";" &amp;FilterStringsWithNumericAnd(S21) &amp; ";" &amp; FilterStringsWithX(S21), ";;", ";"))-1),SUBSTITUTE(FilterWithUnits(S21)&amp; ";" &amp;FilterStringsWithNumericAnd(S21) &amp; ";" &amp; FilterStringsWithX(S21), ";;", ";")))</f>
        <v>2mm</v>
      </c>
      <c r="U21" cm="1">
        <f t="array" ref="U21">IF(MaxSize((SplitDimensions(T21)))=0, "", MaxSize((SplitDimensions(T21))))</f>
        <v>0.2</v>
      </c>
      <c r="V21" s="17" t="str" cm="1">
        <f t="array" ref="V21">IF(ISERROR(INDEX(_xlfn._xlws.FILTER('Model output'!P:P,('Model output'!Z:Z=A21)*('Model output'!P:P&lt;&gt;"")),1)),"negative",IF(OR(ISNUMBER(SEARCH("foc",INDEX(_xlfn._xlws.FILTER('Model output'!P:P,('Model output'!Z:Z=A21)*('Model output'!P:P&lt;&gt;"")),1),1)),ISNUMBER(SEARCH("extensive",INDEX(_xlfn._xlws.FILTER('Model output'!P:P,('Model output'!Z:Z=A21)*('Model output'!P:P&lt;&gt;"")),1),1)),ISNUMBER(SEARCH("present",INDEX(_xlfn._xlws.FILTER('Model output'!P:P,('Model output'!Z:Z=A21)*('Model output'!P:P&lt;&gt;"")),1),1)),ISNUMBER(SEARCH("yes",INDEX(_xlfn._xlws.FILTER('Model output'!P:P,('Model output'!Z:Z=A21)*('Model output'!P:P&lt;&gt;"")),1),1))),"positive","negative"))</f>
        <v>negative</v>
      </c>
      <c r="X21" t="str" cm="1">
        <f t="array" ref="X21">IF(ISNUMBER(SEARCH("4",INDEX(_xlfn._xlws.FILTER('Model output'!P:P,('Model output'!Z:Z=A21)*('Model output'!P:P&lt;&gt;"")),1),1)),INDEX(_xlfn._xlws.FILTER('Model output'!P:P,('Model output'!Z:Z=A21)*('Model output'!P:P&lt;&gt;"")),1),"") &amp; _xlfn.TEXTJOIN("",TRUE,_xlfn._xlws.FILTER('Model output'!Q:Q,'Model output'!Z:Z=A21))</f>
        <v>Not mentioned</v>
      </c>
      <c r="Y21" t="str">
        <f t="shared" si="11"/>
        <v>no</v>
      </c>
      <c r="Z21" t="str" cm="1">
        <f t="array" ref="Z21">IF(OR(ISNUMBER(SEARCH("focal",_xlfn.TEXTJOIN("; ",TRUE,_xlfn._xlws.FILTER('Model output'!R:R,'Model output'!Z:Z=A21)),1)),ISNUMBER(SEARCH("present",_xlfn.TEXTJOIN("; ",TRUE,_xlfn._xlws.FILTER('Model output'!R:R,'Model output'!Z:Z=A21)),1))),"positive",IF(_xlfn.TEXTJOIN("; ",TRUE,_xlfn._xlws.FILTER('Model output'!R:R,'Model output'!Z:Z=A21))="","negative",IF(OR(ISNUMBER(SEARCH("no",_xlfn.TEXTJOIN("; ",TRUE,_xlfn._xlws.FILTER('Model output'!R:R,'Model output'!Z:Z=A21)),1)),ISNUMBER(SEARCH("absent",_xlfn.TEXTJOIN("; ",TRUE,_xlfn._xlws.FILTER('Model output'!R:R,'Model output'!Z:Z=A21)),1))),"negative","positive")))</f>
        <v>negative</v>
      </c>
      <c r="AA21" s="17" t="str">
        <f t="shared" si="1"/>
        <v>negative</v>
      </c>
      <c r="AE21" s="17" t="str">
        <f t="shared" si="12"/>
        <v>negative</v>
      </c>
      <c r="AF21" t="str" cm="1">
        <f t="array" ref="AF21">_xlfn.TEXTJOIN("; ",TRUE,_xlfn._xlws.FILTER('Model output'!S:S,'Model output'!Z:Z=A21))</f>
        <v>Not identified; Not mentioned</v>
      </c>
      <c r="AG21" s="17" t="str" cm="1">
        <f t="array" ref="AG21">IF(OR(ISNUMBER(SEARCH("uninvolved",_xlfn.TEXTJOIN("; ",TRUE,_xlfn._xlws.FILTER('Model output'!V:V,'Model output'!Z:Z=A21)),1)),ISNUMBER(SEARCH("clear",_xlfn.TEXTJOIN("; ",TRUE,_xlfn._xlws.FILTER('Model output'!V:V,'Model output'!Z:Z=A21)),1))*ISNUMBER(SEARCH("not mentioned",_xlfn.TEXTJOIN("; ",TRUE,_xlfn._xlws.FILTER('Model output'!V:V,'Model output'!Z:Z=A21)),1))),"negative",IF(ISNUMBER(SEARCH("cannot be assessed",_xlfn.TEXTJOIN("; ",TRUE,_xlfn._xlws.FILTER('Model output'!V:V,'Model output'!Z:Z=A21)),1)),"unknown","negative"))</f>
        <v>negative</v>
      </c>
      <c r="AI21" s="45" t="str">
        <f t="shared" si="13"/>
        <v>low</v>
      </c>
      <c r="AJ21" s="41" t="str">
        <f t="shared" si="14"/>
        <v>1a</v>
      </c>
      <c r="AK21" s="41">
        <f t="shared" si="3"/>
        <v>0</v>
      </c>
      <c r="AL21" s="41">
        <f t="shared" si="4"/>
        <v>0</v>
      </c>
      <c r="AM21" s="41" t="str">
        <f t="shared" si="5"/>
        <v>I</v>
      </c>
      <c r="AN21" s="42" t="s">
        <v>166</v>
      </c>
      <c r="AO21" s="43" t="s">
        <v>205</v>
      </c>
      <c r="AP21" s="43">
        <v>0</v>
      </c>
      <c r="AQ21" s="43">
        <v>0</v>
      </c>
      <c r="AR21" s="43" t="s">
        <v>31</v>
      </c>
      <c r="AS21" s="42">
        <f t="shared" si="6"/>
        <v>1</v>
      </c>
      <c r="AT21" s="43">
        <f t="shared" si="7"/>
        <v>1</v>
      </c>
      <c r="AU21" s="43">
        <f t="shared" si="8"/>
        <v>1</v>
      </c>
      <c r="AV21" s="43">
        <f t="shared" si="9"/>
        <v>1</v>
      </c>
      <c r="AW21" s="44">
        <f t="shared" si="10"/>
        <v>1</v>
      </c>
    </row>
    <row r="22" spans="1:49">
      <c r="A22" s="13">
        <v>20</v>
      </c>
      <c r="B22" s="16">
        <f>_xlfn.MAXIFS('Model output'!B:B,'Model output'!Z:Z,'Classification result'!$A22)</f>
        <v>0</v>
      </c>
      <c r="C22" s="16"/>
      <c r="D22" s="16"/>
      <c r="E22" s="17">
        <f>_xlfn.MAXIFS('Model output'!C:C,'Model output'!Z:Z,'Classification result'!$A22)</f>
        <v>61</v>
      </c>
      <c r="F22" s="17" t="str" cm="1">
        <f t="array" ref="F22">LEFT(IF(ISERROR(RIGHT(IF(INDEX(_xlfn._xlws.FILTER('Model output'!D:D,('Model output'!Z:Z=A22)),1)&lt;&gt;"",INDEX(_xlfn._xlws.FILTER('Model output'!D:D,('Model output'!Z:Z=A22)),1),""),LEN(IF(INDEX(_xlfn._xlws.FILTER('Model output'!D:D,('Model output'!Z:Z=A22)),1)&lt;&gt;"",INDEX(_xlfn._xlws.FILTER('Model output'!D:D,('Model output'!Z:Z=A22)),1),""))-FIND("T",IF(INDEX(_xlfn._xlws.FILTER('Model output'!D:D,('Model output'!Z:Z=A22)),1)&lt;&gt;"",INDEX(_xlfn._xlws.FILTER('Model output'!D:D,('Model output'!Z:Z=A22)),1),""),1))),"",(RIGHT(IF(INDEX(_xlfn._xlws.FILTER('Model output'!D:D,('Model output'!Z:Z=A22)),1)&lt;&gt;"",INDEX(_xlfn._xlws.FILTER('Model output'!D:D,('Model output'!Z:Z=A22)),1),""),LEN(IF(INDEX(_xlfn._xlws.FILTER('Model output'!D:D,('Model output'!Z:Z=A22)),1)&lt;&gt;"",INDEX(_xlfn._xlws.FILTER('Model output'!D:D,('Model output'!Z:Z=A22)),1),""))-FIND("T",IF(INDEX(_xlfn._xlws.FILTER('Model output'!D:D,('Model output'!Z:Z=A22)),1)&lt;&gt;"",INDEX(_xlfn._xlws.FILTER('Model output'!D:D,('Model output'!Z:Z=A22)),1)))))),2)</f>
        <v xml:space="preserve">1 </v>
      </c>
      <c r="G22" s="17" t="str" cm="1">
        <f t="array" ref="G22">IF(ISNUMBER(SEARCH("N",IF(ISNUMBER(SEARCH("present",IF(INDEX(_xlfn._xlws.FILTER('Model output'!E:E,('Model output'!Z:Z=A22)),1)="","",INDEX(_xlfn._xlws.FILTER('Model output'!E:E,('Model output'!Z:Z=A22)),1)),1)),"N1", IF(INDEX(_xlfn._xlws.FILTER('Model output'!E:E,('Model output'!Z:Z=A22)),1)="","",INDEX(_xlfn._xlws.FILTER('Model output'!E:E,('Model output'!Z:Z=A22)),1))),1)),RIGHT(IF(ISNUMBER(SEARCH("present",IF(INDEX(_xlfn._xlws.FILTER('Model output'!E:E,('Model output'!Z:Z=A22)),1)="","",INDEX(_xlfn._xlws.FILTER('Model output'!E:E,('Model output'!Z:Z=A22)),1)),1)),"N1", IF(INDEX(_xlfn._xlws.FILTER('Model output'!E:E,('Model output'!Z:Z=A22)),1)="","",INDEX(_xlfn._xlws.FILTER('Model output'!E:E,('Model output'!Z:Z=A22)),1))),LEN(IF(ISNUMBER(SEARCH("present",IF(INDEX(_xlfn._xlws.FILTER('Model output'!E:E,('Model output'!Z:Z=A22)),1)="","",INDEX(_xlfn._xlws.FILTER('Model output'!E:E,('Model output'!Z:Z=A22)),1)),1)),"N1", IF(INDEX(_xlfn._xlws.FILTER('Model output'!E:E,('Model output'!Z:Z=A22)),1)="","",INDEX(_xlfn._xlws.FILTER('Model output'!E:E,('Model output'!Z:Z=A22)),1))))-FIND("N",IF(ISNUMBER(SEARCH("present",IF(INDEX(_xlfn._xlws.FILTER('Model output'!E:E,('Model output'!Z:Z=A22)),1)="","",INDEX(_xlfn._xlws.FILTER('Model output'!E:E,('Model output'!Z:Z=A22)),1)),1)),"N1", IF(INDEX(_xlfn._xlws.FILTER('Model output'!E:E,('Model output'!Z:Z=A22)),1)="","",INDEX(_xlfn._xlws.FILTER('Model output'!E:E,('Model output'!Z:Z=A22)),1))),1)), "")</f>
        <v/>
      </c>
      <c r="H22" s="17" cm="1">
        <f t="array" ref="H22">IF(AND(SUBSTITUTE(_xlfn.TEXTJOIN("/", TRUE, _xlfn._xlws.FILTER('Model output'!F:F, 'Model output'!Z:Z=A22)),"M", "")="", K22="negative"),0,IF(K22="positive",1,0))</f>
        <v>0</v>
      </c>
      <c r="I22" t="str">
        <f t="shared" si="0"/>
        <v>positive</v>
      </c>
      <c r="J22" t="str" cm="1">
        <f t="array" ref="J22">IF(AND(M22&gt;0, _xlfn.TEXTJOIN("; ", TRUE, _xlfn._xlws.FILTER('Model output'!G:G, 'Model output'!Z:Z=A22)) &lt;&gt;"", OR(AND(ISNUMBER(SEARCH("level", _xlfn.TEXTJOIN("; ", TRUE, _xlfn._xlws.FILTER('Model output'!G:G, 'Model output'!Z:Z=A22)),1)),OR(ISNUMBER(SEARCH(" II", _xlfn.TEXTJOIN("; ", TRUE, _xlfn._xlws.FILTER('Model output'!G:G, 'Model output'!Z:Z=A22)),1)),ISNUMBER(SEARCH("2", _xlfn.TEXTJOIN("; ", TRUE, _xlfn._xlws.FILTER('Model output'!G:G, 'Model output'!Z:Z=A22)),1)),ISNUMBER(SEARCH("two", _xlfn.TEXTJOIN("; ", TRUE, _xlfn._xlws.FILTER('Model output'!G:G, 'Model output'!Z:Z=A22)),1)),ISNUMBER(SEARCH("III", _xlfn.TEXTJOIN("; ", TRUE, _xlfn._xlws.FILTER('Model output'!G:G, 'Model output'!Z:Z=A22)),1)),ISNUMBER(SEARCH("3", _xlfn.TEXTJOIN("; ", TRUE, _xlfn._xlws.FILTER('Model output'!G:G, 'Model output'!Z:Z=A22)),1)),ISNUMBER(SEARCH("three", _xlfn.TEXTJOIN("; ", TRUE, _xlfn._xlws.FILTER('Model output'!G:G, 'Model output'!Z:Z=A22)),1)),ISNUMBER(SEARCH("IV", _xlfn.TEXTJOIN("; ", TRUE, _xlfn._xlws.FILTER('Model output'!G:G, 'Model output'!Z:Z=A22)),1)),ISNUMBER(SEARCH("4", _xlfn.TEXTJOIN("; ", TRUE, _xlfn._xlws.FILTER('Model output'!G:G, 'Model output'!Z:Z=A22)),1)),ISNUMBER(SEARCH("five", _xlfn.TEXTJOIN("; ", TRUE, _xlfn._xlws.FILTER('Model output'!G:G, 'Model output'!Z:Z=A22)),1)),ISNUMBER(SEARCH("V ", _xlfn.TEXTJOIN("; ", TRUE, _xlfn._xlws.FILTER('Model output'!G:G, 'Model output'!Z:Z=A22)),1)),ISNUMBER(SEARCH("5", _xlfn.TEXTJOIN("; ", TRUE, _xlfn._xlws.FILTER('Model output'!G:G, 'Model output'!Z:Z=A22)),1)),ISNUMBER(SEARCH("five", _xlfn.TEXTJOIN("; ", TRUE, _xlfn._xlws.FILTER('Model output'!G:G, 'Model output'!Z:Z=A22)),1)),ISNUMBER(SEARCH(" lateral", _xlfn.TEXTJOIN("; ", TRUE, _xlfn._xlws.FILTER('Model output'!G:G, 'Model output'!Z:Z=A22)),1)))),ISNUMBER(SEARCH("cervical", _xlfn.TEXTJOIN("; ", TRUE, _xlfn._xlws.FILTER('Model output'!G:G, 'Model output'!Z:Z=A22)),1)),ISNUMBER(SEARCH("jugular", _xlfn.TEXTJOIN("; ", TRUE, _xlfn._xlws.FILTER('Model output'!G:G, 'Model output'!Z:Z=A22)),1)),ISNUMBER(SEARCH("left neck", _xlfn.TEXTJOIN("; ", TRUE, _xlfn._xlws.FILTER('Model output'!G:G, 'Model output'!Z:Z=A22)),1)),ISNUMBER(SEARCH("left anterior neck", _xlfn.TEXTJOIN("; ", TRUE, _xlfn._xlws.FILTER('Model output'!G:G, 'Model output'!Z:Z=A22)),1)),ISNUMBER(SEARCH("left posterior neck", _xlfn.TEXTJOIN("; ", TRUE, _xlfn._xlws.FILTER('Model output'!G:G, 'Model output'!Z:Z=A22)),1)),ISNUMBER(SEARCH("right neck", _xlfn.TEXTJOIN("; ", TRUE, _xlfn._xlws.FILTER('Model output'!G:G, 'Model output'!Z:Z=A22)),1)),ISNUMBER(SEARCH("right anterior neck", _xlfn.TEXTJOIN("; ", TRUE, _xlfn._xlws.FILTER('Model output'!G:G, 'Model output'!Z:Z=A22)),1)),ISNUMBER(SEARCH("right posterior neck", _xlfn.TEXTJOIN("; ", TRUE, _xlfn._xlws.FILTER('Model output'!G:G, 'Model output'!Z:Z=A22)),1)))),"lateral",IF(AND(M22=0, _xlfn.TEXTJOIN("; ", TRUE, _xlfn._xlws.FILTER('Model output'!G:G, 'Model output'!Z:Z=A22))=""),"", "central"))</f>
        <v>central</v>
      </c>
      <c r="K22" s="17" t="str" cm="1">
        <f t="array" ref="K22">IF(OR(ISNUMBER(SEARCH("lymph",_xlfn.TEXTJOIN("; ", TRUE, _xlfn._xlws.FILTER('Model output'!H:H, 'Model output'!Z:Z=A22)),1)), ISNUMBER(SEARCH("Not mentioned",_xlfn.TEXTJOIN("; ", TRUE, _xlfn._xlws.FILTER('Model output'!H:H, 'Model output'!Z:Z=A22)),1)),ISNUMBER(SEARCH("thyroid",_xlfn.TEXTJOIN("; ", TRUE, _xlfn._xlws.FILTER('Model output'!H:H, 'Model output'!Z:Z=A22)),1)),ISNUMBER(SEARCH("strap muscle",_xlfn.TEXTJOIN("; ", TRUE, _xlfn._xlws.FILTER('Model output'!H:H, 'Model output'!Z:Z=A22)),1)),ISNUMBER(SEARCH("subcutaneous soft tissues",_xlfn.TEXTJOIN("; ", TRUE, _xlfn._xlws.FILTER('Model output'!H:H, 'Model output'!Z:Z=A22)),1)),ISNUMBER(SEARCH("larynx",_xlfn.TEXTJOIN("; ", TRUE, _xlfn._xlws.FILTER('Model output'!H:H, 'Model output'!Z:Z=A22)),1)),ISNUMBER(SEARCH("trachea",_xlfn.TEXTJOIN("; ", TRUE, _xlfn._xlws.FILTER('Model output'!H:H, 'Model output'!Z:Z=A22)),1)),ISNUMBER(SEARCH("esophagus",_xlfn.TEXTJOIN("; ", TRUE, _xlfn._xlws.FILTER('Model output'!H:H, 'Model output'!Z:Z=A22)),1)),ISNUMBER(SEARCH("recurrent laryngeal nerve",_xlfn.TEXTJOIN("; ", TRUE, _xlfn._xlws.FILTER('Model output'!H:H, 'Model output'!Z:Z=A22)),1)),ISNUMBER(SEARCH("RLN",_xlfn.TEXTJOIN("; ", TRUE, _xlfn._xlws.FILTER('Model output'!H:H, 'Model output'!Z:Z=A22)),1)),_xlfn.TEXTJOIN("; ", TRUE, _xlfn._xlws.FILTER('Model output'!H:H, 'Model output'!Z:Z=A22))=""),"negative","positive")</f>
        <v>negative</v>
      </c>
      <c r="L22" s="17">
        <f>IF(IFERROR(INDEX('Model output'!I:I, MATCH(A22, 'Model output'!Z:Z, 0)), "") &lt; M22, "", IFERROR(INDEX('Model output'!I:I, MATCH(A22, 'Model output'!Z:Z, 0)), ""))</f>
        <v>4</v>
      </c>
      <c r="M22" s="17">
        <f>IFERROR(INDEX('Model output'!J:J, MATCH(A22, 'Model output'!Z:Z, 0)), "")</f>
        <v>3</v>
      </c>
      <c r="N22" s="18" t="str" cm="1">
        <f t="array" ref="N22">ReplaceTo(ReplaceAnd(SUBSTITUTE(SUBSTITUTE(_xlfn.TEXTJOIN("; ", TRUE, _xlfn._xlws.FILTER('Model output'!K:K, 'Model output'!Z:Z=A22)), " ", ""), ",", ";")))</f>
        <v/>
      </c>
      <c r="O22" t="str" cm="1">
        <f t="array" ref="O22">IF(LEFT(IF(RIGHT(SUBSTITUTE(FilterWithUnits(N22)&amp; ";" &amp;FilterStringsWithNumericAnd(N22) &amp; ";" &amp; FilterStringsWithX(N22), ";;", ";"),1)=";",LEFT(SUBSTITUTE(FilterWithUnits(N22)&amp; ";" &amp;FilterStringsWithNumericAnd(N22) &amp; ";" &amp; FilterStringsWithX(N22), ";;", ";"),LEN(SUBSTITUTE(FilterWithUnits(N22)&amp; ";" &amp;FilterStringsWithNumericAnd(N22) &amp; ";" &amp; FilterStringsWithX(N22), ";;", ";"))-1),SUBSTITUTE(FilterWithUnits(N22)&amp; ";" &amp;FilterStringsWithNumericAnd(N22) &amp; ";" &amp; FilterStringsWithX(N22), ";;", ";")),1)=";",RIGHT(IF(RIGHT(SUBSTITUTE(FilterWithUnits(N22)&amp; ";" &amp;FilterStringsWithNumericAnd(N22) &amp; ";" &amp; FilterStringsWithX(N22), ";;", ";"),1)=";",LEFT(SUBSTITUTE(FilterWithUnits(N22)&amp; ";" &amp;FilterStringsWithNumericAnd(N22) &amp; ";" &amp; FilterStringsWithX(N22), ";;", ";"),LEN(SUBSTITUTE(FilterWithUnits(N22)&amp; ";" &amp;FilterStringsWithNumericAnd(N22) &amp; ";" &amp; FilterStringsWithX(N22), ";;", ";"))-1),SUBSTITUTE(FilterWithUnits(N22)&amp; ";" &amp;FilterStringsWithNumericAnd(N22) &amp; ";" &amp; FilterStringsWithX(N22), ";;", ";")),LEN(IF(RIGHT(SUBSTITUTE(FilterWithUnits(N22)&amp; ";" &amp;FilterStringsWithNumericAnd(N22) &amp; ";" &amp; FilterStringsWithX(N22), ";;", ";"),1)=";",LEFT(SUBSTITUTE(FilterWithUnits(N22)&amp; ";" &amp;FilterStringsWithNumericAnd(N22) &amp; ";" &amp; FilterStringsWithX(N22), ";;", ";"),LEN(SUBSTITUTE(FilterWithUnits(N22)&amp; ";" &amp;FilterStringsWithNumericAnd(N22) &amp; ";" &amp; FilterStringsWithX(N22), ";;", ";"))-1),SUBSTITUTE(FilterWithUnits(N22)&amp; ";" &amp;FilterStringsWithNumericAnd(N22) &amp; ";" &amp; FilterStringsWithX(N22), ";;", ";")))-1),IF(RIGHT(SUBSTITUTE(FilterWithUnits(N22)&amp; ";" &amp;FilterStringsWithNumericAnd(N22) &amp; ";" &amp; FilterStringsWithX(N22), ";;", ";"),1)=";",LEFT(SUBSTITUTE(FilterWithUnits(N22)&amp; ";" &amp;FilterStringsWithNumericAnd(N22) &amp; ";" &amp; FilterStringsWithX(N22), ";;", ";"),LEN(SUBSTITUTE(FilterWithUnits(N22)&amp; ";" &amp;FilterStringsWithNumericAnd(N22) &amp; ";" &amp; FilterStringsWithX(N22), ";;", ";"))-1),SUBSTITUTE(FilterWithUnits(N22)&amp; ";" &amp;FilterStringsWithNumericAnd(N22) &amp; ";" &amp; FilterStringsWithX(N22), ";;", ";")))</f>
        <v/>
      </c>
      <c r="P22" t="str" cm="1">
        <f t="array" ref="P22">IF(MaxSize((SplitDimensions(O22)))=0, "", MaxSize((SplitDimensions(O22))))</f>
        <v/>
      </c>
      <c r="Q22" t="str" cm="1">
        <f t="array" ref="Q22">IF(ISERROR(INDEX(_xlfn._xlws.FILTER('Model output'!L:L, ('Model output'!Z:Z=A22)*('Model output'!L:L&lt;&gt;"")), 1)), " ", LOWER(INDEX(_xlfn._xlws.FILTER('Model output'!L:L, ('Model output'!Z:Z=A22)*('Model output'!L:L&lt;&gt;"")), 1)))</f>
        <v>papillary carcinoma</v>
      </c>
      <c r="R22" t="str" cm="1">
        <f t="array" ref="R22">IF(ISERROR(INDEX(_xlfn._xlws.FILTER('Model output'!M:M, ('Model output'!Z:Z=A22)*('Model output'!M:M&lt;&gt;"")), 1)), " ", LOWER(INDEX(_xlfn._xlws.FILTER('Model output'!M:M, ('Model output'!Z:Z=A22)*('Model output'!M:M&lt;&gt;"")), 1)))</f>
        <v>infiltrative follicular pattern and focal papillary structures among a sclerotic stroma, associated with calcification and ossification for the left thyroid (c)</v>
      </c>
      <c r="S22" t="str" cm="1">
        <f t="array" ref="S22">IF(OR(ISNUMBER(SEARCH("ly",SUBSTITUTE(INDEX(_xlfn._xlws.FILTER('Model output'!N:N,('Model output'!Z:Z=A22)*('Model output'!N:N&lt;&gt;"")),1)," ",""),1)), ISNUMBER(SEARCH("pole",SUBSTITUTE(INDEX(_xlfn._xlws.FILTER('Model output'!N:N,('Model output'!Z:Z=A22)*('Model output'!N:N&lt;&gt;"")),1)," ",""),1))),"",SUBSTITUTE(INDEX(_xlfn._xlws.FILTER('Model output'!N:N,('Model output'!Z:Z=A22)*('Model output'!N:N&lt;&gt;"")),1)," ",""))</f>
        <v>11mmfortheleftthyroid(C)</v>
      </c>
      <c r="T22" t="str" cm="1">
        <f t="array" ref="T22">IF(LEFT(IF(RIGHT(SUBSTITUTE(FilterWithUnits(S22)&amp; ";" &amp;FilterStringsWithNumericAnd(S22) &amp; ";" &amp; FilterStringsWithX(S22), ";;", ";"),1)=";",LEFT(SUBSTITUTE(FilterWithUnits(S22)&amp; ";" &amp;FilterStringsWithNumericAnd(S22) &amp; ";" &amp; FilterStringsWithX(S22), ";;", ";"),LEN(SUBSTITUTE(FilterWithUnits(S22)&amp; ";" &amp;FilterStringsWithNumericAnd(S22) &amp; ";" &amp; FilterStringsWithX(S22), ";;", ";"))-1),SUBSTITUTE(FilterWithUnits(S22)&amp; ";" &amp;FilterStringsWithNumericAnd(S22) &amp; ";" &amp; FilterStringsWithX(S22), ";;", ";")),1)=";",RIGHT(IF(RIGHT(SUBSTITUTE(FilterWithUnits(S22)&amp; ";" &amp;FilterStringsWithNumericAnd(S22) &amp; ";" &amp; FilterStringsWithX(S22), ";;", ";"),1)=";",LEFT(SUBSTITUTE(FilterWithUnits(S22)&amp; ";" &amp;FilterStringsWithNumericAnd(S22) &amp; ";" &amp; FilterStringsWithX(S22), ";;", ";"),LEN(SUBSTITUTE(FilterWithUnits(S22)&amp; ";" &amp;FilterStringsWithNumericAnd(S22) &amp; ";" &amp; FilterStringsWithX(S22), ";;", ";"))-1),SUBSTITUTE(FilterWithUnits(S22)&amp; ";" &amp;FilterStringsWithNumericAnd(S22) &amp; ";" &amp; FilterStringsWithX(S22), ";;", ";")),LEN(IF(RIGHT(SUBSTITUTE(FilterWithUnits(S22)&amp; ";" &amp;FilterStringsWithNumericAnd(S22) &amp; ";" &amp; FilterStringsWithX(S22), ";;", ";"),1)=";",LEFT(SUBSTITUTE(FilterWithUnits(S22)&amp; ";" &amp;FilterStringsWithNumericAnd(S22) &amp; ";" &amp; FilterStringsWithX(S22), ";;", ";"),LEN(SUBSTITUTE(FilterWithUnits(S22)&amp; ";" &amp;FilterStringsWithNumericAnd(S22) &amp; ";" &amp; FilterStringsWithX(S22), ";;", ";"))-1),SUBSTITUTE(FilterWithUnits(S22)&amp; ";" &amp;FilterStringsWithNumericAnd(S22) &amp; ";" &amp; FilterStringsWithX(S22), ";;", ";")))-1),IF(RIGHT(SUBSTITUTE(FilterWithUnits(S22)&amp; ";" &amp;FilterStringsWithNumericAnd(S22) &amp; ";" &amp; FilterStringsWithX(S22), ";;", ";"),1)=";",LEFT(SUBSTITUTE(FilterWithUnits(S22)&amp; ";" &amp;FilterStringsWithNumericAnd(S22) &amp; ";" &amp; FilterStringsWithX(S22), ";;", ";"),LEN(SUBSTITUTE(FilterWithUnits(S22)&amp; ";" &amp;FilterStringsWithNumericAnd(S22) &amp; ";" &amp; FilterStringsWithX(S22), ";;", ";"))-1),SUBSTITUTE(FilterWithUnits(S22)&amp; ";" &amp;FilterStringsWithNumericAnd(S22) &amp; ";" &amp; FilterStringsWithX(S22), ";;", ";")))</f>
        <v>11mm</v>
      </c>
      <c r="U22" cm="1">
        <f t="array" ref="U22">IF(MaxSize((SplitDimensions(T22)))=0, "", MaxSize((SplitDimensions(T22))))</f>
        <v>1.1000000000000001</v>
      </c>
      <c r="V22" s="17" t="str" cm="1">
        <f t="array" ref="V22">IF(ISERROR(INDEX(_xlfn._xlws.FILTER('Model output'!P:P,('Model output'!Z:Z=A22)*('Model output'!P:P&lt;&gt;"")),1)),"negative",IF(OR(ISNUMBER(SEARCH("foc",INDEX(_xlfn._xlws.FILTER('Model output'!P:P,('Model output'!Z:Z=A22)*('Model output'!P:P&lt;&gt;"")),1),1)),ISNUMBER(SEARCH("extensive",INDEX(_xlfn._xlws.FILTER('Model output'!P:P,('Model output'!Z:Z=A22)*('Model output'!P:P&lt;&gt;"")),1),1)),ISNUMBER(SEARCH("present",INDEX(_xlfn._xlws.FILTER('Model output'!P:P,('Model output'!Z:Z=A22)*('Model output'!P:P&lt;&gt;"")),1),1)),ISNUMBER(SEARCH("yes",INDEX(_xlfn._xlws.FILTER('Model output'!P:P,('Model output'!Z:Z=A22)*('Model output'!P:P&lt;&gt;"")),1),1))),"positive","negative"))</f>
        <v>positive</v>
      </c>
      <c r="X22" t="str" cm="1">
        <f t="array" ref="X22">IF(ISNUMBER(SEARCH("4",INDEX(_xlfn._xlws.FILTER('Model output'!P:P,('Model output'!Z:Z=A22)*('Model output'!P:P&lt;&gt;"")),1),1)),INDEX(_xlfn._xlws.FILTER('Model output'!P:P,('Model output'!Z:Z=A22)*('Model output'!P:P&lt;&gt;"")),1),"") &amp; _xlfn.TEXTJOIN("",TRUE,_xlfn._xlws.FILTER('Model output'!Q:Q,'Model output'!Z:Z=A22))</f>
        <v>Not mentioned</v>
      </c>
      <c r="Y22" t="str">
        <f t="shared" si="11"/>
        <v>minimal</v>
      </c>
      <c r="Z22" t="str" cm="1">
        <f t="array" ref="Z22">IF(OR(ISNUMBER(SEARCH("focal",_xlfn.TEXTJOIN("; ",TRUE,_xlfn._xlws.FILTER('Model output'!R:R,'Model output'!Z:Z=A22)),1)),ISNUMBER(SEARCH("present",_xlfn.TEXTJOIN("; ",TRUE,_xlfn._xlws.FILTER('Model output'!R:R,'Model output'!Z:Z=A22)),1))),"positive",IF(_xlfn.TEXTJOIN("; ",TRUE,_xlfn._xlws.FILTER('Model output'!R:R,'Model output'!Z:Z=A22))="","negative",IF(OR(ISNUMBER(SEARCH("no",_xlfn.TEXTJOIN("; ",TRUE,_xlfn._xlws.FILTER('Model output'!R:R,'Model output'!Z:Z=A22)),1)),ISNUMBER(SEARCH("absent",_xlfn.TEXTJOIN("; ",TRUE,_xlfn._xlws.FILTER('Model output'!R:R,'Model output'!Z:Z=A22)),1))),"negative","positive")))</f>
        <v>negative</v>
      </c>
      <c r="AA22" s="17" t="str">
        <f t="shared" si="1"/>
        <v>positive</v>
      </c>
      <c r="AE22" s="17" t="str">
        <f t="shared" si="12"/>
        <v>negative</v>
      </c>
      <c r="AF22" t="str" cm="1">
        <f t="array" ref="AF22">_xlfn.TEXTJOIN("; ",TRUE,_xlfn._xlws.FILTER('Model output'!S:S,'Model output'!Z:Z=A22))</f>
        <v>Present for the left thyroid (C); Not mentioned</v>
      </c>
      <c r="AG22" s="17" t="str" cm="1">
        <f t="array" ref="AG22">IF(OR(ISNUMBER(SEARCH("uninvolved",_xlfn.TEXTJOIN("; ",TRUE,_xlfn._xlws.FILTER('Model output'!V:V,'Model output'!Z:Z=A22)),1)),ISNUMBER(SEARCH("clear",_xlfn.TEXTJOIN("; ",TRUE,_xlfn._xlws.FILTER('Model output'!V:V,'Model output'!Z:Z=A22)),1))*ISNUMBER(SEARCH("not mentioned",_xlfn.TEXTJOIN("; ",TRUE,_xlfn._xlws.FILTER('Model output'!V:V,'Model output'!Z:Z=A22)),1))),"negative",IF(ISNUMBER(SEARCH("cannot be assessed",_xlfn.TEXTJOIN("; ",TRUE,_xlfn._xlws.FILTER('Model output'!V:V,'Model output'!Z:Z=A22)),1)),"unknown","negative"))</f>
        <v>negative</v>
      </c>
      <c r="AI22" s="45" t="str">
        <f t="shared" si="13"/>
        <v>intermediate</v>
      </c>
      <c r="AJ22" s="41" t="str">
        <f t="shared" si="14"/>
        <v>1b</v>
      </c>
      <c r="AK22" s="41" t="str">
        <f t="shared" si="3"/>
        <v>1a</v>
      </c>
      <c r="AL22" s="41">
        <f t="shared" si="4"/>
        <v>0</v>
      </c>
      <c r="AM22" s="41" t="str">
        <f t="shared" si="5"/>
        <v>II</v>
      </c>
      <c r="AN22" s="42" t="s">
        <v>164</v>
      </c>
      <c r="AO22" s="43" t="s">
        <v>203</v>
      </c>
      <c r="AP22" s="43" t="s">
        <v>205</v>
      </c>
      <c r="AQ22" s="43">
        <v>0</v>
      </c>
      <c r="AR22" s="43" t="s">
        <v>44</v>
      </c>
      <c r="AS22" s="42">
        <f t="shared" si="6"/>
        <v>1</v>
      </c>
      <c r="AT22" s="43">
        <f t="shared" si="7"/>
        <v>1</v>
      </c>
      <c r="AU22" s="43">
        <f t="shared" si="8"/>
        <v>1</v>
      </c>
      <c r="AV22" s="43">
        <f t="shared" si="9"/>
        <v>1</v>
      </c>
      <c r="AW22" s="44">
        <f t="shared" si="10"/>
        <v>1</v>
      </c>
    </row>
    <row r="23" spans="1:49">
      <c r="A23" s="13">
        <v>21</v>
      </c>
      <c r="B23" s="16">
        <f>_xlfn.MAXIFS('Model output'!B:B,'Model output'!Z:Z,'Classification result'!$A23)</f>
        <v>45413</v>
      </c>
      <c r="C23" s="16"/>
      <c r="D23" s="16"/>
      <c r="E23" s="17">
        <f>_xlfn.MAXIFS('Model output'!C:C,'Model output'!Z:Z,'Classification result'!$A23)</f>
        <v>51</v>
      </c>
      <c r="F23" s="17" t="str" cm="1">
        <f t="array" ref="F23">LEFT(IF(ISERROR(RIGHT(IF(INDEX(_xlfn._xlws.FILTER('Model output'!D:D,('Model output'!Z:Z=A23)),1)&lt;&gt;"",INDEX(_xlfn._xlws.FILTER('Model output'!D:D,('Model output'!Z:Z=A23)),1),""),LEN(IF(INDEX(_xlfn._xlws.FILTER('Model output'!D:D,('Model output'!Z:Z=A23)),1)&lt;&gt;"",INDEX(_xlfn._xlws.FILTER('Model output'!D:D,('Model output'!Z:Z=A23)),1),""))-FIND("T",IF(INDEX(_xlfn._xlws.FILTER('Model output'!D:D,('Model output'!Z:Z=A23)),1)&lt;&gt;"",INDEX(_xlfn._xlws.FILTER('Model output'!D:D,('Model output'!Z:Z=A23)),1),""),1))),"",(RIGHT(IF(INDEX(_xlfn._xlws.FILTER('Model output'!D:D,('Model output'!Z:Z=A23)),1)&lt;&gt;"",INDEX(_xlfn._xlws.FILTER('Model output'!D:D,('Model output'!Z:Z=A23)),1),""),LEN(IF(INDEX(_xlfn._xlws.FILTER('Model output'!D:D,('Model output'!Z:Z=A23)),1)&lt;&gt;"",INDEX(_xlfn._xlws.FILTER('Model output'!D:D,('Model output'!Z:Z=A23)),1),""))-FIND("T",IF(INDEX(_xlfn._xlws.FILTER('Model output'!D:D,('Model output'!Z:Z=A23)),1)&lt;&gt;"",INDEX(_xlfn._xlws.FILTER('Model output'!D:D,('Model output'!Z:Z=A23)),1)))))),2)</f>
        <v>1</v>
      </c>
      <c r="G23" s="17" t="str" cm="1">
        <f t="array" ref="G23">IF(ISNUMBER(SEARCH("N",IF(ISNUMBER(SEARCH("present",IF(INDEX(_xlfn._xlws.FILTER('Model output'!E:E,('Model output'!Z:Z=A23)),1)="","",INDEX(_xlfn._xlws.FILTER('Model output'!E:E,('Model output'!Z:Z=A23)),1)),1)),"N1", IF(INDEX(_xlfn._xlws.FILTER('Model output'!E:E,('Model output'!Z:Z=A23)),1)="","",INDEX(_xlfn._xlws.FILTER('Model output'!E:E,('Model output'!Z:Z=A23)),1))),1)),RIGHT(IF(ISNUMBER(SEARCH("present",IF(INDEX(_xlfn._xlws.FILTER('Model output'!E:E,('Model output'!Z:Z=A23)),1)="","",INDEX(_xlfn._xlws.FILTER('Model output'!E:E,('Model output'!Z:Z=A23)),1)),1)),"N1", IF(INDEX(_xlfn._xlws.FILTER('Model output'!E:E,('Model output'!Z:Z=A23)),1)="","",INDEX(_xlfn._xlws.FILTER('Model output'!E:E,('Model output'!Z:Z=A23)),1))),LEN(IF(ISNUMBER(SEARCH("present",IF(INDEX(_xlfn._xlws.FILTER('Model output'!E:E,('Model output'!Z:Z=A23)),1)="","",INDEX(_xlfn._xlws.FILTER('Model output'!E:E,('Model output'!Z:Z=A23)),1)),1)),"N1", IF(INDEX(_xlfn._xlws.FILTER('Model output'!E:E,('Model output'!Z:Z=A23)),1)="","",INDEX(_xlfn._xlws.FILTER('Model output'!E:E,('Model output'!Z:Z=A23)),1))))-FIND("N",IF(ISNUMBER(SEARCH("present",IF(INDEX(_xlfn._xlws.FILTER('Model output'!E:E,('Model output'!Z:Z=A23)),1)="","",INDEX(_xlfn._xlws.FILTER('Model output'!E:E,('Model output'!Z:Z=A23)),1)),1)),"N1", IF(INDEX(_xlfn._xlws.FILTER('Model output'!E:E,('Model output'!Z:Z=A23)),1)="","",INDEX(_xlfn._xlws.FILTER('Model output'!E:E,('Model output'!Z:Z=A23)),1))),1)), "")</f>
        <v>1</v>
      </c>
      <c r="H23" s="17" cm="1">
        <f t="array" ref="H23">IF(AND(SUBSTITUTE(_xlfn.TEXTJOIN("/", TRUE, _xlfn._xlws.FILTER('Model output'!F:F, 'Model output'!Z:Z=A23)),"M", "")="", K23="negative"),0,IF(K23="positive",1,0))</f>
        <v>0</v>
      </c>
      <c r="I23" t="str">
        <f t="shared" si="0"/>
        <v>positive</v>
      </c>
      <c r="J23" t="str" cm="1">
        <f t="array" ref="J23">IF(AND(M23&gt;0, _xlfn.TEXTJOIN("; ", TRUE, _xlfn._xlws.FILTER('Model output'!G:G, 'Model output'!Z:Z=A23)) &lt;&gt;"", OR(AND(ISNUMBER(SEARCH("level", _xlfn.TEXTJOIN("; ", TRUE, _xlfn._xlws.FILTER('Model output'!G:G, 'Model output'!Z:Z=A23)),1)),OR(ISNUMBER(SEARCH(" II", _xlfn.TEXTJOIN("; ", TRUE, _xlfn._xlws.FILTER('Model output'!G:G, 'Model output'!Z:Z=A23)),1)),ISNUMBER(SEARCH("2", _xlfn.TEXTJOIN("; ", TRUE, _xlfn._xlws.FILTER('Model output'!G:G, 'Model output'!Z:Z=A23)),1)),ISNUMBER(SEARCH("two", _xlfn.TEXTJOIN("; ", TRUE, _xlfn._xlws.FILTER('Model output'!G:G, 'Model output'!Z:Z=A23)),1)),ISNUMBER(SEARCH("III", _xlfn.TEXTJOIN("; ", TRUE, _xlfn._xlws.FILTER('Model output'!G:G, 'Model output'!Z:Z=A23)),1)),ISNUMBER(SEARCH("3", _xlfn.TEXTJOIN("; ", TRUE, _xlfn._xlws.FILTER('Model output'!G:G, 'Model output'!Z:Z=A23)),1)),ISNUMBER(SEARCH("three", _xlfn.TEXTJOIN("; ", TRUE, _xlfn._xlws.FILTER('Model output'!G:G, 'Model output'!Z:Z=A23)),1)),ISNUMBER(SEARCH("IV", _xlfn.TEXTJOIN("; ", TRUE, _xlfn._xlws.FILTER('Model output'!G:G, 'Model output'!Z:Z=A23)),1)),ISNUMBER(SEARCH("4", _xlfn.TEXTJOIN("; ", TRUE, _xlfn._xlws.FILTER('Model output'!G:G, 'Model output'!Z:Z=A23)),1)),ISNUMBER(SEARCH("five", _xlfn.TEXTJOIN("; ", TRUE, _xlfn._xlws.FILTER('Model output'!G:G, 'Model output'!Z:Z=A23)),1)),ISNUMBER(SEARCH("V ", _xlfn.TEXTJOIN("; ", TRUE, _xlfn._xlws.FILTER('Model output'!G:G, 'Model output'!Z:Z=A23)),1)),ISNUMBER(SEARCH("5", _xlfn.TEXTJOIN("; ", TRUE, _xlfn._xlws.FILTER('Model output'!G:G, 'Model output'!Z:Z=A23)),1)),ISNUMBER(SEARCH("five", _xlfn.TEXTJOIN("; ", TRUE, _xlfn._xlws.FILTER('Model output'!G:G, 'Model output'!Z:Z=A23)),1)),ISNUMBER(SEARCH(" lateral", _xlfn.TEXTJOIN("; ", TRUE, _xlfn._xlws.FILTER('Model output'!G:G, 'Model output'!Z:Z=A23)),1)))),ISNUMBER(SEARCH("cervical", _xlfn.TEXTJOIN("; ", TRUE, _xlfn._xlws.FILTER('Model output'!G:G, 'Model output'!Z:Z=A23)),1)),ISNUMBER(SEARCH("jugular", _xlfn.TEXTJOIN("; ", TRUE, _xlfn._xlws.FILTER('Model output'!G:G, 'Model output'!Z:Z=A23)),1)),ISNUMBER(SEARCH("left neck", _xlfn.TEXTJOIN("; ", TRUE, _xlfn._xlws.FILTER('Model output'!G:G, 'Model output'!Z:Z=A23)),1)),ISNUMBER(SEARCH("left anterior neck", _xlfn.TEXTJOIN("; ", TRUE, _xlfn._xlws.FILTER('Model output'!G:G, 'Model output'!Z:Z=A23)),1)),ISNUMBER(SEARCH("left posterior neck", _xlfn.TEXTJOIN("; ", TRUE, _xlfn._xlws.FILTER('Model output'!G:G, 'Model output'!Z:Z=A23)),1)),ISNUMBER(SEARCH("right neck", _xlfn.TEXTJOIN("; ", TRUE, _xlfn._xlws.FILTER('Model output'!G:G, 'Model output'!Z:Z=A23)),1)),ISNUMBER(SEARCH("right anterior neck", _xlfn.TEXTJOIN("; ", TRUE, _xlfn._xlws.FILTER('Model output'!G:G, 'Model output'!Z:Z=A23)),1)),ISNUMBER(SEARCH("right posterior neck", _xlfn.TEXTJOIN("; ", TRUE, _xlfn._xlws.FILTER('Model output'!G:G, 'Model output'!Z:Z=A23)),1)))),"lateral",IF(AND(M23=0, _xlfn.TEXTJOIN("; ", TRUE, _xlfn._xlws.FILTER('Model output'!G:G, 'Model output'!Z:Z=A23))=""),"", "central"))</f>
        <v>central</v>
      </c>
      <c r="K23" s="17" t="str" cm="1">
        <f t="array" ref="K23">IF(OR(ISNUMBER(SEARCH("lymph",_xlfn.TEXTJOIN("; ", TRUE, _xlfn._xlws.FILTER('Model output'!H:H, 'Model output'!Z:Z=A23)),1)), ISNUMBER(SEARCH("Not mentioned",_xlfn.TEXTJOIN("; ", TRUE, _xlfn._xlws.FILTER('Model output'!H:H, 'Model output'!Z:Z=A23)),1)),ISNUMBER(SEARCH("thyroid",_xlfn.TEXTJOIN("; ", TRUE, _xlfn._xlws.FILTER('Model output'!H:H, 'Model output'!Z:Z=A23)),1)),ISNUMBER(SEARCH("strap muscle",_xlfn.TEXTJOIN("; ", TRUE, _xlfn._xlws.FILTER('Model output'!H:H, 'Model output'!Z:Z=A23)),1)),ISNUMBER(SEARCH("subcutaneous soft tissues",_xlfn.TEXTJOIN("; ", TRUE, _xlfn._xlws.FILTER('Model output'!H:H, 'Model output'!Z:Z=A23)),1)),ISNUMBER(SEARCH("larynx",_xlfn.TEXTJOIN("; ", TRUE, _xlfn._xlws.FILTER('Model output'!H:H, 'Model output'!Z:Z=A23)),1)),ISNUMBER(SEARCH("trachea",_xlfn.TEXTJOIN("; ", TRUE, _xlfn._xlws.FILTER('Model output'!H:H, 'Model output'!Z:Z=A23)),1)),ISNUMBER(SEARCH("esophagus",_xlfn.TEXTJOIN("; ", TRUE, _xlfn._xlws.FILTER('Model output'!H:H, 'Model output'!Z:Z=A23)),1)),ISNUMBER(SEARCH("recurrent laryngeal nerve",_xlfn.TEXTJOIN("; ", TRUE, _xlfn._xlws.FILTER('Model output'!H:H, 'Model output'!Z:Z=A23)),1)),ISNUMBER(SEARCH("RLN",_xlfn.TEXTJOIN("; ", TRUE, _xlfn._xlws.FILTER('Model output'!H:H, 'Model output'!Z:Z=A23)),1)),_xlfn.TEXTJOIN("; ", TRUE, _xlfn._xlws.FILTER('Model output'!H:H, 'Model output'!Z:Z=A23))=""),"negative","positive")</f>
        <v>negative</v>
      </c>
      <c r="L23" s="17">
        <f>IF(IFERROR(INDEX('Model output'!I:I, MATCH(A23, 'Model output'!Z:Z, 0)), "") &lt; M23, "", IFERROR(INDEX('Model output'!I:I, MATCH(A23, 'Model output'!Z:Z, 0)), ""))</f>
        <v>7</v>
      </c>
      <c r="M23" s="17">
        <f>IFERROR(INDEX('Model output'!J:J, MATCH(A23, 'Model output'!Z:Z, 0)), "")</f>
        <v>4</v>
      </c>
      <c r="N23" s="18" t="str" cm="1">
        <f t="array" ref="N23">ReplaceTo(ReplaceAnd(SUBSTITUTE(SUBSTITUTE(_xlfn.TEXTJOIN("; ", TRUE, _xlfn._xlws.FILTER('Model output'!K:K, 'Model output'!Z:Z=A23)), " ", ""), ",", ";")))</f>
        <v/>
      </c>
      <c r="O23" t="str" cm="1">
        <f t="array" ref="O23">IF(LEFT(IF(RIGHT(SUBSTITUTE(FilterWithUnits(N23)&amp; ";" &amp;FilterStringsWithNumericAnd(N23) &amp; ";" &amp; FilterStringsWithX(N23), ";;", ";"),1)=";",LEFT(SUBSTITUTE(FilterWithUnits(N23)&amp; ";" &amp;FilterStringsWithNumericAnd(N23) &amp; ";" &amp; FilterStringsWithX(N23), ";;", ";"),LEN(SUBSTITUTE(FilterWithUnits(N23)&amp; ";" &amp;FilterStringsWithNumericAnd(N23) &amp; ";" &amp; FilterStringsWithX(N23), ";;", ";"))-1),SUBSTITUTE(FilterWithUnits(N23)&amp; ";" &amp;FilterStringsWithNumericAnd(N23) &amp; ";" &amp; FilterStringsWithX(N23), ";;", ";")),1)=";",RIGHT(IF(RIGHT(SUBSTITUTE(FilterWithUnits(N23)&amp; ";" &amp;FilterStringsWithNumericAnd(N23) &amp; ";" &amp; FilterStringsWithX(N23), ";;", ";"),1)=";",LEFT(SUBSTITUTE(FilterWithUnits(N23)&amp; ";" &amp;FilterStringsWithNumericAnd(N23) &amp; ";" &amp; FilterStringsWithX(N23), ";;", ";"),LEN(SUBSTITUTE(FilterWithUnits(N23)&amp; ";" &amp;FilterStringsWithNumericAnd(N23) &amp; ";" &amp; FilterStringsWithX(N23), ";;", ";"))-1),SUBSTITUTE(FilterWithUnits(N23)&amp; ";" &amp;FilterStringsWithNumericAnd(N23) &amp; ";" &amp; FilterStringsWithX(N23), ";;", ";")),LEN(IF(RIGHT(SUBSTITUTE(FilterWithUnits(N23)&amp; ";" &amp;FilterStringsWithNumericAnd(N23) &amp; ";" &amp; FilterStringsWithX(N23), ";;", ";"),1)=";",LEFT(SUBSTITUTE(FilterWithUnits(N23)&amp; ";" &amp;FilterStringsWithNumericAnd(N23) &amp; ";" &amp; FilterStringsWithX(N23), ";;", ";"),LEN(SUBSTITUTE(FilterWithUnits(N23)&amp; ";" &amp;FilterStringsWithNumericAnd(N23) &amp; ";" &amp; FilterStringsWithX(N23), ";;", ";"))-1),SUBSTITUTE(FilterWithUnits(N23)&amp; ";" &amp;FilterStringsWithNumericAnd(N23) &amp; ";" &amp; FilterStringsWithX(N23), ";;", ";")))-1),IF(RIGHT(SUBSTITUTE(FilterWithUnits(N23)&amp; ";" &amp;FilterStringsWithNumericAnd(N23) &amp; ";" &amp; FilterStringsWithX(N23), ";;", ";"),1)=";",LEFT(SUBSTITUTE(FilterWithUnits(N23)&amp; ";" &amp;FilterStringsWithNumericAnd(N23) &amp; ";" &amp; FilterStringsWithX(N23), ";;", ";"),LEN(SUBSTITUTE(FilterWithUnits(N23)&amp; ";" &amp;FilterStringsWithNumericAnd(N23) &amp; ";" &amp; FilterStringsWithX(N23), ";;", ";"))-1),SUBSTITUTE(FilterWithUnits(N23)&amp; ";" &amp;FilterStringsWithNumericAnd(N23) &amp; ";" &amp; FilterStringsWithX(N23), ";;", ";")))</f>
        <v/>
      </c>
      <c r="P23" t="str" cm="1">
        <f t="array" ref="P23">IF(MaxSize((SplitDimensions(O23)))=0, "", MaxSize((SplitDimensions(O23))))</f>
        <v/>
      </c>
      <c r="Q23" t="str" cm="1">
        <f t="array" ref="Q23">IF(ISERROR(INDEX(_xlfn._xlws.FILTER('Model output'!L:L, ('Model output'!Z:Z=A23)*('Model output'!L:L&lt;&gt;"")), 1)), " ", LOWER(INDEX(_xlfn._xlws.FILTER('Model output'!L:L, ('Model output'!Z:Z=A23)*('Model output'!L:L&lt;&gt;"")), 1)))</f>
        <v>papillary</v>
      </c>
      <c r="R23" t="str" cm="1">
        <f t="array" ref="R23">IF(ISERROR(INDEX(_xlfn._xlws.FILTER('Model output'!M:M, ('Model output'!Z:Z=A23)*('Model output'!M:M&lt;&gt;"")), 1)), " ", LOWER(INDEX(_xlfn._xlws.FILTER('Model output'!M:M, ('Model output'!Z:Z=A23)*('Model output'!M:M&lt;&gt;"")), 1)))</f>
        <v>classic type</v>
      </c>
      <c r="S23" t="str" cm="1">
        <f t="array" ref="S23">IF(OR(ISNUMBER(SEARCH("ly",SUBSTITUTE(INDEX(_xlfn._xlws.FILTER('Model output'!N:N,('Model output'!Z:Z=A23)*('Model output'!N:N&lt;&gt;"")),1)," ",""),1)), ISNUMBER(SEARCH("pole",SUBSTITUTE(INDEX(_xlfn._xlws.FILTER('Model output'!N:N,('Model output'!Z:Z=A23)*('Model output'!N:N&lt;&gt;"")),1)," ",""),1))),"",SUBSTITUTE(INDEX(_xlfn._xlws.FILTER('Model output'!N:N,('Model output'!Z:Z=A23)*('Model output'!N:N&lt;&gt;"")),1)," ",""))</f>
        <v>1.8cm</v>
      </c>
      <c r="T23" t="str" cm="1">
        <f t="array" ref="T23">IF(LEFT(IF(RIGHT(SUBSTITUTE(FilterWithUnits(S23)&amp; ";" &amp;FilterStringsWithNumericAnd(S23) &amp; ";" &amp; FilterStringsWithX(S23), ";;", ";"),1)=";",LEFT(SUBSTITUTE(FilterWithUnits(S23)&amp; ";" &amp;FilterStringsWithNumericAnd(S23) &amp; ";" &amp; FilterStringsWithX(S23), ";;", ";"),LEN(SUBSTITUTE(FilterWithUnits(S23)&amp; ";" &amp;FilterStringsWithNumericAnd(S23) &amp; ";" &amp; FilterStringsWithX(S23), ";;", ";"))-1),SUBSTITUTE(FilterWithUnits(S23)&amp; ";" &amp;FilterStringsWithNumericAnd(S23) &amp; ";" &amp; FilterStringsWithX(S23), ";;", ";")),1)=";",RIGHT(IF(RIGHT(SUBSTITUTE(FilterWithUnits(S23)&amp; ";" &amp;FilterStringsWithNumericAnd(S23) &amp; ";" &amp; FilterStringsWithX(S23), ";;", ";"),1)=";",LEFT(SUBSTITUTE(FilterWithUnits(S23)&amp; ";" &amp;FilterStringsWithNumericAnd(S23) &amp; ";" &amp; FilterStringsWithX(S23), ";;", ";"),LEN(SUBSTITUTE(FilterWithUnits(S23)&amp; ";" &amp;FilterStringsWithNumericAnd(S23) &amp; ";" &amp; FilterStringsWithX(S23), ";;", ";"))-1),SUBSTITUTE(FilterWithUnits(S23)&amp; ";" &amp;FilterStringsWithNumericAnd(S23) &amp; ";" &amp; FilterStringsWithX(S23), ";;", ";")),LEN(IF(RIGHT(SUBSTITUTE(FilterWithUnits(S23)&amp; ";" &amp;FilterStringsWithNumericAnd(S23) &amp; ";" &amp; FilterStringsWithX(S23), ";;", ";"),1)=";",LEFT(SUBSTITUTE(FilterWithUnits(S23)&amp; ";" &amp;FilterStringsWithNumericAnd(S23) &amp; ";" &amp; FilterStringsWithX(S23), ";;", ";"),LEN(SUBSTITUTE(FilterWithUnits(S23)&amp; ";" &amp;FilterStringsWithNumericAnd(S23) &amp; ";" &amp; FilterStringsWithX(S23), ";;", ";"))-1),SUBSTITUTE(FilterWithUnits(S23)&amp; ";" &amp;FilterStringsWithNumericAnd(S23) &amp; ";" &amp; FilterStringsWithX(S23), ";;", ";")))-1),IF(RIGHT(SUBSTITUTE(FilterWithUnits(S23)&amp; ";" &amp;FilterStringsWithNumericAnd(S23) &amp; ";" &amp; FilterStringsWithX(S23), ";;", ";"),1)=";",LEFT(SUBSTITUTE(FilterWithUnits(S23)&amp; ";" &amp;FilterStringsWithNumericAnd(S23) &amp; ";" &amp; FilterStringsWithX(S23), ";;", ";"),LEN(SUBSTITUTE(FilterWithUnits(S23)&amp; ";" &amp;FilterStringsWithNumericAnd(S23) &amp; ";" &amp; FilterStringsWithX(S23), ";;", ";"))-1),SUBSTITUTE(FilterWithUnits(S23)&amp; ";" &amp;FilterStringsWithNumericAnd(S23) &amp; ";" &amp; FilterStringsWithX(S23), ";;", ";")))</f>
        <v>1.8cm</v>
      </c>
      <c r="U23" cm="1">
        <f t="array" ref="U23">IF(MaxSize((SplitDimensions(T23)))=0, "", MaxSize((SplitDimensions(T23))))</f>
        <v>1.8</v>
      </c>
      <c r="V23" s="17" t="str" cm="1">
        <f t="array" ref="V23">IF(ISERROR(INDEX(_xlfn._xlws.FILTER('Model output'!P:P,('Model output'!Z:Z=A23)*('Model output'!P:P&lt;&gt;"")),1)),"negative",IF(OR(ISNUMBER(SEARCH("foc",INDEX(_xlfn._xlws.FILTER('Model output'!P:P,('Model output'!Z:Z=A23)*('Model output'!P:P&lt;&gt;"")),1),1)),ISNUMBER(SEARCH("extensive",INDEX(_xlfn._xlws.FILTER('Model output'!P:P,('Model output'!Z:Z=A23)*('Model output'!P:P&lt;&gt;"")),1),1)),ISNUMBER(SEARCH("present",INDEX(_xlfn._xlws.FILTER('Model output'!P:P,('Model output'!Z:Z=A23)*('Model output'!P:P&lt;&gt;"")),1),1)),ISNUMBER(SEARCH("yes",INDEX(_xlfn._xlws.FILTER('Model output'!P:P,('Model output'!Z:Z=A23)*('Model output'!P:P&lt;&gt;"")),1),1))),"positive","negative"))</f>
        <v>positive</v>
      </c>
      <c r="X23" t="str" cm="1">
        <f t="array" ref="X23">IF(ISNUMBER(SEARCH("4",INDEX(_xlfn._xlws.FILTER('Model output'!P:P,('Model output'!Z:Z=A23)*('Model output'!P:P&lt;&gt;"")),1),1)),INDEX(_xlfn._xlws.FILTER('Model output'!P:P,('Model output'!Z:Z=A23)*('Model output'!P:P&lt;&gt;"")),1),"") &amp; _xlfn.TEXTJOIN("",TRUE,_xlfn._xlws.FILTER('Model output'!Q:Q,'Model output'!Z:Z=A23))</f>
        <v>Not mentioned</v>
      </c>
      <c r="Y23" t="str">
        <f t="shared" si="11"/>
        <v>minimal</v>
      </c>
      <c r="Z23" t="str" cm="1">
        <f t="array" ref="Z23">IF(OR(ISNUMBER(SEARCH("focal",_xlfn.TEXTJOIN("; ",TRUE,_xlfn._xlws.FILTER('Model output'!R:R,'Model output'!Z:Z=A23)),1)),ISNUMBER(SEARCH("present",_xlfn.TEXTJOIN("; ",TRUE,_xlfn._xlws.FILTER('Model output'!R:R,'Model output'!Z:Z=A23)),1))),"positive",IF(_xlfn.TEXTJOIN("; ",TRUE,_xlfn._xlws.FILTER('Model output'!R:R,'Model output'!Z:Z=A23))="","negative",IF(OR(ISNUMBER(SEARCH("no",_xlfn.TEXTJOIN("; ",TRUE,_xlfn._xlws.FILTER('Model output'!R:R,'Model output'!Z:Z=A23)),1)),ISNUMBER(SEARCH("absent",_xlfn.TEXTJOIN("; ",TRUE,_xlfn._xlws.FILTER('Model output'!R:R,'Model output'!Z:Z=A23)),1))),"negative","positive")))</f>
        <v>positive</v>
      </c>
      <c r="AA23" s="17" t="str">
        <f>IF(OR(ISNUMBER(SEARCH("soft tissue", AF23)), ISNUMBER(SEARCH("adipose tissue", AF23)),ISNUMBER(SEARCH("muscle", AF23)), ISNUMBER(SEARCH("microscopic", AF23)), ISNUMBER(SEARCH("minimal", AF23)), ISNUMBER(SEARCH("surrounding fat", AF23)), ISNUMBER(SEARCH("present", AF23)), ISNUMBER(SEARCH("yes", AF23))), "positive", "negative")</f>
        <v>positive</v>
      </c>
      <c r="AE23" s="17" t="str">
        <f t="shared" si="12"/>
        <v>negative</v>
      </c>
      <c r="AF23" t="str" cm="1">
        <f t="array" ref="AF23">_xlfn.TEXTJOIN("; ",TRUE,_xlfn._xlws.FILTER('Model output'!S:S,'Model output'!Z:Z=A23))</f>
        <v>Skeletal muscle; Not mentioned</v>
      </c>
      <c r="AG23" s="17" t="str" cm="1">
        <f t="array" ref="AG23">IF(OR(ISNUMBER(SEARCH("uninvolved",_xlfn.TEXTJOIN("; ",TRUE,_xlfn._xlws.FILTER('Model output'!V:V,'Model output'!Z:Z=A23)),1)),ISNUMBER(SEARCH("clear",_xlfn.TEXTJOIN("; ",TRUE,_xlfn._xlws.FILTER('Model output'!V:V,'Model output'!Z:Z=A23)),1))*ISNUMBER(SEARCH("not mentioned",_xlfn.TEXTJOIN("; ",TRUE,_xlfn._xlws.FILTER('Model output'!V:V,'Model output'!Z:Z=A23)),1))),"negative",IF(ISNUMBER(SEARCH("cannot be assessed",_xlfn.TEXTJOIN("; ",TRUE,_xlfn._xlws.FILTER('Model output'!V:V,'Model output'!Z:Z=A23)),1)),"unknown","negative"))</f>
        <v>negative</v>
      </c>
      <c r="AI23" s="45" t="str">
        <f t="shared" si="13"/>
        <v>intermediate</v>
      </c>
      <c r="AJ23" s="41" t="str">
        <f t="shared" si="14"/>
        <v>1b</v>
      </c>
      <c r="AK23" s="41" t="str">
        <f t="shared" si="3"/>
        <v>1a</v>
      </c>
      <c r="AL23" s="41">
        <f t="shared" si="4"/>
        <v>0</v>
      </c>
      <c r="AM23" s="41" t="str">
        <f t="shared" si="5"/>
        <v>I</v>
      </c>
      <c r="AN23" s="42" t="s">
        <v>164</v>
      </c>
      <c r="AO23" s="43" t="s">
        <v>203</v>
      </c>
      <c r="AP23" s="43" t="s">
        <v>205</v>
      </c>
      <c r="AQ23" s="43">
        <v>0</v>
      </c>
      <c r="AR23" s="43" t="s">
        <v>31</v>
      </c>
      <c r="AS23" s="42">
        <f t="shared" si="6"/>
        <v>1</v>
      </c>
      <c r="AT23" s="43">
        <f t="shared" si="7"/>
        <v>1</v>
      </c>
      <c r="AU23" s="43">
        <f t="shared" si="8"/>
        <v>1</v>
      </c>
      <c r="AV23" s="43">
        <f t="shared" si="9"/>
        <v>1</v>
      </c>
      <c r="AW23" s="44">
        <f t="shared" si="10"/>
        <v>1</v>
      </c>
    </row>
    <row r="24" spans="1:49">
      <c r="A24" s="13">
        <v>22</v>
      </c>
      <c r="B24" s="16">
        <f>_xlfn.MAXIFS('Model output'!B:B,'Model output'!Z:Z,'Classification result'!$A24)</f>
        <v>45505</v>
      </c>
      <c r="C24" s="16"/>
      <c r="D24" s="16"/>
      <c r="E24" s="17">
        <f>_xlfn.MAXIFS('Model output'!C:C,'Model output'!Z:Z,'Classification result'!$A24)</f>
        <v>50</v>
      </c>
      <c r="F24" s="17" t="str" cm="1">
        <f t="array" ref="F24">LEFT(IF(ISERROR(RIGHT(IF(INDEX(_xlfn._xlws.FILTER('Model output'!D:D,('Model output'!Z:Z=A24)),1)&lt;&gt;"",INDEX(_xlfn._xlws.FILTER('Model output'!D:D,('Model output'!Z:Z=A24)),1),""),LEN(IF(INDEX(_xlfn._xlws.FILTER('Model output'!D:D,('Model output'!Z:Z=A24)),1)&lt;&gt;"",INDEX(_xlfn._xlws.FILTER('Model output'!D:D,('Model output'!Z:Z=A24)),1),""))-FIND("T",IF(INDEX(_xlfn._xlws.FILTER('Model output'!D:D,('Model output'!Z:Z=A24)),1)&lt;&gt;"",INDEX(_xlfn._xlws.FILTER('Model output'!D:D,('Model output'!Z:Z=A24)),1),""),1))),"",(RIGHT(IF(INDEX(_xlfn._xlws.FILTER('Model output'!D:D,('Model output'!Z:Z=A24)),1)&lt;&gt;"",INDEX(_xlfn._xlws.FILTER('Model output'!D:D,('Model output'!Z:Z=A24)),1),""),LEN(IF(INDEX(_xlfn._xlws.FILTER('Model output'!D:D,('Model output'!Z:Z=A24)),1)&lt;&gt;"",INDEX(_xlfn._xlws.FILTER('Model output'!D:D,('Model output'!Z:Z=A24)),1),""))-FIND("T",IF(INDEX(_xlfn._xlws.FILTER('Model output'!D:D,('Model output'!Z:Z=A24)),1)&lt;&gt;"",INDEX(_xlfn._xlws.FILTER('Model output'!D:D,('Model output'!Z:Z=A24)),1)))))),2)</f>
        <v>1a</v>
      </c>
      <c r="G24" s="17" t="str" cm="1">
        <f t="array" ref="G24">IF(ISNUMBER(SEARCH("N",IF(ISNUMBER(SEARCH("present",IF(INDEX(_xlfn._xlws.FILTER('Model output'!E:E,('Model output'!Z:Z=A24)),1)="","",INDEX(_xlfn._xlws.FILTER('Model output'!E:E,('Model output'!Z:Z=A24)),1)),1)),"N1", IF(INDEX(_xlfn._xlws.FILTER('Model output'!E:E,('Model output'!Z:Z=A24)),1)="","",INDEX(_xlfn._xlws.FILTER('Model output'!E:E,('Model output'!Z:Z=A24)),1))),1)),RIGHT(IF(ISNUMBER(SEARCH("present",IF(INDEX(_xlfn._xlws.FILTER('Model output'!E:E,('Model output'!Z:Z=A24)),1)="","",INDEX(_xlfn._xlws.FILTER('Model output'!E:E,('Model output'!Z:Z=A24)),1)),1)),"N1", IF(INDEX(_xlfn._xlws.FILTER('Model output'!E:E,('Model output'!Z:Z=A24)),1)="","",INDEX(_xlfn._xlws.FILTER('Model output'!E:E,('Model output'!Z:Z=A24)),1))),LEN(IF(ISNUMBER(SEARCH("present",IF(INDEX(_xlfn._xlws.FILTER('Model output'!E:E,('Model output'!Z:Z=A24)),1)="","",INDEX(_xlfn._xlws.FILTER('Model output'!E:E,('Model output'!Z:Z=A24)),1)),1)),"N1", IF(INDEX(_xlfn._xlws.FILTER('Model output'!E:E,('Model output'!Z:Z=A24)),1)="","",INDEX(_xlfn._xlws.FILTER('Model output'!E:E,('Model output'!Z:Z=A24)),1))))-FIND("N",IF(ISNUMBER(SEARCH("present",IF(INDEX(_xlfn._xlws.FILTER('Model output'!E:E,('Model output'!Z:Z=A24)),1)="","",INDEX(_xlfn._xlws.FILTER('Model output'!E:E,('Model output'!Z:Z=A24)),1)),1)),"N1", IF(INDEX(_xlfn._xlws.FILTER('Model output'!E:E,('Model output'!Z:Z=A24)),1)="","",INDEX(_xlfn._xlws.FILTER('Model output'!E:E,('Model output'!Z:Z=A24)),1))),1)), "")</f>
        <v/>
      </c>
      <c r="H24" s="17" cm="1">
        <f t="array" ref="H24">IF(AND(SUBSTITUTE(_xlfn.TEXTJOIN("/", TRUE, _xlfn._xlws.FILTER('Model output'!F:F, 'Model output'!Z:Z=A24)),"M", "")="", K24="negative"),0,IF(K24="positive",1,0))</f>
        <v>0</v>
      </c>
      <c r="I24" t="str">
        <f t="shared" si="0"/>
        <v/>
      </c>
      <c r="J24" t="str" cm="1">
        <f t="array" ref="J24">IF(AND(M24&gt;0, _xlfn.TEXTJOIN("; ", TRUE, _xlfn._xlws.FILTER('Model output'!G:G, 'Model output'!Z:Z=A24)) &lt;&gt;"", OR(AND(ISNUMBER(SEARCH("level", _xlfn.TEXTJOIN("; ", TRUE, _xlfn._xlws.FILTER('Model output'!G:G, 'Model output'!Z:Z=A24)),1)),OR(ISNUMBER(SEARCH(" II", _xlfn.TEXTJOIN("; ", TRUE, _xlfn._xlws.FILTER('Model output'!G:G, 'Model output'!Z:Z=A24)),1)),ISNUMBER(SEARCH("2", _xlfn.TEXTJOIN("; ", TRUE, _xlfn._xlws.FILTER('Model output'!G:G, 'Model output'!Z:Z=A24)),1)),ISNUMBER(SEARCH("two", _xlfn.TEXTJOIN("; ", TRUE, _xlfn._xlws.FILTER('Model output'!G:G, 'Model output'!Z:Z=A24)),1)),ISNUMBER(SEARCH("III", _xlfn.TEXTJOIN("; ", TRUE, _xlfn._xlws.FILTER('Model output'!G:G, 'Model output'!Z:Z=A24)),1)),ISNUMBER(SEARCH("3", _xlfn.TEXTJOIN("; ", TRUE, _xlfn._xlws.FILTER('Model output'!G:G, 'Model output'!Z:Z=A24)),1)),ISNUMBER(SEARCH("three", _xlfn.TEXTJOIN("; ", TRUE, _xlfn._xlws.FILTER('Model output'!G:G, 'Model output'!Z:Z=A24)),1)),ISNUMBER(SEARCH("IV", _xlfn.TEXTJOIN("; ", TRUE, _xlfn._xlws.FILTER('Model output'!G:G, 'Model output'!Z:Z=A24)),1)),ISNUMBER(SEARCH("4", _xlfn.TEXTJOIN("; ", TRUE, _xlfn._xlws.FILTER('Model output'!G:G, 'Model output'!Z:Z=A24)),1)),ISNUMBER(SEARCH("five", _xlfn.TEXTJOIN("; ", TRUE, _xlfn._xlws.FILTER('Model output'!G:G, 'Model output'!Z:Z=A24)),1)),ISNUMBER(SEARCH("V ", _xlfn.TEXTJOIN("; ", TRUE, _xlfn._xlws.FILTER('Model output'!G:G, 'Model output'!Z:Z=A24)),1)),ISNUMBER(SEARCH("5", _xlfn.TEXTJOIN("; ", TRUE, _xlfn._xlws.FILTER('Model output'!G:G, 'Model output'!Z:Z=A24)),1)),ISNUMBER(SEARCH("five", _xlfn.TEXTJOIN("; ", TRUE, _xlfn._xlws.FILTER('Model output'!G:G, 'Model output'!Z:Z=A24)),1)),ISNUMBER(SEARCH(" lateral", _xlfn.TEXTJOIN("; ", TRUE, _xlfn._xlws.FILTER('Model output'!G:G, 'Model output'!Z:Z=A24)),1)))),ISNUMBER(SEARCH("cervical", _xlfn.TEXTJOIN("; ", TRUE, _xlfn._xlws.FILTER('Model output'!G:G, 'Model output'!Z:Z=A24)),1)),ISNUMBER(SEARCH("jugular", _xlfn.TEXTJOIN("; ", TRUE, _xlfn._xlws.FILTER('Model output'!G:G, 'Model output'!Z:Z=A24)),1)),ISNUMBER(SEARCH("left neck", _xlfn.TEXTJOIN("; ", TRUE, _xlfn._xlws.FILTER('Model output'!G:G, 'Model output'!Z:Z=A24)),1)),ISNUMBER(SEARCH("left anterior neck", _xlfn.TEXTJOIN("; ", TRUE, _xlfn._xlws.FILTER('Model output'!G:G, 'Model output'!Z:Z=A24)),1)),ISNUMBER(SEARCH("left posterior neck", _xlfn.TEXTJOIN("; ", TRUE, _xlfn._xlws.FILTER('Model output'!G:G, 'Model output'!Z:Z=A24)),1)),ISNUMBER(SEARCH("right neck", _xlfn.TEXTJOIN("; ", TRUE, _xlfn._xlws.FILTER('Model output'!G:G, 'Model output'!Z:Z=A24)),1)),ISNUMBER(SEARCH("right anterior neck", _xlfn.TEXTJOIN("; ", TRUE, _xlfn._xlws.FILTER('Model output'!G:G, 'Model output'!Z:Z=A24)),1)),ISNUMBER(SEARCH("right posterior neck", _xlfn.TEXTJOIN("; ", TRUE, _xlfn._xlws.FILTER('Model output'!G:G, 'Model output'!Z:Z=A24)),1)))),"lateral",IF(AND(M24=0, _xlfn.TEXTJOIN("; ", TRUE, _xlfn._xlws.FILTER('Model output'!G:G, 'Model output'!Z:Z=A24))=""),"", "central"))</f>
        <v/>
      </c>
      <c r="K24" s="17" t="str" cm="1">
        <f t="array" ref="K24">IF(OR(ISNUMBER(SEARCH("lymph",_xlfn.TEXTJOIN("; ", TRUE, _xlfn._xlws.FILTER('Model output'!H:H, 'Model output'!Z:Z=A24)),1)), ISNUMBER(SEARCH("Not mentioned",_xlfn.TEXTJOIN("; ", TRUE, _xlfn._xlws.FILTER('Model output'!H:H, 'Model output'!Z:Z=A24)),1)),ISNUMBER(SEARCH("thyroid",_xlfn.TEXTJOIN("; ", TRUE, _xlfn._xlws.FILTER('Model output'!H:H, 'Model output'!Z:Z=A24)),1)),ISNUMBER(SEARCH("strap muscle",_xlfn.TEXTJOIN("; ", TRUE, _xlfn._xlws.FILTER('Model output'!H:H, 'Model output'!Z:Z=A24)),1)),ISNUMBER(SEARCH("subcutaneous soft tissues",_xlfn.TEXTJOIN("; ", TRUE, _xlfn._xlws.FILTER('Model output'!H:H, 'Model output'!Z:Z=A24)),1)),ISNUMBER(SEARCH("larynx",_xlfn.TEXTJOIN("; ", TRUE, _xlfn._xlws.FILTER('Model output'!H:H, 'Model output'!Z:Z=A24)),1)),ISNUMBER(SEARCH("trachea",_xlfn.TEXTJOIN("; ", TRUE, _xlfn._xlws.FILTER('Model output'!H:H, 'Model output'!Z:Z=A24)),1)),ISNUMBER(SEARCH("esophagus",_xlfn.TEXTJOIN("; ", TRUE, _xlfn._xlws.FILTER('Model output'!H:H, 'Model output'!Z:Z=A24)),1)),ISNUMBER(SEARCH("recurrent laryngeal nerve",_xlfn.TEXTJOIN("; ", TRUE, _xlfn._xlws.FILTER('Model output'!H:H, 'Model output'!Z:Z=A24)),1)),ISNUMBER(SEARCH("RLN",_xlfn.TEXTJOIN("; ", TRUE, _xlfn._xlws.FILTER('Model output'!H:H, 'Model output'!Z:Z=A24)),1)),_xlfn.TEXTJOIN("; ", TRUE, _xlfn._xlws.FILTER('Model output'!H:H, 'Model output'!Z:Z=A24))=""),"negative","positive")</f>
        <v>negative</v>
      </c>
      <c r="L24" s="17">
        <f>IF(IFERROR(INDEX('Model output'!I:I, MATCH(A24, 'Model output'!Z:Z, 0)), "") &lt; M24, "", IFERROR(INDEX('Model output'!I:I, MATCH(A24, 'Model output'!Z:Z, 0)), ""))</f>
        <v>1</v>
      </c>
      <c r="M24" s="17">
        <f>IFERROR(INDEX('Model output'!J:J, MATCH(A24, 'Model output'!Z:Z, 0)), "")</f>
        <v>0</v>
      </c>
      <c r="N24" s="18" t="str" cm="1">
        <f t="array" ref="N24">ReplaceTo(ReplaceAnd(SUBSTITUTE(SUBSTITUTE(_xlfn.TEXTJOIN("; ", TRUE, _xlfn._xlws.FILTER('Model output'!K:K, 'Model output'!Z:Z=A24)), " ", ""), ",", ";")))</f>
        <v/>
      </c>
      <c r="O24" t="str" cm="1">
        <f t="array" ref="O24">IF(LEFT(IF(RIGHT(SUBSTITUTE(FilterWithUnits(N24)&amp; ";" &amp;FilterStringsWithNumericAnd(N24) &amp; ";" &amp; FilterStringsWithX(N24), ";;", ";"),1)=";",LEFT(SUBSTITUTE(FilterWithUnits(N24)&amp; ";" &amp;FilterStringsWithNumericAnd(N24) &amp; ";" &amp; FilterStringsWithX(N24), ";;", ";"),LEN(SUBSTITUTE(FilterWithUnits(N24)&amp; ";" &amp;FilterStringsWithNumericAnd(N24) &amp; ";" &amp; FilterStringsWithX(N24), ";;", ";"))-1),SUBSTITUTE(FilterWithUnits(N24)&amp; ";" &amp;FilterStringsWithNumericAnd(N24) &amp; ";" &amp; FilterStringsWithX(N24), ";;", ";")),1)=";",RIGHT(IF(RIGHT(SUBSTITUTE(FilterWithUnits(N24)&amp; ";" &amp;FilterStringsWithNumericAnd(N24) &amp; ";" &amp; FilterStringsWithX(N24), ";;", ";"),1)=";",LEFT(SUBSTITUTE(FilterWithUnits(N24)&amp; ";" &amp;FilterStringsWithNumericAnd(N24) &amp; ";" &amp; FilterStringsWithX(N24), ";;", ";"),LEN(SUBSTITUTE(FilterWithUnits(N24)&amp; ";" &amp;FilterStringsWithNumericAnd(N24) &amp; ";" &amp; FilterStringsWithX(N24), ";;", ";"))-1),SUBSTITUTE(FilterWithUnits(N24)&amp; ";" &amp;FilterStringsWithNumericAnd(N24) &amp; ";" &amp; FilterStringsWithX(N24), ";;", ";")),LEN(IF(RIGHT(SUBSTITUTE(FilterWithUnits(N24)&amp; ";" &amp;FilterStringsWithNumericAnd(N24) &amp; ";" &amp; FilterStringsWithX(N24), ";;", ";"),1)=";",LEFT(SUBSTITUTE(FilterWithUnits(N24)&amp; ";" &amp;FilterStringsWithNumericAnd(N24) &amp; ";" &amp; FilterStringsWithX(N24), ";;", ";"),LEN(SUBSTITUTE(FilterWithUnits(N24)&amp; ";" &amp;FilterStringsWithNumericAnd(N24) &amp; ";" &amp; FilterStringsWithX(N24), ";;", ";"))-1),SUBSTITUTE(FilterWithUnits(N24)&amp; ";" &amp;FilterStringsWithNumericAnd(N24) &amp; ";" &amp; FilterStringsWithX(N24), ";;", ";")))-1),IF(RIGHT(SUBSTITUTE(FilterWithUnits(N24)&amp; ";" &amp;FilterStringsWithNumericAnd(N24) &amp; ";" &amp; FilterStringsWithX(N24), ";;", ";"),1)=";",LEFT(SUBSTITUTE(FilterWithUnits(N24)&amp; ";" &amp;FilterStringsWithNumericAnd(N24) &amp; ";" &amp; FilterStringsWithX(N24), ";;", ";"),LEN(SUBSTITUTE(FilterWithUnits(N24)&amp; ";" &amp;FilterStringsWithNumericAnd(N24) &amp; ";" &amp; FilterStringsWithX(N24), ";;", ";"))-1),SUBSTITUTE(FilterWithUnits(N24)&amp; ";" &amp;FilterStringsWithNumericAnd(N24) &amp; ";" &amp; FilterStringsWithX(N24), ";;", ";")))</f>
        <v/>
      </c>
      <c r="P24" t="str" cm="1">
        <f t="array" ref="P24">IF(MaxSize((SplitDimensions(O24)))=0, "", MaxSize((SplitDimensions(O24))))</f>
        <v/>
      </c>
      <c r="Q24" t="str" cm="1">
        <f t="array" ref="Q24">IF(ISERROR(INDEX(_xlfn._xlws.FILTER('Model output'!L:L, ('Model output'!Z:Z=A24)*('Model output'!L:L&lt;&gt;"")), 1)), " ", LOWER(INDEX(_xlfn._xlws.FILTER('Model output'!L:L, ('Model output'!Z:Z=A24)*('Model output'!L:L&lt;&gt;"")), 1)))</f>
        <v>papillary carcinoma, classic subtype</v>
      </c>
      <c r="R24" t="str" cm="1">
        <f t="array" ref="R24">IF(ISERROR(INDEX(_xlfn._xlws.FILTER('Model output'!M:M, ('Model output'!Z:Z=A24)*('Model output'!M:M&lt;&gt;"")), 1)), " ", LOWER(INDEX(_xlfn._xlws.FILTER('Model output'!M:M, ('Model output'!Z:Z=A24)*('Model output'!M:M&lt;&gt;"")), 1)))</f>
        <v>not mentioned</v>
      </c>
      <c r="S24" t="str" cm="1">
        <f t="array" ref="S24">IF(OR(ISNUMBER(SEARCH("ly",SUBSTITUTE(INDEX(_xlfn._xlws.FILTER('Model output'!N:N,('Model output'!Z:Z=A24)*('Model output'!N:N&lt;&gt;"")),1)," ",""),1)), ISNUMBER(SEARCH("pole",SUBSTITUTE(INDEX(_xlfn._xlws.FILTER('Model output'!N:N,('Model output'!Z:Z=A24)*('Model output'!N:N&lt;&gt;"")),1)," ",""),1))),"",SUBSTITUTE(INDEX(_xlfn._xlws.FILTER('Model output'!N:N,('Model output'!Z:Z=A24)*('Model output'!N:N&lt;&gt;"")),1)," ",""))</f>
        <v>10mm</v>
      </c>
      <c r="T24" t="str" cm="1">
        <f t="array" ref="T24">IF(LEFT(IF(RIGHT(SUBSTITUTE(FilterWithUnits(S24)&amp; ";" &amp;FilterStringsWithNumericAnd(S24) &amp; ";" &amp; FilterStringsWithX(S24), ";;", ";"),1)=";",LEFT(SUBSTITUTE(FilterWithUnits(S24)&amp; ";" &amp;FilterStringsWithNumericAnd(S24) &amp; ";" &amp; FilterStringsWithX(S24), ";;", ";"),LEN(SUBSTITUTE(FilterWithUnits(S24)&amp; ";" &amp;FilterStringsWithNumericAnd(S24) &amp; ";" &amp; FilterStringsWithX(S24), ";;", ";"))-1),SUBSTITUTE(FilterWithUnits(S24)&amp; ";" &amp;FilterStringsWithNumericAnd(S24) &amp; ";" &amp; FilterStringsWithX(S24), ";;", ";")),1)=";",RIGHT(IF(RIGHT(SUBSTITUTE(FilterWithUnits(S24)&amp; ";" &amp;FilterStringsWithNumericAnd(S24) &amp; ";" &amp; FilterStringsWithX(S24), ";;", ";"),1)=";",LEFT(SUBSTITUTE(FilterWithUnits(S24)&amp; ";" &amp;FilterStringsWithNumericAnd(S24) &amp; ";" &amp; FilterStringsWithX(S24), ";;", ";"),LEN(SUBSTITUTE(FilterWithUnits(S24)&amp; ";" &amp;FilterStringsWithNumericAnd(S24) &amp; ";" &amp; FilterStringsWithX(S24), ";;", ";"))-1),SUBSTITUTE(FilterWithUnits(S24)&amp; ";" &amp;FilterStringsWithNumericAnd(S24) &amp; ";" &amp; FilterStringsWithX(S24), ";;", ";")),LEN(IF(RIGHT(SUBSTITUTE(FilterWithUnits(S24)&amp; ";" &amp;FilterStringsWithNumericAnd(S24) &amp; ";" &amp; FilterStringsWithX(S24), ";;", ";"),1)=";",LEFT(SUBSTITUTE(FilterWithUnits(S24)&amp; ";" &amp;FilterStringsWithNumericAnd(S24) &amp; ";" &amp; FilterStringsWithX(S24), ";;", ";"),LEN(SUBSTITUTE(FilterWithUnits(S24)&amp; ";" &amp;FilterStringsWithNumericAnd(S24) &amp; ";" &amp; FilterStringsWithX(S24), ";;", ";"))-1),SUBSTITUTE(FilterWithUnits(S24)&amp; ";" &amp;FilterStringsWithNumericAnd(S24) &amp; ";" &amp; FilterStringsWithX(S24), ";;", ";")))-1),IF(RIGHT(SUBSTITUTE(FilterWithUnits(S24)&amp; ";" &amp;FilterStringsWithNumericAnd(S24) &amp; ";" &amp; FilterStringsWithX(S24), ";;", ";"),1)=";",LEFT(SUBSTITUTE(FilterWithUnits(S24)&amp; ";" &amp;FilterStringsWithNumericAnd(S24) &amp; ";" &amp; FilterStringsWithX(S24), ";;", ";"),LEN(SUBSTITUTE(FilterWithUnits(S24)&amp; ";" &amp;FilterStringsWithNumericAnd(S24) &amp; ";" &amp; FilterStringsWithX(S24), ";;", ";"))-1),SUBSTITUTE(FilterWithUnits(S24)&amp; ";" &amp;FilterStringsWithNumericAnd(S24) &amp; ";" &amp; FilterStringsWithX(S24), ";;", ";")))</f>
        <v>10mm</v>
      </c>
      <c r="U24" cm="1">
        <f t="array" ref="U24">IF(MaxSize((SplitDimensions(T24)))=0, "", MaxSize((SplitDimensions(T24))))</f>
        <v>1</v>
      </c>
      <c r="V24" s="17" t="str" cm="1">
        <f t="array" ref="V24">IF(ISERROR(INDEX(_xlfn._xlws.FILTER('Model output'!P:P,('Model output'!Z:Z=A24)*('Model output'!P:P&lt;&gt;"")),1)),"negative",IF(OR(ISNUMBER(SEARCH("foc",INDEX(_xlfn._xlws.FILTER('Model output'!P:P,('Model output'!Z:Z=A24)*('Model output'!P:P&lt;&gt;"")),1),1)),ISNUMBER(SEARCH("extensive",INDEX(_xlfn._xlws.FILTER('Model output'!P:P,('Model output'!Z:Z=A24)*('Model output'!P:P&lt;&gt;"")),1),1)),ISNUMBER(SEARCH("present",INDEX(_xlfn._xlws.FILTER('Model output'!P:P,('Model output'!Z:Z=A24)*('Model output'!P:P&lt;&gt;"")),1),1)),ISNUMBER(SEARCH("yes",INDEX(_xlfn._xlws.FILTER('Model output'!P:P,('Model output'!Z:Z=A24)*('Model output'!P:P&lt;&gt;"")),1),1))),"positive","negative"))</f>
        <v>negative</v>
      </c>
      <c r="X24" t="str" cm="1">
        <f t="array" ref="X24">IF(ISNUMBER(SEARCH("4",INDEX(_xlfn._xlws.FILTER('Model output'!P:P,('Model output'!Z:Z=A24)*('Model output'!P:P&lt;&gt;"")),1),1)),INDEX(_xlfn._xlws.FILTER('Model output'!P:P,('Model output'!Z:Z=A24)*('Model output'!P:P&lt;&gt;"")),1),"") &amp; _xlfn.TEXTJOIN("",TRUE,_xlfn._xlws.FILTER('Model output'!Q:Q,'Model output'!Z:Z=A24))</f>
        <v/>
      </c>
      <c r="Y24" t="str">
        <f t="shared" si="11"/>
        <v>no</v>
      </c>
      <c r="Z24" t="str" cm="1">
        <f t="array" ref="Z24">IF(OR(ISNUMBER(SEARCH("focal",_xlfn.TEXTJOIN("; ",TRUE,_xlfn._xlws.FILTER('Model output'!R:R,'Model output'!Z:Z=A24)),1)),ISNUMBER(SEARCH("present",_xlfn.TEXTJOIN("; ",TRUE,_xlfn._xlws.FILTER('Model output'!R:R,'Model output'!Z:Z=A24)),1))),"positive",IF(_xlfn.TEXTJOIN("; ",TRUE,_xlfn._xlws.FILTER('Model output'!R:R,'Model output'!Z:Z=A24))="","negative",IF(OR(ISNUMBER(SEARCH("no",_xlfn.TEXTJOIN("; ",TRUE,_xlfn._xlws.FILTER('Model output'!R:R,'Model output'!Z:Z=A24)),1)),ISNUMBER(SEARCH("absent",_xlfn.TEXTJOIN("; ",TRUE,_xlfn._xlws.FILTER('Model output'!R:R,'Model output'!Z:Z=A24)),1))),"negative","positive")))</f>
        <v>negative</v>
      </c>
      <c r="AA24" s="17" t="str">
        <f t="shared" ref="AA24:AA37" si="15">IF(OR(ISNUMBER(SEARCH("soft tissue", AF24)), ISNUMBER(SEARCH("adipose tissue", AF24)),ISNUMBER(SEARCH("muscle", AF24)), ISNUMBER(SEARCH("microscopic", AF24)), ISNUMBER(SEARCH("minimal", AF24)), ISNUMBER(SEARCH("surrounding fat", AF24)), ISNUMBER(SEARCH("present", AF24)), ISNUMBER(SEARCH("yes", AF24))), "positive", "negative")</f>
        <v>positive</v>
      </c>
      <c r="AE24" s="17" t="str">
        <f t="shared" si="12"/>
        <v>negative</v>
      </c>
      <c r="AF24" t="str" cm="1">
        <f t="array" ref="AF24">_xlfn.TEXTJOIN("; ",TRUE,_xlfn._xlws.FILTER('Model output'!S:S,'Model output'!Z:Z=A24))</f>
        <v>Not identified; perithyroidal fibradipose tissue</v>
      </c>
      <c r="AG24" s="17" t="str" cm="1">
        <f t="array" ref="AG24">IF(OR(ISNUMBER(SEARCH("uninvolved",_xlfn.TEXTJOIN("; ",TRUE,_xlfn._xlws.FILTER('Model output'!V:V,'Model output'!Z:Z=A24)),1)),ISNUMBER(SEARCH("clear",_xlfn.TEXTJOIN("; ",TRUE,_xlfn._xlws.FILTER('Model output'!V:V,'Model output'!Z:Z=A24)),1))*ISNUMBER(SEARCH("not mentioned",_xlfn.TEXTJOIN("; ",TRUE,_xlfn._xlws.FILTER('Model output'!V:V,'Model output'!Z:Z=A24)),1))),"negative",IF(ISNUMBER(SEARCH("cannot be assessed",_xlfn.TEXTJOIN("; ",TRUE,_xlfn._xlws.FILTER('Model output'!V:V,'Model output'!Z:Z=A24)),1)),"unknown","negative"))</f>
        <v>negative</v>
      </c>
      <c r="AI24" s="45" t="str">
        <f t="shared" si="13"/>
        <v>intermediate</v>
      </c>
      <c r="AJ24" s="41" t="str">
        <f t="shared" si="14"/>
        <v>1a</v>
      </c>
      <c r="AK24" s="41">
        <f t="shared" si="3"/>
        <v>0</v>
      </c>
      <c r="AL24" s="41">
        <f t="shared" si="4"/>
        <v>0</v>
      </c>
      <c r="AM24" s="41" t="str">
        <f t="shared" si="5"/>
        <v>I</v>
      </c>
      <c r="AN24" s="42" t="s">
        <v>166</v>
      </c>
      <c r="AO24" s="43" t="s">
        <v>205</v>
      </c>
      <c r="AP24" s="43">
        <v>0</v>
      </c>
      <c r="AQ24" s="43">
        <v>0</v>
      </c>
      <c r="AR24" s="43" t="s">
        <v>31</v>
      </c>
      <c r="AS24" s="42">
        <f t="shared" si="6"/>
        <v>0</v>
      </c>
      <c r="AT24" s="43">
        <f t="shared" si="7"/>
        <v>1</v>
      </c>
      <c r="AU24" s="43">
        <f t="shared" si="8"/>
        <v>1</v>
      </c>
      <c r="AV24" s="43">
        <f t="shared" si="9"/>
        <v>1</v>
      </c>
      <c r="AW24" s="44">
        <f t="shared" si="10"/>
        <v>1</v>
      </c>
    </row>
    <row r="25" spans="1:49">
      <c r="A25" s="13">
        <v>23</v>
      </c>
      <c r="B25" s="16">
        <f>_xlfn.MAXIFS('Model output'!B:B,'Model output'!Z:Z,'Classification result'!$A25)</f>
        <v>45413</v>
      </c>
      <c r="C25" s="16"/>
      <c r="D25" s="16"/>
      <c r="E25" s="17">
        <f>_xlfn.MAXIFS('Model output'!C:C,'Model output'!Z:Z,'Classification result'!$A25)</f>
        <v>61</v>
      </c>
      <c r="F25" s="17" t="str" cm="1">
        <f t="array" ref="F25">LEFT(IF(ISERROR(RIGHT(IF(INDEX(_xlfn._xlws.FILTER('Model output'!D:D,('Model output'!Z:Z=A25)),1)&lt;&gt;"",INDEX(_xlfn._xlws.FILTER('Model output'!D:D,('Model output'!Z:Z=A25)),1),""),LEN(IF(INDEX(_xlfn._xlws.FILTER('Model output'!D:D,('Model output'!Z:Z=A25)),1)&lt;&gt;"",INDEX(_xlfn._xlws.FILTER('Model output'!D:D,('Model output'!Z:Z=A25)),1),""))-FIND("T",IF(INDEX(_xlfn._xlws.FILTER('Model output'!D:D,('Model output'!Z:Z=A25)),1)&lt;&gt;"",INDEX(_xlfn._xlws.FILTER('Model output'!D:D,('Model output'!Z:Z=A25)),1),""),1))),"",(RIGHT(IF(INDEX(_xlfn._xlws.FILTER('Model output'!D:D,('Model output'!Z:Z=A25)),1)&lt;&gt;"",INDEX(_xlfn._xlws.FILTER('Model output'!D:D,('Model output'!Z:Z=A25)),1),""),LEN(IF(INDEX(_xlfn._xlws.FILTER('Model output'!D:D,('Model output'!Z:Z=A25)),1)&lt;&gt;"",INDEX(_xlfn._xlws.FILTER('Model output'!D:D,('Model output'!Z:Z=A25)),1),""))-FIND("T",IF(INDEX(_xlfn._xlws.FILTER('Model output'!D:D,('Model output'!Z:Z=A25)),1)&lt;&gt;"",INDEX(_xlfn._xlws.FILTER('Model output'!D:D,('Model output'!Z:Z=A25)),1)))))),2)</f>
        <v>1</v>
      </c>
      <c r="G25" s="17" t="str" cm="1">
        <f t="array" ref="G25">IF(ISNUMBER(SEARCH("N",IF(ISNUMBER(SEARCH("present",IF(INDEX(_xlfn._xlws.FILTER('Model output'!E:E,('Model output'!Z:Z=A25)),1)="","",INDEX(_xlfn._xlws.FILTER('Model output'!E:E,('Model output'!Z:Z=A25)),1)),1)),"N1", IF(INDEX(_xlfn._xlws.FILTER('Model output'!E:E,('Model output'!Z:Z=A25)),1)="","",INDEX(_xlfn._xlws.FILTER('Model output'!E:E,('Model output'!Z:Z=A25)),1))),1)),RIGHT(IF(ISNUMBER(SEARCH("present",IF(INDEX(_xlfn._xlws.FILTER('Model output'!E:E,('Model output'!Z:Z=A25)),1)="","",INDEX(_xlfn._xlws.FILTER('Model output'!E:E,('Model output'!Z:Z=A25)),1)),1)),"N1", IF(INDEX(_xlfn._xlws.FILTER('Model output'!E:E,('Model output'!Z:Z=A25)),1)="","",INDEX(_xlfn._xlws.FILTER('Model output'!E:E,('Model output'!Z:Z=A25)),1))),LEN(IF(ISNUMBER(SEARCH("present",IF(INDEX(_xlfn._xlws.FILTER('Model output'!E:E,('Model output'!Z:Z=A25)),1)="","",INDEX(_xlfn._xlws.FILTER('Model output'!E:E,('Model output'!Z:Z=A25)),1)),1)),"N1", IF(INDEX(_xlfn._xlws.FILTER('Model output'!E:E,('Model output'!Z:Z=A25)),1)="","",INDEX(_xlfn._xlws.FILTER('Model output'!E:E,('Model output'!Z:Z=A25)),1))))-FIND("N",IF(ISNUMBER(SEARCH("present",IF(INDEX(_xlfn._xlws.FILTER('Model output'!E:E,('Model output'!Z:Z=A25)),1)="","",INDEX(_xlfn._xlws.FILTER('Model output'!E:E,('Model output'!Z:Z=A25)),1)),1)),"N1", IF(INDEX(_xlfn._xlws.FILTER('Model output'!E:E,('Model output'!Z:Z=A25)),1)="","",INDEX(_xlfn._xlws.FILTER('Model output'!E:E,('Model output'!Z:Z=A25)),1))),1)), "")</f>
        <v/>
      </c>
      <c r="H25" s="17" cm="1">
        <f t="array" ref="H25">IF(AND(SUBSTITUTE(_xlfn.TEXTJOIN("/", TRUE, _xlfn._xlws.FILTER('Model output'!F:F, 'Model output'!Z:Z=A25)),"M", "")="", K25="negative"),0,IF(K25="positive",1,0))</f>
        <v>0</v>
      </c>
      <c r="I25" t="str">
        <f t="shared" si="0"/>
        <v/>
      </c>
      <c r="J25" t="str" cm="1">
        <f t="array" ref="J25">IF(AND(M25&gt;0, _xlfn.TEXTJOIN("; ", TRUE, _xlfn._xlws.FILTER('Model output'!G:G, 'Model output'!Z:Z=A25)) &lt;&gt;"", OR(AND(ISNUMBER(SEARCH("level", _xlfn.TEXTJOIN("; ", TRUE, _xlfn._xlws.FILTER('Model output'!G:G, 'Model output'!Z:Z=A25)),1)),OR(ISNUMBER(SEARCH(" II", _xlfn.TEXTJOIN("; ", TRUE, _xlfn._xlws.FILTER('Model output'!G:G, 'Model output'!Z:Z=A25)),1)),ISNUMBER(SEARCH("2", _xlfn.TEXTJOIN("; ", TRUE, _xlfn._xlws.FILTER('Model output'!G:G, 'Model output'!Z:Z=A25)),1)),ISNUMBER(SEARCH("two", _xlfn.TEXTJOIN("; ", TRUE, _xlfn._xlws.FILTER('Model output'!G:G, 'Model output'!Z:Z=A25)),1)),ISNUMBER(SEARCH("III", _xlfn.TEXTJOIN("; ", TRUE, _xlfn._xlws.FILTER('Model output'!G:G, 'Model output'!Z:Z=A25)),1)),ISNUMBER(SEARCH("3", _xlfn.TEXTJOIN("; ", TRUE, _xlfn._xlws.FILTER('Model output'!G:G, 'Model output'!Z:Z=A25)),1)),ISNUMBER(SEARCH("three", _xlfn.TEXTJOIN("; ", TRUE, _xlfn._xlws.FILTER('Model output'!G:G, 'Model output'!Z:Z=A25)),1)),ISNUMBER(SEARCH("IV", _xlfn.TEXTJOIN("; ", TRUE, _xlfn._xlws.FILTER('Model output'!G:G, 'Model output'!Z:Z=A25)),1)),ISNUMBER(SEARCH("4", _xlfn.TEXTJOIN("; ", TRUE, _xlfn._xlws.FILTER('Model output'!G:G, 'Model output'!Z:Z=A25)),1)),ISNUMBER(SEARCH("five", _xlfn.TEXTJOIN("; ", TRUE, _xlfn._xlws.FILTER('Model output'!G:G, 'Model output'!Z:Z=A25)),1)),ISNUMBER(SEARCH("V ", _xlfn.TEXTJOIN("; ", TRUE, _xlfn._xlws.FILTER('Model output'!G:G, 'Model output'!Z:Z=A25)),1)),ISNUMBER(SEARCH("5", _xlfn.TEXTJOIN("; ", TRUE, _xlfn._xlws.FILTER('Model output'!G:G, 'Model output'!Z:Z=A25)),1)),ISNUMBER(SEARCH("five", _xlfn.TEXTJOIN("; ", TRUE, _xlfn._xlws.FILTER('Model output'!G:G, 'Model output'!Z:Z=A25)),1)),ISNUMBER(SEARCH(" lateral", _xlfn.TEXTJOIN("; ", TRUE, _xlfn._xlws.FILTER('Model output'!G:G, 'Model output'!Z:Z=A25)),1)))),ISNUMBER(SEARCH("cervical", _xlfn.TEXTJOIN("; ", TRUE, _xlfn._xlws.FILTER('Model output'!G:G, 'Model output'!Z:Z=A25)),1)),ISNUMBER(SEARCH("jugular", _xlfn.TEXTJOIN("; ", TRUE, _xlfn._xlws.FILTER('Model output'!G:G, 'Model output'!Z:Z=A25)),1)),ISNUMBER(SEARCH("left neck", _xlfn.TEXTJOIN("; ", TRUE, _xlfn._xlws.FILTER('Model output'!G:G, 'Model output'!Z:Z=A25)),1)),ISNUMBER(SEARCH("left anterior neck", _xlfn.TEXTJOIN("; ", TRUE, _xlfn._xlws.FILTER('Model output'!G:G, 'Model output'!Z:Z=A25)),1)),ISNUMBER(SEARCH("left posterior neck", _xlfn.TEXTJOIN("; ", TRUE, _xlfn._xlws.FILTER('Model output'!G:G, 'Model output'!Z:Z=A25)),1)),ISNUMBER(SEARCH("right neck", _xlfn.TEXTJOIN("; ", TRUE, _xlfn._xlws.FILTER('Model output'!G:G, 'Model output'!Z:Z=A25)),1)),ISNUMBER(SEARCH("right anterior neck", _xlfn.TEXTJOIN("; ", TRUE, _xlfn._xlws.FILTER('Model output'!G:G, 'Model output'!Z:Z=A25)),1)),ISNUMBER(SEARCH("right posterior neck", _xlfn.TEXTJOIN("; ", TRUE, _xlfn._xlws.FILTER('Model output'!G:G, 'Model output'!Z:Z=A25)),1)))),"lateral",IF(AND(M25=0, _xlfn.TEXTJOIN("; ", TRUE, _xlfn._xlws.FILTER('Model output'!G:G, 'Model output'!Z:Z=A25))=""),"", "central"))</f>
        <v/>
      </c>
      <c r="K25" s="17" t="str" cm="1">
        <f t="array" ref="K25">IF(OR(ISNUMBER(SEARCH("lymph",_xlfn.TEXTJOIN("; ", TRUE, _xlfn._xlws.FILTER('Model output'!H:H, 'Model output'!Z:Z=A25)),1)), ISNUMBER(SEARCH("Not mentioned",_xlfn.TEXTJOIN("; ", TRUE, _xlfn._xlws.FILTER('Model output'!H:H, 'Model output'!Z:Z=A25)),1)),ISNUMBER(SEARCH("thyroid",_xlfn.TEXTJOIN("; ", TRUE, _xlfn._xlws.FILTER('Model output'!H:H, 'Model output'!Z:Z=A25)),1)),ISNUMBER(SEARCH("strap muscle",_xlfn.TEXTJOIN("; ", TRUE, _xlfn._xlws.FILTER('Model output'!H:H, 'Model output'!Z:Z=A25)),1)),ISNUMBER(SEARCH("subcutaneous soft tissues",_xlfn.TEXTJOIN("; ", TRUE, _xlfn._xlws.FILTER('Model output'!H:H, 'Model output'!Z:Z=A25)),1)),ISNUMBER(SEARCH("larynx",_xlfn.TEXTJOIN("; ", TRUE, _xlfn._xlws.FILTER('Model output'!H:H, 'Model output'!Z:Z=A25)),1)),ISNUMBER(SEARCH("trachea",_xlfn.TEXTJOIN("; ", TRUE, _xlfn._xlws.FILTER('Model output'!H:H, 'Model output'!Z:Z=A25)),1)),ISNUMBER(SEARCH("esophagus",_xlfn.TEXTJOIN("; ", TRUE, _xlfn._xlws.FILTER('Model output'!H:H, 'Model output'!Z:Z=A25)),1)),ISNUMBER(SEARCH("recurrent laryngeal nerve",_xlfn.TEXTJOIN("; ", TRUE, _xlfn._xlws.FILTER('Model output'!H:H, 'Model output'!Z:Z=A25)),1)),ISNUMBER(SEARCH("RLN",_xlfn.TEXTJOIN("; ", TRUE, _xlfn._xlws.FILTER('Model output'!H:H, 'Model output'!Z:Z=A25)),1)),_xlfn.TEXTJOIN("; ", TRUE, _xlfn._xlws.FILTER('Model output'!H:H, 'Model output'!Z:Z=A25))=""),"negative","positive")</f>
        <v>negative</v>
      </c>
      <c r="L25" s="17">
        <f>IF(IFERROR(INDEX('Model output'!I:I, MATCH(A25, 'Model output'!Z:Z, 0)), "") &lt; M25, "", IFERROR(INDEX('Model output'!I:I, MATCH(A25, 'Model output'!Z:Z, 0)), ""))</f>
        <v>1</v>
      </c>
      <c r="M25" s="17">
        <f>IFERROR(INDEX('Model output'!J:J, MATCH(A25, 'Model output'!Z:Z, 0)), "")</f>
        <v>0</v>
      </c>
      <c r="N25" s="18" t="str" cm="1">
        <f t="array" ref="N25">ReplaceTo(ReplaceAnd(SUBSTITUTE(SUBSTITUTE(_xlfn.TEXTJOIN("; ", TRUE, _xlfn._xlws.FILTER('Model output'!K:K, 'Model output'!Z:Z=A25)), " ", ""), ",", ";")))</f>
        <v/>
      </c>
      <c r="O25" t="str" cm="1">
        <f t="array" ref="O25">IF(LEFT(IF(RIGHT(SUBSTITUTE(FilterWithUnits(N25)&amp; ";" &amp;FilterStringsWithNumericAnd(N25) &amp; ";" &amp; FilterStringsWithX(N25), ";;", ";"),1)=";",LEFT(SUBSTITUTE(FilterWithUnits(N25)&amp; ";" &amp;FilterStringsWithNumericAnd(N25) &amp; ";" &amp; FilterStringsWithX(N25), ";;", ";"),LEN(SUBSTITUTE(FilterWithUnits(N25)&amp; ";" &amp;FilterStringsWithNumericAnd(N25) &amp; ";" &amp; FilterStringsWithX(N25), ";;", ";"))-1),SUBSTITUTE(FilterWithUnits(N25)&amp; ";" &amp;FilterStringsWithNumericAnd(N25) &amp; ";" &amp; FilterStringsWithX(N25), ";;", ";")),1)=";",RIGHT(IF(RIGHT(SUBSTITUTE(FilterWithUnits(N25)&amp; ";" &amp;FilterStringsWithNumericAnd(N25) &amp; ";" &amp; FilterStringsWithX(N25), ";;", ";"),1)=";",LEFT(SUBSTITUTE(FilterWithUnits(N25)&amp; ";" &amp;FilterStringsWithNumericAnd(N25) &amp; ";" &amp; FilterStringsWithX(N25), ";;", ";"),LEN(SUBSTITUTE(FilterWithUnits(N25)&amp; ";" &amp;FilterStringsWithNumericAnd(N25) &amp; ";" &amp; FilterStringsWithX(N25), ";;", ";"))-1),SUBSTITUTE(FilterWithUnits(N25)&amp; ";" &amp;FilterStringsWithNumericAnd(N25) &amp; ";" &amp; FilterStringsWithX(N25), ";;", ";")),LEN(IF(RIGHT(SUBSTITUTE(FilterWithUnits(N25)&amp; ";" &amp;FilterStringsWithNumericAnd(N25) &amp; ";" &amp; FilterStringsWithX(N25), ";;", ";"),1)=";",LEFT(SUBSTITUTE(FilterWithUnits(N25)&amp; ";" &amp;FilterStringsWithNumericAnd(N25) &amp; ";" &amp; FilterStringsWithX(N25), ";;", ";"),LEN(SUBSTITUTE(FilterWithUnits(N25)&amp; ";" &amp;FilterStringsWithNumericAnd(N25) &amp; ";" &amp; FilterStringsWithX(N25), ";;", ";"))-1),SUBSTITUTE(FilterWithUnits(N25)&amp; ";" &amp;FilterStringsWithNumericAnd(N25) &amp; ";" &amp; FilterStringsWithX(N25), ";;", ";")))-1),IF(RIGHT(SUBSTITUTE(FilterWithUnits(N25)&amp; ";" &amp;FilterStringsWithNumericAnd(N25) &amp; ";" &amp; FilterStringsWithX(N25), ";;", ";"),1)=";",LEFT(SUBSTITUTE(FilterWithUnits(N25)&amp; ";" &amp;FilterStringsWithNumericAnd(N25) &amp; ";" &amp; FilterStringsWithX(N25), ";;", ";"),LEN(SUBSTITUTE(FilterWithUnits(N25)&amp; ";" &amp;FilterStringsWithNumericAnd(N25) &amp; ";" &amp; FilterStringsWithX(N25), ";;", ";"))-1),SUBSTITUTE(FilterWithUnits(N25)&amp; ";" &amp;FilterStringsWithNumericAnd(N25) &amp; ";" &amp; FilterStringsWithX(N25), ";;", ";")))</f>
        <v/>
      </c>
      <c r="P25" t="str" cm="1">
        <f t="array" ref="P25">IF(MaxSize((SplitDimensions(O25)))=0, "", MaxSize((SplitDimensions(O25))))</f>
        <v/>
      </c>
      <c r="Q25" t="str" cm="1">
        <f t="array" ref="Q25">IF(ISERROR(INDEX(_xlfn._xlws.FILTER('Model output'!L:L, ('Model output'!Z:Z=A25)*('Model output'!L:L&lt;&gt;"")), 1)), " ", LOWER(INDEX(_xlfn._xlws.FILTER('Model output'!L:L, ('Model output'!Z:Z=A25)*('Model output'!L:L&lt;&gt;"")), 1)))</f>
        <v>papillary carcinoma</v>
      </c>
      <c r="R25" t="str" cm="1">
        <f t="array" ref="R25">IF(ISERROR(INDEX(_xlfn._xlws.FILTER('Model output'!M:M, ('Model output'!Z:Z=A25)*('Model output'!M:M&lt;&gt;"")), 1)), " ", LOWER(INDEX(_xlfn._xlws.FILTER('Model output'!M:M, ('Model output'!Z:Z=A25)*('Model output'!M:M&lt;&gt;"")), 1)))</f>
        <v>infiltrative follicular</v>
      </c>
      <c r="S25" t="str" cm="1">
        <f t="array" ref="S25">IF(OR(ISNUMBER(SEARCH("ly",SUBSTITUTE(INDEX(_xlfn._xlws.FILTER('Model output'!N:N,('Model output'!Z:Z=A25)*('Model output'!N:N&lt;&gt;"")),1)," ",""),1)), ISNUMBER(SEARCH("pole",SUBSTITUTE(INDEX(_xlfn._xlws.FILTER('Model output'!N:N,('Model output'!Z:Z=A25)*('Model output'!N:N&lt;&gt;"")),1)," ",""),1))),"",SUBSTITUTE(INDEX(_xlfn._xlws.FILTER('Model output'!N:N,('Model output'!Z:Z=A25)*('Model output'!N:N&lt;&gt;"")),1)," ",""))</f>
        <v>4.3cm(superoinferior)</v>
      </c>
      <c r="T25" t="str" cm="1">
        <f t="array" ref="T25">IF(LEFT(IF(RIGHT(SUBSTITUTE(FilterWithUnits(S25)&amp; ";" &amp;FilterStringsWithNumericAnd(S25) &amp; ";" &amp; FilterStringsWithX(S25), ";;", ";"),1)=";",LEFT(SUBSTITUTE(FilterWithUnits(S25)&amp; ";" &amp;FilterStringsWithNumericAnd(S25) &amp; ";" &amp; FilterStringsWithX(S25), ";;", ";"),LEN(SUBSTITUTE(FilterWithUnits(S25)&amp; ";" &amp;FilterStringsWithNumericAnd(S25) &amp; ";" &amp; FilterStringsWithX(S25), ";;", ";"))-1),SUBSTITUTE(FilterWithUnits(S25)&amp; ";" &amp;FilterStringsWithNumericAnd(S25) &amp; ";" &amp; FilterStringsWithX(S25), ";;", ";")),1)=";",RIGHT(IF(RIGHT(SUBSTITUTE(FilterWithUnits(S25)&amp; ";" &amp;FilterStringsWithNumericAnd(S25) &amp; ";" &amp; FilterStringsWithX(S25), ";;", ";"),1)=";",LEFT(SUBSTITUTE(FilterWithUnits(S25)&amp; ";" &amp;FilterStringsWithNumericAnd(S25) &amp; ";" &amp; FilterStringsWithX(S25), ";;", ";"),LEN(SUBSTITUTE(FilterWithUnits(S25)&amp; ";" &amp;FilterStringsWithNumericAnd(S25) &amp; ";" &amp; FilterStringsWithX(S25), ";;", ";"))-1),SUBSTITUTE(FilterWithUnits(S25)&amp; ";" &amp;FilterStringsWithNumericAnd(S25) &amp; ";" &amp; FilterStringsWithX(S25), ";;", ";")),LEN(IF(RIGHT(SUBSTITUTE(FilterWithUnits(S25)&amp; ";" &amp;FilterStringsWithNumericAnd(S25) &amp; ";" &amp; FilterStringsWithX(S25), ";;", ";"),1)=";",LEFT(SUBSTITUTE(FilterWithUnits(S25)&amp; ";" &amp;FilterStringsWithNumericAnd(S25) &amp; ";" &amp; FilterStringsWithX(S25), ";;", ";"),LEN(SUBSTITUTE(FilterWithUnits(S25)&amp; ";" &amp;FilterStringsWithNumericAnd(S25) &amp; ";" &amp; FilterStringsWithX(S25), ";;", ";"))-1),SUBSTITUTE(FilterWithUnits(S25)&amp; ";" &amp;FilterStringsWithNumericAnd(S25) &amp; ";" &amp; FilterStringsWithX(S25), ";;", ";")))-1),IF(RIGHT(SUBSTITUTE(FilterWithUnits(S25)&amp; ";" &amp;FilterStringsWithNumericAnd(S25) &amp; ";" &amp; FilterStringsWithX(S25), ";;", ";"),1)=";",LEFT(SUBSTITUTE(FilterWithUnits(S25)&amp; ";" &amp;FilterStringsWithNumericAnd(S25) &amp; ";" &amp; FilterStringsWithX(S25), ";;", ";"),LEN(SUBSTITUTE(FilterWithUnits(S25)&amp; ";" &amp;FilterStringsWithNumericAnd(S25) &amp; ";" &amp; FilterStringsWithX(S25), ";;", ";"))-1),SUBSTITUTE(FilterWithUnits(S25)&amp; ";" &amp;FilterStringsWithNumericAnd(S25) &amp; ";" &amp; FilterStringsWithX(S25), ";;", ";")))</f>
        <v>4.3cm</v>
      </c>
      <c r="U25" cm="1">
        <f t="array" ref="U25">IF(MaxSize((SplitDimensions(T25)))=0, "", MaxSize((SplitDimensions(T25))))</f>
        <v>4.3</v>
      </c>
      <c r="V25" s="17" t="str" cm="1">
        <f t="array" ref="V25">IF(ISERROR(INDEX(_xlfn._xlws.FILTER('Model output'!P:P,('Model output'!Z:Z=A25)*('Model output'!P:P&lt;&gt;"")),1)),"negative",IF(OR(ISNUMBER(SEARCH("foc",INDEX(_xlfn._xlws.FILTER('Model output'!P:P,('Model output'!Z:Z=A25)*('Model output'!P:P&lt;&gt;"")),1),1)),ISNUMBER(SEARCH("extensive",INDEX(_xlfn._xlws.FILTER('Model output'!P:P,('Model output'!Z:Z=A25)*('Model output'!P:P&lt;&gt;"")),1),1)),ISNUMBER(SEARCH("present",INDEX(_xlfn._xlws.FILTER('Model output'!P:P,('Model output'!Z:Z=A25)*('Model output'!P:P&lt;&gt;"")),1),1)),ISNUMBER(SEARCH("yes",INDEX(_xlfn._xlws.FILTER('Model output'!P:P,('Model output'!Z:Z=A25)*('Model output'!P:P&lt;&gt;"")),1),1))),"positive","negative"))</f>
        <v>negative</v>
      </c>
      <c r="X25" t="str" cm="1">
        <f t="array" ref="X25">IF(ISNUMBER(SEARCH("4",INDEX(_xlfn._xlws.FILTER('Model output'!P:P,('Model output'!Z:Z=A25)*('Model output'!P:P&lt;&gt;"")),1),1)),INDEX(_xlfn._xlws.FILTER('Model output'!P:P,('Model output'!Z:Z=A25)*('Model output'!P:P&lt;&gt;"")),1),"") &amp; _xlfn.TEXTJOIN("",TRUE,_xlfn._xlws.FILTER('Model output'!Q:Q,'Model output'!Z:Z=A25))</f>
        <v/>
      </c>
      <c r="Y25" t="str">
        <f t="shared" si="11"/>
        <v>no</v>
      </c>
      <c r="Z25" t="str" cm="1">
        <f t="array" ref="Z25">IF(OR(ISNUMBER(SEARCH("focal",_xlfn.TEXTJOIN("; ",TRUE,_xlfn._xlws.FILTER('Model output'!R:R,'Model output'!Z:Z=A25)),1)),ISNUMBER(SEARCH("present",_xlfn.TEXTJOIN("; ",TRUE,_xlfn._xlws.FILTER('Model output'!R:R,'Model output'!Z:Z=A25)),1))),"positive",IF(_xlfn.TEXTJOIN("; ",TRUE,_xlfn._xlws.FILTER('Model output'!R:R,'Model output'!Z:Z=A25))="","negative",IF(OR(ISNUMBER(SEARCH("no",_xlfn.TEXTJOIN("; ",TRUE,_xlfn._xlws.FILTER('Model output'!R:R,'Model output'!Z:Z=A25)),1)),ISNUMBER(SEARCH("absent",_xlfn.TEXTJOIN("; ",TRUE,_xlfn._xlws.FILTER('Model output'!R:R,'Model output'!Z:Z=A25)),1))),"negative","positive")))</f>
        <v>negative</v>
      </c>
      <c r="AA25" s="17" t="str">
        <f t="shared" si="15"/>
        <v>positive</v>
      </c>
      <c r="AE25" s="17" t="str">
        <f t="shared" si="12"/>
        <v>negative</v>
      </c>
      <c r="AF25" t="str" cm="1">
        <f t="array" ref="AF25">_xlfn.TEXTJOIN("; ",TRUE,_xlfn._xlws.FILTER('Model output'!S:S,'Model output'!Z:Z=A25))</f>
        <v>peri-thyroidal adipose tissue</v>
      </c>
      <c r="AG25" s="17" t="str" cm="1">
        <f t="array" ref="AG25">IF(OR(ISNUMBER(SEARCH("uninvolved",_xlfn.TEXTJOIN("; ",TRUE,_xlfn._xlws.FILTER('Model output'!V:V,'Model output'!Z:Z=A25)),1)),ISNUMBER(SEARCH("clear",_xlfn.TEXTJOIN("; ",TRUE,_xlfn._xlws.FILTER('Model output'!V:V,'Model output'!Z:Z=A25)),1))*ISNUMBER(SEARCH("not mentioned",_xlfn.TEXTJOIN("; ",TRUE,_xlfn._xlws.FILTER('Model output'!V:V,'Model output'!Z:Z=A25)),1))),"negative",IF(ISNUMBER(SEARCH("cannot be assessed",_xlfn.TEXTJOIN("; ",TRUE,_xlfn._xlws.FILTER('Model output'!V:V,'Model output'!Z:Z=A25)),1)),"unknown","negative"))</f>
        <v>negative</v>
      </c>
      <c r="AI25" s="45" t="str">
        <f t="shared" si="13"/>
        <v>intermediate</v>
      </c>
      <c r="AJ25" s="41" t="str">
        <f t="shared" si="14"/>
        <v>3a</v>
      </c>
      <c r="AK25" s="41">
        <f t="shared" si="3"/>
        <v>0</v>
      </c>
      <c r="AL25" s="41">
        <f t="shared" si="4"/>
        <v>0</v>
      </c>
      <c r="AM25" s="41" t="str">
        <f t="shared" si="5"/>
        <v>II</v>
      </c>
      <c r="AN25" s="42" t="s">
        <v>164</v>
      </c>
      <c r="AO25" s="43" t="s">
        <v>203</v>
      </c>
      <c r="AP25" s="43">
        <v>0</v>
      </c>
      <c r="AQ25" s="43">
        <v>0</v>
      </c>
      <c r="AR25" s="43" t="s">
        <v>31</v>
      </c>
      <c r="AS25" s="42">
        <f t="shared" si="6"/>
        <v>1</v>
      </c>
      <c r="AT25" s="43">
        <f t="shared" si="7"/>
        <v>0</v>
      </c>
      <c r="AU25" s="43">
        <f t="shared" si="8"/>
        <v>1</v>
      </c>
      <c r="AV25" s="43">
        <f t="shared" si="9"/>
        <v>1</v>
      </c>
      <c r="AW25" s="44">
        <f t="shared" si="10"/>
        <v>0</v>
      </c>
    </row>
    <row r="26" spans="1:49">
      <c r="A26" s="13">
        <v>24</v>
      </c>
      <c r="B26" s="16">
        <f>_xlfn.MAXIFS('Model output'!B:B,'Model output'!Z:Z,'Classification result'!$A26)</f>
        <v>45566</v>
      </c>
      <c r="C26" s="16"/>
      <c r="D26" s="16"/>
      <c r="E26" s="17">
        <f>_xlfn.MAXIFS('Model output'!C:C,'Model output'!Z:Z,'Classification result'!$A26)</f>
        <v>55</v>
      </c>
      <c r="F26" s="17" t="str" cm="1">
        <f t="array" ref="F26">LEFT(IF(ISERROR(RIGHT(IF(INDEX(_xlfn._xlws.FILTER('Model output'!D:D,('Model output'!Z:Z=A26)),1)&lt;&gt;"",INDEX(_xlfn._xlws.FILTER('Model output'!D:D,('Model output'!Z:Z=A26)),1),""),LEN(IF(INDEX(_xlfn._xlws.FILTER('Model output'!D:D,('Model output'!Z:Z=A26)),1)&lt;&gt;"",INDEX(_xlfn._xlws.FILTER('Model output'!D:D,('Model output'!Z:Z=A26)),1),""))-FIND("T",IF(INDEX(_xlfn._xlws.FILTER('Model output'!D:D,('Model output'!Z:Z=A26)),1)&lt;&gt;"",INDEX(_xlfn._xlws.FILTER('Model output'!D:D,('Model output'!Z:Z=A26)),1),""),1))),"",(RIGHT(IF(INDEX(_xlfn._xlws.FILTER('Model output'!D:D,('Model output'!Z:Z=A26)),1)&lt;&gt;"",INDEX(_xlfn._xlws.FILTER('Model output'!D:D,('Model output'!Z:Z=A26)),1),""),LEN(IF(INDEX(_xlfn._xlws.FILTER('Model output'!D:D,('Model output'!Z:Z=A26)),1)&lt;&gt;"",INDEX(_xlfn._xlws.FILTER('Model output'!D:D,('Model output'!Z:Z=A26)),1),""))-FIND("T",IF(INDEX(_xlfn._xlws.FILTER('Model output'!D:D,('Model output'!Z:Z=A26)),1)&lt;&gt;"",INDEX(_xlfn._xlws.FILTER('Model output'!D:D,('Model output'!Z:Z=A26)),1)))))),2)</f>
        <v>4a</v>
      </c>
      <c r="G26" s="17" t="str" cm="1">
        <f t="array" ref="G26">IF(ISNUMBER(SEARCH("N",IF(ISNUMBER(SEARCH("present",IF(INDEX(_xlfn._xlws.FILTER('Model output'!E:E,('Model output'!Z:Z=A26)),1)="","",INDEX(_xlfn._xlws.FILTER('Model output'!E:E,('Model output'!Z:Z=A26)),1)),1)),"N1", IF(INDEX(_xlfn._xlws.FILTER('Model output'!E:E,('Model output'!Z:Z=A26)),1)="","",INDEX(_xlfn._xlws.FILTER('Model output'!E:E,('Model output'!Z:Z=A26)),1))),1)),RIGHT(IF(ISNUMBER(SEARCH("present",IF(INDEX(_xlfn._xlws.FILTER('Model output'!E:E,('Model output'!Z:Z=A26)),1)="","",INDEX(_xlfn._xlws.FILTER('Model output'!E:E,('Model output'!Z:Z=A26)),1)),1)),"N1", IF(INDEX(_xlfn._xlws.FILTER('Model output'!E:E,('Model output'!Z:Z=A26)),1)="","",INDEX(_xlfn._xlws.FILTER('Model output'!E:E,('Model output'!Z:Z=A26)),1))),LEN(IF(ISNUMBER(SEARCH("present",IF(INDEX(_xlfn._xlws.FILTER('Model output'!E:E,('Model output'!Z:Z=A26)),1)="","",INDEX(_xlfn._xlws.FILTER('Model output'!E:E,('Model output'!Z:Z=A26)),1)),1)),"N1", IF(INDEX(_xlfn._xlws.FILTER('Model output'!E:E,('Model output'!Z:Z=A26)),1)="","",INDEX(_xlfn._xlws.FILTER('Model output'!E:E,('Model output'!Z:Z=A26)),1))))-FIND("N",IF(ISNUMBER(SEARCH("present",IF(INDEX(_xlfn._xlws.FILTER('Model output'!E:E,('Model output'!Z:Z=A26)),1)="","",INDEX(_xlfn._xlws.FILTER('Model output'!E:E,('Model output'!Z:Z=A26)),1)),1)),"N1", IF(INDEX(_xlfn._xlws.FILTER('Model output'!E:E,('Model output'!Z:Z=A26)),1)="","",INDEX(_xlfn._xlws.FILTER('Model output'!E:E,('Model output'!Z:Z=A26)),1))),1)), "")</f>
        <v/>
      </c>
      <c r="H26" s="17" cm="1">
        <f t="array" ref="H26">IF(AND(SUBSTITUTE(_xlfn.TEXTJOIN("/", TRUE, _xlfn._xlws.FILTER('Model output'!F:F, 'Model output'!Z:Z=A26)),"M", "")="", K26="negative"),0,IF(K26="positive",1,0))</f>
        <v>0</v>
      </c>
      <c r="I26" t="str">
        <f t="shared" si="0"/>
        <v>positive</v>
      </c>
      <c r="J26" t="str" cm="1">
        <f t="array" ref="J26">IF(AND(M26&gt;0, _xlfn.TEXTJOIN("; ", TRUE, _xlfn._xlws.FILTER('Model output'!G:G, 'Model output'!Z:Z=A26)) &lt;&gt;"", OR(AND(ISNUMBER(SEARCH("level", _xlfn.TEXTJOIN("; ", TRUE, _xlfn._xlws.FILTER('Model output'!G:G, 'Model output'!Z:Z=A26)),1)),OR(ISNUMBER(SEARCH(" II", _xlfn.TEXTJOIN("; ", TRUE, _xlfn._xlws.FILTER('Model output'!G:G, 'Model output'!Z:Z=A26)),1)),ISNUMBER(SEARCH("2", _xlfn.TEXTJOIN("; ", TRUE, _xlfn._xlws.FILTER('Model output'!G:G, 'Model output'!Z:Z=A26)),1)),ISNUMBER(SEARCH("two", _xlfn.TEXTJOIN("; ", TRUE, _xlfn._xlws.FILTER('Model output'!G:G, 'Model output'!Z:Z=A26)),1)),ISNUMBER(SEARCH("III", _xlfn.TEXTJOIN("; ", TRUE, _xlfn._xlws.FILTER('Model output'!G:G, 'Model output'!Z:Z=A26)),1)),ISNUMBER(SEARCH("3", _xlfn.TEXTJOIN("; ", TRUE, _xlfn._xlws.FILTER('Model output'!G:G, 'Model output'!Z:Z=A26)),1)),ISNUMBER(SEARCH("three", _xlfn.TEXTJOIN("; ", TRUE, _xlfn._xlws.FILTER('Model output'!G:G, 'Model output'!Z:Z=A26)),1)),ISNUMBER(SEARCH("IV", _xlfn.TEXTJOIN("; ", TRUE, _xlfn._xlws.FILTER('Model output'!G:G, 'Model output'!Z:Z=A26)),1)),ISNUMBER(SEARCH("4", _xlfn.TEXTJOIN("; ", TRUE, _xlfn._xlws.FILTER('Model output'!G:G, 'Model output'!Z:Z=A26)),1)),ISNUMBER(SEARCH("five", _xlfn.TEXTJOIN("; ", TRUE, _xlfn._xlws.FILTER('Model output'!G:G, 'Model output'!Z:Z=A26)),1)),ISNUMBER(SEARCH("V ", _xlfn.TEXTJOIN("; ", TRUE, _xlfn._xlws.FILTER('Model output'!G:G, 'Model output'!Z:Z=A26)),1)),ISNUMBER(SEARCH("5", _xlfn.TEXTJOIN("; ", TRUE, _xlfn._xlws.FILTER('Model output'!G:G, 'Model output'!Z:Z=A26)),1)),ISNUMBER(SEARCH("five", _xlfn.TEXTJOIN("; ", TRUE, _xlfn._xlws.FILTER('Model output'!G:G, 'Model output'!Z:Z=A26)),1)),ISNUMBER(SEARCH(" lateral", _xlfn.TEXTJOIN("; ", TRUE, _xlfn._xlws.FILTER('Model output'!G:G, 'Model output'!Z:Z=A26)),1)))),ISNUMBER(SEARCH("cervical", _xlfn.TEXTJOIN("; ", TRUE, _xlfn._xlws.FILTER('Model output'!G:G, 'Model output'!Z:Z=A26)),1)),ISNUMBER(SEARCH("jugular", _xlfn.TEXTJOIN("; ", TRUE, _xlfn._xlws.FILTER('Model output'!G:G, 'Model output'!Z:Z=A26)),1)),ISNUMBER(SEARCH("left neck", _xlfn.TEXTJOIN("; ", TRUE, _xlfn._xlws.FILTER('Model output'!G:G, 'Model output'!Z:Z=A26)),1)),ISNUMBER(SEARCH("left anterior neck", _xlfn.TEXTJOIN("; ", TRUE, _xlfn._xlws.FILTER('Model output'!G:G, 'Model output'!Z:Z=A26)),1)),ISNUMBER(SEARCH("left posterior neck", _xlfn.TEXTJOIN("; ", TRUE, _xlfn._xlws.FILTER('Model output'!G:G, 'Model output'!Z:Z=A26)),1)),ISNUMBER(SEARCH("right neck", _xlfn.TEXTJOIN("; ", TRUE, _xlfn._xlws.FILTER('Model output'!G:G, 'Model output'!Z:Z=A26)),1)),ISNUMBER(SEARCH("right anterior neck", _xlfn.TEXTJOIN("; ", TRUE, _xlfn._xlws.FILTER('Model output'!G:G, 'Model output'!Z:Z=A26)),1)),ISNUMBER(SEARCH("right posterior neck", _xlfn.TEXTJOIN("; ", TRUE, _xlfn._xlws.FILTER('Model output'!G:G, 'Model output'!Z:Z=A26)),1)))),"lateral",IF(AND(M26=0, _xlfn.TEXTJOIN("; ", TRUE, _xlfn._xlws.FILTER('Model output'!G:G, 'Model output'!Z:Z=A26))=""),"", "central"))</f>
        <v>lateral</v>
      </c>
      <c r="K26" s="17" t="str" cm="1">
        <f t="array" ref="K26">IF(OR(ISNUMBER(SEARCH("lymph",_xlfn.TEXTJOIN("; ", TRUE, _xlfn._xlws.FILTER('Model output'!H:H, 'Model output'!Z:Z=A26)),1)), ISNUMBER(SEARCH("Not mentioned",_xlfn.TEXTJOIN("; ", TRUE, _xlfn._xlws.FILTER('Model output'!H:H, 'Model output'!Z:Z=A26)),1)),ISNUMBER(SEARCH("thyroid",_xlfn.TEXTJOIN("; ", TRUE, _xlfn._xlws.FILTER('Model output'!H:H, 'Model output'!Z:Z=A26)),1)),ISNUMBER(SEARCH("strap muscle",_xlfn.TEXTJOIN("; ", TRUE, _xlfn._xlws.FILTER('Model output'!H:H, 'Model output'!Z:Z=A26)),1)),ISNUMBER(SEARCH("subcutaneous soft tissues",_xlfn.TEXTJOIN("; ", TRUE, _xlfn._xlws.FILTER('Model output'!H:H, 'Model output'!Z:Z=A26)),1)),ISNUMBER(SEARCH("larynx",_xlfn.TEXTJOIN("; ", TRUE, _xlfn._xlws.FILTER('Model output'!H:H, 'Model output'!Z:Z=A26)),1)),ISNUMBER(SEARCH("trachea",_xlfn.TEXTJOIN("; ", TRUE, _xlfn._xlws.FILTER('Model output'!H:H, 'Model output'!Z:Z=A26)),1)),ISNUMBER(SEARCH("esophagus",_xlfn.TEXTJOIN("; ", TRUE, _xlfn._xlws.FILTER('Model output'!H:H, 'Model output'!Z:Z=A26)),1)),ISNUMBER(SEARCH("recurrent laryngeal nerve",_xlfn.TEXTJOIN("; ", TRUE, _xlfn._xlws.FILTER('Model output'!H:H, 'Model output'!Z:Z=A26)),1)),ISNUMBER(SEARCH("RLN",_xlfn.TEXTJOIN("; ", TRUE, _xlfn._xlws.FILTER('Model output'!H:H, 'Model output'!Z:Z=A26)),1)),_xlfn.TEXTJOIN("; ", TRUE, _xlfn._xlws.FILTER('Model output'!H:H, 'Model output'!Z:Z=A26))=""),"negative","positive")</f>
        <v>negative</v>
      </c>
      <c r="L26" s="17">
        <f>IF(IFERROR(INDEX('Model output'!I:I, MATCH(A26, 'Model output'!Z:Z, 0)), "") &lt; M26, "", IFERROR(INDEX('Model output'!I:I, MATCH(A26, 'Model output'!Z:Z, 0)), ""))</f>
        <v>15</v>
      </c>
      <c r="M26" s="17">
        <f>IFERROR(INDEX('Model output'!J:J, MATCH(A26, 'Model output'!Z:Z, 0)), "")</f>
        <v>9</v>
      </c>
      <c r="N26" s="18" t="str" cm="1">
        <f t="array" ref="N26">ReplaceTo(ReplaceAnd(SUBSTITUTE(SUBSTITUTE(_xlfn.TEXTJOIN("; ", TRUE, _xlfn._xlws.FILTER('Model output'!K:K, 'Model output'!Z:Z=A26)), " ", ""), ",", ";")))</f>
        <v>9mm;2.5cm</v>
      </c>
      <c r="O26" t="str" cm="1">
        <f t="array" ref="O26">IF(LEFT(IF(RIGHT(SUBSTITUTE(FilterWithUnits(N26)&amp; ";" &amp;FilterStringsWithNumericAnd(N26) &amp; ";" &amp; FilterStringsWithX(N26), ";;", ";"),1)=";",LEFT(SUBSTITUTE(FilterWithUnits(N26)&amp; ";" &amp;FilterStringsWithNumericAnd(N26) &amp; ";" &amp; FilterStringsWithX(N26), ";;", ";"),LEN(SUBSTITUTE(FilterWithUnits(N26)&amp; ";" &amp;FilterStringsWithNumericAnd(N26) &amp; ";" &amp; FilterStringsWithX(N26), ";;", ";"))-1),SUBSTITUTE(FilterWithUnits(N26)&amp; ";" &amp;FilterStringsWithNumericAnd(N26) &amp; ";" &amp; FilterStringsWithX(N26), ";;", ";")),1)=";",RIGHT(IF(RIGHT(SUBSTITUTE(FilterWithUnits(N26)&amp; ";" &amp;FilterStringsWithNumericAnd(N26) &amp; ";" &amp; FilterStringsWithX(N26), ";;", ";"),1)=";",LEFT(SUBSTITUTE(FilterWithUnits(N26)&amp; ";" &amp;FilterStringsWithNumericAnd(N26) &amp; ";" &amp; FilterStringsWithX(N26), ";;", ";"),LEN(SUBSTITUTE(FilterWithUnits(N26)&amp; ";" &amp;FilterStringsWithNumericAnd(N26) &amp; ";" &amp; FilterStringsWithX(N26), ";;", ";"))-1),SUBSTITUTE(FilterWithUnits(N26)&amp; ";" &amp;FilterStringsWithNumericAnd(N26) &amp; ";" &amp; FilterStringsWithX(N26), ";;", ";")),LEN(IF(RIGHT(SUBSTITUTE(FilterWithUnits(N26)&amp; ";" &amp;FilterStringsWithNumericAnd(N26) &amp; ";" &amp; FilterStringsWithX(N26), ";;", ";"),1)=";",LEFT(SUBSTITUTE(FilterWithUnits(N26)&amp; ";" &amp;FilterStringsWithNumericAnd(N26) &amp; ";" &amp; FilterStringsWithX(N26), ";;", ";"),LEN(SUBSTITUTE(FilterWithUnits(N26)&amp; ";" &amp;FilterStringsWithNumericAnd(N26) &amp; ";" &amp; FilterStringsWithX(N26), ";;", ";"))-1),SUBSTITUTE(FilterWithUnits(N26)&amp; ";" &amp;FilterStringsWithNumericAnd(N26) &amp; ";" &amp; FilterStringsWithX(N26), ";;", ";")))-1),IF(RIGHT(SUBSTITUTE(FilterWithUnits(N26)&amp; ";" &amp;FilterStringsWithNumericAnd(N26) &amp; ";" &amp; FilterStringsWithX(N26), ";;", ";"),1)=";",LEFT(SUBSTITUTE(FilterWithUnits(N26)&amp; ";" &amp;FilterStringsWithNumericAnd(N26) &amp; ";" &amp; FilterStringsWithX(N26), ";;", ";"),LEN(SUBSTITUTE(FilterWithUnits(N26)&amp; ";" &amp;FilterStringsWithNumericAnd(N26) &amp; ";" &amp; FilterStringsWithX(N26), ";;", ";"))-1),SUBSTITUTE(FilterWithUnits(N26)&amp; ";" &amp;FilterStringsWithNumericAnd(N26) &amp; ";" &amp; FilterStringsWithX(N26), ";;", ";")))</f>
        <v>9mm;2.5cm</v>
      </c>
      <c r="P26" cm="1">
        <f t="array" ref="P26">IF(MaxSize((SplitDimensions(O26)))=0, "", MaxSize((SplitDimensions(O26))))</f>
        <v>2.5</v>
      </c>
      <c r="Q26" t="str" cm="1">
        <f t="array" ref="Q26">IF(ISERROR(INDEX(_xlfn._xlws.FILTER('Model output'!L:L, ('Model output'!Z:Z=A26)*('Model output'!L:L&lt;&gt;"")), 1)), " ", LOWER(INDEX(_xlfn._xlws.FILTER('Model output'!L:L, ('Model output'!Z:Z=A26)*('Model output'!L:L&lt;&gt;"")), 1)))</f>
        <v>papillary carcinoma: classic (usual, conventional)</v>
      </c>
      <c r="R26" t="str" cm="1">
        <f t="array" ref="R26">IF(ISERROR(INDEX(_xlfn._xlws.FILTER('Model output'!M:M, ('Model output'!Z:Z=A26)*('Model output'!M:M&lt;&gt;"")), 1)), " ", LOWER(INDEX(_xlfn._xlws.FILTER('Model output'!M:M, ('Model output'!Z:Z=A26)*('Model output'!M:M&lt;&gt;"")), 1)))</f>
        <v>not mentioned</v>
      </c>
      <c r="S26" t="str" cm="1">
        <f t="array" ref="S26">IF(OR(ISNUMBER(SEARCH("ly",SUBSTITUTE(INDEX(_xlfn._xlws.FILTER('Model output'!N:N,('Model output'!Z:Z=A26)*('Model output'!N:N&lt;&gt;"")),1)," ",""),1)), ISNUMBER(SEARCH("pole",SUBSTITUTE(INDEX(_xlfn._xlws.FILTER('Model output'!N:N,('Model output'!Z:Z=A26)*('Model output'!N:N&lt;&gt;"")),1)," ",""),1))),"",SUBSTITUTE(INDEX(_xlfn._xlws.FILTER('Model output'!N:N,('Model output'!Z:Z=A26)*('Model output'!N:N&lt;&gt;"")),1)," ",""))</f>
        <v>2.7cm</v>
      </c>
      <c r="T26" t="str" cm="1">
        <f t="array" ref="T26">IF(LEFT(IF(RIGHT(SUBSTITUTE(FilterWithUnits(S26)&amp; ";" &amp;FilterStringsWithNumericAnd(S26) &amp; ";" &amp; FilterStringsWithX(S26), ";;", ";"),1)=";",LEFT(SUBSTITUTE(FilterWithUnits(S26)&amp; ";" &amp;FilterStringsWithNumericAnd(S26) &amp; ";" &amp; FilterStringsWithX(S26), ";;", ";"),LEN(SUBSTITUTE(FilterWithUnits(S26)&amp; ";" &amp;FilterStringsWithNumericAnd(S26) &amp; ";" &amp; FilterStringsWithX(S26), ";;", ";"))-1),SUBSTITUTE(FilterWithUnits(S26)&amp; ";" &amp;FilterStringsWithNumericAnd(S26) &amp; ";" &amp; FilterStringsWithX(S26), ";;", ";")),1)=";",RIGHT(IF(RIGHT(SUBSTITUTE(FilterWithUnits(S26)&amp; ";" &amp;FilterStringsWithNumericAnd(S26) &amp; ";" &amp; FilterStringsWithX(S26), ";;", ";"),1)=";",LEFT(SUBSTITUTE(FilterWithUnits(S26)&amp; ";" &amp;FilterStringsWithNumericAnd(S26) &amp; ";" &amp; FilterStringsWithX(S26), ";;", ";"),LEN(SUBSTITUTE(FilterWithUnits(S26)&amp; ";" &amp;FilterStringsWithNumericAnd(S26) &amp; ";" &amp; FilterStringsWithX(S26), ";;", ";"))-1),SUBSTITUTE(FilterWithUnits(S26)&amp; ";" &amp;FilterStringsWithNumericAnd(S26) &amp; ";" &amp; FilterStringsWithX(S26), ";;", ";")),LEN(IF(RIGHT(SUBSTITUTE(FilterWithUnits(S26)&amp; ";" &amp;FilterStringsWithNumericAnd(S26) &amp; ";" &amp; FilterStringsWithX(S26), ";;", ";"),1)=";",LEFT(SUBSTITUTE(FilterWithUnits(S26)&amp; ";" &amp;FilterStringsWithNumericAnd(S26) &amp; ";" &amp; FilterStringsWithX(S26), ";;", ";"),LEN(SUBSTITUTE(FilterWithUnits(S26)&amp; ";" &amp;FilterStringsWithNumericAnd(S26) &amp; ";" &amp; FilterStringsWithX(S26), ";;", ";"))-1),SUBSTITUTE(FilterWithUnits(S26)&amp; ";" &amp;FilterStringsWithNumericAnd(S26) &amp; ";" &amp; FilterStringsWithX(S26), ";;", ";")))-1),IF(RIGHT(SUBSTITUTE(FilterWithUnits(S26)&amp; ";" &amp;FilterStringsWithNumericAnd(S26) &amp; ";" &amp; FilterStringsWithX(S26), ";;", ";"),1)=";",LEFT(SUBSTITUTE(FilterWithUnits(S26)&amp; ";" &amp;FilterStringsWithNumericAnd(S26) &amp; ";" &amp; FilterStringsWithX(S26), ";;", ";"),LEN(SUBSTITUTE(FilterWithUnits(S26)&amp; ";" &amp;FilterStringsWithNumericAnd(S26) &amp; ";" &amp; FilterStringsWithX(S26), ";;", ";"))-1),SUBSTITUTE(FilterWithUnits(S26)&amp; ";" &amp;FilterStringsWithNumericAnd(S26) &amp; ";" &amp; FilterStringsWithX(S26), ";;", ";")))</f>
        <v>2.7cm</v>
      </c>
      <c r="U26" cm="1">
        <f t="array" ref="U26">IF(MaxSize((SplitDimensions(T26)))=0, "", MaxSize((SplitDimensions(T26))))</f>
        <v>2.7</v>
      </c>
      <c r="V26" s="17" t="str" cm="1">
        <f t="array" ref="V26">IF(ISERROR(INDEX(_xlfn._xlws.FILTER('Model output'!P:P,('Model output'!Z:Z=A26)*('Model output'!P:P&lt;&gt;"")),1)),"negative",IF(OR(ISNUMBER(SEARCH("foc",INDEX(_xlfn._xlws.FILTER('Model output'!P:P,('Model output'!Z:Z=A26)*('Model output'!P:P&lt;&gt;"")),1),1)),ISNUMBER(SEARCH("extensive",INDEX(_xlfn._xlws.FILTER('Model output'!P:P,('Model output'!Z:Z=A26)*('Model output'!P:P&lt;&gt;"")),1),1)),ISNUMBER(SEARCH("present",INDEX(_xlfn._xlws.FILTER('Model output'!P:P,('Model output'!Z:Z=A26)*('Model output'!P:P&lt;&gt;"")),1),1)),ISNUMBER(SEARCH("yes",INDEX(_xlfn._xlws.FILTER('Model output'!P:P,('Model output'!Z:Z=A26)*('Model output'!P:P&lt;&gt;"")),1),1))),"positive","negative"))</f>
        <v>positive</v>
      </c>
      <c r="X26" t="str" cm="1">
        <f t="array" ref="X26">IF(ISNUMBER(SEARCH("4",INDEX(_xlfn._xlws.FILTER('Model output'!P:P,('Model output'!Z:Z=A26)*('Model output'!P:P&lt;&gt;"")),1),1)),INDEX(_xlfn._xlws.FILTER('Model output'!P:P,('Model output'!Z:Z=A26)*('Model output'!P:P&lt;&gt;"")),1),"") &amp; _xlfn.TEXTJOIN("",TRUE,_xlfn._xlws.FILTER('Model output'!Q:Q,'Model output'!Z:Z=A26))</f>
        <v>MinimalComplete encasement of right RLN</v>
      </c>
      <c r="Y26" t="str">
        <f t="shared" si="11"/>
        <v>minimal</v>
      </c>
      <c r="Z26" t="str" cm="1">
        <f t="array" ref="Z26">IF(OR(ISNUMBER(SEARCH("focal",_xlfn.TEXTJOIN("; ",TRUE,_xlfn._xlws.FILTER('Model output'!R:R,'Model output'!Z:Z=A26)),1)),ISNUMBER(SEARCH("present",_xlfn.TEXTJOIN("; ",TRUE,_xlfn._xlws.FILTER('Model output'!R:R,'Model output'!Z:Z=A26)),1))),"positive",IF(_xlfn.TEXTJOIN("; ",TRUE,_xlfn._xlws.FILTER('Model output'!R:R,'Model output'!Z:Z=A26))="","negative",IF(OR(ISNUMBER(SEARCH("no",_xlfn.TEXTJOIN("; ",TRUE,_xlfn._xlws.FILTER('Model output'!R:R,'Model output'!Z:Z=A26)),1)),ISNUMBER(SEARCH("absent",_xlfn.TEXTJOIN("; ",TRUE,_xlfn._xlws.FILTER('Model output'!R:R,'Model output'!Z:Z=A26)),1))),"negative","positive")))</f>
        <v>positive</v>
      </c>
      <c r="AA26" s="17" t="str">
        <f t="shared" si="15"/>
        <v>positive</v>
      </c>
      <c r="AE26" s="17" t="str">
        <f t="shared" si="12"/>
        <v>negative</v>
      </c>
      <c r="AF26" t="str" cm="1">
        <f t="array" ref="AF26">_xlfn.TEXTJOIN("; ",TRUE,_xlfn._xlws.FILTER('Model output'!S:S,'Model output'!Z:Z=A26))</f>
        <v>Present (minimal); Perithyroidal fibradipose tissue (at least at the right lobe)</v>
      </c>
      <c r="AG26" s="17" t="str" cm="1">
        <f t="array" ref="AG26">IF(OR(ISNUMBER(SEARCH("uninvolved",_xlfn.TEXTJOIN("; ",TRUE,_xlfn._xlws.FILTER('Model output'!V:V,'Model output'!Z:Z=A26)),1)),ISNUMBER(SEARCH("clear",_xlfn.TEXTJOIN("; ",TRUE,_xlfn._xlws.FILTER('Model output'!V:V,'Model output'!Z:Z=A26)),1))*ISNUMBER(SEARCH("not mentioned",_xlfn.TEXTJOIN("; ",TRUE,_xlfn._xlws.FILTER('Model output'!V:V,'Model output'!Z:Z=A26)),1))),"negative",IF(ISNUMBER(SEARCH("cannot be assessed",_xlfn.TEXTJOIN("; ",TRUE,_xlfn._xlws.FILTER('Model output'!V:V,'Model output'!Z:Z=A26)),1)),"unknown","negative"))</f>
        <v>negative</v>
      </c>
      <c r="AI26" s="45" t="str">
        <f t="shared" si="13"/>
        <v>intermediate</v>
      </c>
      <c r="AJ26" s="41" t="str">
        <f t="shared" si="14"/>
        <v>4a</v>
      </c>
      <c r="AK26" s="41" t="str">
        <f t="shared" si="3"/>
        <v>1b</v>
      </c>
      <c r="AL26" s="41">
        <f t="shared" si="4"/>
        <v>0</v>
      </c>
      <c r="AM26" s="41" t="str">
        <f t="shared" si="5"/>
        <v>III</v>
      </c>
      <c r="AN26" s="42" t="s">
        <v>165</v>
      </c>
      <c r="AO26" s="43" t="s">
        <v>208</v>
      </c>
      <c r="AP26" s="43" t="s">
        <v>203</v>
      </c>
      <c r="AQ26" s="43">
        <v>0</v>
      </c>
      <c r="AR26" s="43" t="s">
        <v>68</v>
      </c>
      <c r="AS26" s="42">
        <f t="shared" si="6"/>
        <v>0</v>
      </c>
      <c r="AT26" s="43">
        <f t="shared" si="7"/>
        <v>1</v>
      </c>
      <c r="AU26" s="43">
        <f t="shared" si="8"/>
        <v>1</v>
      </c>
      <c r="AV26" s="43">
        <f t="shared" si="9"/>
        <v>1</v>
      </c>
      <c r="AW26" s="44">
        <f t="shared" si="10"/>
        <v>1</v>
      </c>
    </row>
    <row r="27" spans="1:49">
      <c r="A27" s="13">
        <v>25</v>
      </c>
      <c r="B27" s="16">
        <f>_xlfn.MAXIFS('Model output'!B:B,'Model output'!Z:Z,'Classification result'!$A27)</f>
        <v>0</v>
      </c>
      <c r="C27" s="16"/>
      <c r="D27" s="16"/>
      <c r="E27" s="17">
        <f>_xlfn.MAXIFS('Model output'!C:C,'Model output'!Z:Z,'Classification result'!$A27)</f>
        <v>42</v>
      </c>
      <c r="F27" s="17" t="str" cm="1">
        <f t="array" ref="F27">LEFT(IF(ISERROR(RIGHT(IF(INDEX(_xlfn._xlws.FILTER('Model output'!D:D,('Model output'!Z:Z=A27)),1)&lt;&gt;"",INDEX(_xlfn._xlws.FILTER('Model output'!D:D,('Model output'!Z:Z=A27)),1),""),LEN(IF(INDEX(_xlfn._xlws.FILTER('Model output'!D:D,('Model output'!Z:Z=A27)),1)&lt;&gt;"",INDEX(_xlfn._xlws.FILTER('Model output'!D:D,('Model output'!Z:Z=A27)),1),""))-FIND("T",IF(INDEX(_xlfn._xlws.FILTER('Model output'!D:D,('Model output'!Z:Z=A27)),1)&lt;&gt;"",INDEX(_xlfn._xlws.FILTER('Model output'!D:D,('Model output'!Z:Z=A27)),1),""),1))),"",(RIGHT(IF(INDEX(_xlfn._xlws.FILTER('Model output'!D:D,('Model output'!Z:Z=A27)),1)&lt;&gt;"",INDEX(_xlfn._xlws.FILTER('Model output'!D:D,('Model output'!Z:Z=A27)),1),""),LEN(IF(INDEX(_xlfn._xlws.FILTER('Model output'!D:D,('Model output'!Z:Z=A27)),1)&lt;&gt;"",INDEX(_xlfn._xlws.FILTER('Model output'!D:D,('Model output'!Z:Z=A27)),1),""))-FIND("T",IF(INDEX(_xlfn._xlws.FILTER('Model output'!D:D,('Model output'!Z:Z=A27)),1)&lt;&gt;"",INDEX(_xlfn._xlws.FILTER('Model output'!D:D,('Model output'!Z:Z=A27)),1)))))),2)</f>
        <v>1b</v>
      </c>
      <c r="G27" s="17" t="str" cm="1">
        <f t="array" ref="G27">IF(ISNUMBER(SEARCH("N",IF(ISNUMBER(SEARCH("present",IF(INDEX(_xlfn._xlws.FILTER('Model output'!E:E,('Model output'!Z:Z=A27)),1)="","",INDEX(_xlfn._xlws.FILTER('Model output'!E:E,('Model output'!Z:Z=A27)),1)),1)),"N1", IF(INDEX(_xlfn._xlws.FILTER('Model output'!E:E,('Model output'!Z:Z=A27)),1)="","",INDEX(_xlfn._xlws.FILTER('Model output'!E:E,('Model output'!Z:Z=A27)),1))),1)),RIGHT(IF(ISNUMBER(SEARCH("present",IF(INDEX(_xlfn._xlws.FILTER('Model output'!E:E,('Model output'!Z:Z=A27)),1)="","",INDEX(_xlfn._xlws.FILTER('Model output'!E:E,('Model output'!Z:Z=A27)),1)),1)),"N1", IF(INDEX(_xlfn._xlws.FILTER('Model output'!E:E,('Model output'!Z:Z=A27)),1)="","",INDEX(_xlfn._xlws.FILTER('Model output'!E:E,('Model output'!Z:Z=A27)),1))),LEN(IF(ISNUMBER(SEARCH("present",IF(INDEX(_xlfn._xlws.FILTER('Model output'!E:E,('Model output'!Z:Z=A27)),1)="","",INDEX(_xlfn._xlws.FILTER('Model output'!E:E,('Model output'!Z:Z=A27)),1)),1)),"N1", IF(INDEX(_xlfn._xlws.FILTER('Model output'!E:E,('Model output'!Z:Z=A27)),1)="","",INDEX(_xlfn._xlws.FILTER('Model output'!E:E,('Model output'!Z:Z=A27)),1))))-FIND("N",IF(ISNUMBER(SEARCH("present",IF(INDEX(_xlfn._xlws.FILTER('Model output'!E:E,('Model output'!Z:Z=A27)),1)="","",INDEX(_xlfn._xlws.FILTER('Model output'!E:E,('Model output'!Z:Z=A27)),1)),1)),"N1", IF(INDEX(_xlfn._xlws.FILTER('Model output'!E:E,('Model output'!Z:Z=A27)),1)="","",INDEX(_xlfn._xlws.FILTER('Model output'!E:E,('Model output'!Z:Z=A27)),1))),1)), "")</f>
        <v/>
      </c>
      <c r="H27" s="17" cm="1">
        <f t="array" ref="H27">IF(AND(SUBSTITUTE(_xlfn.TEXTJOIN("/", TRUE, _xlfn._xlws.FILTER('Model output'!F:F, 'Model output'!Z:Z=A27)),"M", "")="", K27="negative"),0,IF(K27="positive",1,0))</f>
        <v>0</v>
      </c>
      <c r="I27" t="str">
        <f t="shared" si="0"/>
        <v/>
      </c>
      <c r="J27" t="str" cm="1">
        <f t="array" ref="J27">IF(AND(M27&gt;0, _xlfn.TEXTJOIN("; ", TRUE, _xlfn._xlws.FILTER('Model output'!G:G, 'Model output'!Z:Z=A27)) &lt;&gt;"", OR(AND(ISNUMBER(SEARCH("level", _xlfn.TEXTJOIN("; ", TRUE, _xlfn._xlws.FILTER('Model output'!G:G, 'Model output'!Z:Z=A27)),1)),OR(ISNUMBER(SEARCH(" II", _xlfn.TEXTJOIN("; ", TRUE, _xlfn._xlws.FILTER('Model output'!G:G, 'Model output'!Z:Z=A27)),1)),ISNUMBER(SEARCH("2", _xlfn.TEXTJOIN("; ", TRUE, _xlfn._xlws.FILTER('Model output'!G:G, 'Model output'!Z:Z=A27)),1)),ISNUMBER(SEARCH("two", _xlfn.TEXTJOIN("; ", TRUE, _xlfn._xlws.FILTER('Model output'!G:G, 'Model output'!Z:Z=A27)),1)),ISNUMBER(SEARCH("III", _xlfn.TEXTJOIN("; ", TRUE, _xlfn._xlws.FILTER('Model output'!G:G, 'Model output'!Z:Z=A27)),1)),ISNUMBER(SEARCH("3", _xlfn.TEXTJOIN("; ", TRUE, _xlfn._xlws.FILTER('Model output'!G:G, 'Model output'!Z:Z=A27)),1)),ISNUMBER(SEARCH("three", _xlfn.TEXTJOIN("; ", TRUE, _xlfn._xlws.FILTER('Model output'!G:G, 'Model output'!Z:Z=A27)),1)),ISNUMBER(SEARCH("IV", _xlfn.TEXTJOIN("; ", TRUE, _xlfn._xlws.FILTER('Model output'!G:G, 'Model output'!Z:Z=A27)),1)),ISNUMBER(SEARCH("4", _xlfn.TEXTJOIN("; ", TRUE, _xlfn._xlws.FILTER('Model output'!G:G, 'Model output'!Z:Z=A27)),1)),ISNUMBER(SEARCH("five", _xlfn.TEXTJOIN("; ", TRUE, _xlfn._xlws.FILTER('Model output'!G:G, 'Model output'!Z:Z=A27)),1)),ISNUMBER(SEARCH("V ", _xlfn.TEXTJOIN("; ", TRUE, _xlfn._xlws.FILTER('Model output'!G:G, 'Model output'!Z:Z=A27)),1)),ISNUMBER(SEARCH("5", _xlfn.TEXTJOIN("; ", TRUE, _xlfn._xlws.FILTER('Model output'!G:G, 'Model output'!Z:Z=A27)),1)),ISNUMBER(SEARCH("five", _xlfn.TEXTJOIN("; ", TRUE, _xlfn._xlws.FILTER('Model output'!G:G, 'Model output'!Z:Z=A27)),1)),ISNUMBER(SEARCH(" lateral", _xlfn.TEXTJOIN("; ", TRUE, _xlfn._xlws.FILTER('Model output'!G:G, 'Model output'!Z:Z=A27)),1)))),ISNUMBER(SEARCH("cervical", _xlfn.TEXTJOIN("; ", TRUE, _xlfn._xlws.FILTER('Model output'!G:G, 'Model output'!Z:Z=A27)),1)),ISNUMBER(SEARCH("jugular", _xlfn.TEXTJOIN("; ", TRUE, _xlfn._xlws.FILTER('Model output'!G:G, 'Model output'!Z:Z=A27)),1)),ISNUMBER(SEARCH("left neck", _xlfn.TEXTJOIN("; ", TRUE, _xlfn._xlws.FILTER('Model output'!G:G, 'Model output'!Z:Z=A27)),1)),ISNUMBER(SEARCH("left anterior neck", _xlfn.TEXTJOIN("; ", TRUE, _xlfn._xlws.FILTER('Model output'!G:G, 'Model output'!Z:Z=A27)),1)),ISNUMBER(SEARCH("left posterior neck", _xlfn.TEXTJOIN("; ", TRUE, _xlfn._xlws.FILTER('Model output'!G:G, 'Model output'!Z:Z=A27)),1)),ISNUMBER(SEARCH("right neck", _xlfn.TEXTJOIN("; ", TRUE, _xlfn._xlws.FILTER('Model output'!G:G, 'Model output'!Z:Z=A27)),1)),ISNUMBER(SEARCH("right anterior neck", _xlfn.TEXTJOIN("; ", TRUE, _xlfn._xlws.FILTER('Model output'!G:G, 'Model output'!Z:Z=A27)),1)),ISNUMBER(SEARCH("right posterior neck", _xlfn.TEXTJOIN("; ", TRUE, _xlfn._xlws.FILTER('Model output'!G:G, 'Model output'!Z:Z=A27)),1)))),"lateral",IF(AND(M27=0, _xlfn.TEXTJOIN("; ", TRUE, _xlfn._xlws.FILTER('Model output'!G:G, 'Model output'!Z:Z=A27))=""),"", "central"))</f>
        <v/>
      </c>
      <c r="K27" s="17" t="str" cm="1">
        <f t="array" ref="K27">IF(OR(ISNUMBER(SEARCH("lymph",_xlfn.TEXTJOIN("; ", TRUE, _xlfn._xlws.FILTER('Model output'!H:H, 'Model output'!Z:Z=A27)),1)), ISNUMBER(SEARCH("Not mentioned",_xlfn.TEXTJOIN("; ", TRUE, _xlfn._xlws.FILTER('Model output'!H:H, 'Model output'!Z:Z=A27)),1)),ISNUMBER(SEARCH("thyroid",_xlfn.TEXTJOIN("; ", TRUE, _xlfn._xlws.FILTER('Model output'!H:H, 'Model output'!Z:Z=A27)),1)),ISNUMBER(SEARCH("strap muscle",_xlfn.TEXTJOIN("; ", TRUE, _xlfn._xlws.FILTER('Model output'!H:H, 'Model output'!Z:Z=A27)),1)),ISNUMBER(SEARCH("subcutaneous soft tissues",_xlfn.TEXTJOIN("; ", TRUE, _xlfn._xlws.FILTER('Model output'!H:H, 'Model output'!Z:Z=A27)),1)),ISNUMBER(SEARCH("larynx",_xlfn.TEXTJOIN("; ", TRUE, _xlfn._xlws.FILTER('Model output'!H:H, 'Model output'!Z:Z=A27)),1)),ISNUMBER(SEARCH("trachea",_xlfn.TEXTJOIN("; ", TRUE, _xlfn._xlws.FILTER('Model output'!H:H, 'Model output'!Z:Z=A27)),1)),ISNUMBER(SEARCH("esophagus",_xlfn.TEXTJOIN("; ", TRUE, _xlfn._xlws.FILTER('Model output'!H:H, 'Model output'!Z:Z=A27)),1)),ISNUMBER(SEARCH("recurrent laryngeal nerve",_xlfn.TEXTJOIN("; ", TRUE, _xlfn._xlws.FILTER('Model output'!H:H, 'Model output'!Z:Z=A27)),1)),ISNUMBER(SEARCH("RLN",_xlfn.TEXTJOIN("; ", TRUE, _xlfn._xlws.FILTER('Model output'!H:H, 'Model output'!Z:Z=A27)),1)),_xlfn.TEXTJOIN("; ", TRUE, _xlfn._xlws.FILTER('Model output'!H:H, 'Model output'!Z:Z=A27))=""),"negative","positive")</f>
        <v>negative</v>
      </c>
      <c r="L27" s="17">
        <f>IF(IFERROR(INDEX('Model output'!I:I, MATCH(A27, 'Model output'!Z:Z, 0)), "") &lt; M27, "", IFERROR(INDEX('Model output'!I:I, MATCH(A27, 'Model output'!Z:Z, 0)), ""))</f>
        <v>0</v>
      </c>
      <c r="M27" s="17">
        <f>IFERROR(INDEX('Model output'!J:J, MATCH(A27, 'Model output'!Z:Z, 0)), "")</f>
        <v>0</v>
      </c>
      <c r="N27" s="18" t="str" cm="1">
        <f t="array" ref="N27">ReplaceTo(ReplaceAnd(SUBSTITUTE(SUBSTITUTE(_xlfn.TEXTJOIN("; ", TRUE, _xlfn._xlws.FILTER('Model output'!K:K, 'Model output'!Z:Z=A27)), " ", ""), ",", ";")))</f>
        <v/>
      </c>
      <c r="O27" t="str" cm="1">
        <f t="array" ref="O27">IF(LEFT(IF(RIGHT(SUBSTITUTE(FilterWithUnits(N27)&amp; ";" &amp;FilterStringsWithNumericAnd(N27) &amp; ";" &amp; FilterStringsWithX(N27), ";;", ";"),1)=";",LEFT(SUBSTITUTE(FilterWithUnits(N27)&amp; ";" &amp;FilterStringsWithNumericAnd(N27) &amp; ";" &amp; FilterStringsWithX(N27), ";;", ";"),LEN(SUBSTITUTE(FilterWithUnits(N27)&amp; ";" &amp;FilterStringsWithNumericAnd(N27) &amp; ";" &amp; FilterStringsWithX(N27), ";;", ";"))-1),SUBSTITUTE(FilterWithUnits(N27)&amp; ";" &amp;FilterStringsWithNumericAnd(N27) &amp; ";" &amp; FilterStringsWithX(N27), ";;", ";")),1)=";",RIGHT(IF(RIGHT(SUBSTITUTE(FilterWithUnits(N27)&amp; ";" &amp;FilterStringsWithNumericAnd(N27) &amp; ";" &amp; FilterStringsWithX(N27), ";;", ";"),1)=";",LEFT(SUBSTITUTE(FilterWithUnits(N27)&amp; ";" &amp;FilterStringsWithNumericAnd(N27) &amp; ";" &amp; FilterStringsWithX(N27), ";;", ";"),LEN(SUBSTITUTE(FilterWithUnits(N27)&amp; ";" &amp;FilterStringsWithNumericAnd(N27) &amp; ";" &amp; FilterStringsWithX(N27), ";;", ";"))-1),SUBSTITUTE(FilterWithUnits(N27)&amp; ";" &amp;FilterStringsWithNumericAnd(N27) &amp; ";" &amp; FilterStringsWithX(N27), ";;", ";")),LEN(IF(RIGHT(SUBSTITUTE(FilterWithUnits(N27)&amp; ";" &amp;FilterStringsWithNumericAnd(N27) &amp; ";" &amp; FilterStringsWithX(N27), ";;", ";"),1)=";",LEFT(SUBSTITUTE(FilterWithUnits(N27)&amp; ";" &amp;FilterStringsWithNumericAnd(N27) &amp; ";" &amp; FilterStringsWithX(N27), ";;", ";"),LEN(SUBSTITUTE(FilterWithUnits(N27)&amp; ";" &amp;FilterStringsWithNumericAnd(N27) &amp; ";" &amp; FilterStringsWithX(N27), ";;", ";"))-1),SUBSTITUTE(FilterWithUnits(N27)&amp; ";" &amp;FilterStringsWithNumericAnd(N27) &amp; ";" &amp; FilterStringsWithX(N27), ";;", ";")))-1),IF(RIGHT(SUBSTITUTE(FilterWithUnits(N27)&amp; ";" &amp;FilterStringsWithNumericAnd(N27) &amp; ";" &amp; FilterStringsWithX(N27), ";;", ";"),1)=";",LEFT(SUBSTITUTE(FilterWithUnits(N27)&amp; ";" &amp;FilterStringsWithNumericAnd(N27) &amp; ";" &amp; FilterStringsWithX(N27), ";;", ";"),LEN(SUBSTITUTE(FilterWithUnits(N27)&amp; ";" &amp;FilterStringsWithNumericAnd(N27) &amp; ";" &amp; FilterStringsWithX(N27), ";;", ";"))-1),SUBSTITUTE(FilterWithUnits(N27)&amp; ";" &amp;FilterStringsWithNumericAnd(N27) &amp; ";" &amp; FilterStringsWithX(N27), ";;", ";")))</f>
        <v/>
      </c>
      <c r="P27" t="str" cm="1">
        <f t="array" ref="P27">IF(MaxSize((SplitDimensions(O27)))=0, "", MaxSize((SplitDimensions(O27))))</f>
        <v/>
      </c>
      <c r="Q27" t="str" cm="1">
        <f t="array" ref="Q27">IF(ISERROR(INDEX(_xlfn._xlws.FILTER('Model output'!L:L, ('Model output'!Z:Z=A27)*('Model output'!L:L&lt;&gt;"")), 1)), " ", LOWER(INDEX(_xlfn._xlws.FILTER('Model output'!L:L, ('Model output'!Z:Z=A27)*('Model output'!L:L&lt;&gt;"")), 1)))</f>
        <v>papillary carcinoma</v>
      </c>
      <c r="R27" t="str" cm="1">
        <f t="array" ref="R27">IF(ISERROR(INDEX(_xlfn._xlws.FILTER('Model output'!M:M, ('Model output'!Z:Z=A27)*('Model output'!M:M&lt;&gt;"")), 1)), " ", LOWER(INDEX(_xlfn._xlws.FILTER('Model output'!M:M, ('Model output'!Z:Z=A27)*('Model output'!M:M&lt;&gt;"")), 1)))</f>
        <v>classic (usual, conventional)</v>
      </c>
      <c r="S27" t="str" cm="1">
        <f t="array" ref="S27">IF(OR(ISNUMBER(SEARCH("ly",SUBSTITUTE(INDEX(_xlfn._xlws.FILTER('Model output'!N:N,('Model output'!Z:Z=A27)*('Model output'!N:N&lt;&gt;"")),1)," ",""),1)), ISNUMBER(SEARCH("pole",SUBSTITUTE(INDEX(_xlfn._xlws.FILTER('Model output'!N:N,('Model output'!Z:Z=A27)*('Model output'!N:N&lt;&gt;"")),1)," ",""),1))),"",SUBSTITUTE(INDEX(_xlfn._xlws.FILTER('Model output'!N:N,('Model output'!Z:Z=A27)*('Model output'!N:N&lt;&gt;"")),1)," ",""))</f>
        <v>4cm</v>
      </c>
      <c r="T27" t="str" cm="1">
        <f t="array" ref="T27">IF(LEFT(IF(RIGHT(SUBSTITUTE(FilterWithUnits(S27)&amp; ";" &amp;FilterStringsWithNumericAnd(S27) &amp; ";" &amp; FilterStringsWithX(S27), ";;", ";"),1)=";",LEFT(SUBSTITUTE(FilterWithUnits(S27)&amp; ";" &amp;FilterStringsWithNumericAnd(S27) &amp; ";" &amp; FilterStringsWithX(S27), ";;", ";"),LEN(SUBSTITUTE(FilterWithUnits(S27)&amp; ";" &amp;FilterStringsWithNumericAnd(S27) &amp; ";" &amp; FilterStringsWithX(S27), ";;", ";"))-1),SUBSTITUTE(FilterWithUnits(S27)&amp; ";" &amp;FilterStringsWithNumericAnd(S27) &amp; ";" &amp; FilterStringsWithX(S27), ";;", ";")),1)=";",RIGHT(IF(RIGHT(SUBSTITUTE(FilterWithUnits(S27)&amp; ";" &amp;FilterStringsWithNumericAnd(S27) &amp; ";" &amp; FilterStringsWithX(S27), ";;", ";"),1)=";",LEFT(SUBSTITUTE(FilterWithUnits(S27)&amp; ";" &amp;FilterStringsWithNumericAnd(S27) &amp; ";" &amp; FilterStringsWithX(S27), ";;", ";"),LEN(SUBSTITUTE(FilterWithUnits(S27)&amp; ";" &amp;FilterStringsWithNumericAnd(S27) &amp; ";" &amp; FilterStringsWithX(S27), ";;", ";"))-1),SUBSTITUTE(FilterWithUnits(S27)&amp; ";" &amp;FilterStringsWithNumericAnd(S27) &amp; ";" &amp; FilterStringsWithX(S27), ";;", ";")),LEN(IF(RIGHT(SUBSTITUTE(FilterWithUnits(S27)&amp; ";" &amp;FilterStringsWithNumericAnd(S27) &amp; ";" &amp; FilterStringsWithX(S27), ";;", ";"),1)=";",LEFT(SUBSTITUTE(FilterWithUnits(S27)&amp; ";" &amp;FilterStringsWithNumericAnd(S27) &amp; ";" &amp; FilterStringsWithX(S27), ";;", ";"),LEN(SUBSTITUTE(FilterWithUnits(S27)&amp; ";" &amp;FilterStringsWithNumericAnd(S27) &amp; ";" &amp; FilterStringsWithX(S27), ";;", ";"))-1),SUBSTITUTE(FilterWithUnits(S27)&amp; ";" &amp;FilterStringsWithNumericAnd(S27) &amp; ";" &amp; FilterStringsWithX(S27), ";;", ";")))-1),IF(RIGHT(SUBSTITUTE(FilterWithUnits(S27)&amp; ";" &amp;FilterStringsWithNumericAnd(S27) &amp; ";" &amp; FilterStringsWithX(S27), ";;", ";"),1)=";",LEFT(SUBSTITUTE(FilterWithUnits(S27)&amp; ";" &amp;FilterStringsWithNumericAnd(S27) &amp; ";" &amp; FilterStringsWithX(S27), ";;", ";"),LEN(SUBSTITUTE(FilterWithUnits(S27)&amp; ";" &amp;FilterStringsWithNumericAnd(S27) &amp; ";" &amp; FilterStringsWithX(S27), ";;", ";"))-1),SUBSTITUTE(FilterWithUnits(S27)&amp; ";" &amp;FilterStringsWithNumericAnd(S27) &amp; ";" &amp; FilterStringsWithX(S27), ";;", ";")))</f>
        <v>4cm</v>
      </c>
      <c r="U27" cm="1">
        <f t="array" ref="U27">IF(MaxSize((SplitDimensions(T27)))=0, "", MaxSize((SplitDimensions(T27))))</f>
        <v>4</v>
      </c>
      <c r="V27" s="17" t="str" cm="1">
        <f t="array" ref="V27">IF(ISERROR(INDEX(_xlfn._xlws.FILTER('Model output'!P:P,('Model output'!Z:Z=A27)*('Model output'!P:P&lt;&gt;"")),1)),"negative",IF(OR(ISNUMBER(SEARCH("foc",INDEX(_xlfn._xlws.FILTER('Model output'!P:P,('Model output'!Z:Z=A27)*('Model output'!P:P&lt;&gt;"")),1),1)),ISNUMBER(SEARCH("extensive",INDEX(_xlfn._xlws.FILTER('Model output'!P:P,('Model output'!Z:Z=A27)*('Model output'!P:P&lt;&gt;"")),1),1)),ISNUMBER(SEARCH("present",INDEX(_xlfn._xlws.FILTER('Model output'!P:P,('Model output'!Z:Z=A27)*('Model output'!P:P&lt;&gt;"")),1),1)),ISNUMBER(SEARCH("yes",INDEX(_xlfn._xlws.FILTER('Model output'!P:P,('Model output'!Z:Z=A27)*('Model output'!P:P&lt;&gt;"")),1),1))),"positive","negative"))</f>
        <v>negative</v>
      </c>
      <c r="X27" t="str" cm="1">
        <f t="array" ref="X27">IF(ISNUMBER(SEARCH("4",INDEX(_xlfn._xlws.FILTER('Model output'!P:P,('Model output'!Z:Z=A27)*('Model output'!P:P&lt;&gt;"")),1),1)),INDEX(_xlfn._xlws.FILTER('Model output'!P:P,('Model output'!Z:Z=A27)*('Model output'!P:P&lt;&gt;"")),1),"") &amp; _xlfn.TEXTJOIN("",TRUE,_xlfn._xlws.FILTER('Model output'!Q:Q,'Model output'!Z:Z=A27))</f>
        <v>Not mentioned</v>
      </c>
      <c r="Y27" t="str">
        <f t="shared" si="11"/>
        <v>no</v>
      </c>
      <c r="Z27" t="str" cm="1">
        <f t="array" ref="Z27">IF(OR(ISNUMBER(SEARCH("focal",_xlfn.TEXTJOIN("; ",TRUE,_xlfn._xlws.FILTER('Model output'!R:R,'Model output'!Z:Z=A27)),1)),ISNUMBER(SEARCH("present",_xlfn.TEXTJOIN("; ",TRUE,_xlfn._xlws.FILTER('Model output'!R:R,'Model output'!Z:Z=A27)),1))),"positive",IF(_xlfn.TEXTJOIN("; ",TRUE,_xlfn._xlws.FILTER('Model output'!R:R,'Model output'!Z:Z=A27))="","negative",IF(OR(ISNUMBER(SEARCH("no",_xlfn.TEXTJOIN("; ",TRUE,_xlfn._xlws.FILTER('Model output'!R:R,'Model output'!Z:Z=A27)),1)),ISNUMBER(SEARCH("absent",_xlfn.TEXTJOIN("; ",TRUE,_xlfn._xlws.FILTER('Model output'!R:R,'Model output'!Z:Z=A27)),1))),"negative","positive")))</f>
        <v>negative</v>
      </c>
      <c r="AA27" s="17" t="str">
        <f t="shared" si="15"/>
        <v>negative</v>
      </c>
      <c r="AE27" s="17" t="str">
        <f t="shared" si="12"/>
        <v>negative</v>
      </c>
      <c r="AF27" t="str" cm="1">
        <f t="array" ref="AF27">_xlfn.TEXTJOIN("; ",TRUE,_xlfn._xlws.FILTER('Model output'!S:S,'Model output'!Z:Z=A27))</f>
        <v>Absent; Not mentioned</v>
      </c>
      <c r="AG27" s="17" t="str" cm="1">
        <f t="array" ref="AG27">IF(OR(ISNUMBER(SEARCH("uninvolved",_xlfn.TEXTJOIN("; ",TRUE,_xlfn._xlws.FILTER('Model output'!V:V,'Model output'!Z:Z=A27)),1)),ISNUMBER(SEARCH("clear",_xlfn.TEXTJOIN("; ",TRUE,_xlfn._xlws.FILTER('Model output'!V:V,'Model output'!Z:Z=A27)),1))*ISNUMBER(SEARCH("not mentioned",_xlfn.TEXTJOIN("; ",TRUE,_xlfn._xlws.FILTER('Model output'!V:V,'Model output'!Z:Z=A27)),1))),"negative",IF(ISNUMBER(SEARCH("cannot be assessed",_xlfn.TEXTJOIN("; ",TRUE,_xlfn._xlws.FILTER('Model output'!V:V,'Model output'!Z:Z=A27)),1)),"unknown","negative"))</f>
        <v>negative</v>
      </c>
      <c r="AI27" s="45" t="str">
        <f t="shared" si="13"/>
        <v>low</v>
      </c>
      <c r="AJ27" s="41" t="str">
        <f t="shared" si="14"/>
        <v>2</v>
      </c>
      <c r="AK27" s="41" t="str">
        <f t="shared" si="3"/>
        <v>x</v>
      </c>
      <c r="AL27" s="41">
        <f t="shared" si="4"/>
        <v>0</v>
      </c>
      <c r="AM27" s="41" t="str">
        <f t="shared" si="5"/>
        <v>I</v>
      </c>
      <c r="AN27" s="42" t="s">
        <v>166</v>
      </c>
      <c r="AO27" s="43" t="s">
        <v>203</v>
      </c>
      <c r="AP27" s="43" t="s">
        <v>204</v>
      </c>
      <c r="AQ27" s="43">
        <v>0</v>
      </c>
      <c r="AR27" s="43" t="s">
        <v>31</v>
      </c>
      <c r="AS27" s="42">
        <f t="shared" si="6"/>
        <v>1</v>
      </c>
      <c r="AT27" s="43">
        <f t="shared" si="7"/>
        <v>0</v>
      </c>
      <c r="AU27" s="43">
        <f t="shared" si="8"/>
        <v>1</v>
      </c>
      <c r="AV27" s="43">
        <f t="shared" si="9"/>
        <v>1</v>
      </c>
      <c r="AW27" s="44">
        <f t="shared" si="10"/>
        <v>1</v>
      </c>
    </row>
    <row r="28" spans="1:49">
      <c r="A28" s="13">
        <v>26</v>
      </c>
      <c r="B28" s="16">
        <f>_xlfn.MAXIFS('Model output'!B:B,'Model output'!Z:Z,'Classification result'!$A28)</f>
        <v>0</v>
      </c>
      <c r="C28" s="16"/>
      <c r="D28" s="16"/>
      <c r="E28" s="17">
        <f>_xlfn.MAXIFS('Model output'!C:C,'Model output'!Z:Z,'Classification result'!$A28)</f>
        <v>73</v>
      </c>
      <c r="F28" s="17" t="str" cm="1">
        <f t="array" ref="F28">LEFT(IF(ISERROR(RIGHT(IF(INDEX(_xlfn._xlws.FILTER('Model output'!D:D,('Model output'!Z:Z=A28)),1)&lt;&gt;"",INDEX(_xlfn._xlws.FILTER('Model output'!D:D,('Model output'!Z:Z=A28)),1),""),LEN(IF(INDEX(_xlfn._xlws.FILTER('Model output'!D:D,('Model output'!Z:Z=A28)),1)&lt;&gt;"",INDEX(_xlfn._xlws.FILTER('Model output'!D:D,('Model output'!Z:Z=A28)),1),""))-FIND("T",IF(INDEX(_xlfn._xlws.FILTER('Model output'!D:D,('Model output'!Z:Z=A28)),1)&lt;&gt;"",INDEX(_xlfn._xlws.FILTER('Model output'!D:D,('Model output'!Z:Z=A28)),1),""),1))),"",(RIGHT(IF(INDEX(_xlfn._xlws.FILTER('Model output'!D:D,('Model output'!Z:Z=A28)),1)&lt;&gt;"",INDEX(_xlfn._xlws.FILTER('Model output'!D:D,('Model output'!Z:Z=A28)),1),""),LEN(IF(INDEX(_xlfn._xlws.FILTER('Model output'!D:D,('Model output'!Z:Z=A28)),1)&lt;&gt;"",INDEX(_xlfn._xlws.FILTER('Model output'!D:D,('Model output'!Z:Z=A28)),1),""))-FIND("T",IF(INDEX(_xlfn._xlws.FILTER('Model output'!D:D,('Model output'!Z:Z=A28)),1)&lt;&gt;"",INDEX(_xlfn._xlws.FILTER('Model output'!D:D,('Model output'!Z:Z=A28)),1)))))),2)</f>
        <v>1</v>
      </c>
      <c r="G28" s="17" t="str" cm="1">
        <f t="array" ref="G28">IF(ISNUMBER(SEARCH("N",IF(ISNUMBER(SEARCH("present",IF(INDEX(_xlfn._xlws.FILTER('Model output'!E:E,('Model output'!Z:Z=A28)),1)="","",INDEX(_xlfn._xlws.FILTER('Model output'!E:E,('Model output'!Z:Z=A28)),1)),1)),"N1", IF(INDEX(_xlfn._xlws.FILTER('Model output'!E:E,('Model output'!Z:Z=A28)),1)="","",INDEX(_xlfn._xlws.FILTER('Model output'!E:E,('Model output'!Z:Z=A28)),1))),1)),RIGHT(IF(ISNUMBER(SEARCH("present",IF(INDEX(_xlfn._xlws.FILTER('Model output'!E:E,('Model output'!Z:Z=A28)),1)="","",INDEX(_xlfn._xlws.FILTER('Model output'!E:E,('Model output'!Z:Z=A28)),1)),1)),"N1", IF(INDEX(_xlfn._xlws.FILTER('Model output'!E:E,('Model output'!Z:Z=A28)),1)="","",INDEX(_xlfn._xlws.FILTER('Model output'!E:E,('Model output'!Z:Z=A28)),1))),LEN(IF(ISNUMBER(SEARCH("present",IF(INDEX(_xlfn._xlws.FILTER('Model output'!E:E,('Model output'!Z:Z=A28)),1)="","",INDEX(_xlfn._xlws.FILTER('Model output'!E:E,('Model output'!Z:Z=A28)),1)),1)),"N1", IF(INDEX(_xlfn._xlws.FILTER('Model output'!E:E,('Model output'!Z:Z=A28)),1)="","",INDEX(_xlfn._xlws.FILTER('Model output'!E:E,('Model output'!Z:Z=A28)),1))))-FIND("N",IF(ISNUMBER(SEARCH("present",IF(INDEX(_xlfn._xlws.FILTER('Model output'!E:E,('Model output'!Z:Z=A28)),1)="","",INDEX(_xlfn._xlws.FILTER('Model output'!E:E,('Model output'!Z:Z=A28)),1)),1)),"N1", IF(INDEX(_xlfn._xlws.FILTER('Model output'!E:E,('Model output'!Z:Z=A28)),1)="","",INDEX(_xlfn._xlws.FILTER('Model output'!E:E,('Model output'!Z:Z=A28)),1))),1)), "")</f>
        <v/>
      </c>
      <c r="H28" s="17" cm="1">
        <f t="array" ref="H28">IF(AND(SUBSTITUTE(_xlfn.TEXTJOIN("/", TRUE, _xlfn._xlws.FILTER('Model output'!F:F, 'Model output'!Z:Z=A28)),"M", "")="", K28="negative"),0,IF(K28="positive",1,0))</f>
        <v>0</v>
      </c>
      <c r="I28" t="str">
        <f t="shared" si="0"/>
        <v>positive</v>
      </c>
      <c r="J28" t="str" cm="1">
        <f t="array" ref="J28">IF(AND(M28&gt;0, _xlfn.TEXTJOIN("; ", TRUE, _xlfn._xlws.FILTER('Model output'!G:G, 'Model output'!Z:Z=A28)) &lt;&gt;"", OR(AND(ISNUMBER(SEARCH("level", _xlfn.TEXTJOIN("; ", TRUE, _xlfn._xlws.FILTER('Model output'!G:G, 'Model output'!Z:Z=A28)),1)),OR(ISNUMBER(SEARCH(" II", _xlfn.TEXTJOIN("; ", TRUE, _xlfn._xlws.FILTER('Model output'!G:G, 'Model output'!Z:Z=A28)),1)),ISNUMBER(SEARCH("2", _xlfn.TEXTJOIN("; ", TRUE, _xlfn._xlws.FILTER('Model output'!G:G, 'Model output'!Z:Z=A28)),1)),ISNUMBER(SEARCH("two", _xlfn.TEXTJOIN("; ", TRUE, _xlfn._xlws.FILTER('Model output'!G:G, 'Model output'!Z:Z=A28)),1)),ISNUMBER(SEARCH("III", _xlfn.TEXTJOIN("; ", TRUE, _xlfn._xlws.FILTER('Model output'!G:G, 'Model output'!Z:Z=A28)),1)),ISNUMBER(SEARCH("3", _xlfn.TEXTJOIN("; ", TRUE, _xlfn._xlws.FILTER('Model output'!G:G, 'Model output'!Z:Z=A28)),1)),ISNUMBER(SEARCH("three", _xlfn.TEXTJOIN("; ", TRUE, _xlfn._xlws.FILTER('Model output'!G:G, 'Model output'!Z:Z=A28)),1)),ISNUMBER(SEARCH("IV", _xlfn.TEXTJOIN("; ", TRUE, _xlfn._xlws.FILTER('Model output'!G:G, 'Model output'!Z:Z=A28)),1)),ISNUMBER(SEARCH("4", _xlfn.TEXTJOIN("; ", TRUE, _xlfn._xlws.FILTER('Model output'!G:G, 'Model output'!Z:Z=A28)),1)),ISNUMBER(SEARCH("five", _xlfn.TEXTJOIN("; ", TRUE, _xlfn._xlws.FILTER('Model output'!G:G, 'Model output'!Z:Z=A28)),1)),ISNUMBER(SEARCH("V ", _xlfn.TEXTJOIN("; ", TRUE, _xlfn._xlws.FILTER('Model output'!G:G, 'Model output'!Z:Z=A28)),1)),ISNUMBER(SEARCH("5", _xlfn.TEXTJOIN("; ", TRUE, _xlfn._xlws.FILTER('Model output'!G:G, 'Model output'!Z:Z=A28)),1)),ISNUMBER(SEARCH("five", _xlfn.TEXTJOIN("; ", TRUE, _xlfn._xlws.FILTER('Model output'!G:G, 'Model output'!Z:Z=A28)),1)),ISNUMBER(SEARCH(" lateral", _xlfn.TEXTJOIN("; ", TRUE, _xlfn._xlws.FILTER('Model output'!G:G, 'Model output'!Z:Z=A28)),1)))),ISNUMBER(SEARCH("cervical", _xlfn.TEXTJOIN("; ", TRUE, _xlfn._xlws.FILTER('Model output'!G:G, 'Model output'!Z:Z=A28)),1)),ISNUMBER(SEARCH("jugular", _xlfn.TEXTJOIN("; ", TRUE, _xlfn._xlws.FILTER('Model output'!G:G, 'Model output'!Z:Z=A28)),1)),ISNUMBER(SEARCH("left neck", _xlfn.TEXTJOIN("; ", TRUE, _xlfn._xlws.FILTER('Model output'!G:G, 'Model output'!Z:Z=A28)),1)),ISNUMBER(SEARCH("left anterior neck", _xlfn.TEXTJOIN("; ", TRUE, _xlfn._xlws.FILTER('Model output'!G:G, 'Model output'!Z:Z=A28)),1)),ISNUMBER(SEARCH("left posterior neck", _xlfn.TEXTJOIN("; ", TRUE, _xlfn._xlws.FILTER('Model output'!G:G, 'Model output'!Z:Z=A28)),1)),ISNUMBER(SEARCH("right neck", _xlfn.TEXTJOIN("; ", TRUE, _xlfn._xlws.FILTER('Model output'!G:G, 'Model output'!Z:Z=A28)),1)),ISNUMBER(SEARCH("right anterior neck", _xlfn.TEXTJOIN("; ", TRUE, _xlfn._xlws.FILTER('Model output'!G:G, 'Model output'!Z:Z=A28)),1)),ISNUMBER(SEARCH("right posterior neck", _xlfn.TEXTJOIN("; ", TRUE, _xlfn._xlws.FILTER('Model output'!G:G, 'Model output'!Z:Z=A28)),1)))),"lateral",IF(AND(M28=0, _xlfn.TEXTJOIN("; ", TRUE, _xlfn._xlws.FILTER('Model output'!G:G, 'Model output'!Z:Z=A28))=""),"", "central"))</f>
        <v>central</v>
      </c>
      <c r="K28" s="17" t="str" cm="1">
        <f t="array" ref="K28">IF(OR(ISNUMBER(SEARCH("lymph",_xlfn.TEXTJOIN("; ", TRUE, _xlfn._xlws.FILTER('Model output'!H:H, 'Model output'!Z:Z=A28)),1)), ISNUMBER(SEARCH("Not mentioned",_xlfn.TEXTJOIN("; ", TRUE, _xlfn._xlws.FILTER('Model output'!H:H, 'Model output'!Z:Z=A28)),1)),ISNUMBER(SEARCH("thyroid",_xlfn.TEXTJOIN("; ", TRUE, _xlfn._xlws.FILTER('Model output'!H:H, 'Model output'!Z:Z=A28)),1)),ISNUMBER(SEARCH("strap muscle",_xlfn.TEXTJOIN("; ", TRUE, _xlfn._xlws.FILTER('Model output'!H:H, 'Model output'!Z:Z=A28)),1)),ISNUMBER(SEARCH("subcutaneous soft tissues",_xlfn.TEXTJOIN("; ", TRUE, _xlfn._xlws.FILTER('Model output'!H:H, 'Model output'!Z:Z=A28)),1)),ISNUMBER(SEARCH("larynx",_xlfn.TEXTJOIN("; ", TRUE, _xlfn._xlws.FILTER('Model output'!H:H, 'Model output'!Z:Z=A28)),1)),ISNUMBER(SEARCH("trachea",_xlfn.TEXTJOIN("; ", TRUE, _xlfn._xlws.FILTER('Model output'!H:H, 'Model output'!Z:Z=A28)),1)),ISNUMBER(SEARCH("esophagus",_xlfn.TEXTJOIN("; ", TRUE, _xlfn._xlws.FILTER('Model output'!H:H, 'Model output'!Z:Z=A28)),1)),ISNUMBER(SEARCH("recurrent laryngeal nerve",_xlfn.TEXTJOIN("; ", TRUE, _xlfn._xlws.FILTER('Model output'!H:H, 'Model output'!Z:Z=A28)),1)),ISNUMBER(SEARCH("RLN",_xlfn.TEXTJOIN("; ", TRUE, _xlfn._xlws.FILTER('Model output'!H:H, 'Model output'!Z:Z=A28)),1)),_xlfn.TEXTJOIN("; ", TRUE, _xlfn._xlws.FILTER('Model output'!H:H, 'Model output'!Z:Z=A28))=""),"negative","positive")</f>
        <v>negative</v>
      </c>
      <c r="L28" s="17">
        <f>IF(IFERROR(INDEX('Model output'!I:I, MATCH(A28, 'Model output'!Z:Z, 0)), "") &lt; M28, "", IFERROR(INDEX('Model output'!I:I, MATCH(A28, 'Model output'!Z:Z, 0)), ""))</f>
        <v>1</v>
      </c>
      <c r="M28" s="17">
        <f>IFERROR(INDEX('Model output'!J:J, MATCH(A28, 'Model output'!Z:Z, 0)), "")</f>
        <v>0</v>
      </c>
      <c r="N28" s="18" t="str" cm="1">
        <f t="array" ref="N28">ReplaceTo(ReplaceAnd(SUBSTITUTE(SUBSTITUTE(_xlfn.TEXTJOIN("; ", TRUE, _xlfn._xlws.FILTER('Model output'!K:K, 'Model output'!Z:Z=A28)), " ", ""), ",", ";")))</f>
        <v>1cm</v>
      </c>
      <c r="O28" t="str" cm="1">
        <f t="array" ref="O28">IF(LEFT(IF(RIGHT(SUBSTITUTE(FilterWithUnits(N28)&amp; ";" &amp;FilterStringsWithNumericAnd(N28) &amp; ";" &amp; FilterStringsWithX(N28), ";;", ";"),1)=";",LEFT(SUBSTITUTE(FilterWithUnits(N28)&amp; ";" &amp;FilterStringsWithNumericAnd(N28) &amp; ";" &amp; FilterStringsWithX(N28), ";;", ";"),LEN(SUBSTITUTE(FilterWithUnits(N28)&amp; ";" &amp;FilterStringsWithNumericAnd(N28) &amp; ";" &amp; FilterStringsWithX(N28), ";;", ";"))-1),SUBSTITUTE(FilterWithUnits(N28)&amp; ";" &amp;FilterStringsWithNumericAnd(N28) &amp; ";" &amp; FilterStringsWithX(N28), ";;", ";")),1)=";",RIGHT(IF(RIGHT(SUBSTITUTE(FilterWithUnits(N28)&amp; ";" &amp;FilterStringsWithNumericAnd(N28) &amp; ";" &amp; FilterStringsWithX(N28), ";;", ";"),1)=";",LEFT(SUBSTITUTE(FilterWithUnits(N28)&amp; ";" &amp;FilterStringsWithNumericAnd(N28) &amp; ";" &amp; FilterStringsWithX(N28), ";;", ";"),LEN(SUBSTITUTE(FilterWithUnits(N28)&amp; ";" &amp;FilterStringsWithNumericAnd(N28) &amp; ";" &amp; FilterStringsWithX(N28), ";;", ";"))-1),SUBSTITUTE(FilterWithUnits(N28)&amp; ";" &amp;FilterStringsWithNumericAnd(N28) &amp; ";" &amp; FilterStringsWithX(N28), ";;", ";")),LEN(IF(RIGHT(SUBSTITUTE(FilterWithUnits(N28)&amp; ";" &amp;FilterStringsWithNumericAnd(N28) &amp; ";" &amp; FilterStringsWithX(N28), ";;", ";"),1)=";",LEFT(SUBSTITUTE(FilterWithUnits(N28)&amp; ";" &amp;FilterStringsWithNumericAnd(N28) &amp; ";" &amp; FilterStringsWithX(N28), ";;", ";"),LEN(SUBSTITUTE(FilterWithUnits(N28)&amp; ";" &amp;FilterStringsWithNumericAnd(N28) &amp; ";" &amp; FilterStringsWithX(N28), ";;", ";"))-1),SUBSTITUTE(FilterWithUnits(N28)&amp; ";" &amp;FilterStringsWithNumericAnd(N28) &amp; ";" &amp; FilterStringsWithX(N28), ";;", ";")))-1),IF(RIGHT(SUBSTITUTE(FilterWithUnits(N28)&amp; ";" &amp;FilterStringsWithNumericAnd(N28) &amp; ";" &amp; FilterStringsWithX(N28), ";;", ";"),1)=";",LEFT(SUBSTITUTE(FilterWithUnits(N28)&amp; ";" &amp;FilterStringsWithNumericAnd(N28) &amp; ";" &amp; FilterStringsWithX(N28), ";;", ";"),LEN(SUBSTITUTE(FilterWithUnits(N28)&amp; ";" &amp;FilterStringsWithNumericAnd(N28) &amp; ";" &amp; FilterStringsWithX(N28), ";;", ";"))-1),SUBSTITUTE(FilterWithUnits(N28)&amp; ";" &amp;FilterStringsWithNumericAnd(N28) &amp; ";" &amp; FilterStringsWithX(N28), ";;", ";")))</f>
        <v>1cm</v>
      </c>
      <c r="P28" cm="1">
        <f t="array" ref="P28">IF(MaxSize((SplitDimensions(O28)))=0, "", MaxSize((SplitDimensions(O28))))</f>
        <v>1</v>
      </c>
      <c r="Q28" t="str" cm="1">
        <f t="array" ref="Q28">IF(ISERROR(INDEX(_xlfn._xlws.FILTER('Model output'!L:L, ('Model output'!Z:Z=A28)*('Model output'!L:L&lt;&gt;"")), 1)), " ", LOWER(INDEX(_xlfn._xlws.FILTER('Model output'!L:L, ('Model output'!Z:Z=A28)*('Model output'!L:L&lt;&gt;"")), 1)))</f>
        <v>papillary carcinoma, classic subtype</v>
      </c>
      <c r="R28" t="str" cm="1">
        <f t="array" ref="R28">IF(ISERROR(INDEX(_xlfn._xlws.FILTER('Model output'!M:M, ('Model output'!Z:Z=A28)*('Model output'!M:M&lt;&gt;"")), 1)), " ", LOWER(INDEX(_xlfn._xlws.FILTER('Model output'!M:M, ('Model output'!Z:Z=A28)*('Model output'!M:M&lt;&gt;"")), 1)))</f>
        <v>not mentioned</v>
      </c>
      <c r="S28" t="str" cm="1">
        <f t="array" ref="S28">IF(OR(ISNUMBER(SEARCH("ly",SUBSTITUTE(INDEX(_xlfn._xlws.FILTER('Model output'!N:N,('Model output'!Z:Z=A28)*('Model output'!N:N&lt;&gt;"")),1)," ",""),1)), ISNUMBER(SEARCH("pole",SUBSTITUTE(INDEX(_xlfn._xlws.FILTER('Model output'!N:N,('Model output'!Z:Z=A28)*('Model output'!N:N&lt;&gt;"")),1)," ",""),1))),"",SUBSTITUTE(INDEX(_xlfn._xlws.FILTER('Model output'!N:N,('Model output'!Z:Z=A28)*('Model output'!N:N&lt;&gt;"")),1)," ",""))</f>
        <v>11mm</v>
      </c>
      <c r="T28" t="str" cm="1">
        <f t="array" ref="T28">IF(LEFT(IF(RIGHT(SUBSTITUTE(FilterWithUnits(S28)&amp; ";" &amp;FilterStringsWithNumericAnd(S28) &amp; ";" &amp; FilterStringsWithX(S28), ";;", ";"),1)=";",LEFT(SUBSTITUTE(FilterWithUnits(S28)&amp; ";" &amp;FilterStringsWithNumericAnd(S28) &amp; ";" &amp; FilterStringsWithX(S28), ";;", ";"),LEN(SUBSTITUTE(FilterWithUnits(S28)&amp; ";" &amp;FilterStringsWithNumericAnd(S28) &amp; ";" &amp; FilterStringsWithX(S28), ";;", ";"))-1),SUBSTITUTE(FilterWithUnits(S28)&amp; ";" &amp;FilterStringsWithNumericAnd(S28) &amp; ";" &amp; FilterStringsWithX(S28), ";;", ";")),1)=";",RIGHT(IF(RIGHT(SUBSTITUTE(FilterWithUnits(S28)&amp; ";" &amp;FilterStringsWithNumericAnd(S28) &amp; ";" &amp; FilterStringsWithX(S28), ";;", ";"),1)=";",LEFT(SUBSTITUTE(FilterWithUnits(S28)&amp; ";" &amp;FilterStringsWithNumericAnd(S28) &amp; ";" &amp; FilterStringsWithX(S28), ";;", ";"),LEN(SUBSTITUTE(FilterWithUnits(S28)&amp; ";" &amp;FilterStringsWithNumericAnd(S28) &amp; ";" &amp; FilterStringsWithX(S28), ";;", ";"))-1),SUBSTITUTE(FilterWithUnits(S28)&amp; ";" &amp;FilterStringsWithNumericAnd(S28) &amp; ";" &amp; FilterStringsWithX(S28), ";;", ";")),LEN(IF(RIGHT(SUBSTITUTE(FilterWithUnits(S28)&amp; ";" &amp;FilterStringsWithNumericAnd(S28) &amp; ";" &amp; FilterStringsWithX(S28), ";;", ";"),1)=";",LEFT(SUBSTITUTE(FilterWithUnits(S28)&amp; ";" &amp;FilterStringsWithNumericAnd(S28) &amp; ";" &amp; FilterStringsWithX(S28), ";;", ";"),LEN(SUBSTITUTE(FilterWithUnits(S28)&amp; ";" &amp;FilterStringsWithNumericAnd(S28) &amp; ";" &amp; FilterStringsWithX(S28), ";;", ";"))-1),SUBSTITUTE(FilterWithUnits(S28)&amp; ";" &amp;FilterStringsWithNumericAnd(S28) &amp; ";" &amp; FilterStringsWithX(S28), ";;", ";")))-1),IF(RIGHT(SUBSTITUTE(FilterWithUnits(S28)&amp; ";" &amp;FilterStringsWithNumericAnd(S28) &amp; ";" &amp; FilterStringsWithX(S28), ";;", ";"),1)=";",LEFT(SUBSTITUTE(FilterWithUnits(S28)&amp; ";" &amp;FilterStringsWithNumericAnd(S28) &amp; ";" &amp; FilterStringsWithX(S28), ";;", ";"),LEN(SUBSTITUTE(FilterWithUnits(S28)&amp; ";" &amp;FilterStringsWithNumericAnd(S28) &amp; ";" &amp; FilterStringsWithX(S28), ";;", ";"))-1),SUBSTITUTE(FilterWithUnits(S28)&amp; ";" &amp;FilterStringsWithNumericAnd(S28) &amp; ";" &amp; FilterStringsWithX(S28), ";;", ";")))</f>
        <v>11mm</v>
      </c>
      <c r="U28" cm="1">
        <f t="array" ref="U28">IF(MaxSize((SplitDimensions(T28)))=0, "", MaxSize((SplitDimensions(T28))))</f>
        <v>1.1000000000000001</v>
      </c>
      <c r="V28" s="17" t="str" cm="1">
        <f t="array" ref="V28">IF(ISERROR(INDEX(_xlfn._xlws.FILTER('Model output'!P:P,('Model output'!Z:Z=A28)*('Model output'!P:P&lt;&gt;"")),1)),"negative",IF(OR(ISNUMBER(SEARCH("foc",INDEX(_xlfn._xlws.FILTER('Model output'!P:P,('Model output'!Z:Z=A28)*('Model output'!P:P&lt;&gt;"")),1),1)),ISNUMBER(SEARCH("extensive",INDEX(_xlfn._xlws.FILTER('Model output'!P:P,('Model output'!Z:Z=A28)*('Model output'!P:P&lt;&gt;"")),1),1)),ISNUMBER(SEARCH("present",INDEX(_xlfn._xlws.FILTER('Model output'!P:P,('Model output'!Z:Z=A28)*('Model output'!P:P&lt;&gt;"")),1),1)),ISNUMBER(SEARCH("yes",INDEX(_xlfn._xlws.FILTER('Model output'!P:P,('Model output'!Z:Z=A28)*('Model output'!P:P&lt;&gt;"")),1),1))),"positive","negative"))</f>
        <v>positive</v>
      </c>
      <c r="X28" t="str" cm="1">
        <f t="array" ref="X28">IF(ISNUMBER(SEARCH("4",INDEX(_xlfn._xlws.FILTER('Model output'!P:P,('Model output'!Z:Z=A28)*('Model output'!P:P&lt;&gt;"")),1),1)),INDEX(_xlfn._xlws.FILTER('Model output'!P:P,('Model output'!Z:Z=A28)*('Model output'!P:P&lt;&gt;"")),1),"") &amp; _xlfn.TEXTJOIN("",TRUE,_xlfn._xlws.FILTER('Model output'!Q:Q,'Model output'!Z:Z=A28))</f>
        <v>Microscopic extrathyroidal extension to skeletal muscle anterior to the thyroid glandETE to strap muscle</v>
      </c>
      <c r="Y28" t="str">
        <f t="shared" si="11"/>
        <v>minimal</v>
      </c>
      <c r="Z28" t="str" cm="1">
        <f t="array" ref="Z28">IF(OR(ISNUMBER(SEARCH("focal",_xlfn.TEXTJOIN("; ",TRUE,_xlfn._xlws.FILTER('Model output'!R:R,'Model output'!Z:Z=A28)),1)),ISNUMBER(SEARCH("present",_xlfn.TEXTJOIN("; ",TRUE,_xlfn._xlws.FILTER('Model output'!R:R,'Model output'!Z:Z=A28)),1))),"positive",IF(_xlfn.TEXTJOIN("; ",TRUE,_xlfn._xlws.FILTER('Model output'!R:R,'Model output'!Z:Z=A28))="","negative",IF(OR(ISNUMBER(SEARCH("no",_xlfn.TEXTJOIN("; ",TRUE,_xlfn._xlws.FILTER('Model output'!R:R,'Model output'!Z:Z=A28)),1)),ISNUMBER(SEARCH("absent",_xlfn.TEXTJOIN("; ",TRUE,_xlfn._xlws.FILTER('Model output'!R:R,'Model output'!Z:Z=A28)),1))),"negative","positive")))</f>
        <v>negative</v>
      </c>
      <c r="AA28" s="17" t="str">
        <f t="shared" si="15"/>
        <v>positive</v>
      </c>
      <c r="AE28" s="17" t="str">
        <f t="shared" si="12"/>
        <v>positive</v>
      </c>
      <c r="AF28" t="str" cm="1">
        <f t="array" ref="AF28">_xlfn.TEXTJOIN("; ",TRUE,_xlfn._xlws.FILTER('Model output'!S:S,'Model output'!Z:Z=A28))</f>
        <v>Microscopic extrathyroidal extension to skeletal muscle anterior to the thyroid gland; Strap muscle</v>
      </c>
      <c r="AG28" s="17" t="str" cm="1">
        <f t="array" ref="AG28">IF(OR(ISNUMBER(SEARCH("uninvolved",_xlfn.TEXTJOIN("; ",TRUE,_xlfn._xlws.FILTER('Model output'!V:V,'Model output'!Z:Z=A28)),1)),ISNUMBER(SEARCH("clear",_xlfn.TEXTJOIN("; ",TRUE,_xlfn._xlws.FILTER('Model output'!V:V,'Model output'!Z:Z=A28)),1))*ISNUMBER(SEARCH("not mentioned",_xlfn.TEXTJOIN("; ",TRUE,_xlfn._xlws.FILTER('Model output'!V:V,'Model output'!Z:Z=A28)),1))),"negative",IF(ISNUMBER(SEARCH("cannot be assessed",_xlfn.TEXTJOIN("; ",TRUE,_xlfn._xlws.FILTER('Model output'!V:V,'Model output'!Z:Z=A28)),1)),"unknown","negative"))</f>
        <v>negative</v>
      </c>
      <c r="AI28" s="45" t="str">
        <f t="shared" si="13"/>
        <v>high</v>
      </c>
      <c r="AJ28" s="41" t="str">
        <f t="shared" si="14"/>
        <v>3b</v>
      </c>
      <c r="AK28" s="41">
        <f t="shared" si="3"/>
        <v>0</v>
      </c>
      <c r="AL28" s="41">
        <f t="shared" si="4"/>
        <v>0</v>
      </c>
      <c r="AM28" s="41" t="str">
        <f t="shared" si="5"/>
        <v>II</v>
      </c>
      <c r="AN28" s="42" t="s">
        <v>165</v>
      </c>
      <c r="AO28" s="43" t="s">
        <v>206</v>
      </c>
      <c r="AP28" s="43" t="s">
        <v>204</v>
      </c>
      <c r="AQ28" s="43">
        <v>0</v>
      </c>
      <c r="AR28" s="43" t="s">
        <v>44</v>
      </c>
      <c r="AS28" s="42">
        <f t="shared" si="6"/>
        <v>1</v>
      </c>
      <c r="AT28" s="43">
        <f t="shared" si="7"/>
        <v>1</v>
      </c>
      <c r="AU28" s="43">
        <f t="shared" si="8"/>
        <v>1</v>
      </c>
      <c r="AV28" s="43">
        <f t="shared" si="9"/>
        <v>1</v>
      </c>
      <c r="AW28" s="44">
        <f t="shared" si="10"/>
        <v>1</v>
      </c>
    </row>
    <row r="29" spans="1:49">
      <c r="A29" s="13">
        <v>27</v>
      </c>
      <c r="B29" s="16">
        <f>_xlfn.MAXIFS('Model output'!B:B,'Model output'!Z:Z,'Classification result'!$A29)</f>
        <v>0</v>
      </c>
      <c r="C29" s="16"/>
      <c r="D29" s="16"/>
      <c r="E29" s="17">
        <f>_xlfn.MAXIFS('Model output'!C:C,'Model output'!Z:Z,'Classification result'!$A29)</f>
        <v>39</v>
      </c>
      <c r="F29" s="17" t="str" cm="1">
        <f t="array" ref="F29">LEFT(IF(ISERROR(RIGHT(IF(INDEX(_xlfn._xlws.FILTER('Model output'!D:D,('Model output'!Z:Z=A29)),1)&lt;&gt;"",INDEX(_xlfn._xlws.FILTER('Model output'!D:D,('Model output'!Z:Z=A29)),1),""),LEN(IF(INDEX(_xlfn._xlws.FILTER('Model output'!D:D,('Model output'!Z:Z=A29)),1)&lt;&gt;"",INDEX(_xlfn._xlws.FILTER('Model output'!D:D,('Model output'!Z:Z=A29)),1),""))-FIND("T",IF(INDEX(_xlfn._xlws.FILTER('Model output'!D:D,('Model output'!Z:Z=A29)),1)&lt;&gt;"",INDEX(_xlfn._xlws.FILTER('Model output'!D:D,('Model output'!Z:Z=A29)),1),""),1))),"",(RIGHT(IF(INDEX(_xlfn._xlws.FILTER('Model output'!D:D,('Model output'!Z:Z=A29)),1)&lt;&gt;"",INDEX(_xlfn._xlws.FILTER('Model output'!D:D,('Model output'!Z:Z=A29)),1),""),LEN(IF(INDEX(_xlfn._xlws.FILTER('Model output'!D:D,('Model output'!Z:Z=A29)),1)&lt;&gt;"",INDEX(_xlfn._xlws.FILTER('Model output'!D:D,('Model output'!Z:Z=A29)),1),""))-FIND("T",IF(INDEX(_xlfn._xlws.FILTER('Model output'!D:D,('Model output'!Z:Z=A29)),1)&lt;&gt;"",INDEX(_xlfn._xlws.FILTER('Model output'!D:D,('Model output'!Z:Z=A29)),1)))))),2)</f>
        <v>1a</v>
      </c>
      <c r="G29" s="17" t="str" cm="1">
        <f t="array" ref="G29">IF(ISNUMBER(SEARCH("N",IF(ISNUMBER(SEARCH("present",IF(INDEX(_xlfn._xlws.FILTER('Model output'!E:E,('Model output'!Z:Z=A29)),1)="","",INDEX(_xlfn._xlws.FILTER('Model output'!E:E,('Model output'!Z:Z=A29)),1)),1)),"N1", IF(INDEX(_xlfn._xlws.FILTER('Model output'!E:E,('Model output'!Z:Z=A29)),1)="","",INDEX(_xlfn._xlws.FILTER('Model output'!E:E,('Model output'!Z:Z=A29)),1))),1)),RIGHT(IF(ISNUMBER(SEARCH("present",IF(INDEX(_xlfn._xlws.FILTER('Model output'!E:E,('Model output'!Z:Z=A29)),1)="","",INDEX(_xlfn._xlws.FILTER('Model output'!E:E,('Model output'!Z:Z=A29)),1)),1)),"N1", IF(INDEX(_xlfn._xlws.FILTER('Model output'!E:E,('Model output'!Z:Z=A29)),1)="","",INDEX(_xlfn._xlws.FILTER('Model output'!E:E,('Model output'!Z:Z=A29)),1))),LEN(IF(ISNUMBER(SEARCH("present",IF(INDEX(_xlfn._xlws.FILTER('Model output'!E:E,('Model output'!Z:Z=A29)),1)="","",INDEX(_xlfn._xlws.FILTER('Model output'!E:E,('Model output'!Z:Z=A29)),1)),1)),"N1", IF(INDEX(_xlfn._xlws.FILTER('Model output'!E:E,('Model output'!Z:Z=A29)),1)="","",INDEX(_xlfn._xlws.FILTER('Model output'!E:E,('Model output'!Z:Z=A29)),1))))-FIND("N",IF(ISNUMBER(SEARCH("present",IF(INDEX(_xlfn._xlws.FILTER('Model output'!E:E,('Model output'!Z:Z=A29)),1)="","",INDEX(_xlfn._xlws.FILTER('Model output'!E:E,('Model output'!Z:Z=A29)),1)),1)),"N1", IF(INDEX(_xlfn._xlws.FILTER('Model output'!E:E,('Model output'!Z:Z=A29)),1)="","",INDEX(_xlfn._xlws.FILTER('Model output'!E:E,('Model output'!Z:Z=A29)),1))),1)), "")</f>
        <v/>
      </c>
      <c r="H29" s="17" cm="1">
        <f t="array" ref="H29">IF(AND(SUBSTITUTE(_xlfn.TEXTJOIN("/", TRUE, _xlfn._xlws.FILTER('Model output'!F:F, 'Model output'!Z:Z=A29)),"M", "")="", K29="negative"),0,IF(K29="positive",1,0))</f>
        <v>0</v>
      </c>
      <c r="I29" t="str">
        <f t="shared" si="0"/>
        <v>positive</v>
      </c>
      <c r="J29" t="str" cm="1">
        <f t="array" ref="J29">IF(AND(M29&gt;0, _xlfn.TEXTJOIN("; ", TRUE, _xlfn._xlws.FILTER('Model output'!G:G, 'Model output'!Z:Z=A29)) &lt;&gt;"", OR(AND(ISNUMBER(SEARCH("level", _xlfn.TEXTJOIN("; ", TRUE, _xlfn._xlws.FILTER('Model output'!G:G, 'Model output'!Z:Z=A29)),1)),OR(ISNUMBER(SEARCH(" II", _xlfn.TEXTJOIN("; ", TRUE, _xlfn._xlws.FILTER('Model output'!G:G, 'Model output'!Z:Z=A29)),1)),ISNUMBER(SEARCH("2", _xlfn.TEXTJOIN("; ", TRUE, _xlfn._xlws.FILTER('Model output'!G:G, 'Model output'!Z:Z=A29)),1)),ISNUMBER(SEARCH("two", _xlfn.TEXTJOIN("; ", TRUE, _xlfn._xlws.FILTER('Model output'!G:G, 'Model output'!Z:Z=A29)),1)),ISNUMBER(SEARCH("III", _xlfn.TEXTJOIN("; ", TRUE, _xlfn._xlws.FILTER('Model output'!G:G, 'Model output'!Z:Z=A29)),1)),ISNUMBER(SEARCH("3", _xlfn.TEXTJOIN("; ", TRUE, _xlfn._xlws.FILTER('Model output'!G:G, 'Model output'!Z:Z=A29)),1)),ISNUMBER(SEARCH("three", _xlfn.TEXTJOIN("; ", TRUE, _xlfn._xlws.FILTER('Model output'!G:G, 'Model output'!Z:Z=A29)),1)),ISNUMBER(SEARCH("IV", _xlfn.TEXTJOIN("; ", TRUE, _xlfn._xlws.FILTER('Model output'!G:G, 'Model output'!Z:Z=A29)),1)),ISNUMBER(SEARCH("4", _xlfn.TEXTJOIN("; ", TRUE, _xlfn._xlws.FILTER('Model output'!G:G, 'Model output'!Z:Z=A29)),1)),ISNUMBER(SEARCH("five", _xlfn.TEXTJOIN("; ", TRUE, _xlfn._xlws.FILTER('Model output'!G:G, 'Model output'!Z:Z=A29)),1)),ISNUMBER(SEARCH("V ", _xlfn.TEXTJOIN("; ", TRUE, _xlfn._xlws.FILTER('Model output'!G:G, 'Model output'!Z:Z=A29)),1)),ISNUMBER(SEARCH("5", _xlfn.TEXTJOIN("; ", TRUE, _xlfn._xlws.FILTER('Model output'!G:G, 'Model output'!Z:Z=A29)),1)),ISNUMBER(SEARCH("five", _xlfn.TEXTJOIN("; ", TRUE, _xlfn._xlws.FILTER('Model output'!G:G, 'Model output'!Z:Z=A29)),1)),ISNUMBER(SEARCH(" lateral", _xlfn.TEXTJOIN("; ", TRUE, _xlfn._xlws.FILTER('Model output'!G:G, 'Model output'!Z:Z=A29)),1)))),ISNUMBER(SEARCH("cervical", _xlfn.TEXTJOIN("; ", TRUE, _xlfn._xlws.FILTER('Model output'!G:G, 'Model output'!Z:Z=A29)),1)),ISNUMBER(SEARCH("jugular", _xlfn.TEXTJOIN("; ", TRUE, _xlfn._xlws.FILTER('Model output'!G:G, 'Model output'!Z:Z=A29)),1)),ISNUMBER(SEARCH("left neck", _xlfn.TEXTJOIN("; ", TRUE, _xlfn._xlws.FILTER('Model output'!G:G, 'Model output'!Z:Z=A29)),1)),ISNUMBER(SEARCH("left anterior neck", _xlfn.TEXTJOIN("; ", TRUE, _xlfn._xlws.FILTER('Model output'!G:G, 'Model output'!Z:Z=A29)),1)),ISNUMBER(SEARCH("left posterior neck", _xlfn.TEXTJOIN("; ", TRUE, _xlfn._xlws.FILTER('Model output'!G:G, 'Model output'!Z:Z=A29)),1)),ISNUMBER(SEARCH("right neck", _xlfn.TEXTJOIN("; ", TRUE, _xlfn._xlws.FILTER('Model output'!G:G, 'Model output'!Z:Z=A29)),1)),ISNUMBER(SEARCH("right anterior neck", _xlfn.TEXTJOIN("; ", TRUE, _xlfn._xlws.FILTER('Model output'!G:G, 'Model output'!Z:Z=A29)),1)),ISNUMBER(SEARCH("right posterior neck", _xlfn.TEXTJOIN("; ", TRUE, _xlfn._xlws.FILTER('Model output'!G:G, 'Model output'!Z:Z=A29)),1)))),"lateral",IF(AND(M29=0, _xlfn.TEXTJOIN("; ", TRUE, _xlfn._xlws.FILTER('Model output'!G:G, 'Model output'!Z:Z=A29))=""),"", "central"))</f>
        <v>central</v>
      </c>
      <c r="K29" s="17" t="str" cm="1">
        <f t="array" ref="K29">IF(OR(ISNUMBER(SEARCH("lymph",_xlfn.TEXTJOIN("; ", TRUE, _xlfn._xlws.FILTER('Model output'!H:H, 'Model output'!Z:Z=A29)),1)), ISNUMBER(SEARCH("Not mentioned",_xlfn.TEXTJOIN("; ", TRUE, _xlfn._xlws.FILTER('Model output'!H:H, 'Model output'!Z:Z=A29)),1)),ISNUMBER(SEARCH("thyroid",_xlfn.TEXTJOIN("; ", TRUE, _xlfn._xlws.FILTER('Model output'!H:H, 'Model output'!Z:Z=A29)),1)),ISNUMBER(SEARCH("strap muscle",_xlfn.TEXTJOIN("; ", TRUE, _xlfn._xlws.FILTER('Model output'!H:H, 'Model output'!Z:Z=A29)),1)),ISNUMBER(SEARCH("subcutaneous soft tissues",_xlfn.TEXTJOIN("; ", TRUE, _xlfn._xlws.FILTER('Model output'!H:H, 'Model output'!Z:Z=A29)),1)),ISNUMBER(SEARCH("larynx",_xlfn.TEXTJOIN("; ", TRUE, _xlfn._xlws.FILTER('Model output'!H:H, 'Model output'!Z:Z=A29)),1)),ISNUMBER(SEARCH("trachea",_xlfn.TEXTJOIN("; ", TRUE, _xlfn._xlws.FILTER('Model output'!H:H, 'Model output'!Z:Z=A29)),1)),ISNUMBER(SEARCH("esophagus",_xlfn.TEXTJOIN("; ", TRUE, _xlfn._xlws.FILTER('Model output'!H:H, 'Model output'!Z:Z=A29)),1)),ISNUMBER(SEARCH("recurrent laryngeal nerve",_xlfn.TEXTJOIN("; ", TRUE, _xlfn._xlws.FILTER('Model output'!H:H, 'Model output'!Z:Z=A29)),1)),ISNUMBER(SEARCH("RLN",_xlfn.TEXTJOIN("; ", TRUE, _xlfn._xlws.FILTER('Model output'!H:H, 'Model output'!Z:Z=A29)),1)),_xlfn.TEXTJOIN("; ", TRUE, _xlfn._xlws.FILTER('Model output'!H:H, 'Model output'!Z:Z=A29))=""),"negative","positive")</f>
        <v>negative</v>
      </c>
      <c r="L29" s="17">
        <f>IF(IFERROR(INDEX('Model output'!I:I, MATCH(A29, 'Model output'!Z:Z, 0)), "") &lt; M29, "", IFERROR(INDEX('Model output'!I:I, MATCH(A29, 'Model output'!Z:Z, 0)), ""))</f>
        <v>2</v>
      </c>
      <c r="M29" s="17">
        <f>IFERROR(INDEX('Model output'!J:J, MATCH(A29, 'Model output'!Z:Z, 0)), "")</f>
        <v>1</v>
      </c>
      <c r="N29" s="18" t="str" cm="1">
        <f t="array" ref="N29">ReplaceTo(ReplaceAnd(SUBSTITUTE(SUBSTITUTE(_xlfn.TEXTJOIN("; ", TRUE, _xlfn._xlws.FILTER('Model output'!K:K, 'Model output'!Z:Z=A29)), " ", ""), ",", ";")))</f>
        <v>2.2mm</v>
      </c>
      <c r="O29" t="str" cm="1">
        <f t="array" ref="O29">IF(LEFT(IF(RIGHT(SUBSTITUTE(FilterWithUnits(N29)&amp; ";" &amp;FilterStringsWithNumericAnd(N29) &amp; ";" &amp; FilterStringsWithX(N29), ";;", ";"),1)=";",LEFT(SUBSTITUTE(FilterWithUnits(N29)&amp; ";" &amp;FilterStringsWithNumericAnd(N29) &amp; ";" &amp; FilterStringsWithX(N29), ";;", ";"),LEN(SUBSTITUTE(FilterWithUnits(N29)&amp; ";" &amp;FilterStringsWithNumericAnd(N29) &amp; ";" &amp; FilterStringsWithX(N29), ";;", ";"))-1),SUBSTITUTE(FilterWithUnits(N29)&amp; ";" &amp;FilterStringsWithNumericAnd(N29) &amp; ";" &amp; FilterStringsWithX(N29), ";;", ";")),1)=";",RIGHT(IF(RIGHT(SUBSTITUTE(FilterWithUnits(N29)&amp; ";" &amp;FilterStringsWithNumericAnd(N29) &amp; ";" &amp; FilterStringsWithX(N29), ";;", ";"),1)=";",LEFT(SUBSTITUTE(FilterWithUnits(N29)&amp; ";" &amp;FilterStringsWithNumericAnd(N29) &amp; ";" &amp; FilterStringsWithX(N29), ";;", ";"),LEN(SUBSTITUTE(FilterWithUnits(N29)&amp; ";" &amp;FilterStringsWithNumericAnd(N29) &amp; ";" &amp; FilterStringsWithX(N29), ";;", ";"))-1),SUBSTITUTE(FilterWithUnits(N29)&amp; ";" &amp;FilterStringsWithNumericAnd(N29) &amp; ";" &amp; FilterStringsWithX(N29), ";;", ";")),LEN(IF(RIGHT(SUBSTITUTE(FilterWithUnits(N29)&amp; ";" &amp;FilterStringsWithNumericAnd(N29) &amp; ";" &amp; FilterStringsWithX(N29), ";;", ";"),1)=";",LEFT(SUBSTITUTE(FilterWithUnits(N29)&amp; ";" &amp;FilterStringsWithNumericAnd(N29) &amp; ";" &amp; FilterStringsWithX(N29), ";;", ";"),LEN(SUBSTITUTE(FilterWithUnits(N29)&amp; ";" &amp;FilterStringsWithNumericAnd(N29) &amp; ";" &amp; FilterStringsWithX(N29), ";;", ";"))-1),SUBSTITUTE(FilterWithUnits(N29)&amp; ";" &amp;FilterStringsWithNumericAnd(N29) &amp; ";" &amp; FilterStringsWithX(N29), ";;", ";")))-1),IF(RIGHT(SUBSTITUTE(FilterWithUnits(N29)&amp; ";" &amp;FilterStringsWithNumericAnd(N29) &amp; ";" &amp; FilterStringsWithX(N29), ";;", ";"),1)=";",LEFT(SUBSTITUTE(FilterWithUnits(N29)&amp; ";" &amp;FilterStringsWithNumericAnd(N29) &amp; ";" &amp; FilterStringsWithX(N29), ";;", ";"),LEN(SUBSTITUTE(FilterWithUnits(N29)&amp; ";" &amp;FilterStringsWithNumericAnd(N29) &amp; ";" &amp; FilterStringsWithX(N29), ";;", ";"))-1),SUBSTITUTE(FilterWithUnits(N29)&amp; ";" &amp;FilterStringsWithNumericAnd(N29) &amp; ";" &amp; FilterStringsWithX(N29), ";;", ";")))</f>
        <v>2.2mm</v>
      </c>
      <c r="P29" cm="1">
        <f t="array" ref="P29">IF(MaxSize((SplitDimensions(O29)))=0, "", MaxSize((SplitDimensions(O29))))</f>
        <v>0.22000000000000003</v>
      </c>
      <c r="Q29" t="str" cm="1">
        <f t="array" ref="Q29">IF(ISERROR(INDEX(_xlfn._xlws.FILTER('Model output'!L:L, ('Model output'!Z:Z=A29)*('Model output'!L:L&lt;&gt;"")), 1)), " ", LOWER(INDEX(_xlfn._xlws.FILTER('Model output'!L:L, ('Model output'!Z:Z=A29)*('Model output'!L:L&lt;&gt;"")), 1)))</f>
        <v>papillary thyroid carcinoma (x2)</v>
      </c>
      <c r="R29" t="str" cm="1">
        <f t="array" ref="R29">IF(ISERROR(INDEX(_xlfn._xlws.FILTER('Model output'!M:M, ('Model output'!Z:Z=A29)*('Model output'!M:M&lt;&gt;"")), 1)), " ", LOWER(INDEX(_xlfn._xlws.FILTER('Model output'!M:M, ('Model output'!Z:Z=A29)*('Model output'!M:M&lt;&gt;"")), 1)))</f>
        <v xml:space="preserve"> </v>
      </c>
      <c r="S29" t="str" cm="1">
        <f t="array" ref="S29">IF(OR(ISNUMBER(SEARCH("ly",SUBSTITUTE(INDEX(_xlfn._xlws.FILTER('Model output'!N:N,('Model output'!Z:Z=A29)*('Model output'!N:N&lt;&gt;"")),1)," ",""),1)), ISNUMBER(SEARCH("pole",SUBSTITUTE(INDEX(_xlfn._xlws.FILTER('Model output'!N:N,('Model output'!Z:Z=A29)*('Model output'!N:N&lt;&gt;"")),1)," ",""),1))),"",SUBSTITUTE(INDEX(_xlfn._xlws.FILTER('Model output'!N:N,('Model output'!Z:Z=A29)*('Model output'!N:N&lt;&gt;"")),1)," ",""))</f>
        <v>Notmentioned</v>
      </c>
      <c r="T29" t="str" cm="1">
        <f t="array" ref="T29">IF(LEFT(IF(RIGHT(SUBSTITUTE(FilterWithUnits(S29)&amp; ";" &amp;FilterStringsWithNumericAnd(S29) &amp; ";" &amp; FilterStringsWithX(S29), ";;", ";"),1)=";",LEFT(SUBSTITUTE(FilterWithUnits(S29)&amp; ";" &amp;FilterStringsWithNumericAnd(S29) &amp; ";" &amp; FilterStringsWithX(S29), ";;", ";"),LEN(SUBSTITUTE(FilterWithUnits(S29)&amp; ";" &amp;FilterStringsWithNumericAnd(S29) &amp; ";" &amp; FilterStringsWithX(S29), ";;", ";"))-1),SUBSTITUTE(FilterWithUnits(S29)&amp; ";" &amp;FilterStringsWithNumericAnd(S29) &amp; ";" &amp; FilterStringsWithX(S29), ";;", ";")),1)=";",RIGHT(IF(RIGHT(SUBSTITUTE(FilterWithUnits(S29)&amp; ";" &amp;FilterStringsWithNumericAnd(S29) &amp; ";" &amp; FilterStringsWithX(S29), ";;", ";"),1)=";",LEFT(SUBSTITUTE(FilterWithUnits(S29)&amp; ";" &amp;FilterStringsWithNumericAnd(S29) &amp; ";" &amp; FilterStringsWithX(S29), ";;", ";"),LEN(SUBSTITUTE(FilterWithUnits(S29)&amp; ";" &amp;FilterStringsWithNumericAnd(S29) &amp; ";" &amp; FilterStringsWithX(S29), ";;", ";"))-1),SUBSTITUTE(FilterWithUnits(S29)&amp; ";" &amp;FilterStringsWithNumericAnd(S29) &amp; ";" &amp; FilterStringsWithX(S29), ";;", ";")),LEN(IF(RIGHT(SUBSTITUTE(FilterWithUnits(S29)&amp; ";" &amp;FilterStringsWithNumericAnd(S29) &amp; ";" &amp; FilterStringsWithX(S29), ";;", ";"),1)=";",LEFT(SUBSTITUTE(FilterWithUnits(S29)&amp; ";" &amp;FilterStringsWithNumericAnd(S29) &amp; ";" &amp; FilterStringsWithX(S29), ";;", ";"),LEN(SUBSTITUTE(FilterWithUnits(S29)&amp; ";" &amp;FilterStringsWithNumericAnd(S29) &amp; ";" &amp; FilterStringsWithX(S29), ";;", ";"))-1),SUBSTITUTE(FilterWithUnits(S29)&amp; ";" &amp;FilterStringsWithNumericAnd(S29) &amp; ";" &amp; FilterStringsWithX(S29), ";;", ";")))-1),IF(RIGHT(SUBSTITUTE(FilterWithUnits(S29)&amp; ";" &amp;FilterStringsWithNumericAnd(S29) &amp; ";" &amp; FilterStringsWithX(S29), ";;", ";"),1)=";",LEFT(SUBSTITUTE(FilterWithUnits(S29)&amp; ";" &amp;FilterStringsWithNumericAnd(S29) &amp; ";" &amp; FilterStringsWithX(S29), ";;", ";"),LEN(SUBSTITUTE(FilterWithUnits(S29)&amp; ";" &amp;FilterStringsWithNumericAnd(S29) &amp; ";" &amp; FilterStringsWithX(S29), ";;", ";"))-1),SUBSTITUTE(FilterWithUnits(S29)&amp; ";" &amp;FilterStringsWithNumericAnd(S29) &amp; ";" &amp; FilterStringsWithX(S29), ";;", ";")))</f>
        <v/>
      </c>
      <c r="U29" t="str" cm="1">
        <f t="array" ref="U29">IF(MaxSize((SplitDimensions(T29)))=0, "", MaxSize((SplitDimensions(T29))))</f>
        <v/>
      </c>
      <c r="V29" s="17" t="str" cm="1">
        <f t="array" ref="V29">IF(ISERROR(INDEX(_xlfn._xlws.FILTER('Model output'!P:P,('Model output'!Z:Z=A29)*('Model output'!P:P&lt;&gt;"")),1)),"negative",IF(OR(ISNUMBER(SEARCH("foc",INDEX(_xlfn._xlws.FILTER('Model output'!P:P,('Model output'!Z:Z=A29)*('Model output'!P:P&lt;&gt;"")),1),1)),ISNUMBER(SEARCH("extensive",INDEX(_xlfn._xlws.FILTER('Model output'!P:P,('Model output'!Z:Z=A29)*('Model output'!P:P&lt;&gt;"")),1),1)),ISNUMBER(SEARCH("present",INDEX(_xlfn._xlws.FILTER('Model output'!P:P,('Model output'!Z:Z=A29)*('Model output'!P:P&lt;&gt;"")),1),1)),ISNUMBER(SEARCH("yes",INDEX(_xlfn._xlws.FILTER('Model output'!P:P,('Model output'!Z:Z=A29)*('Model output'!P:P&lt;&gt;"")),1),1))),"positive","negative"))</f>
        <v>negative</v>
      </c>
      <c r="X29" t="str" cm="1">
        <f t="array" ref="X29">IF(ISNUMBER(SEARCH("4",INDEX(_xlfn._xlws.FILTER('Model output'!P:P,('Model output'!Z:Z=A29)*('Model output'!P:P&lt;&gt;"")),1),1)),INDEX(_xlfn._xlws.FILTER('Model output'!P:P,('Model output'!Z:Z=A29)*('Model output'!P:P&lt;&gt;"")),1),"") &amp; _xlfn.TEXTJOIN("",TRUE,_xlfn._xlws.FILTER('Model output'!Q:Q,'Model output'!Z:Z=A29))</f>
        <v>Not identified</v>
      </c>
      <c r="Y29" t="str">
        <f t="shared" si="11"/>
        <v>no</v>
      </c>
      <c r="Z29" t="str" cm="1">
        <f t="array" ref="Z29">IF(OR(ISNUMBER(SEARCH("focal",_xlfn.TEXTJOIN("; ",TRUE,_xlfn._xlws.FILTER('Model output'!R:R,'Model output'!Z:Z=A29)),1)),ISNUMBER(SEARCH("present",_xlfn.TEXTJOIN("; ",TRUE,_xlfn._xlws.FILTER('Model output'!R:R,'Model output'!Z:Z=A29)),1))),"positive",IF(_xlfn.TEXTJOIN("; ",TRUE,_xlfn._xlws.FILTER('Model output'!R:R,'Model output'!Z:Z=A29))="","negative",IF(OR(ISNUMBER(SEARCH("no",_xlfn.TEXTJOIN("; ",TRUE,_xlfn._xlws.FILTER('Model output'!R:R,'Model output'!Z:Z=A29)),1)),ISNUMBER(SEARCH("absent",_xlfn.TEXTJOIN("; ",TRUE,_xlfn._xlws.FILTER('Model output'!R:R,'Model output'!Z:Z=A29)),1))),"negative","positive")))</f>
        <v>negative</v>
      </c>
      <c r="AA29" s="17" t="str">
        <f t="shared" si="15"/>
        <v>negative</v>
      </c>
      <c r="AE29" s="17" t="str">
        <f t="shared" si="12"/>
        <v>negative</v>
      </c>
      <c r="AF29" t="str" cm="1">
        <f t="array" ref="AF29">_xlfn.TEXTJOIN("; ",TRUE,_xlfn._xlws.FILTER('Model output'!S:S,'Model output'!Z:Z=A29))</f>
        <v>Not identified</v>
      </c>
      <c r="AG29" s="17" t="str" cm="1">
        <f t="array" ref="AG29">IF(OR(ISNUMBER(SEARCH("uninvolved",_xlfn.TEXTJOIN("; ",TRUE,_xlfn._xlws.FILTER('Model output'!V:V,'Model output'!Z:Z=A29)),1)),ISNUMBER(SEARCH("clear",_xlfn.TEXTJOIN("; ",TRUE,_xlfn._xlws.FILTER('Model output'!V:V,'Model output'!Z:Z=A29)),1))*ISNUMBER(SEARCH("not mentioned",_xlfn.TEXTJOIN("; ",TRUE,_xlfn._xlws.FILTER('Model output'!V:V,'Model output'!Z:Z=A29)),1))),"negative",IF(ISNUMBER(SEARCH("cannot be assessed",_xlfn.TEXTJOIN("; ",TRUE,_xlfn._xlws.FILTER('Model output'!V:V,'Model output'!Z:Z=A29)),1)),"unknown","negative"))</f>
        <v>negative</v>
      </c>
      <c r="AI29" s="45" t="str">
        <f t="shared" si="13"/>
        <v>low</v>
      </c>
      <c r="AJ29" s="41" t="str">
        <f t="shared" si="14"/>
        <v>1a</v>
      </c>
      <c r="AK29" s="41" t="str">
        <f t="shared" si="3"/>
        <v>1a</v>
      </c>
      <c r="AL29" s="41">
        <f t="shared" si="4"/>
        <v>0</v>
      </c>
      <c r="AM29" s="41" t="str">
        <f t="shared" si="5"/>
        <v>I</v>
      </c>
      <c r="AN29" s="42" t="s">
        <v>166</v>
      </c>
      <c r="AO29" s="43" t="s">
        <v>205</v>
      </c>
      <c r="AP29" s="43" t="s">
        <v>205</v>
      </c>
      <c r="AQ29" s="43">
        <v>0</v>
      </c>
      <c r="AR29" s="43" t="s">
        <v>31</v>
      </c>
      <c r="AS29" s="42">
        <f t="shared" si="6"/>
        <v>1</v>
      </c>
      <c r="AT29" s="43">
        <f t="shared" si="7"/>
        <v>1</v>
      </c>
      <c r="AU29" s="43">
        <f t="shared" si="8"/>
        <v>1</v>
      </c>
      <c r="AV29" s="43">
        <f t="shared" si="9"/>
        <v>1</v>
      </c>
      <c r="AW29" s="44">
        <f t="shared" si="10"/>
        <v>1</v>
      </c>
    </row>
    <row r="30" spans="1:49">
      <c r="A30" s="13">
        <v>28</v>
      </c>
      <c r="B30" s="16">
        <f>_xlfn.MAXIFS('Model output'!B:B,'Model output'!Z:Z,'Classification result'!$A30)</f>
        <v>0</v>
      </c>
      <c r="C30" s="16"/>
      <c r="D30" s="16"/>
      <c r="E30" s="17">
        <f>_xlfn.MAXIFS('Model output'!C:C,'Model output'!Z:Z,'Classification result'!$A30)</f>
        <v>57</v>
      </c>
      <c r="F30" s="17" t="str" cm="1">
        <f t="array" ref="F30">LEFT(IF(ISERROR(RIGHT(IF(INDEX(_xlfn._xlws.FILTER('Model output'!D:D,('Model output'!Z:Z=A30)),1)&lt;&gt;"",INDEX(_xlfn._xlws.FILTER('Model output'!D:D,('Model output'!Z:Z=A30)),1),""),LEN(IF(INDEX(_xlfn._xlws.FILTER('Model output'!D:D,('Model output'!Z:Z=A30)),1)&lt;&gt;"",INDEX(_xlfn._xlws.FILTER('Model output'!D:D,('Model output'!Z:Z=A30)),1),""))-FIND("T",IF(INDEX(_xlfn._xlws.FILTER('Model output'!D:D,('Model output'!Z:Z=A30)),1)&lt;&gt;"",INDEX(_xlfn._xlws.FILTER('Model output'!D:D,('Model output'!Z:Z=A30)),1),""),1))),"",(RIGHT(IF(INDEX(_xlfn._xlws.FILTER('Model output'!D:D,('Model output'!Z:Z=A30)),1)&lt;&gt;"",INDEX(_xlfn._xlws.FILTER('Model output'!D:D,('Model output'!Z:Z=A30)),1),""),LEN(IF(INDEX(_xlfn._xlws.FILTER('Model output'!D:D,('Model output'!Z:Z=A30)),1)&lt;&gt;"",INDEX(_xlfn._xlws.FILTER('Model output'!D:D,('Model output'!Z:Z=A30)),1),""))-FIND("T",IF(INDEX(_xlfn._xlws.FILTER('Model output'!D:D,('Model output'!Z:Z=A30)),1)&lt;&gt;"",INDEX(_xlfn._xlws.FILTER('Model output'!D:D,('Model output'!Z:Z=A30)),1)))))),2)</f>
        <v>1a</v>
      </c>
      <c r="G30" s="17" t="str" cm="1">
        <f t="array" ref="G30">IF(ISNUMBER(SEARCH("N",IF(ISNUMBER(SEARCH("present",IF(INDEX(_xlfn._xlws.FILTER('Model output'!E:E,('Model output'!Z:Z=A30)),1)="","",INDEX(_xlfn._xlws.FILTER('Model output'!E:E,('Model output'!Z:Z=A30)),1)),1)),"N1", IF(INDEX(_xlfn._xlws.FILTER('Model output'!E:E,('Model output'!Z:Z=A30)),1)="","",INDEX(_xlfn._xlws.FILTER('Model output'!E:E,('Model output'!Z:Z=A30)),1))),1)),RIGHT(IF(ISNUMBER(SEARCH("present",IF(INDEX(_xlfn._xlws.FILTER('Model output'!E:E,('Model output'!Z:Z=A30)),1)="","",INDEX(_xlfn._xlws.FILTER('Model output'!E:E,('Model output'!Z:Z=A30)),1)),1)),"N1", IF(INDEX(_xlfn._xlws.FILTER('Model output'!E:E,('Model output'!Z:Z=A30)),1)="","",INDEX(_xlfn._xlws.FILTER('Model output'!E:E,('Model output'!Z:Z=A30)),1))),LEN(IF(ISNUMBER(SEARCH("present",IF(INDEX(_xlfn._xlws.FILTER('Model output'!E:E,('Model output'!Z:Z=A30)),1)="","",INDEX(_xlfn._xlws.FILTER('Model output'!E:E,('Model output'!Z:Z=A30)),1)),1)),"N1", IF(INDEX(_xlfn._xlws.FILTER('Model output'!E:E,('Model output'!Z:Z=A30)),1)="","",INDEX(_xlfn._xlws.FILTER('Model output'!E:E,('Model output'!Z:Z=A30)),1))))-FIND("N",IF(ISNUMBER(SEARCH("present",IF(INDEX(_xlfn._xlws.FILTER('Model output'!E:E,('Model output'!Z:Z=A30)),1)="","",INDEX(_xlfn._xlws.FILTER('Model output'!E:E,('Model output'!Z:Z=A30)),1)),1)),"N1", IF(INDEX(_xlfn._xlws.FILTER('Model output'!E:E,('Model output'!Z:Z=A30)),1)="","",INDEX(_xlfn._xlws.FILTER('Model output'!E:E,('Model output'!Z:Z=A30)),1))),1)), "")</f>
        <v/>
      </c>
      <c r="H30" s="17" cm="1">
        <f t="array" ref="H30">IF(AND(SUBSTITUTE(_xlfn.TEXTJOIN("/", TRUE, _xlfn._xlws.FILTER('Model output'!F:F, 'Model output'!Z:Z=A30)),"M", "")="", K30="negative"),0,IF(K30="positive",1,0))</f>
        <v>0</v>
      </c>
      <c r="I30" t="str">
        <f t="shared" si="0"/>
        <v>positive</v>
      </c>
      <c r="J30" t="str" cm="1">
        <f t="array" ref="J30">IF(AND(M30&gt;0, _xlfn.TEXTJOIN("; ", TRUE, _xlfn._xlws.FILTER('Model output'!G:G, 'Model output'!Z:Z=A30)) &lt;&gt;"", OR(AND(ISNUMBER(SEARCH("level", _xlfn.TEXTJOIN("; ", TRUE, _xlfn._xlws.FILTER('Model output'!G:G, 'Model output'!Z:Z=A30)),1)),OR(ISNUMBER(SEARCH(" II", _xlfn.TEXTJOIN("; ", TRUE, _xlfn._xlws.FILTER('Model output'!G:G, 'Model output'!Z:Z=A30)),1)),ISNUMBER(SEARCH("2", _xlfn.TEXTJOIN("; ", TRUE, _xlfn._xlws.FILTER('Model output'!G:G, 'Model output'!Z:Z=A30)),1)),ISNUMBER(SEARCH("two", _xlfn.TEXTJOIN("; ", TRUE, _xlfn._xlws.FILTER('Model output'!G:G, 'Model output'!Z:Z=A30)),1)),ISNUMBER(SEARCH("III", _xlfn.TEXTJOIN("; ", TRUE, _xlfn._xlws.FILTER('Model output'!G:G, 'Model output'!Z:Z=A30)),1)),ISNUMBER(SEARCH("3", _xlfn.TEXTJOIN("; ", TRUE, _xlfn._xlws.FILTER('Model output'!G:G, 'Model output'!Z:Z=A30)),1)),ISNUMBER(SEARCH("three", _xlfn.TEXTJOIN("; ", TRUE, _xlfn._xlws.FILTER('Model output'!G:G, 'Model output'!Z:Z=A30)),1)),ISNUMBER(SEARCH("IV", _xlfn.TEXTJOIN("; ", TRUE, _xlfn._xlws.FILTER('Model output'!G:G, 'Model output'!Z:Z=A30)),1)),ISNUMBER(SEARCH("4", _xlfn.TEXTJOIN("; ", TRUE, _xlfn._xlws.FILTER('Model output'!G:G, 'Model output'!Z:Z=A30)),1)),ISNUMBER(SEARCH("five", _xlfn.TEXTJOIN("; ", TRUE, _xlfn._xlws.FILTER('Model output'!G:G, 'Model output'!Z:Z=A30)),1)),ISNUMBER(SEARCH("V ", _xlfn.TEXTJOIN("; ", TRUE, _xlfn._xlws.FILTER('Model output'!G:G, 'Model output'!Z:Z=A30)),1)),ISNUMBER(SEARCH("5", _xlfn.TEXTJOIN("; ", TRUE, _xlfn._xlws.FILTER('Model output'!G:G, 'Model output'!Z:Z=A30)),1)),ISNUMBER(SEARCH("five", _xlfn.TEXTJOIN("; ", TRUE, _xlfn._xlws.FILTER('Model output'!G:G, 'Model output'!Z:Z=A30)),1)),ISNUMBER(SEARCH(" lateral", _xlfn.TEXTJOIN("; ", TRUE, _xlfn._xlws.FILTER('Model output'!G:G, 'Model output'!Z:Z=A30)),1)))),ISNUMBER(SEARCH("cervical", _xlfn.TEXTJOIN("; ", TRUE, _xlfn._xlws.FILTER('Model output'!G:G, 'Model output'!Z:Z=A30)),1)),ISNUMBER(SEARCH("jugular", _xlfn.TEXTJOIN("; ", TRUE, _xlfn._xlws.FILTER('Model output'!G:G, 'Model output'!Z:Z=A30)),1)),ISNUMBER(SEARCH("left neck", _xlfn.TEXTJOIN("; ", TRUE, _xlfn._xlws.FILTER('Model output'!G:G, 'Model output'!Z:Z=A30)),1)),ISNUMBER(SEARCH("left anterior neck", _xlfn.TEXTJOIN("; ", TRUE, _xlfn._xlws.FILTER('Model output'!G:G, 'Model output'!Z:Z=A30)),1)),ISNUMBER(SEARCH("left posterior neck", _xlfn.TEXTJOIN("; ", TRUE, _xlfn._xlws.FILTER('Model output'!G:G, 'Model output'!Z:Z=A30)),1)),ISNUMBER(SEARCH("right neck", _xlfn.TEXTJOIN("; ", TRUE, _xlfn._xlws.FILTER('Model output'!G:G, 'Model output'!Z:Z=A30)),1)),ISNUMBER(SEARCH("right anterior neck", _xlfn.TEXTJOIN("; ", TRUE, _xlfn._xlws.FILTER('Model output'!G:G, 'Model output'!Z:Z=A30)),1)),ISNUMBER(SEARCH("right posterior neck", _xlfn.TEXTJOIN("; ", TRUE, _xlfn._xlws.FILTER('Model output'!G:G, 'Model output'!Z:Z=A30)),1)))),"lateral",IF(AND(M30=0, _xlfn.TEXTJOIN("; ", TRUE, _xlfn._xlws.FILTER('Model output'!G:G, 'Model output'!Z:Z=A30))=""),"", "central"))</f>
        <v>central</v>
      </c>
      <c r="K30" s="17" t="str" cm="1">
        <f t="array" ref="K30">IF(OR(ISNUMBER(SEARCH("lymph",_xlfn.TEXTJOIN("; ", TRUE, _xlfn._xlws.FILTER('Model output'!H:H, 'Model output'!Z:Z=A30)),1)), ISNUMBER(SEARCH("Not mentioned",_xlfn.TEXTJOIN("; ", TRUE, _xlfn._xlws.FILTER('Model output'!H:H, 'Model output'!Z:Z=A30)),1)),ISNUMBER(SEARCH("thyroid",_xlfn.TEXTJOIN("; ", TRUE, _xlfn._xlws.FILTER('Model output'!H:H, 'Model output'!Z:Z=A30)),1)),ISNUMBER(SEARCH("strap muscle",_xlfn.TEXTJOIN("; ", TRUE, _xlfn._xlws.FILTER('Model output'!H:H, 'Model output'!Z:Z=A30)),1)),ISNUMBER(SEARCH("subcutaneous soft tissues",_xlfn.TEXTJOIN("; ", TRUE, _xlfn._xlws.FILTER('Model output'!H:H, 'Model output'!Z:Z=A30)),1)),ISNUMBER(SEARCH("larynx",_xlfn.TEXTJOIN("; ", TRUE, _xlfn._xlws.FILTER('Model output'!H:H, 'Model output'!Z:Z=A30)),1)),ISNUMBER(SEARCH("trachea",_xlfn.TEXTJOIN("; ", TRUE, _xlfn._xlws.FILTER('Model output'!H:H, 'Model output'!Z:Z=A30)),1)),ISNUMBER(SEARCH("esophagus",_xlfn.TEXTJOIN("; ", TRUE, _xlfn._xlws.FILTER('Model output'!H:H, 'Model output'!Z:Z=A30)),1)),ISNUMBER(SEARCH("recurrent laryngeal nerve",_xlfn.TEXTJOIN("; ", TRUE, _xlfn._xlws.FILTER('Model output'!H:H, 'Model output'!Z:Z=A30)),1)),ISNUMBER(SEARCH("RLN",_xlfn.TEXTJOIN("; ", TRUE, _xlfn._xlws.FILTER('Model output'!H:H, 'Model output'!Z:Z=A30)),1)),_xlfn.TEXTJOIN("; ", TRUE, _xlfn._xlws.FILTER('Model output'!H:H, 'Model output'!Z:Z=A30))=""),"negative","positive")</f>
        <v>negative</v>
      </c>
      <c r="L30" s="17">
        <f>IF(IFERROR(INDEX('Model output'!I:I, MATCH(A30, 'Model output'!Z:Z, 0)), "") &lt; M30, "", IFERROR(INDEX('Model output'!I:I, MATCH(A30, 'Model output'!Z:Z, 0)), ""))</f>
        <v>5</v>
      </c>
      <c r="M30" s="17">
        <f>IFERROR(INDEX('Model output'!J:J, MATCH(A30, 'Model output'!Z:Z, 0)), "")</f>
        <v>1</v>
      </c>
      <c r="N30" s="18" t="str" cm="1">
        <f t="array" ref="N30">ReplaceTo(ReplaceAnd(SUBSTITUTE(SUBSTITUTE(_xlfn.TEXTJOIN("; ", TRUE, _xlfn._xlws.FILTER('Model output'!K:K, 'Model output'!Z:Z=A30)), " ", ""), ",", ";")))</f>
        <v>2.5mm</v>
      </c>
      <c r="O30" t="str" cm="1">
        <f t="array" ref="O30">IF(LEFT(IF(RIGHT(SUBSTITUTE(FilterWithUnits(N30)&amp; ";" &amp;FilterStringsWithNumericAnd(N30) &amp; ";" &amp; FilterStringsWithX(N30), ";;", ";"),1)=";",LEFT(SUBSTITUTE(FilterWithUnits(N30)&amp; ";" &amp;FilterStringsWithNumericAnd(N30) &amp; ";" &amp; FilterStringsWithX(N30), ";;", ";"),LEN(SUBSTITUTE(FilterWithUnits(N30)&amp; ";" &amp;FilterStringsWithNumericAnd(N30) &amp; ";" &amp; FilterStringsWithX(N30), ";;", ";"))-1),SUBSTITUTE(FilterWithUnits(N30)&amp; ";" &amp;FilterStringsWithNumericAnd(N30) &amp; ";" &amp; FilterStringsWithX(N30), ";;", ";")),1)=";",RIGHT(IF(RIGHT(SUBSTITUTE(FilterWithUnits(N30)&amp; ";" &amp;FilterStringsWithNumericAnd(N30) &amp; ";" &amp; FilterStringsWithX(N30), ";;", ";"),1)=";",LEFT(SUBSTITUTE(FilterWithUnits(N30)&amp; ";" &amp;FilterStringsWithNumericAnd(N30) &amp; ";" &amp; FilterStringsWithX(N30), ";;", ";"),LEN(SUBSTITUTE(FilterWithUnits(N30)&amp; ";" &amp;FilterStringsWithNumericAnd(N30) &amp; ";" &amp; FilterStringsWithX(N30), ";;", ";"))-1),SUBSTITUTE(FilterWithUnits(N30)&amp; ";" &amp;FilterStringsWithNumericAnd(N30) &amp; ";" &amp; FilterStringsWithX(N30), ";;", ";")),LEN(IF(RIGHT(SUBSTITUTE(FilterWithUnits(N30)&amp; ";" &amp;FilterStringsWithNumericAnd(N30) &amp; ";" &amp; FilterStringsWithX(N30), ";;", ";"),1)=";",LEFT(SUBSTITUTE(FilterWithUnits(N30)&amp; ";" &amp;FilterStringsWithNumericAnd(N30) &amp; ";" &amp; FilterStringsWithX(N30), ";;", ";"),LEN(SUBSTITUTE(FilterWithUnits(N30)&amp; ";" &amp;FilterStringsWithNumericAnd(N30) &amp; ";" &amp; FilterStringsWithX(N30), ";;", ";"))-1),SUBSTITUTE(FilterWithUnits(N30)&amp; ";" &amp;FilterStringsWithNumericAnd(N30) &amp; ";" &amp; FilterStringsWithX(N30), ";;", ";")))-1),IF(RIGHT(SUBSTITUTE(FilterWithUnits(N30)&amp; ";" &amp;FilterStringsWithNumericAnd(N30) &amp; ";" &amp; FilterStringsWithX(N30), ";;", ";"),1)=";",LEFT(SUBSTITUTE(FilterWithUnits(N30)&amp; ";" &amp;FilterStringsWithNumericAnd(N30) &amp; ";" &amp; FilterStringsWithX(N30), ";;", ";"),LEN(SUBSTITUTE(FilterWithUnits(N30)&amp; ";" &amp;FilterStringsWithNumericAnd(N30) &amp; ";" &amp; FilterStringsWithX(N30), ";;", ";"))-1),SUBSTITUTE(FilterWithUnits(N30)&amp; ";" &amp;FilterStringsWithNumericAnd(N30) &amp; ";" &amp; FilterStringsWithX(N30), ";;", ";")))</f>
        <v>2.5mm</v>
      </c>
      <c r="P30" cm="1">
        <f t="array" ref="P30">IF(MaxSize((SplitDimensions(O30)))=0, "", MaxSize((SplitDimensions(O30))))</f>
        <v>0.25</v>
      </c>
      <c r="Q30" t="str" cm="1">
        <f t="array" ref="Q30">IF(ISERROR(INDEX(_xlfn._xlws.FILTER('Model output'!L:L, ('Model output'!Z:Z=A30)*('Model output'!L:L&lt;&gt;"")), 1)), " ", LOWER(INDEX(_xlfn._xlws.FILTER('Model output'!L:L, ('Model output'!Z:Z=A30)*('Model output'!L:L&lt;&gt;"")), 1)))</f>
        <v>papillary carcinoma</v>
      </c>
      <c r="R30" t="str" cm="1">
        <f t="array" ref="R30">IF(ISERROR(INDEX(_xlfn._xlws.FILTER('Model output'!M:M, ('Model output'!Z:Z=A30)*('Model output'!M:M&lt;&gt;"")), 1)), " ", LOWER(INDEX(_xlfn._xlws.FILTER('Model output'!M:M, ('Model output'!Z:Z=A30)*('Model output'!M:M&lt;&gt;"")), 1)))</f>
        <v>not mentioned</v>
      </c>
      <c r="S30" t="str" cm="1">
        <f t="array" ref="S30">IF(OR(ISNUMBER(SEARCH("ly",SUBSTITUTE(INDEX(_xlfn._xlws.FILTER('Model output'!N:N,('Model output'!Z:Z=A30)*('Model output'!N:N&lt;&gt;"")),1)," ",""),1)), ISNUMBER(SEARCH("pole",SUBSTITUTE(INDEX(_xlfn._xlws.FILTER('Model output'!N:N,('Model output'!Z:Z=A30)*('Model output'!N:N&lt;&gt;"")),1)," ",""),1))),"",SUBSTITUTE(INDEX(_xlfn._xlws.FILTER('Model output'!N:N,('Model output'!Z:Z=A30)*('Model output'!N:N&lt;&gt;"")),1)," ",""))</f>
        <v/>
      </c>
      <c r="T30" t="str" cm="1">
        <f t="array" ref="T30">IF(LEFT(IF(RIGHT(SUBSTITUTE(FilterWithUnits(S30)&amp; ";" &amp;FilterStringsWithNumericAnd(S30) &amp; ";" &amp; FilterStringsWithX(S30), ";;", ";"),1)=";",LEFT(SUBSTITUTE(FilterWithUnits(S30)&amp; ";" &amp;FilterStringsWithNumericAnd(S30) &amp; ";" &amp; FilterStringsWithX(S30), ";;", ";"),LEN(SUBSTITUTE(FilterWithUnits(S30)&amp; ";" &amp;FilterStringsWithNumericAnd(S30) &amp; ";" &amp; FilterStringsWithX(S30), ";;", ";"))-1),SUBSTITUTE(FilterWithUnits(S30)&amp; ";" &amp;FilterStringsWithNumericAnd(S30) &amp; ";" &amp; FilterStringsWithX(S30), ";;", ";")),1)=";",RIGHT(IF(RIGHT(SUBSTITUTE(FilterWithUnits(S30)&amp; ";" &amp;FilterStringsWithNumericAnd(S30) &amp; ";" &amp; FilterStringsWithX(S30), ";;", ";"),1)=";",LEFT(SUBSTITUTE(FilterWithUnits(S30)&amp; ";" &amp;FilterStringsWithNumericAnd(S30) &amp; ";" &amp; FilterStringsWithX(S30), ";;", ";"),LEN(SUBSTITUTE(FilterWithUnits(S30)&amp; ";" &amp;FilterStringsWithNumericAnd(S30) &amp; ";" &amp; FilterStringsWithX(S30), ";;", ";"))-1),SUBSTITUTE(FilterWithUnits(S30)&amp; ";" &amp;FilterStringsWithNumericAnd(S30) &amp; ";" &amp; FilterStringsWithX(S30), ";;", ";")),LEN(IF(RIGHT(SUBSTITUTE(FilterWithUnits(S30)&amp; ";" &amp;FilterStringsWithNumericAnd(S30) &amp; ";" &amp; FilterStringsWithX(S30), ";;", ";"),1)=";",LEFT(SUBSTITUTE(FilterWithUnits(S30)&amp; ";" &amp;FilterStringsWithNumericAnd(S30) &amp; ";" &amp; FilterStringsWithX(S30), ";;", ";"),LEN(SUBSTITUTE(FilterWithUnits(S30)&amp; ";" &amp;FilterStringsWithNumericAnd(S30) &amp; ";" &amp; FilterStringsWithX(S30), ";;", ";"))-1),SUBSTITUTE(FilterWithUnits(S30)&amp; ";" &amp;FilterStringsWithNumericAnd(S30) &amp; ";" &amp; FilterStringsWithX(S30), ";;", ";")))-1),IF(RIGHT(SUBSTITUTE(FilterWithUnits(S30)&amp; ";" &amp;FilterStringsWithNumericAnd(S30) &amp; ";" &amp; FilterStringsWithX(S30), ";;", ";"),1)=";",LEFT(SUBSTITUTE(FilterWithUnits(S30)&amp; ";" &amp;FilterStringsWithNumericAnd(S30) &amp; ";" &amp; FilterStringsWithX(S30), ";;", ";"),LEN(SUBSTITUTE(FilterWithUnits(S30)&amp; ";" &amp;FilterStringsWithNumericAnd(S30) &amp; ";" &amp; FilterStringsWithX(S30), ";;", ";"))-1),SUBSTITUTE(FilterWithUnits(S30)&amp; ";" &amp;FilterStringsWithNumericAnd(S30) &amp; ";" &amp; FilterStringsWithX(S30), ";;", ";")))</f>
        <v/>
      </c>
      <c r="U30" t="str" cm="1">
        <f t="array" ref="U30">IF(MaxSize((SplitDimensions(T30)))=0, "", MaxSize((SplitDimensions(T30))))</f>
        <v/>
      </c>
      <c r="V30" s="17" t="str" cm="1">
        <f t="array" ref="V30">IF(ISERROR(INDEX(_xlfn._xlws.FILTER('Model output'!P:P,('Model output'!Z:Z=A30)*('Model output'!P:P&lt;&gt;"")),1)),"negative",IF(OR(ISNUMBER(SEARCH("foc",INDEX(_xlfn._xlws.FILTER('Model output'!P:P,('Model output'!Z:Z=A30)*('Model output'!P:P&lt;&gt;"")),1),1)),ISNUMBER(SEARCH("extensive",INDEX(_xlfn._xlws.FILTER('Model output'!P:P,('Model output'!Z:Z=A30)*('Model output'!P:P&lt;&gt;"")),1),1)),ISNUMBER(SEARCH("present",INDEX(_xlfn._xlws.FILTER('Model output'!P:P,('Model output'!Z:Z=A30)*('Model output'!P:P&lt;&gt;"")),1),1)),ISNUMBER(SEARCH("yes",INDEX(_xlfn._xlws.FILTER('Model output'!P:P,('Model output'!Z:Z=A30)*('Model output'!P:P&lt;&gt;"")),1),1))),"positive","negative"))</f>
        <v>negative</v>
      </c>
      <c r="X30" t="str" cm="1">
        <f t="array" ref="X30">IF(ISNUMBER(SEARCH("4",INDEX(_xlfn._xlws.FILTER('Model output'!P:P,('Model output'!Z:Z=A30)*('Model output'!P:P&lt;&gt;"")),1),1)),INDEX(_xlfn._xlws.FILTER('Model output'!P:P,('Model output'!Z:Z=A30)*('Model output'!P:P&lt;&gt;"")),1),"") &amp; _xlfn.TEXTJOIN("",TRUE,_xlfn._xlws.FILTER('Model output'!Q:Q,'Model output'!Z:Z=A30))</f>
        <v/>
      </c>
      <c r="Y30" t="str">
        <f t="shared" si="11"/>
        <v>no</v>
      </c>
      <c r="Z30" t="str" cm="1">
        <f t="array" ref="Z30">IF(OR(ISNUMBER(SEARCH("focal",_xlfn.TEXTJOIN("; ",TRUE,_xlfn._xlws.FILTER('Model output'!R:R,'Model output'!Z:Z=A30)),1)),ISNUMBER(SEARCH("present",_xlfn.TEXTJOIN("; ",TRUE,_xlfn._xlws.FILTER('Model output'!R:R,'Model output'!Z:Z=A30)),1))),"positive",IF(_xlfn.TEXTJOIN("; ",TRUE,_xlfn._xlws.FILTER('Model output'!R:R,'Model output'!Z:Z=A30))="","negative",IF(OR(ISNUMBER(SEARCH("no",_xlfn.TEXTJOIN("; ",TRUE,_xlfn._xlws.FILTER('Model output'!R:R,'Model output'!Z:Z=A30)),1)),ISNUMBER(SEARCH("absent",_xlfn.TEXTJOIN("; ",TRUE,_xlfn._xlws.FILTER('Model output'!R:R,'Model output'!Z:Z=A30)),1))),"negative","positive")))</f>
        <v>negative</v>
      </c>
      <c r="AA30" s="17" t="str">
        <f t="shared" si="15"/>
        <v>negative</v>
      </c>
      <c r="AE30" s="17" t="str">
        <f t="shared" si="12"/>
        <v>negative</v>
      </c>
      <c r="AF30" t="str" cm="1">
        <f t="array" ref="AF30">_xlfn.TEXTJOIN("; ",TRUE,_xlfn._xlws.FILTER('Model output'!S:S,'Model output'!Z:Z=A30))</f>
        <v>Not identified; Not mentioned</v>
      </c>
      <c r="AG30" s="17" t="str" cm="1">
        <f t="array" ref="AG30">IF(OR(ISNUMBER(SEARCH("uninvolved",_xlfn.TEXTJOIN("; ",TRUE,_xlfn._xlws.FILTER('Model output'!V:V,'Model output'!Z:Z=A30)),1)),ISNUMBER(SEARCH("clear",_xlfn.TEXTJOIN("; ",TRUE,_xlfn._xlws.FILTER('Model output'!V:V,'Model output'!Z:Z=A30)),1))*ISNUMBER(SEARCH("not mentioned",_xlfn.TEXTJOIN("; ",TRUE,_xlfn._xlws.FILTER('Model output'!V:V,'Model output'!Z:Z=A30)),1))),"negative",IF(ISNUMBER(SEARCH("cannot be assessed",_xlfn.TEXTJOIN("; ",TRUE,_xlfn._xlws.FILTER('Model output'!V:V,'Model output'!Z:Z=A30)),1)),"unknown","negative"))</f>
        <v>negative</v>
      </c>
      <c r="AI30" s="45" t="str">
        <f t="shared" si="13"/>
        <v>low</v>
      </c>
      <c r="AJ30" s="41" t="str">
        <f t="shared" si="14"/>
        <v>1a</v>
      </c>
      <c r="AK30" s="41" t="str">
        <f t="shared" si="3"/>
        <v>1a</v>
      </c>
      <c r="AL30" s="41">
        <f t="shared" si="4"/>
        <v>0</v>
      </c>
      <c r="AM30" s="41" t="str">
        <f t="shared" si="5"/>
        <v>II</v>
      </c>
      <c r="AN30" s="42" t="s">
        <v>166</v>
      </c>
      <c r="AO30" s="43" t="s">
        <v>205</v>
      </c>
      <c r="AP30" s="43" t="s">
        <v>205</v>
      </c>
      <c r="AQ30" s="43">
        <v>0</v>
      </c>
      <c r="AR30" s="43" t="s">
        <v>44</v>
      </c>
      <c r="AS30" s="42">
        <f t="shared" si="6"/>
        <v>1</v>
      </c>
      <c r="AT30" s="43">
        <f t="shared" si="7"/>
        <v>1</v>
      </c>
      <c r="AU30" s="43">
        <f t="shared" si="8"/>
        <v>1</v>
      </c>
      <c r="AV30" s="43">
        <f t="shared" si="9"/>
        <v>1</v>
      </c>
      <c r="AW30" s="44">
        <f t="shared" si="10"/>
        <v>1</v>
      </c>
    </row>
    <row r="31" spans="1:49">
      <c r="A31" s="13">
        <v>29</v>
      </c>
      <c r="B31" s="16">
        <f>_xlfn.MAXIFS('Model output'!B:B,'Model output'!Z:Z,'Classification result'!$A31)</f>
        <v>45242</v>
      </c>
      <c r="C31" s="16"/>
      <c r="D31" s="16"/>
      <c r="E31" s="17">
        <f>_xlfn.MAXIFS('Model output'!C:C,'Model output'!Z:Z,'Classification result'!$A31)</f>
        <v>63</v>
      </c>
      <c r="F31" s="17" t="str" cm="1">
        <f t="array" ref="F31">LEFT(IF(ISERROR(RIGHT(IF(INDEX(_xlfn._xlws.FILTER('Model output'!D:D,('Model output'!Z:Z=A31)),1)&lt;&gt;"",INDEX(_xlfn._xlws.FILTER('Model output'!D:D,('Model output'!Z:Z=A31)),1),""),LEN(IF(INDEX(_xlfn._xlws.FILTER('Model output'!D:D,('Model output'!Z:Z=A31)),1)&lt;&gt;"",INDEX(_xlfn._xlws.FILTER('Model output'!D:D,('Model output'!Z:Z=A31)),1),""))-FIND("T",IF(INDEX(_xlfn._xlws.FILTER('Model output'!D:D,('Model output'!Z:Z=A31)),1)&lt;&gt;"",INDEX(_xlfn._xlws.FILTER('Model output'!D:D,('Model output'!Z:Z=A31)),1),""),1))),"",(RIGHT(IF(INDEX(_xlfn._xlws.FILTER('Model output'!D:D,('Model output'!Z:Z=A31)),1)&lt;&gt;"",INDEX(_xlfn._xlws.FILTER('Model output'!D:D,('Model output'!Z:Z=A31)),1),""),LEN(IF(INDEX(_xlfn._xlws.FILTER('Model output'!D:D,('Model output'!Z:Z=A31)),1)&lt;&gt;"",INDEX(_xlfn._xlws.FILTER('Model output'!D:D,('Model output'!Z:Z=A31)),1),""))-FIND("T",IF(INDEX(_xlfn._xlws.FILTER('Model output'!D:D,('Model output'!Z:Z=A31)),1)&lt;&gt;"",INDEX(_xlfn._xlws.FILTER('Model output'!D:D,('Model output'!Z:Z=A31)),1)))))),2)</f>
        <v>1a</v>
      </c>
      <c r="G31" s="17" t="str" cm="1">
        <f t="array" ref="G31">IF(ISNUMBER(SEARCH("N",IF(ISNUMBER(SEARCH("present",IF(INDEX(_xlfn._xlws.FILTER('Model output'!E:E,('Model output'!Z:Z=A31)),1)="","",INDEX(_xlfn._xlws.FILTER('Model output'!E:E,('Model output'!Z:Z=A31)),1)),1)),"N1", IF(INDEX(_xlfn._xlws.FILTER('Model output'!E:E,('Model output'!Z:Z=A31)),1)="","",INDEX(_xlfn._xlws.FILTER('Model output'!E:E,('Model output'!Z:Z=A31)),1))),1)),RIGHT(IF(ISNUMBER(SEARCH("present",IF(INDEX(_xlfn._xlws.FILTER('Model output'!E:E,('Model output'!Z:Z=A31)),1)="","",INDEX(_xlfn._xlws.FILTER('Model output'!E:E,('Model output'!Z:Z=A31)),1)),1)),"N1", IF(INDEX(_xlfn._xlws.FILTER('Model output'!E:E,('Model output'!Z:Z=A31)),1)="","",INDEX(_xlfn._xlws.FILTER('Model output'!E:E,('Model output'!Z:Z=A31)),1))),LEN(IF(ISNUMBER(SEARCH("present",IF(INDEX(_xlfn._xlws.FILTER('Model output'!E:E,('Model output'!Z:Z=A31)),1)="","",INDEX(_xlfn._xlws.FILTER('Model output'!E:E,('Model output'!Z:Z=A31)),1)),1)),"N1", IF(INDEX(_xlfn._xlws.FILTER('Model output'!E:E,('Model output'!Z:Z=A31)),1)="","",INDEX(_xlfn._xlws.FILTER('Model output'!E:E,('Model output'!Z:Z=A31)),1))))-FIND("N",IF(ISNUMBER(SEARCH("present",IF(INDEX(_xlfn._xlws.FILTER('Model output'!E:E,('Model output'!Z:Z=A31)),1)="","",INDEX(_xlfn._xlws.FILTER('Model output'!E:E,('Model output'!Z:Z=A31)),1)),1)),"N1", IF(INDEX(_xlfn._xlws.FILTER('Model output'!E:E,('Model output'!Z:Z=A31)),1)="","",INDEX(_xlfn._xlws.FILTER('Model output'!E:E,('Model output'!Z:Z=A31)),1))),1)), "")</f>
        <v/>
      </c>
      <c r="H31" s="17" cm="1">
        <f t="array" ref="H31">IF(AND(SUBSTITUTE(_xlfn.TEXTJOIN("/", TRUE, _xlfn._xlws.FILTER('Model output'!F:F, 'Model output'!Z:Z=A31)),"M", "")="", K31="negative"),0,IF(K31="positive",1,0))</f>
        <v>0</v>
      </c>
      <c r="I31" t="str">
        <f t="shared" si="0"/>
        <v/>
      </c>
      <c r="J31" t="str" cm="1">
        <f t="array" ref="J31">IF(AND(M31&gt;0, _xlfn.TEXTJOIN("; ", TRUE, _xlfn._xlws.FILTER('Model output'!G:G, 'Model output'!Z:Z=A31)) &lt;&gt;"", OR(AND(ISNUMBER(SEARCH("level", _xlfn.TEXTJOIN("; ", TRUE, _xlfn._xlws.FILTER('Model output'!G:G, 'Model output'!Z:Z=A31)),1)),OR(ISNUMBER(SEARCH(" II", _xlfn.TEXTJOIN("; ", TRUE, _xlfn._xlws.FILTER('Model output'!G:G, 'Model output'!Z:Z=A31)),1)),ISNUMBER(SEARCH("2", _xlfn.TEXTJOIN("; ", TRUE, _xlfn._xlws.FILTER('Model output'!G:G, 'Model output'!Z:Z=A31)),1)),ISNUMBER(SEARCH("two", _xlfn.TEXTJOIN("; ", TRUE, _xlfn._xlws.FILTER('Model output'!G:G, 'Model output'!Z:Z=A31)),1)),ISNUMBER(SEARCH("III", _xlfn.TEXTJOIN("; ", TRUE, _xlfn._xlws.FILTER('Model output'!G:G, 'Model output'!Z:Z=A31)),1)),ISNUMBER(SEARCH("3", _xlfn.TEXTJOIN("; ", TRUE, _xlfn._xlws.FILTER('Model output'!G:G, 'Model output'!Z:Z=A31)),1)),ISNUMBER(SEARCH("three", _xlfn.TEXTJOIN("; ", TRUE, _xlfn._xlws.FILTER('Model output'!G:G, 'Model output'!Z:Z=A31)),1)),ISNUMBER(SEARCH("IV", _xlfn.TEXTJOIN("; ", TRUE, _xlfn._xlws.FILTER('Model output'!G:G, 'Model output'!Z:Z=A31)),1)),ISNUMBER(SEARCH("4", _xlfn.TEXTJOIN("; ", TRUE, _xlfn._xlws.FILTER('Model output'!G:G, 'Model output'!Z:Z=A31)),1)),ISNUMBER(SEARCH("five", _xlfn.TEXTJOIN("; ", TRUE, _xlfn._xlws.FILTER('Model output'!G:G, 'Model output'!Z:Z=A31)),1)),ISNUMBER(SEARCH("V ", _xlfn.TEXTJOIN("; ", TRUE, _xlfn._xlws.FILTER('Model output'!G:G, 'Model output'!Z:Z=A31)),1)),ISNUMBER(SEARCH("5", _xlfn.TEXTJOIN("; ", TRUE, _xlfn._xlws.FILTER('Model output'!G:G, 'Model output'!Z:Z=A31)),1)),ISNUMBER(SEARCH("five", _xlfn.TEXTJOIN("; ", TRUE, _xlfn._xlws.FILTER('Model output'!G:G, 'Model output'!Z:Z=A31)),1)),ISNUMBER(SEARCH(" lateral", _xlfn.TEXTJOIN("; ", TRUE, _xlfn._xlws.FILTER('Model output'!G:G, 'Model output'!Z:Z=A31)),1)))),ISNUMBER(SEARCH("cervical", _xlfn.TEXTJOIN("; ", TRUE, _xlfn._xlws.FILTER('Model output'!G:G, 'Model output'!Z:Z=A31)),1)),ISNUMBER(SEARCH("jugular", _xlfn.TEXTJOIN("; ", TRUE, _xlfn._xlws.FILTER('Model output'!G:G, 'Model output'!Z:Z=A31)),1)),ISNUMBER(SEARCH("left neck", _xlfn.TEXTJOIN("; ", TRUE, _xlfn._xlws.FILTER('Model output'!G:G, 'Model output'!Z:Z=A31)),1)),ISNUMBER(SEARCH("left anterior neck", _xlfn.TEXTJOIN("; ", TRUE, _xlfn._xlws.FILTER('Model output'!G:G, 'Model output'!Z:Z=A31)),1)),ISNUMBER(SEARCH("left posterior neck", _xlfn.TEXTJOIN("; ", TRUE, _xlfn._xlws.FILTER('Model output'!G:G, 'Model output'!Z:Z=A31)),1)),ISNUMBER(SEARCH("right neck", _xlfn.TEXTJOIN("; ", TRUE, _xlfn._xlws.FILTER('Model output'!G:G, 'Model output'!Z:Z=A31)),1)),ISNUMBER(SEARCH("right anterior neck", _xlfn.TEXTJOIN("; ", TRUE, _xlfn._xlws.FILTER('Model output'!G:G, 'Model output'!Z:Z=A31)),1)),ISNUMBER(SEARCH("right posterior neck", _xlfn.TEXTJOIN("; ", TRUE, _xlfn._xlws.FILTER('Model output'!G:G, 'Model output'!Z:Z=A31)),1)))),"lateral",IF(AND(M31=0, _xlfn.TEXTJOIN("; ", TRUE, _xlfn._xlws.FILTER('Model output'!G:G, 'Model output'!Z:Z=A31))=""),"", "central"))</f>
        <v/>
      </c>
      <c r="K31" s="17" t="str" cm="1">
        <f t="array" ref="K31">IF(OR(ISNUMBER(SEARCH("lymph",_xlfn.TEXTJOIN("; ", TRUE, _xlfn._xlws.FILTER('Model output'!H:H, 'Model output'!Z:Z=A31)),1)), ISNUMBER(SEARCH("Not mentioned",_xlfn.TEXTJOIN("; ", TRUE, _xlfn._xlws.FILTER('Model output'!H:H, 'Model output'!Z:Z=A31)),1)),ISNUMBER(SEARCH("thyroid",_xlfn.TEXTJOIN("; ", TRUE, _xlfn._xlws.FILTER('Model output'!H:H, 'Model output'!Z:Z=A31)),1)),ISNUMBER(SEARCH("strap muscle",_xlfn.TEXTJOIN("; ", TRUE, _xlfn._xlws.FILTER('Model output'!H:H, 'Model output'!Z:Z=A31)),1)),ISNUMBER(SEARCH("subcutaneous soft tissues",_xlfn.TEXTJOIN("; ", TRUE, _xlfn._xlws.FILTER('Model output'!H:H, 'Model output'!Z:Z=A31)),1)),ISNUMBER(SEARCH("larynx",_xlfn.TEXTJOIN("; ", TRUE, _xlfn._xlws.FILTER('Model output'!H:H, 'Model output'!Z:Z=A31)),1)),ISNUMBER(SEARCH("trachea",_xlfn.TEXTJOIN("; ", TRUE, _xlfn._xlws.FILTER('Model output'!H:H, 'Model output'!Z:Z=A31)),1)),ISNUMBER(SEARCH("esophagus",_xlfn.TEXTJOIN("; ", TRUE, _xlfn._xlws.FILTER('Model output'!H:H, 'Model output'!Z:Z=A31)),1)),ISNUMBER(SEARCH("recurrent laryngeal nerve",_xlfn.TEXTJOIN("; ", TRUE, _xlfn._xlws.FILTER('Model output'!H:H, 'Model output'!Z:Z=A31)),1)),ISNUMBER(SEARCH("RLN",_xlfn.TEXTJOIN("; ", TRUE, _xlfn._xlws.FILTER('Model output'!H:H, 'Model output'!Z:Z=A31)),1)),_xlfn.TEXTJOIN("; ", TRUE, _xlfn._xlws.FILTER('Model output'!H:H, 'Model output'!Z:Z=A31))=""),"negative","positive")</f>
        <v>negative</v>
      </c>
      <c r="L31" s="17">
        <f>IF(IFERROR(INDEX('Model output'!I:I, MATCH(A31, 'Model output'!Z:Z, 0)), "") &lt; M31, "", IFERROR(INDEX('Model output'!I:I, MATCH(A31, 'Model output'!Z:Z, 0)), ""))</f>
        <v>5</v>
      </c>
      <c r="M31" s="17">
        <f>IFERROR(INDEX('Model output'!J:J, MATCH(A31, 'Model output'!Z:Z, 0)), "")</f>
        <v>0</v>
      </c>
      <c r="N31" s="18" t="str" cm="1">
        <f t="array" ref="N31">ReplaceTo(ReplaceAnd(SUBSTITUTE(SUBSTITUTE(_xlfn.TEXTJOIN("; ", TRUE, _xlfn._xlws.FILTER('Model output'!K:K, 'Model output'!Z:Z=A31)), " ", ""), ",", ";")))</f>
        <v/>
      </c>
      <c r="O31" t="str" cm="1">
        <f t="array" ref="O31">IF(LEFT(IF(RIGHT(SUBSTITUTE(FilterWithUnits(N31)&amp; ";" &amp;FilterStringsWithNumericAnd(N31) &amp; ";" &amp; FilterStringsWithX(N31), ";;", ";"),1)=";",LEFT(SUBSTITUTE(FilterWithUnits(N31)&amp; ";" &amp;FilterStringsWithNumericAnd(N31) &amp; ";" &amp; FilterStringsWithX(N31), ";;", ";"),LEN(SUBSTITUTE(FilterWithUnits(N31)&amp; ";" &amp;FilterStringsWithNumericAnd(N31) &amp; ";" &amp; FilterStringsWithX(N31), ";;", ";"))-1),SUBSTITUTE(FilterWithUnits(N31)&amp; ";" &amp;FilterStringsWithNumericAnd(N31) &amp; ";" &amp; FilterStringsWithX(N31), ";;", ";")),1)=";",RIGHT(IF(RIGHT(SUBSTITUTE(FilterWithUnits(N31)&amp; ";" &amp;FilterStringsWithNumericAnd(N31) &amp; ";" &amp; FilterStringsWithX(N31), ";;", ";"),1)=";",LEFT(SUBSTITUTE(FilterWithUnits(N31)&amp; ";" &amp;FilterStringsWithNumericAnd(N31) &amp; ";" &amp; FilterStringsWithX(N31), ";;", ";"),LEN(SUBSTITUTE(FilterWithUnits(N31)&amp; ";" &amp;FilterStringsWithNumericAnd(N31) &amp; ";" &amp; FilterStringsWithX(N31), ";;", ";"))-1),SUBSTITUTE(FilterWithUnits(N31)&amp; ";" &amp;FilterStringsWithNumericAnd(N31) &amp; ";" &amp; FilterStringsWithX(N31), ";;", ";")),LEN(IF(RIGHT(SUBSTITUTE(FilterWithUnits(N31)&amp; ";" &amp;FilterStringsWithNumericAnd(N31) &amp; ";" &amp; FilterStringsWithX(N31), ";;", ";"),1)=";",LEFT(SUBSTITUTE(FilterWithUnits(N31)&amp; ";" &amp;FilterStringsWithNumericAnd(N31) &amp; ";" &amp; FilterStringsWithX(N31), ";;", ";"),LEN(SUBSTITUTE(FilterWithUnits(N31)&amp; ";" &amp;FilterStringsWithNumericAnd(N31) &amp; ";" &amp; FilterStringsWithX(N31), ";;", ";"))-1),SUBSTITUTE(FilterWithUnits(N31)&amp; ";" &amp;FilterStringsWithNumericAnd(N31) &amp; ";" &amp; FilterStringsWithX(N31), ";;", ";")))-1),IF(RIGHT(SUBSTITUTE(FilterWithUnits(N31)&amp; ";" &amp;FilterStringsWithNumericAnd(N31) &amp; ";" &amp; FilterStringsWithX(N31), ";;", ";"),1)=";",LEFT(SUBSTITUTE(FilterWithUnits(N31)&amp; ";" &amp;FilterStringsWithNumericAnd(N31) &amp; ";" &amp; FilterStringsWithX(N31), ";;", ";"),LEN(SUBSTITUTE(FilterWithUnits(N31)&amp; ";" &amp;FilterStringsWithNumericAnd(N31) &amp; ";" &amp; FilterStringsWithX(N31), ";;", ";"))-1),SUBSTITUTE(FilterWithUnits(N31)&amp; ";" &amp;FilterStringsWithNumericAnd(N31) &amp; ";" &amp; FilterStringsWithX(N31), ";;", ";")))</f>
        <v/>
      </c>
      <c r="P31" t="str" cm="1">
        <f t="array" ref="P31">IF(MaxSize((SplitDimensions(O31)))=0, "", MaxSize((SplitDimensions(O31))))</f>
        <v/>
      </c>
      <c r="Q31" t="str" cm="1">
        <f t="array" ref="Q31">IF(ISERROR(INDEX(_xlfn._xlws.FILTER('Model output'!L:L, ('Model output'!Z:Z=A31)*('Model output'!L:L&lt;&gt;"")), 1)), " ", LOWER(INDEX(_xlfn._xlws.FILTER('Model output'!L:L, ('Model output'!Z:Z=A31)*('Model output'!L:L&lt;&gt;"")), 1)))</f>
        <v>papillary carcinoma, classic subtype</v>
      </c>
      <c r="R31" t="str" cm="1">
        <f t="array" ref="R31">IF(ISERROR(INDEX(_xlfn._xlws.FILTER('Model output'!M:M, ('Model output'!Z:Z=A31)*('Model output'!M:M&lt;&gt;"")), 1)), " ", LOWER(INDEX(_xlfn._xlws.FILTER('Model output'!M:M, ('Model output'!Z:Z=A31)*('Model output'!M:M&lt;&gt;"")), 1)))</f>
        <v xml:space="preserve"> </v>
      </c>
      <c r="S31" t="str" cm="1">
        <f t="array" ref="S31">IF(OR(ISNUMBER(SEARCH("ly",SUBSTITUTE(INDEX(_xlfn._xlws.FILTER('Model output'!N:N,('Model output'!Z:Z=A31)*('Model output'!N:N&lt;&gt;"")),1)," ",""),1)), ISNUMBER(SEARCH("pole",SUBSTITUTE(INDEX(_xlfn._xlws.FILTER('Model output'!N:N,('Model output'!Z:Z=A31)*('Model output'!N:N&lt;&gt;"")),1)," ",""),1))),"",SUBSTITUTE(INDEX(_xlfn._xlws.FILTER('Model output'!N:N,('Model output'!Z:Z=A31)*('Model output'!N:N&lt;&gt;"")),1)," ",""))</f>
        <v>7mm(microscopicaldimension)</v>
      </c>
      <c r="T31" t="str" cm="1">
        <f t="array" ref="T31">IF(LEFT(IF(RIGHT(SUBSTITUTE(FilterWithUnits(S31)&amp; ";" &amp;FilterStringsWithNumericAnd(S31) &amp; ";" &amp; FilterStringsWithX(S31), ";;", ";"),1)=";",LEFT(SUBSTITUTE(FilterWithUnits(S31)&amp; ";" &amp;FilterStringsWithNumericAnd(S31) &amp; ";" &amp; FilterStringsWithX(S31), ";;", ";"),LEN(SUBSTITUTE(FilterWithUnits(S31)&amp; ";" &amp;FilterStringsWithNumericAnd(S31) &amp; ";" &amp; FilterStringsWithX(S31), ";;", ";"))-1),SUBSTITUTE(FilterWithUnits(S31)&amp; ";" &amp;FilterStringsWithNumericAnd(S31) &amp; ";" &amp; FilterStringsWithX(S31), ";;", ";")),1)=";",RIGHT(IF(RIGHT(SUBSTITUTE(FilterWithUnits(S31)&amp; ";" &amp;FilterStringsWithNumericAnd(S31) &amp; ";" &amp; FilterStringsWithX(S31), ";;", ";"),1)=";",LEFT(SUBSTITUTE(FilterWithUnits(S31)&amp; ";" &amp;FilterStringsWithNumericAnd(S31) &amp; ";" &amp; FilterStringsWithX(S31), ";;", ";"),LEN(SUBSTITUTE(FilterWithUnits(S31)&amp; ";" &amp;FilterStringsWithNumericAnd(S31) &amp; ";" &amp; FilterStringsWithX(S31), ";;", ";"))-1),SUBSTITUTE(FilterWithUnits(S31)&amp; ";" &amp;FilterStringsWithNumericAnd(S31) &amp; ";" &amp; FilterStringsWithX(S31), ";;", ";")),LEN(IF(RIGHT(SUBSTITUTE(FilterWithUnits(S31)&amp; ";" &amp;FilterStringsWithNumericAnd(S31) &amp; ";" &amp; FilterStringsWithX(S31), ";;", ";"),1)=";",LEFT(SUBSTITUTE(FilterWithUnits(S31)&amp; ";" &amp;FilterStringsWithNumericAnd(S31) &amp; ";" &amp; FilterStringsWithX(S31), ";;", ";"),LEN(SUBSTITUTE(FilterWithUnits(S31)&amp; ";" &amp;FilterStringsWithNumericAnd(S31) &amp; ";" &amp; FilterStringsWithX(S31), ";;", ";"))-1),SUBSTITUTE(FilterWithUnits(S31)&amp; ";" &amp;FilterStringsWithNumericAnd(S31) &amp; ";" &amp; FilterStringsWithX(S31), ";;", ";")))-1),IF(RIGHT(SUBSTITUTE(FilterWithUnits(S31)&amp; ";" &amp;FilterStringsWithNumericAnd(S31) &amp; ";" &amp; FilterStringsWithX(S31), ";;", ";"),1)=";",LEFT(SUBSTITUTE(FilterWithUnits(S31)&amp; ";" &amp;FilterStringsWithNumericAnd(S31) &amp; ";" &amp; FilterStringsWithX(S31), ";;", ";"),LEN(SUBSTITUTE(FilterWithUnits(S31)&amp; ";" &amp;FilterStringsWithNumericAnd(S31) &amp; ";" &amp; FilterStringsWithX(S31), ";;", ";"))-1),SUBSTITUTE(FilterWithUnits(S31)&amp; ";" &amp;FilterStringsWithNumericAnd(S31) &amp; ";" &amp; FilterStringsWithX(S31), ";;", ";")))</f>
        <v>7mm</v>
      </c>
      <c r="U31" cm="1">
        <f t="array" ref="U31">IF(MaxSize((SplitDimensions(T31)))=0, "", MaxSize((SplitDimensions(T31))))</f>
        <v>0.7</v>
      </c>
      <c r="V31" s="17" t="str" cm="1">
        <f t="array" ref="V31">IF(ISERROR(INDEX(_xlfn._xlws.FILTER('Model output'!P:P,('Model output'!Z:Z=A31)*('Model output'!P:P&lt;&gt;"")),1)),"negative",IF(OR(ISNUMBER(SEARCH("foc",INDEX(_xlfn._xlws.FILTER('Model output'!P:P,('Model output'!Z:Z=A31)*('Model output'!P:P&lt;&gt;"")),1),1)),ISNUMBER(SEARCH("extensive",INDEX(_xlfn._xlws.FILTER('Model output'!P:P,('Model output'!Z:Z=A31)*('Model output'!P:P&lt;&gt;"")),1),1)),ISNUMBER(SEARCH("present",INDEX(_xlfn._xlws.FILTER('Model output'!P:P,('Model output'!Z:Z=A31)*('Model output'!P:P&lt;&gt;"")),1),1)),ISNUMBER(SEARCH("yes",INDEX(_xlfn._xlws.FILTER('Model output'!P:P,('Model output'!Z:Z=A31)*('Model output'!P:P&lt;&gt;"")),1),1))),"positive","negative"))</f>
        <v>negative</v>
      </c>
      <c r="X31" t="str" cm="1">
        <f t="array" ref="X31">IF(ISNUMBER(SEARCH("4",INDEX(_xlfn._xlws.FILTER('Model output'!P:P,('Model output'!Z:Z=A31)*('Model output'!P:P&lt;&gt;"")),1),1)),INDEX(_xlfn._xlws.FILTER('Model output'!P:P,('Model output'!Z:Z=A31)*('Model output'!P:P&lt;&gt;"")),1),"") &amp; _xlfn.TEXTJOIN("",TRUE,_xlfn._xlws.FILTER('Model output'!Q:Q,'Model output'!Z:Z=A31))</f>
        <v/>
      </c>
      <c r="Y31" t="str">
        <f t="shared" si="11"/>
        <v>no</v>
      </c>
      <c r="Z31" t="str" cm="1">
        <f t="array" ref="Z31">IF(OR(ISNUMBER(SEARCH("focal",_xlfn.TEXTJOIN("; ",TRUE,_xlfn._xlws.FILTER('Model output'!R:R,'Model output'!Z:Z=A31)),1)),ISNUMBER(SEARCH("present",_xlfn.TEXTJOIN("; ",TRUE,_xlfn._xlws.FILTER('Model output'!R:R,'Model output'!Z:Z=A31)),1))),"positive",IF(_xlfn.TEXTJOIN("; ",TRUE,_xlfn._xlws.FILTER('Model output'!R:R,'Model output'!Z:Z=A31))="","negative",IF(OR(ISNUMBER(SEARCH("no",_xlfn.TEXTJOIN("; ",TRUE,_xlfn._xlws.FILTER('Model output'!R:R,'Model output'!Z:Z=A31)),1)),ISNUMBER(SEARCH("absent",_xlfn.TEXTJOIN("; ",TRUE,_xlfn._xlws.FILTER('Model output'!R:R,'Model output'!Z:Z=A31)),1))),"negative","positive")))</f>
        <v>negative</v>
      </c>
      <c r="AA31" s="17" t="str">
        <f t="shared" si="15"/>
        <v>negative</v>
      </c>
      <c r="AE31" s="17" t="str">
        <f t="shared" si="12"/>
        <v>negative</v>
      </c>
      <c r="AF31" t="str" cm="1">
        <f t="array" ref="AF31">_xlfn.TEXTJOIN("; ",TRUE,_xlfn._xlws.FILTER('Model output'!S:S,'Model output'!Z:Z=A31))</f>
        <v>Not identified</v>
      </c>
      <c r="AG31" s="17" t="str" cm="1">
        <f t="array" ref="AG31">IF(OR(ISNUMBER(SEARCH("uninvolved",_xlfn.TEXTJOIN("; ",TRUE,_xlfn._xlws.FILTER('Model output'!V:V,'Model output'!Z:Z=A31)),1)),ISNUMBER(SEARCH("clear",_xlfn.TEXTJOIN("; ",TRUE,_xlfn._xlws.FILTER('Model output'!V:V,'Model output'!Z:Z=A31)),1))*ISNUMBER(SEARCH("not mentioned",_xlfn.TEXTJOIN("; ",TRUE,_xlfn._xlws.FILTER('Model output'!V:V,'Model output'!Z:Z=A31)),1))),"negative",IF(ISNUMBER(SEARCH("cannot be assessed",_xlfn.TEXTJOIN("; ",TRUE,_xlfn._xlws.FILTER('Model output'!V:V,'Model output'!Z:Z=A31)),1)),"unknown","negative"))</f>
        <v>negative</v>
      </c>
      <c r="AI31" s="45" t="str">
        <f t="shared" si="13"/>
        <v>low</v>
      </c>
      <c r="AJ31" s="41" t="str">
        <f t="shared" si="14"/>
        <v>1a</v>
      </c>
      <c r="AK31" s="41">
        <f t="shared" si="3"/>
        <v>0</v>
      </c>
      <c r="AL31" s="41">
        <f t="shared" si="4"/>
        <v>0</v>
      </c>
      <c r="AM31" s="41" t="str">
        <f t="shared" si="5"/>
        <v>I</v>
      </c>
      <c r="AN31" s="42" t="s">
        <v>166</v>
      </c>
      <c r="AO31" s="43" t="s">
        <v>205</v>
      </c>
      <c r="AP31" s="43" t="s">
        <v>204</v>
      </c>
      <c r="AQ31" s="43">
        <v>0</v>
      </c>
      <c r="AR31" s="43" t="s">
        <v>31</v>
      </c>
      <c r="AS31" s="42">
        <f t="shared" si="6"/>
        <v>1</v>
      </c>
      <c r="AT31" s="43">
        <f t="shared" si="7"/>
        <v>1</v>
      </c>
      <c r="AU31" s="43">
        <f t="shared" si="8"/>
        <v>1</v>
      </c>
      <c r="AV31" s="43">
        <f t="shared" si="9"/>
        <v>1</v>
      </c>
      <c r="AW31" s="44">
        <f t="shared" si="10"/>
        <v>1</v>
      </c>
    </row>
    <row r="32" spans="1:49">
      <c r="A32" s="13">
        <v>30</v>
      </c>
      <c r="B32" s="16">
        <f>_xlfn.MAXIFS('Model output'!B:B,'Model output'!Z:Z,'Classification result'!$A32)</f>
        <v>0</v>
      </c>
      <c r="C32" s="16"/>
      <c r="D32" s="16"/>
      <c r="E32" s="17">
        <f>_xlfn.MAXIFS('Model output'!C:C,'Model output'!Z:Z,'Classification result'!$A32)</f>
        <v>39</v>
      </c>
      <c r="F32" s="17" t="str" cm="1">
        <f t="array" ref="F32">LEFT(IF(ISERROR(RIGHT(IF(INDEX(_xlfn._xlws.FILTER('Model output'!D:D,('Model output'!Z:Z=A32)),1)&lt;&gt;"",INDEX(_xlfn._xlws.FILTER('Model output'!D:D,('Model output'!Z:Z=A32)),1),""),LEN(IF(INDEX(_xlfn._xlws.FILTER('Model output'!D:D,('Model output'!Z:Z=A32)),1)&lt;&gt;"",INDEX(_xlfn._xlws.FILTER('Model output'!D:D,('Model output'!Z:Z=A32)),1),""))-FIND("T",IF(INDEX(_xlfn._xlws.FILTER('Model output'!D:D,('Model output'!Z:Z=A32)),1)&lt;&gt;"",INDEX(_xlfn._xlws.FILTER('Model output'!D:D,('Model output'!Z:Z=A32)),1),""),1))),"",(RIGHT(IF(INDEX(_xlfn._xlws.FILTER('Model output'!D:D,('Model output'!Z:Z=A32)),1)&lt;&gt;"",INDEX(_xlfn._xlws.FILTER('Model output'!D:D,('Model output'!Z:Z=A32)),1),""),LEN(IF(INDEX(_xlfn._xlws.FILTER('Model output'!D:D,('Model output'!Z:Z=A32)),1)&lt;&gt;"",INDEX(_xlfn._xlws.FILTER('Model output'!D:D,('Model output'!Z:Z=A32)),1),""))-FIND("T",IF(INDEX(_xlfn._xlws.FILTER('Model output'!D:D,('Model output'!Z:Z=A32)),1)&lt;&gt;"",INDEX(_xlfn._xlws.FILTER('Model output'!D:D,('Model output'!Z:Z=A32)),1)))))),2)</f>
        <v>1b</v>
      </c>
      <c r="G32" s="17" t="str" cm="1">
        <f t="array" ref="G32">IF(ISNUMBER(SEARCH("N",IF(ISNUMBER(SEARCH("present",IF(INDEX(_xlfn._xlws.FILTER('Model output'!E:E,('Model output'!Z:Z=A32)),1)="","",INDEX(_xlfn._xlws.FILTER('Model output'!E:E,('Model output'!Z:Z=A32)),1)),1)),"N1", IF(INDEX(_xlfn._xlws.FILTER('Model output'!E:E,('Model output'!Z:Z=A32)),1)="","",INDEX(_xlfn._xlws.FILTER('Model output'!E:E,('Model output'!Z:Z=A32)),1))),1)),RIGHT(IF(ISNUMBER(SEARCH("present",IF(INDEX(_xlfn._xlws.FILTER('Model output'!E:E,('Model output'!Z:Z=A32)),1)="","",INDEX(_xlfn._xlws.FILTER('Model output'!E:E,('Model output'!Z:Z=A32)),1)),1)),"N1", IF(INDEX(_xlfn._xlws.FILTER('Model output'!E:E,('Model output'!Z:Z=A32)),1)="","",INDEX(_xlfn._xlws.FILTER('Model output'!E:E,('Model output'!Z:Z=A32)),1))),LEN(IF(ISNUMBER(SEARCH("present",IF(INDEX(_xlfn._xlws.FILTER('Model output'!E:E,('Model output'!Z:Z=A32)),1)="","",INDEX(_xlfn._xlws.FILTER('Model output'!E:E,('Model output'!Z:Z=A32)),1)),1)),"N1", IF(INDEX(_xlfn._xlws.FILTER('Model output'!E:E,('Model output'!Z:Z=A32)),1)="","",INDEX(_xlfn._xlws.FILTER('Model output'!E:E,('Model output'!Z:Z=A32)),1))))-FIND("N",IF(ISNUMBER(SEARCH("present",IF(INDEX(_xlfn._xlws.FILTER('Model output'!E:E,('Model output'!Z:Z=A32)),1)="","",INDEX(_xlfn._xlws.FILTER('Model output'!E:E,('Model output'!Z:Z=A32)),1)),1)),"N1", IF(INDEX(_xlfn._xlws.FILTER('Model output'!E:E,('Model output'!Z:Z=A32)),1)="","",INDEX(_xlfn._xlws.FILTER('Model output'!E:E,('Model output'!Z:Z=A32)),1))),1)), "")</f>
        <v/>
      </c>
      <c r="H32" s="17" cm="1">
        <f t="array" ref="H32">IF(AND(SUBSTITUTE(_xlfn.TEXTJOIN("/", TRUE, _xlfn._xlws.FILTER('Model output'!F:F, 'Model output'!Z:Z=A32)),"M", "")="", K32="negative"),0,IF(K32="positive",1,0))</f>
        <v>0</v>
      </c>
      <c r="I32" t="str">
        <f t="shared" si="0"/>
        <v>positive</v>
      </c>
      <c r="J32" t="str" cm="1">
        <f t="array" ref="J32">IF(AND(M32&gt;0, _xlfn.TEXTJOIN("; ", TRUE, _xlfn._xlws.FILTER('Model output'!G:G, 'Model output'!Z:Z=A32)) &lt;&gt;"", OR(AND(ISNUMBER(SEARCH("level", _xlfn.TEXTJOIN("; ", TRUE, _xlfn._xlws.FILTER('Model output'!G:G, 'Model output'!Z:Z=A32)),1)),OR(ISNUMBER(SEARCH(" II", _xlfn.TEXTJOIN("; ", TRUE, _xlfn._xlws.FILTER('Model output'!G:G, 'Model output'!Z:Z=A32)),1)),ISNUMBER(SEARCH("2", _xlfn.TEXTJOIN("; ", TRUE, _xlfn._xlws.FILTER('Model output'!G:G, 'Model output'!Z:Z=A32)),1)),ISNUMBER(SEARCH("two", _xlfn.TEXTJOIN("; ", TRUE, _xlfn._xlws.FILTER('Model output'!G:G, 'Model output'!Z:Z=A32)),1)),ISNUMBER(SEARCH("III", _xlfn.TEXTJOIN("; ", TRUE, _xlfn._xlws.FILTER('Model output'!G:G, 'Model output'!Z:Z=A32)),1)),ISNUMBER(SEARCH("3", _xlfn.TEXTJOIN("; ", TRUE, _xlfn._xlws.FILTER('Model output'!G:G, 'Model output'!Z:Z=A32)),1)),ISNUMBER(SEARCH("three", _xlfn.TEXTJOIN("; ", TRUE, _xlfn._xlws.FILTER('Model output'!G:G, 'Model output'!Z:Z=A32)),1)),ISNUMBER(SEARCH("IV", _xlfn.TEXTJOIN("; ", TRUE, _xlfn._xlws.FILTER('Model output'!G:G, 'Model output'!Z:Z=A32)),1)),ISNUMBER(SEARCH("4", _xlfn.TEXTJOIN("; ", TRUE, _xlfn._xlws.FILTER('Model output'!G:G, 'Model output'!Z:Z=A32)),1)),ISNUMBER(SEARCH("five", _xlfn.TEXTJOIN("; ", TRUE, _xlfn._xlws.FILTER('Model output'!G:G, 'Model output'!Z:Z=A32)),1)),ISNUMBER(SEARCH("V ", _xlfn.TEXTJOIN("; ", TRUE, _xlfn._xlws.FILTER('Model output'!G:G, 'Model output'!Z:Z=A32)),1)),ISNUMBER(SEARCH("5", _xlfn.TEXTJOIN("; ", TRUE, _xlfn._xlws.FILTER('Model output'!G:G, 'Model output'!Z:Z=A32)),1)),ISNUMBER(SEARCH("five", _xlfn.TEXTJOIN("; ", TRUE, _xlfn._xlws.FILTER('Model output'!G:G, 'Model output'!Z:Z=A32)),1)),ISNUMBER(SEARCH(" lateral", _xlfn.TEXTJOIN("; ", TRUE, _xlfn._xlws.FILTER('Model output'!G:G, 'Model output'!Z:Z=A32)),1)))),ISNUMBER(SEARCH("cervical", _xlfn.TEXTJOIN("; ", TRUE, _xlfn._xlws.FILTER('Model output'!G:G, 'Model output'!Z:Z=A32)),1)),ISNUMBER(SEARCH("jugular", _xlfn.TEXTJOIN("; ", TRUE, _xlfn._xlws.FILTER('Model output'!G:G, 'Model output'!Z:Z=A32)),1)),ISNUMBER(SEARCH("left neck", _xlfn.TEXTJOIN("; ", TRUE, _xlfn._xlws.FILTER('Model output'!G:G, 'Model output'!Z:Z=A32)),1)),ISNUMBER(SEARCH("left anterior neck", _xlfn.TEXTJOIN("; ", TRUE, _xlfn._xlws.FILTER('Model output'!G:G, 'Model output'!Z:Z=A32)),1)),ISNUMBER(SEARCH("left posterior neck", _xlfn.TEXTJOIN("; ", TRUE, _xlfn._xlws.FILTER('Model output'!G:G, 'Model output'!Z:Z=A32)),1)),ISNUMBER(SEARCH("right neck", _xlfn.TEXTJOIN("; ", TRUE, _xlfn._xlws.FILTER('Model output'!G:G, 'Model output'!Z:Z=A32)),1)),ISNUMBER(SEARCH("right anterior neck", _xlfn.TEXTJOIN("; ", TRUE, _xlfn._xlws.FILTER('Model output'!G:G, 'Model output'!Z:Z=A32)),1)),ISNUMBER(SEARCH("right posterior neck", _xlfn.TEXTJOIN("; ", TRUE, _xlfn._xlws.FILTER('Model output'!G:G, 'Model output'!Z:Z=A32)),1)))),"lateral",IF(AND(M32=0, _xlfn.TEXTJOIN("; ", TRUE, _xlfn._xlws.FILTER('Model output'!G:G, 'Model output'!Z:Z=A32))=""),"", "central"))</f>
        <v>lateral</v>
      </c>
      <c r="K32" s="17" t="str" cm="1">
        <f t="array" ref="K32">IF(OR(ISNUMBER(SEARCH("lymph",_xlfn.TEXTJOIN("; ", TRUE, _xlfn._xlws.FILTER('Model output'!H:H, 'Model output'!Z:Z=A32)),1)), ISNUMBER(SEARCH("Not mentioned",_xlfn.TEXTJOIN("; ", TRUE, _xlfn._xlws.FILTER('Model output'!H:H, 'Model output'!Z:Z=A32)),1)),ISNUMBER(SEARCH("thyroid",_xlfn.TEXTJOIN("; ", TRUE, _xlfn._xlws.FILTER('Model output'!H:H, 'Model output'!Z:Z=A32)),1)),ISNUMBER(SEARCH("strap muscle",_xlfn.TEXTJOIN("; ", TRUE, _xlfn._xlws.FILTER('Model output'!H:H, 'Model output'!Z:Z=A32)),1)),ISNUMBER(SEARCH("subcutaneous soft tissues",_xlfn.TEXTJOIN("; ", TRUE, _xlfn._xlws.FILTER('Model output'!H:H, 'Model output'!Z:Z=A32)),1)),ISNUMBER(SEARCH("larynx",_xlfn.TEXTJOIN("; ", TRUE, _xlfn._xlws.FILTER('Model output'!H:H, 'Model output'!Z:Z=A32)),1)),ISNUMBER(SEARCH("trachea",_xlfn.TEXTJOIN("; ", TRUE, _xlfn._xlws.FILTER('Model output'!H:H, 'Model output'!Z:Z=A32)),1)),ISNUMBER(SEARCH("esophagus",_xlfn.TEXTJOIN("; ", TRUE, _xlfn._xlws.FILTER('Model output'!H:H, 'Model output'!Z:Z=A32)),1)),ISNUMBER(SEARCH("recurrent laryngeal nerve",_xlfn.TEXTJOIN("; ", TRUE, _xlfn._xlws.FILTER('Model output'!H:H, 'Model output'!Z:Z=A32)),1)),ISNUMBER(SEARCH("RLN",_xlfn.TEXTJOIN("; ", TRUE, _xlfn._xlws.FILTER('Model output'!H:H, 'Model output'!Z:Z=A32)),1)),_xlfn.TEXTJOIN("; ", TRUE, _xlfn._xlws.FILTER('Model output'!H:H, 'Model output'!Z:Z=A32))=""),"negative","positive")</f>
        <v>negative</v>
      </c>
      <c r="L32" s="17">
        <f>IF(IFERROR(INDEX('Model output'!I:I, MATCH(A32, 'Model output'!Z:Z, 0)), "") &lt; M32, "", IFERROR(INDEX('Model output'!I:I, MATCH(A32, 'Model output'!Z:Z, 0)), ""))</f>
        <v>24</v>
      </c>
      <c r="M32" s="17">
        <f>IFERROR(INDEX('Model output'!J:J, MATCH(A32, 'Model output'!Z:Z, 0)), "")</f>
        <v>3</v>
      </c>
      <c r="N32" s="18" t="str" cm="1">
        <f t="array" ref="N32">ReplaceTo(ReplaceAnd(SUBSTITUTE(SUBSTITUTE(_xlfn.TEXTJOIN("; ", TRUE, _xlfn._xlws.FILTER('Model output'!K:K, 'Model output'!Z:Z=A32)), " ", ""), ",", ";")))</f>
        <v>4.5mm</v>
      </c>
      <c r="O32" t="str" cm="1">
        <f t="array" ref="O32">IF(LEFT(IF(RIGHT(SUBSTITUTE(FilterWithUnits(N32)&amp; ";" &amp;FilterStringsWithNumericAnd(N32) &amp; ";" &amp; FilterStringsWithX(N32), ";;", ";"),1)=";",LEFT(SUBSTITUTE(FilterWithUnits(N32)&amp; ";" &amp;FilterStringsWithNumericAnd(N32) &amp; ";" &amp; FilterStringsWithX(N32), ";;", ";"),LEN(SUBSTITUTE(FilterWithUnits(N32)&amp; ";" &amp;FilterStringsWithNumericAnd(N32) &amp; ";" &amp; FilterStringsWithX(N32), ";;", ";"))-1),SUBSTITUTE(FilterWithUnits(N32)&amp; ";" &amp;FilterStringsWithNumericAnd(N32) &amp; ";" &amp; FilterStringsWithX(N32), ";;", ";")),1)=";",RIGHT(IF(RIGHT(SUBSTITUTE(FilterWithUnits(N32)&amp; ";" &amp;FilterStringsWithNumericAnd(N32) &amp; ";" &amp; FilterStringsWithX(N32), ";;", ";"),1)=";",LEFT(SUBSTITUTE(FilterWithUnits(N32)&amp; ";" &amp;FilterStringsWithNumericAnd(N32) &amp; ";" &amp; FilterStringsWithX(N32), ";;", ";"),LEN(SUBSTITUTE(FilterWithUnits(N32)&amp; ";" &amp;FilterStringsWithNumericAnd(N32) &amp; ";" &amp; FilterStringsWithX(N32), ";;", ";"))-1),SUBSTITUTE(FilterWithUnits(N32)&amp; ";" &amp;FilterStringsWithNumericAnd(N32) &amp; ";" &amp; FilterStringsWithX(N32), ";;", ";")),LEN(IF(RIGHT(SUBSTITUTE(FilterWithUnits(N32)&amp; ";" &amp;FilterStringsWithNumericAnd(N32) &amp; ";" &amp; FilterStringsWithX(N32), ";;", ";"),1)=";",LEFT(SUBSTITUTE(FilterWithUnits(N32)&amp; ";" &amp;FilterStringsWithNumericAnd(N32) &amp; ";" &amp; FilterStringsWithX(N32), ";;", ";"),LEN(SUBSTITUTE(FilterWithUnits(N32)&amp; ";" &amp;FilterStringsWithNumericAnd(N32) &amp; ";" &amp; FilterStringsWithX(N32), ";;", ";"))-1),SUBSTITUTE(FilterWithUnits(N32)&amp; ";" &amp;FilterStringsWithNumericAnd(N32) &amp; ";" &amp; FilterStringsWithX(N32), ";;", ";")))-1),IF(RIGHT(SUBSTITUTE(FilterWithUnits(N32)&amp; ";" &amp;FilterStringsWithNumericAnd(N32) &amp; ";" &amp; FilterStringsWithX(N32), ";;", ";"),1)=";",LEFT(SUBSTITUTE(FilterWithUnits(N32)&amp; ";" &amp;FilterStringsWithNumericAnd(N32) &amp; ";" &amp; FilterStringsWithX(N32), ";;", ";"),LEN(SUBSTITUTE(FilterWithUnits(N32)&amp; ";" &amp;FilterStringsWithNumericAnd(N32) &amp; ";" &amp; FilterStringsWithX(N32), ";;", ";"))-1),SUBSTITUTE(FilterWithUnits(N32)&amp; ";" &amp;FilterStringsWithNumericAnd(N32) &amp; ";" &amp; FilterStringsWithX(N32), ";;", ";")))</f>
        <v>4.5mm</v>
      </c>
      <c r="P32" cm="1">
        <f t="array" ref="P32">IF(MaxSize((SplitDimensions(O32)))=0, "", MaxSize((SplitDimensions(O32))))</f>
        <v>0.45</v>
      </c>
      <c r="Q32" t="str" cm="1">
        <f t="array" ref="Q32">IF(ISERROR(INDEX(_xlfn._xlws.FILTER('Model output'!L:L, ('Model output'!Z:Z=A32)*('Model output'!L:L&lt;&gt;"")), 1)), " ", LOWER(INDEX(_xlfn._xlws.FILTER('Model output'!L:L, ('Model output'!Z:Z=A32)*('Model output'!L:L&lt;&gt;"")), 1)))</f>
        <v>papillary carcinoma</v>
      </c>
      <c r="R32" t="str" cm="1">
        <f t="array" ref="R32">IF(ISERROR(INDEX(_xlfn._xlws.FILTER('Model output'!M:M, ('Model output'!Z:Z=A32)*('Model output'!M:M&lt;&gt;"")), 1)), " ", LOWER(INDEX(_xlfn._xlws.FILTER('Model output'!M:M, ('Model output'!Z:Z=A32)*('Model output'!M:M&lt;&gt;"")), 1)))</f>
        <v>infiltrative follicular</v>
      </c>
      <c r="S32" t="str" cm="1">
        <f t="array" ref="S32">IF(OR(ISNUMBER(SEARCH("ly",SUBSTITUTE(INDEX(_xlfn._xlws.FILTER('Model output'!N:N,('Model output'!Z:Z=A32)*('Model output'!N:N&lt;&gt;"")),1)," ",""),1)), ISNUMBER(SEARCH("pole",SUBSTITUTE(INDEX(_xlfn._xlws.FILTER('Model output'!N:N,('Model output'!Z:Z=A32)*('Model output'!N:N&lt;&gt;"")),1)," ",""),1))),"",SUBSTITUTE(INDEX(_xlfn._xlws.FILTER('Model output'!N:N,('Model output'!Z:Z=A32)*('Model output'!N:N&lt;&gt;"")),1)," ",""))</f>
        <v>12mm</v>
      </c>
      <c r="T32" t="str" cm="1">
        <f t="array" ref="T32">IF(LEFT(IF(RIGHT(SUBSTITUTE(FilterWithUnits(S32)&amp; ";" &amp;FilterStringsWithNumericAnd(S32) &amp; ";" &amp; FilterStringsWithX(S32), ";;", ";"),1)=";",LEFT(SUBSTITUTE(FilterWithUnits(S32)&amp; ";" &amp;FilterStringsWithNumericAnd(S32) &amp; ";" &amp; FilterStringsWithX(S32), ";;", ";"),LEN(SUBSTITUTE(FilterWithUnits(S32)&amp; ";" &amp;FilterStringsWithNumericAnd(S32) &amp; ";" &amp; FilterStringsWithX(S32), ";;", ";"))-1),SUBSTITUTE(FilterWithUnits(S32)&amp; ";" &amp;FilterStringsWithNumericAnd(S32) &amp; ";" &amp; FilterStringsWithX(S32), ";;", ";")),1)=";",RIGHT(IF(RIGHT(SUBSTITUTE(FilterWithUnits(S32)&amp; ";" &amp;FilterStringsWithNumericAnd(S32) &amp; ";" &amp; FilterStringsWithX(S32), ";;", ";"),1)=";",LEFT(SUBSTITUTE(FilterWithUnits(S32)&amp; ";" &amp;FilterStringsWithNumericAnd(S32) &amp; ";" &amp; FilterStringsWithX(S32), ";;", ";"),LEN(SUBSTITUTE(FilterWithUnits(S32)&amp; ";" &amp;FilterStringsWithNumericAnd(S32) &amp; ";" &amp; FilterStringsWithX(S32), ";;", ";"))-1),SUBSTITUTE(FilterWithUnits(S32)&amp; ";" &amp;FilterStringsWithNumericAnd(S32) &amp; ";" &amp; FilterStringsWithX(S32), ";;", ";")),LEN(IF(RIGHT(SUBSTITUTE(FilterWithUnits(S32)&amp; ";" &amp;FilterStringsWithNumericAnd(S32) &amp; ";" &amp; FilterStringsWithX(S32), ";;", ";"),1)=";",LEFT(SUBSTITUTE(FilterWithUnits(S32)&amp; ";" &amp;FilterStringsWithNumericAnd(S32) &amp; ";" &amp; FilterStringsWithX(S32), ";;", ";"),LEN(SUBSTITUTE(FilterWithUnits(S32)&amp; ";" &amp;FilterStringsWithNumericAnd(S32) &amp; ";" &amp; FilterStringsWithX(S32), ";;", ";"))-1),SUBSTITUTE(FilterWithUnits(S32)&amp; ";" &amp;FilterStringsWithNumericAnd(S32) &amp; ";" &amp; FilterStringsWithX(S32), ";;", ";")))-1),IF(RIGHT(SUBSTITUTE(FilterWithUnits(S32)&amp; ";" &amp;FilterStringsWithNumericAnd(S32) &amp; ";" &amp; FilterStringsWithX(S32), ";;", ";"),1)=";",LEFT(SUBSTITUTE(FilterWithUnits(S32)&amp; ";" &amp;FilterStringsWithNumericAnd(S32) &amp; ";" &amp; FilterStringsWithX(S32), ";;", ";"),LEN(SUBSTITUTE(FilterWithUnits(S32)&amp; ";" &amp;FilterStringsWithNumericAnd(S32) &amp; ";" &amp; FilterStringsWithX(S32), ";;", ";"))-1),SUBSTITUTE(FilterWithUnits(S32)&amp; ";" &amp;FilterStringsWithNumericAnd(S32) &amp; ";" &amp; FilterStringsWithX(S32), ";;", ";")))</f>
        <v>12mm</v>
      </c>
      <c r="U32" cm="1">
        <f t="array" ref="U32">IF(MaxSize((SplitDimensions(T32)))=0, "", MaxSize((SplitDimensions(T32))))</f>
        <v>1.2</v>
      </c>
      <c r="V32" s="17" t="str" cm="1">
        <f t="array" ref="V32">IF(ISERROR(INDEX(_xlfn._xlws.FILTER('Model output'!P:P,('Model output'!Z:Z=A32)*('Model output'!P:P&lt;&gt;"")),1)),"negative",IF(OR(ISNUMBER(SEARCH("foc",INDEX(_xlfn._xlws.FILTER('Model output'!P:P,('Model output'!Z:Z=A32)*('Model output'!P:P&lt;&gt;"")),1),1)),ISNUMBER(SEARCH("extensive",INDEX(_xlfn._xlws.FILTER('Model output'!P:P,('Model output'!Z:Z=A32)*('Model output'!P:P&lt;&gt;"")),1),1)),ISNUMBER(SEARCH("present",INDEX(_xlfn._xlws.FILTER('Model output'!P:P,('Model output'!Z:Z=A32)*('Model output'!P:P&lt;&gt;"")),1),1)),ISNUMBER(SEARCH("yes",INDEX(_xlfn._xlws.FILTER('Model output'!P:P,('Model output'!Z:Z=A32)*('Model output'!P:P&lt;&gt;"")),1),1))),"positive","negative"))</f>
        <v>positive</v>
      </c>
      <c r="X32" t="str" cm="1">
        <f t="array" ref="X32">IF(ISNUMBER(SEARCH("4",INDEX(_xlfn._xlws.FILTER('Model output'!P:P,('Model output'!Z:Z=A32)*('Model output'!P:P&lt;&gt;"")),1),1)),INDEX(_xlfn._xlws.FILTER('Model output'!P:P,('Model output'!Z:Z=A32)*('Model output'!P:P&lt;&gt;"")),1),"") &amp; _xlfn.TEXTJOIN("",TRUE,_xlfn._xlws.FILTER('Model output'!Q:Q,'Model output'!Z:Z=A32))</f>
        <v/>
      </c>
      <c r="Y32" t="str">
        <f t="shared" si="11"/>
        <v>minimal</v>
      </c>
      <c r="Z32" t="str" cm="1">
        <f t="array" ref="Z32">IF(OR(ISNUMBER(SEARCH("focal",_xlfn.TEXTJOIN("; ",TRUE,_xlfn._xlws.FILTER('Model output'!R:R,'Model output'!Z:Z=A32)),1)),ISNUMBER(SEARCH("present",_xlfn.TEXTJOIN("; ",TRUE,_xlfn._xlws.FILTER('Model output'!R:R,'Model output'!Z:Z=A32)),1))),"positive",IF(_xlfn.TEXTJOIN("; ",TRUE,_xlfn._xlws.FILTER('Model output'!R:R,'Model output'!Z:Z=A32))="","negative",IF(OR(ISNUMBER(SEARCH("no",_xlfn.TEXTJOIN("; ",TRUE,_xlfn._xlws.FILTER('Model output'!R:R,'Model output'!Z:Z=A32)),1)),ISNUMBER(SEARCH("absent",_xlfn.TEXTJOIN("; ",TRUE,_xlfn._xlws.FILTER('Model output'!R:R,'Model output'!Z:Z=A32)),1))),"negative","positive")))</f>
        <v>negative</v>
      </c>
      <c r="AA32" s="17" t="str">
        <f t="shared" si="15"/>
        <v>negative</v>
      </c>
      <c r="AE32" s="17" t="str">
        <f t="shared" si="12"/>
        <v>negative</v>
      </c>
      <c r="AF32" t="str" cm="1">
        <f t="array" ref="AF32">_xlfn.TEXTJOIN("; ",TRUE,_xlfn._xlws.FILTER('Model output'!S:S,'Model output'!Z:Z=A32))</f>
        <v>Not identified</v>
      </c>
      <c r="AG32" s="17" t="str" cm="1">
        <f t="array" ref="AG32">IF(OR(ISNUMBER(SEARCH("uninvolved",_xlfn.TEXTJOIN("; ",TRUE,_xlfn._xlws.FILTER('Model output'!V:V,'Model output'!Z:Z=A32)),1)),ISNUMBER(SEARCH("clear",_xlfn.TEXTJOIN("; ",TRUE,_xlfn._xlws.FILTER('Model output'!V:V,'Model output'!Z:Z=A32)),1))*ISNUMBER(SEARCH("not mentioned",_xlfn.TEXTJOIN("; ",TRUE,_xlfn._xlws.FILTER('Model output'!V:V,'Model output'!Z:Z=A32)),1))),"negative",IF(ISNUMBER(SEARCH("cannot be assessed",_xlfn.TEXTJOIN("; ",TRUE,_xlfn._xlws.FILTER('Model output'!V:V,'Model output'!Z:Z=A32)),1)),"unknown","negative"))</f>
        <v>negative</v>
      </c>
      <c r="AI32" s="45" t="str">
        <f t="shared" si="13"/>
        <v>intermediate</v>
      </c>
      <c r="AJ32" s="41" t="str">
        <f t="shared" si="14"/>
        <v>1b</v>
      </c>
      <c r="AK32" s="41" t="str">
        <f t="shared" si="3"/>
        <v>1b</v>
      </c>
      <c r="AL32" s="41">
        <f t="shared" si="4"/>
        <v>0</v>
      </c>
      <c r="AM32" s="41" t="str">
        <f t="shared" si="5"/>
        <v>I</v>
      </c>
      <c r="AN32" s="42" t="s">
        <v>164</v>
      </c>
      <c r="AO32" s="43" t="s">
        <v>203</v>
      </c>
      <c r="AP32" s="43" t="s">
        <v>203</v>
      </c>
      <c r="AQ32" s="43">
        <v>0</v>
      </c>
      <c r="AR32" s="43" t="s">
        <v>31</v>
      </c>
      <c r="AS32" s="42">
        <f t="shared" si="6"/>
        <v>1</v>
      </c>
      <c r="AT32" s="43">
        <f t="shared" si="7"/>
        <v>1</v>
      </c>
      <c r="AU32" s="43">
        <f t="shared" si="8"/>
        <v>1</v>
      </c>
      <c r="AV32" s="43">
        <f t="shared" si="9"/>
        <v>1</v>
      </c>
      <c r="AW32" s="44">
        <f t="shared" si="10"/>
        <v>1</v>
      </c>
    </row>
    <row r="33" spans="1:50">
      <c r="A33" s="13">
        <v>31</v>
      </c>
      <c r="B33" s="16">
        <f>_xlfn.MAXIFS('Model output'!B:B,'Model output'!Z:Z,'Classification result'!$A33)</f>
        <v>43304</v>
      </c>
      <c r="C33" s="16"/>
      <c r="D33" s="16"/>
      <c r="E33" s="17">
        <f>_xlfn.MAXIFS('Model output'!C:C,'Model output'!Z:Z,'Classification result'!$A33)</f>
        <v>60</v>
      </c>
      <c r="F33" s="17" t="str" cm="1">
        <f t="array" ref="F33">LEFT(IF(ISERROR(RIGHT(IF(INDEX(_xlfn._xlws.FILTER('Model output'!D:D,('Model output'!Z:Z=A33)),1)&lt;&gt;"",INDEX(_xlfn._xlws.FILTER('Model output'!D:D,('Model output'!Z:Z=A33)),1),""),LEN(IF(INDEX(_xlfn._xlws.FILTER('Model output'!D:D,('Model output'!Z:Z=A33)),1)&lt;&gt;"",INDEX(_xlfn._xlws.FILTER('Model output'!D:D,('Model output'!Z:Z=A33)),1),""))-FIND("T",IF(INDEX(_xlfn._xlws.FILTER('Model output'!D:D,('Model output'!Z:Z=A33)),1)&lt;&gt;"",INDEX(_xlfn._xlws.FILTER('Model output'!D:D,('Model output'!Z:Z=A33)),1),""),1))),"",(RIGHT(IF(INDEX(_xlfn._xlws.FILTER('Model output'!D:D,('Model output'!Z:Z=A33)),1)&lt;&gt;"",INDEX(_xlfn._xlws.FILTER('Model output'!D:D,('Model output'!Z:Z=A33)),1),""),LEN(IF(INDEX(_xlfn._xlws.FILTER('Model output'!D:D,('Model output'!Z:Z=A33)),1)&lt;&gt;"",INDEX(_xlfn._xlws.FILTER('Model output'!D:D,('Model output'!Z:Z=A33)),1),""))-FIND("T",IF(INDEX(_xlfn._xlws.FILTER('Model output'!D:D,('Model output'!Z:Z=A33)),1)&lt;&gt;"",INDEX(_xlfn._xlws.FILTER('Model output'!D:D,('Model output'!Z:Z=A33)),1)))))),2)</f>
        <v/>
      </c>
      <c r="G33" s="17" t="str" cm="1">
        <f t="array" ref="G33">IF(ISNUMBER(SEARCH("N",IF(ISNUMBER(SEARCH("present",IF(INDEX(_xlfn._xlws.FILTER('Model output'!E:E,('Model output'!Z:Z=A33)),1)="","",INDEX(_xlfn._xlws.FILTER('Model output'!E:E,('Model output'!Z:Z=A33)),1)),1)),"N1", IF(INDEX(_xlfn._xlws.FILTER('Model output'!E:E,('Model output'!Z:Z=A33)),1)="","",INDEX(_xlfn._xlws.FILTER('Model output'!E:E,('Model output'!Z:Z=A33)),1))),1)),RIGHT(IF(ISNUMBER(SEARCH("present",IF(INDEX(_xlfn._xlws.FILTER('Model output'!E:E,('Model output'!Z:Z=A33)),1)="","",INDEX(_xlfn._xlws.FILTER('Model output'!E:E,('Model output'!Z:Z=A33)),1)),1)),"N1", IF(INDEX(_xlfn._xlws.FILTER('Model output'!E:E,('Model output'!Z:Z=A33)),1)="","",INDEX(_xlfn._xlws.FILTER('Model output'!E:E,('Model output'!Z:Z=A33)),1))),LEN(IF(ISNUMBER(SEARCH("present",IF(INDEX(_xlfn._xlws.FILTER('Model output'!E:E,('Model output'!Z:Z=A33)),1)="","",INDEX(_xlfn._xlws.FILTER('Model output'!E:E,('Model output'!Z:Z=A33)),1)),1)),"N1", IF(INDEX(_xlfn._xlws.FILTER('Model output'!E:E,('Model output'!Z:Z=A33)),1)="","",INDEX(_xlfn._xlws.FILTER('Model output'!E:E,('Model output'!Z:Z=A33)),1))))-FIND("N",IF(ISNUMBER(SEARCH("present",IF(INDEX(_xlfn._xlws.FILTER('Model output'!E:E,('Model output'!Z:Z=A33)),1)="","",INDEX(_xlfn._xlws.FILTER('Model output'!E:E,('Model output'!Z:Z=A33)),1)),1)),"N1", IF(INDEX(_xlfn._xlws.FILTER('Model output'!E:E,('Model output'!Z:Z=A33)),1)="","",INDEX(_xlfn._xlws.FILTER('Model output'!E:E,('Model output'!Z:Z=A33)),1))),1)), "")</f>
        <v/>
      </c>
      <c r="H33" s="17" cm="1">
        <f t="array" ref="H33">IF(AND(SUBSTITUTE(_xlfn.TEXTJOIN("/", TRUE, _xlfn._xlws.FILTER('Model output'!F:F, 'Model output'!Z:Z=A33)),"M", "")="", K33="negative"),0,IF(K33="positive",1,0))</f>
        <v>0</v>
      </c>
      <c r="I33" t="str">
        <f t="shared" si="0"/>
        <v>positive</v>
      </c>
      <c r="J33" t="str" cm="1">
        <f t="array" ref="J33">IF(AND(M33&gt;0, _xlfn.TEXTJOIN("; ", TRUE, _xlfn._xlws.FILTER('Model output'!G:G, 'Model output'!Z:Z=A33)) &lt;&gt;"", OR(AND(ISNUMBER(SEARCH("level", _xlfn.TEXTJOIN("; ", TRUE, _xlfn._xlws.FILTER('Model output'!G:G, 'Model output'!Z:Z=A33)),1)),OR(ISNUMBER(SEARCH(" II", _xlfn.TEXTJOIN("; ", TRUE, _xlfn._xlws.FILTER('Model output'!G:G, 'Model output'!Z:Z=A33)),1)),ISNUMBER(SEARCH("2", _xlfn.TEXTJOIN("; ", TRUE, _xlfn._xlws.FILTER('Model output'!G:G, 'Model output'!Z:Z=A33)),1)),ISNUMBER(SEARCH("two", _xlfn.TEXTJOIN("; ", TRUE, _xlfn._xlws.FILTER('Model output'!G:G, 'Model output'!Z:Z=A33)),1)),ISNUMBER(SEARCH("III", _xlfn.TEXTJOIN("; ", TRUE, _xlfn._xlws.FILTER('Model output'!G:G, 'Model output'!Z:Z=A33)),1)),ISNUMBER(SEARCH("3", _xlfn.TEXTJOIN("; ", TRUE, _xlfn._xlws.FILTER('Model output'!G:G, 'Model output'!Z:Z=A33)),1)),ISNUMBER(SEARCH("three", _xlfn.TEXTJOIN("; ", TRUE, _xlfn._xlws.FILTER('Model output'!G:G, 'Model output'!Z:Z=A33)),1)),ISNUMBER(SEARCH("IV", _xlfn.TEXTJOIN("; ", TRUE, _xlfn._xlws.FILTER('Model output'!G:G, 'Model output'!Z:Z=A33)),1)),ISNUMBER(SEARCH("4", _xlfn.TEXTJOIN("; ", TRUE, _xlfn._xlws.FILTER('Model output'!G:G, 'Model output'!Z:Z=A33)),1)),ISNUMBER(SEARCH("five", _xlfn.TEXTJOIN("; ", TRUE, _xlfn._xlws.FILTER('Model output'!G:G, 'Model output'!Z:Z=A33)),1)),ISNUMBER(SEARCH("V ", _xlfn.TEXTJOIN("; ", TRUE, _xlfn._xlws.FILTER('Model output'!G:G, 'Model output'!Z:Z=A33)),1)),ISNUMBER(SEARCH("5", _xlfn.TEXTJOIN("; ", TRUE, _xlfn._xlws.FILTER('Model output'!G:G, 'Model output'!Z:Z=A33)),1)),ISNUMBER(SEARCH("five", _xlfn.TEXTJOIN("; ", TRUE, _xlfn._xlws.FILTER('Model output'!G:G, 'Model output'!Z:Z=A33)),1)),ISNUMBER(SEARCH(" lateral", _xlfn.TEXTJOIN("; ", TRUE, _xlfn._xlws.FILTER('Model output'!G:G, 'Model output'!Z:Z=A33)),1)))),ISNUMBER(SEARCH("cervical", _xlfn.TEXTJOIN("; ", TRUE, _xlfn._xlws.FILTER('Model output'!G:G, 'Model output'!Z:Z=A33)),1)),ISNUMBER(SEARCH("jugular", _xlfn.TEXTJOIN("; ", TRUE, _xlfn._xlws.FILTER('Model output'!G:G, 'Model output'!Z:Z=A33)),1)),ISNUMBER(SEARCH("left neck", _xlfn.TEXTJOIN("; ", TRUE, _xlfn._xlws.FILTER('Model output'!G:G, 'Model output'!Z:Z=A33)),1)),ISNUMBER(SEARCH("left anterior neck", _xlfn.TEXTJOIN("; ", TRUE, _xlfn._xlws.FILTER('Model output'!G:G, 'Model output'!Z:Z=A33)),1)),ISNUMBER(SEARCH("left posterior neck", _xlfn.TEXTJOIN("; ", TRUE, _xlfn._xlws.FILTER('Model output'!G:G, 'Model output'!Z:Z=A33)),1)),ISNUMBER(SEARCH("right neck", _xlfn.TEXTJOIN("; ", TRUE, _xlfn._xlws.FILTER('Model output'!G:G, 'Model output'!Z:Z=A33)),1)),ISNUMBER(SEARCH("right anterior neck", _xlfn.TEXTJOIN("; ", TRUE, _xlfn._xlws.FILTER('Model output'!G:G, 'Model output'!Z:Z=A33)),1)),ISNUMBER(SEARCH("right posterior neck", _xlfn.TEXTJOIN("; ", TRUE, _xlfn._xlws.FILTER('Model output'!G:G, 'Model output'!Z:Z=A33)),1)))),"lateral",IF(AND(M33=0, _xlfn.TEXTJOIN("; ", TRUE, _xlfn._xlws.FILTER('Model output'!G:G, 'Model output'!Z:Z=A33))=""),"", "central"))</f>
        <v>central</v>
      </c>
      <c r="K33" s="17" t="str" cm="1">
        <f t="array" ref="K33">IF(OR(ISNUMBER(SEARCH("lymph",_xlfn.TEXTJOIN("; ", TRUE, _xlfn._xlws.FILTER('Model output'!H:H, 'Model output'!Z:Z=A33)),1)), ISNUMBER(SEARCH("Not mentioned",_xlfn.TEXTJOIN("; ", TRUE, _xlfn._xlws.FILTER('Model output'!H:H, 'Model output'!Z:Z=A33)),1)),ISNUMBER(SEARCH("thyroid",_xlfn.TEXTJOIN("; ", TRUE, _xlfn._xlws.FILTER('Model output'!H:H, 'Model output'!Z:Z=A33)),1)),ISNUMBER(SEARCH("strap muscle",_xlfn.TEXTJOIN("; ", TRUE, _xlfn._xlws.FILTER('Model output'!H:H, 'Model output'!Z:Z=A33)),1)),ISNUMBER(SEARCH("subcutaneous soft tissues",_xlfn.TEXTJOIN("; ", TRUE, _xlfn._xlws.FILTER('Model output'!H:H, 'Model output'!Z:Z=A33)),1)),ISNUMBER(SEARCH("larynx",_xlfn.TEXTJOIN("; ", TRUE, _xlfn._xlws.FILTER('Model output'!H:H, 'Model output'!Z:Z=A33)),1)),ISNUMBER(SEARCH("trachea",_xlfn.TEXTJOIN("; ", TRUE, _xlfn._xlws.FILTER('Model output'!H:H, 'Model output'!Z:Z=A33)),1)),ISNUMBER(SEARCH("esophagus",_xlfn.TEXTJOIN("; ", TRUE, _xlfn._xlws.FILTER('Model output'!H:H, 'Model output'!Z:Z=A33)),1)),ISNUMBER(SEARCH("recurrent laryngeal nerve",_xlfn.TEXTJOIN("; ", TRUE, _xlfn._xlws.FILTER('Model output'!H:H, 'Model output'!Z:Z=A33)),1)),ISNUMBER(SEARCH("RLN",_xlfn.TEXTJOIN("; ", TRUE, _xlfn._xlws.FILTER('Model output'!H:H, 'Model output'!Z:Z=A33)),1)),_xlfn.TEXTJOIN("; ", TRUE, _xlfn._xlws.FILTER('Model output'!H:H, 'Model output'!Z:Z=A33))=""),"negative","positive")</f>
        <v>negative</v>
      </c>
      <c r="L33" s="17">
        <f>IF(IFERROR(INDEX('Model output'!I:I, MATCH(A33, 'Model output'!Z:Z, 0)), "") &lt; M33, "", IFERROR(INDEX('Model output'!I:I, MATCH(A33, 'Model output'!Z:Z, 0)), ""))</f>
        <v>1</v>
      </c>
      <c r="M33" s="17">
        <f>IFERROR(INDEX('Model output'!J:J, MATCH(A33, 'Model output'!Z:Z, 0)), "")</f>
        <v>1</v>
      </c>
      <c r="N33" s="18" t="str" cm="1">
        <f t="array" ref="N33">ReplaceTo(ReplaceAnd(SUBSTITUTE(SUBSTITUTE(_xlfn.TEXTJOIN("; ", TRUE, _xlfn._xlws.FILTER('Model output'!K:K, 'Model output'!Z:Z=A33)), " ", ""), ",", ";")))</f>
        <v>4mm</v>
      </c>
      <c r="O33" t="str" cm="1">
        <f t="array" ref="O33">IF(LEFT(IF(RIGHT(SUBSTITUTE(FilterWithUnits(N33)&amp; ";" &amp;FilterStringsWithNumericAnd(N33) &amp; ";" &amp; FilterStringsWithX(N33), ";;", ";"),1)=";",LEFT(SUBSTITUTE(FilterWithUnits(N33)&amp; ";" &amp;FilterStringsWithNumericAnd(N33) &amp; ";" &amp; FilterStringsWithX(N33), ";;", ";"),LEN(SUBSTITUTE(FilterWithUnits(N33)&amp; ";" &amp;FilterStringsWithNumericAnd(N33) &amp; ";" &amp; FilterStringsWithX(N33), ";;", ";"))-1),SUBSTITUTE(FilterWithUnits(N33)&amp; ";" &amp;FilterStringsWithNumericAnd(N33) &amp; ";" &amp; FilterStringsWithX(N33), ";;", ";")),1)=";",RIGHT(IF(RIGHT(SUBSTITUTE(FilterWithUnits(N33)&amp; ";" &amp;FilterStringsWithNumericAnd(N33) &amp; ";" &amp; FilterStringsWithX(N33), ";;", ";"),1)=";",LEFT(SUBSTITUTE(FilterWithUnits(N33)&amp; ";" &amp;FilterStringsWithNumericAnd(N33) &amp; ";" &amp; FilterStringsWithX(N33), ";;", ";"),LEN(SUBSTITUTE(FilterWithUnits(N33)&amp; ";" &amp;FilterStringsWithNumericAnd(N33) &amp; ";" &amp; FilterStringsWithX(N33), ";;", ";"))-1),SUBSTITUTE(FilterWithUnits(N33)&amp; ";" &amp;FilterStringsWithNumericAnd(N33) &amp; ";" &amp; FilterStringsWithX(N33), ";;", ";")),LEN(IF(RIGHT(SUBSTITUTE(FilterWithUnits(N33)&amp; ";" &amp;FilterStringsWithNumericAnd(N33) &amp; ";" &amp; FilterStringsWithX(N33), ";;", ";"),1)=";",LEFT(SUBSTITUTE(FilterWithUnits(N33)&amp; ";" &amp;FilterStringsWithNumericAnd(N33) &amp; ";" &amp; FilterStringsWithX(N33), ";;", ";"),LEN(SUBSTITUTE(FilterWithUnits(N33)&amp; ";" &amp;FilterStringsWithNumericAnd(N33) &amp; ";" &amp; FilterStringsWithX(N33), ";;", ";"))-1),SUBSTITUTE(FilterWithUnits(N33)&amp; ";" &amp;FilterStringsWithNumericAnd(N33) &amp; ";" &amp; FilterStringsWithX(N33), ";;", ";")))-1),IF(RIGHT(SUBSTITUTE(FilterWithUnits(N33)&amp; ";" &amp;FilterStringsWithNumericAnd(N33) &amp; ";" &amp; FilterStringsWithX(N33), ";;", ";"),1)=";",LEFT(SUBSTITUTE(FilterWithUnits(N33)&amp; ";" &amp;FilterStringsWithNumericAnd(N33) &amp; ";" &amp; FilterStringsWithX(N33), ";;", ";"),LEN(SUBSTITUTE(FilterWithUnits(N33)&amp; ";" &amp;FilterStringsWithNumericAnd(N33) &amp; ";" &amp; FilterStringsWithX(N33), ";;", ";"))-1),SUBSTITUTE(FilterWithUnits(N33)&amp; ";" &amp;FilterStringsWithNumericAnd(N33) &amp; ";" &amp; FilterStringsWithX(N33), ";;", ";")))</f>
        <v>4mm</v>
      </c>
      <c r="P33" cm="1">
        <f t="array" ref="P33">IF(MaxSize((SplitDimensions(O33)))=0, "", MaxSize((SplitDimensions(O33))))</f>
        <v>0.4</v>
      </c>
      <c r="Q33" t="str" cm="1">
        <f t="array" ref="Q33">IF(ISERROR(INDEX(_xlfn._xlws.FILTER('Model output'!L:L, ('Model output'!Z:Z=A33)*('Model output'!L:L&lt;&gt;"")), 1)), " ", LOWER(INDEX(_xlfn._xlws.FILTER('Model output'!L:L, ('Model output'!Z:Z=A33)*('Model output'!L:L&lt;&gt;"")), 1)))</f>
        <v>papillary</v>
      </c>
      <c r="R33" t="str" cm="1">
        <f t="array" ref="R33">IF(ISERROR(INDEX(_xlfn._xlws.FILTER('Model output'!M:M, ('Model output'!Z:Z=A33)*('Model output'!M:M&lt;&gt;"")), 1)), " ", LOWER(INDEX(_xlfn._xlws.FILTER('Model output'!M:M, ('Model output'!Z:Z=A33)*('Model output'!M:M&lt;&gt;"")), 1)))</f>
        <v>infiltrative follicular</v>
      </c>
      <c r="S33" t="str" cm="1">
        <f t="array" ref="S33">IF(OR(ISNUMBER(SEARCH("ly",SUBSTITUTE(INDEX(_xlfn._xlws.FILTER('Model output'!N:N,('Model output'!Z:Z=A33)*('Model output'!N:N&lt;&gt;"")),1)," ",""),1)), ISNUMBER(SEARCH("pole",SUBSTITUTE(INDEX(_xlfn._xlws.FILTER('Model output'!N:N,('Model output'!Z:Z=A33)*('Model output'!N:N&lt;&gt;"")),1)," ",""),1))),"",SUBSTITUTE(INDEX(_xlfn._xlws.FILTER('Model output'!N:N,('Model output'!Z:Z=A33)*('Model output'!N:N&lt;&gt;"")),1)," ",""))</f>
        <v>4.5x3x2cm(Leftthyroid)</v>
      </c>
      <c r="T33" t="str" cm="1">
        <f t="array" ref="T33">IF(LEFT(IF(RIGHT(SUBSTITUTE(FilterWithUnits(S33)&amp; ";" &amp;FilterStringsWithNumericAnd(S33) &amp; ";" &amp; FilterStringsWithX(S33), ";;", ";"),1)=";",LEFT(SUBSTITUTE(FilterWithUnits(S33)&amp; ";" &amp;FilterStringsWithNumericAnd(S33) &amp; ";" &amp; FilterStringsWithX(S33), ";;", ";"),LEN(SUBSTITUTE(FilterWithUnits(S33)&amp; ";" &amp;FilterStringsWithNumericAnd(S33) &amp; ";" &amp; FilterStringsWithX(S33), ";;", ";"))-1),SUBSTITUTE(FilterWithUnits(S33)&amp; ";" &amp;FilterStringsWithNumericAnd(S33) &amp; ";" &amp; FilterStringsWithX(S33), ";;", ";")),1)=";",RIGHT(IF(RIGHT(SUBSTITUTE(FilterWithUnits(S33)&amp; ";" &amp;FilterStringsWithNumericAnd(S33) &amp; ";" &amp; FilterStringsWithX(S33), ";;", ";"),1)=";",LEFT(SUBSTITUTE(FilterWithUnits(S33)&amp; ";" &amp;FilterStringsWithNumericAnd(S33) &amp; ";" &amp; FilterStringsWithX(S33), ";;", ";"),LEN(SUBSTITUTE(FilterWithUnits(S33)&amp; ";" &amp;FilterStringsWithNumericAnd(S33) &amp; ";" &amp; FilterStringsWithX(S33), ";;", ";"))-1),SUBSTITUTE(FilterWithUnits(S33)&amp; ";" &amp;FilterStringsWithNumericAnd(S33) &amp; ";" &amp; FilterStringsWithX(S33), ";;", ";")),LEN(IF(RIGHT(SUBSTITUTE(FilterWithUnits(S33)&amp; ";" &amp;FilterStringsWithNumericAnd(S33) &amp; ";" &amp; FilterStringsWithX(S33), ";;", ";"),1)=";",LEFT(SUBSTITUTE(FilterWithUnits(S33)&amp; ";" &amp;FilterStringsWithNumericAnd(S33) &amp; ";" &amp; FilterStringsWithX(S33), ";;", ";"),LEN(SUBSTITUTE(FilterWithUnits(S33)&amp; ";" &amp;FilterStringsWithNumericAnd(S33) &amp; ";" &amp; FilterStringsWithX(S33), ";;", ";"))-1),SUBSTITUTE(FilterWithUnits(S33)&amp; ";" &amp;FilterStringsWithNumericAnd(S33) &amp; ";" &amp; FilterStringsWithX(S33), ";;", ";")))-1),IF(RIGHT(SUBSTITUTE(FilterWithUnits(S33)&amp; ";" &amp;FilterStringsWithNumericAnd(S33) &amp; ";" &amp; FilterStringsWithX(S33), ";;", ";"),1)=";",LEFT(SUBSTITUTE(FilterWithUnits(S33)&amp; ";" &amp;FilterStringsWithNumericAnd(S33) &amp; ";" &amp; FilterStringsWithX(S33), ";;", ";"),LEN(SUBSTITUTE(FilterWithUnits(S33)&amp; ";" &amp;FilterStringsWithNumericAnd(S33) &amp; ";" &amp; FilterStringsWithX(S33), ";;", ";"))-1),SUBSTITUTE(FilterWithUnits(S33)&amp; ";" &amp;FilterStringsWithNumericAnd(S33) &amp; ";" &amp; FilterStringsWithX(S33), ";;", ";")))</f>
        <v>4.5x3x2cm(Leftthyroid)</v>
      </c>
      <c r="U33" t="str" cm="1">
        <f t="array" ref="U33">IF(MaxSize((SplitDimensions(T33)))=0, "", MaxSize((SplitDimensions(T33))))</f>
        <v/>
      </c>
      <c r="V33" s="17" t="str" cm="1">
        <f t="array" ref="V33">IF(ISERROR(INDEX(_xlfn._xlws.FILTER('Model output'!P:P,('Model output'!Z:Z=A33)*('Model output'!P:P&lt;&gt;"")),1)),"negative",IF(OR(ISNUMBER(SEARCH("foc",INDEX(_xlfn._xlws.FILTER('Model output'!P:P,('Model output'!Z:Z=A33)*('Model output'!P:P&lt;&gt;"")),1),1)),ISNUMBER(SEARCH("extensive",INDEX(_xlfn._xlws.FILTER('Model output'!P:P,('Model output'!Z:Z=A33)*('Model output'!P:P&lt;&gt;"")),1),1)),ISNUMBER(SEARCH("present",INDEX(_xlfn._xlws.FILTER('Model output'!P:P,('Model output'!Z:Z=A33)*('Model output'!P:P&lt;&gt;"")),1),1)),ISNUMBER(SEARCH("yes",INDEX(_xlfn._xlws.FILTER('Model output'!P:P,('Model output'!Z:Z=A33)*('Model output'!P:P&lt;&gt;"")),1),1))),"positive","negative"))</f>
        <v>positive</v>
      </c>
      <c r="X33" t="str" cm="1">
        <f t="array" ref="X33">IF(ISNUMBER(SEARCH("4",INDEX(_xlfn._xlws.FILTER('Model output'!P:P,('Model output'!Z:Z=A33)*('Model output'!P:P&lt;&gt;"")),1),1)),INDEX(_xlfn._xlws.FILTER('Model output'!P:P,('Model output'!Z:Z=A33)*('Model output'!P:P&lt;&gt;"")),1),"") &amp; _xlfn.TEXTJOIN("",TRUE,_xlfn._xlws.FILTER('Model output'!Q:Q,'Model output'!Z:Z=A33))</f>
        <v>Overlying strap muscle, carotid sheath, RLN at lower pole, esophagus muscular layer, prevertebral fascia</v>
      </c>
      <c r="Y33" t="str">
        <f t="shared" si="11"/>
        <v>minimal</v>
      </c>
      <c r="Z33" t="str" cm="1">
        <f t="array" ref="Z33">IF(OR(ISNUMBER(SEARCH("focal",_xlfn.TEXTJOIN("; ",TRUE,_xlfn._xlws.FILTER('Model output'!R:R,'Model output'!Z:Z=A33)),1)),ISNUMBER(SEARCH("present",_xlfn.TEXTJOIN("; ",TRUE,_xlfn._xlws.FILTER('Model output'!R:R,'Model output'!Z:Z=A33)),1))),"positive",IF(_xlfn.TEXTJOIN("; ",TRUE,_xlfn._xlws.FILTER('Model output'!R:R,'Model output'!Z:Z=A33))="","negative",IF(OR(ISNUMBER(SEARCH("no",_xlfn.TEXTJOIN("; ",TRUE,_xlfn._xlws.FILTER('Model output'!R:R,'Model output'!Z:Z=A33)),1)),ISNUMBER(SEARCH("absent",_xlfn.TEXTJOIN("; ",TRUE,_xlfn._xlws.FILTER('Model output'!R:R,'Model output'!Z:Z=A33)),1))),"negative","positive")))</f>
        <v>positive</v>
      </c>
      <c r="AA33" s="17" t="str">
        <f t="shared" si="15"/>
        <v>positive</v>
      </c>
      <c r="AE33" s="17" t="str">
        <f t="shared" si="12"/>
        <v>positive</v>
      </c>
      <c r="AF33" t="str" cm="1">
        <f t="array" ref="AF33">_xlfn.TEXTJOIN("; ",TRUE,_xlfn._xlws.FILTER('Model output'!S:S,'Model output'!Z:Z=A33))</f>
        <v>Surrounding striated muscle (Left thyroid); perithyroidal fibradipose tissue, strap muscle, carotid sheath, RLN at lower pole, esophagus muscular layer, prevertebral fascia</v>
      </c>
      <c r="AG33" s="17" t="str" cm="1">
        <f t="array" ref="AG33">IF(OR(ISNUMBER(SEARCH("uninvolved",_xlfn.TEXTJOIN("; ",TRUE,_xlfn._xlws.FILTER('Model output'!V:V,'Model output'!Z:Z=A33)),1)),ISNUMBER(SEARCH("clear",_xlfn.TEXTJOIN("; ",TRUE,_xlfn._xlws.FILTER('Model output'!V:V,'Model output'!Z:Z=A33)),1))*ISNUMBER(SEARCH("not mentioned",_xlfn.TEXTJOIN("; ",TRUE,_xlfn._xlws.FILTER('Model output'!V:V,'Model output'!Z:Z=A33)),1))),"negative",IF(ISNUMBER(SEARCH("cannot be assessed",_xlfn.TEXTJOIN("; ",TRUE,_xlfn._xlws.FILTER('Model output'!V:V,'Model output'!Z:Z=A33)),1)),"unknown","negative"))</f>
        <v>negative</v>
      </c>
      <c r="AI33" s="45" t="str">
        <f t="shared" si="13"/>
        <v>high</v>
      </c>
      <c r="AJ33" s="41" t="str">
        <f>IF(OR(ISNUMBER(SEARCH("non-invasive follicular",Q33)),ISNUMBER(SEARCH("papillary-like nuclear features",Q33)),ISNUMBER(SEARCH("non-invasive follicular",R33)),ISNUMBER(SEARCH("papillary-like nuclear features",R33))),"NIFTP", IF(OR(F33="4b",AND(AE33="positive",OR(ISNUMBER(SEARCH("prevertebral",AF33)),ISNUMBER(SEARCH("fascia",AF33)),ISNUMBER(SEARCH("carotid artery",AF33)),ISNUMBER(SEARCH("mediastinal",AF33))))),"4b",IF(OR(F33="4a",AND(AE33="positive",OR(ISNUMBER(SEARCH("soft tissue",AF33)),ISNUMBER(SEARCH("larynx",AF33)),ISNUMBER(SEARCH("trachea",AF33)),ISNUMBER(SEARCH("esophagus",AF33)),ISNUMBER(SEARCH("recurrent laryngeal nerve",AF33)),ISNUMBER(SEARCH("RLN",AF33))))),"4a", IF(OR(F33="3b", AE33="positive",ISNUMBER(SEARCH("strap",AF33)),ISNUMBER(SEARCH("sternothyroid",AF33)),ISNUMBER(SEARCH("sternohyoid",AF33)),ISNUMBER(SEARCH("thyrohyoid",AF33)),ISNUMBER(SEARCH("omohyoid",AF33))),"3b",IF(OR(F33="3a", AND(U33&lt;&gt;"",U33&gt;4)),"3a",IF(AND(U33&lt;&gt;"", U33&lt;=4,U33&gt;2),"2",IF(AND(U33&lt;&gt;"",U33&lt;=2,U33&gt;1),"1b",IF(AND(U33&lt;&gt;"",U33&lt;=1),"1a","1a"))))))))</f>
        <v>4b</v>
      </c>
      <c r="AK33" s="41" t="str">
        <f t="shared" si="3"/>
        <v>1a</v>
      </c>
      <c r="AL33" s="41">
        <f t="shared" si="4"/>
        <v>0</v>
      </c>
      <c r="AM33" s="41" t="str">
        <f t="shared" si="5"/>
        <v>IVA</v>
      </c>
      <c r="AN33" s="42" t="s">
        <v>165</v>
      </c>
      <c r="AO33" s="43" t="s">
        <v>209</v>
      </c>
      <c r="AP33" s="43" t="s">
        <v>205</v>
      </c>
      <c r="AQ33" s="43">
        <v>0</v>
      </c>
      <c r="AR33" s="43" t="s">
        <v>444</v>
      </c>
      <c r="AS33" s="42">
        <f t="shared" si="6"/>
        <v>1</v>
      </c>
      <c r="AT33" s="43">
        <f t="shared" si="7"/>
        <v>1</v>
      </c>
      <c r="AU33" s="43">
        <f t="shared" si="8"/>
        <v>1</v>
      </c>
      <c r="AV33" s="43">
        <f t="shared" si="9"/>
        <v>1</v>
      </c>
      <c r="AW33" s="44">
        <f t="shared" si="10"/>
        <v>1</v>
      </c>
    </row>
    <row r="34" spans="1:50">
      <c r="A34" s="13">
        <v>32</v>
      </c>
      <c r="B34" s="16">
        <f>_xlfn.MAXIFS('Model output'!B:B,'Model output'!Z:Z,'Classification result'!$A34)</f>
        <v>44837</v>
      </c>
      <c r="C34" s="16"/>
      <c r="D34" s="16"/>
      <c r="E34" s="17">
        <f>_xlfn.MAXIFS('Model output'!C:C,'Model output'!Z:Z,'Classification result'!$A34)</f>
        <v>72</v>
      </c>
      <c r="F34" s="17" t="str" cm="1">
        <f t="array" ref="F34">LEFT(IF(ISERROR(RIGHT(IF(INDEX(_xlfn._xlws.FILTER('Model output'!D:D,('Model output'!Z:Z=A34)),1)&lt;&gt;"",INDEX(_xlfn._xlws.FILTER('Model output'!D:D,('Model output'!Z:Z=A34)),1),""),LEN(IF(INDEX(_xlfn._xlws.FILTER('Model output'!D:D,('Model output'!Z:Z=A34)),1)&lt;&gt;"",INDEX(_xlfn._xlws.FILTER('Model output'!D:D,('Model output'!Z:Z=A34)),1),""))-FIND("T",IF(INDEX(_xlfn._xlws.FILTER('Model output'!D:D,('Model output'!Z:Z=A34)),1)&lt;&gt;"",INDEX(_xlfn._xlws.FILTER('Model output'!D:D,('Model output'!Z:Z=A34)),1),""),1))),"",(RIGHT(IF(INDEX(_xlfn._xlws.FILTER('Model output'!D:D,('Model output'!Z:Z=A34)),1)&lt;&gt;"",INDEX(_xlfn._xlws.FILTER('Model output'!D:D,('Model output'!Z:Z=A34)),1),""),LEN(IF(INDEX(_xlfn._xlws.FILTER('Model output'!D:D,('Model output'!Z:Z=A34)),1)&lt;&gt;"",INDEX(_xlfn._xlws.FILTER('Model output'!D:D,('Model output'!Z:Z=A34)),1),""))-FIND("T",IF(INDEX(_xlfn._xlws.FILTER('Model output'!D:D,('Model output'!Z:Z=A34)),1)&lt;&gt;"",INDEX(_xlfn._xlws.FILTER('Model output'!D:D,('Model output'!Z:Z=A34)),1)))))),2)</f>
        <v>4</v>
      </c>
      <c r="G34" s="17" t="str" cm="1">
        <f t="array" ref="G34">IF(ISNUMBER(SEARCH("N",IF(ISNUMBER(SEARCH("present",IF(INDEX(_xlfn._xlws.FILTER('Model output'!E:E,('Model output'!Z:Z=A34)),1)="","",INDEX(_xlfn._xlws.FILTER('Model output'!E:E,('Model output'!Z:Z=A34)),1)),1)),"N1", IF(INDEX(_xlfn._xlws.FILTER('Model output'!E:E,('Model output'!Z:Z=A34)),1)="","",INDEX(_xlfn._xlws.FILTER('Model output'!E:E,('Model output'!Z:Z=A34)),1))),1)),RIGHT(IF(ISNUMBER(SEARCH("present",IF(INDEX(_xlfn._xlws.FILTER('Model output'!E:E,('Model output'!Z:Z=A34)),1)="","",INDEX(_xlfn._xlws.FILTER('Model output'!E:E,('Model output'!Z:Z=A34)),1)),1)),"N1", IF(INDEX(_xlfn._xlws.FILTER('Model output'!E:E,('Model output'!Z:Z=A34)),1)="","",INDEX(_xlfn._xlws.FILTER('Model output'!E:E,('Model output'!Z:Z=A34)),1))),LEN(IF(ISNUMBER(SEARCH("present",IF(INDEX(_xlfn._xlws.FILTER('Model output'!E:E,('Model output'!Z:Z=A34)),1)="","",INDEX(_xlfn._xlws.FILTER('Model output'!E:E,('Model output'!Z:Z=A34)),1)),1)),"N1", IF(INDEX(_xlfn._xlws.FILTER('Model output'!E:E,('Model output'!Z:Z=A34)),1)="","",INDEX(_xlfn._xlws.FILTER('Model output'!E:E,('Model output'!Z:Z=A34)),1))))-FIND("N",IF(ISNUMBER(SEARCH("present",IF(INDEX(_xlfn._xlws.FILTER('Model output'!E:E,('Model output'!Z:Z=A34)),1)="","",INDEX(_xlfn._xlws.FILTER('Model output'!E:E,('Model output'!Z:Z=A34)),1)),1)),"N1", IF(INDEX(_xlfn._xlws.FILTER('Model output'!E:E,('Model output'!Z:Z=A34)),1)="","",INDEX(_xlfn._xlws.FILTER('Model output'!E:E,('Model output'!Z:Z=A34)),1))),1)), "")</f>
        <v>1</v>
      </c>
      <c r="H34" s="17" cm="1">
        <f t="array" ref="H34">IF(AND(SUBSTITUTE(_xlfn.TEXTJOIN("/", TRUE, _xlfn._xlws.FILTER('Model output'!F:F, 'Model output'!Z:Z=A34)),"M", "")="", K34="negative"),0,IF(K34="positive",1,0))</f>
        <v>0</v>
      </c>
      <c r="I34" t="str">
        <f t="shared" si="0"/>
        <v>positive</v>
      </c>
      <c r="J34" t="str" cm="1">
        <f t="array" ref="J34">IF(AND(M34&gt;0, _xlfn.TEXTJOIN("; ", TRUE, _xlfn._xlws.FILTER('Model output'!G:G, 'Model output'!Z:Z=A34)) &lt;&gt;"", OR(AND(ISNUMBER(SEARCH("level", _xlfn.TEXTJOIN("; ", TRUE, _xlfn._xlws.FILTER('Model output'!G:G, 'Model output'!Z:Z=A34)),1)),OR(ISNUMBER(SEARCH(" II", _xlfn.TEXTJOIN("; ", TRUE, _xlfn._xlws.FILTER('Model output'!G:G, 'Model output'!Z:Z=A34)),1)),ISNUMBER(SEARCH("2", _xlfn.TEXTJOIN("; ", TRUE, _xlfn._xlws.FILTER('Model output'!G:G, 'Model output'!Z:Z=A34)),1)),ISNUMBER(SEARCH("two", _xlfn.TEXTJOIN("; ", TRUE, _xlfn._xlws.FILTER('Model output'!G:G, 'Model output'!Z:Z=A34)),1)),ISNUMBER(SEARCH("III", _xlfn.TEXTJOIN("; ", TRUE, _xlfn._xlws.FILTER('Model output'!G:G, 'Model output'!Z:Z=A34)),1)),ISNUMBER(SEARCH("3", _xlfn.TEXTJOIN("; ", TRUE, _xlfn._xlws.FILTER('Model output'!G:G, 'Model output'!Z:Z=A34)),1)),ISNUMBER(SEARCH("three", _xlfn.TEXTJOIN("; ", TRUE, _xlfn._xlws.FILTER('Model output'!G:G, 'Model output'!Z:Z=A34)),1)),ISNUMBER(SEARCH("IV", _xlfn.TEXTJOIN("; ", TRUE, _xlfn._xlws.FILTER('Model output'!G:G, 'Model output'!Z:Z=A34)),1)),ISNUMBER(SEARCH("4", _xlfn.TEXTJOIN("; ", TRUE, _xlfn._xlws.FILTER('Model output'!G:G, 'Model output'!Z:Z=A34)),1)),ISNUMBER(SEARCH("five", _xlfn.TEXTJOIN("; ", TRUE, _xlfn._xlws.FILTER('Model output'!G:G, 'Model output'!Z:Z=A34)),1)),ISNUMBER(SEARCH("V ", _xlfn.TEXTJOIN("; ", TRUE, _xlfn._xlws.FILTER('Model output'!G:G, 'Model output'!Z:Z=A34)),1)),ISNUMBER(SEARCH("5", _xlfn.TEXTJOIN("; ", TRUE, _xlfn._xlws.FILTER('Model output'!G:G, 'Model output'!Z:Z=A34)),1)),ISNUMBER(SEARCH("five", _xlfn.TEXTJOIN("; ", TRUE, _xlfn._xlws.FILTER('Model output'!G:G, 'Model output'!Z:Z=A34)),1)),ISNUMBER(SEARCH(" lateral", _xlfn.TEXTJOIN("; ", TRUE, _xlfn._xlws.FILTER('Model output'!G:G, 'Model output'!Z:Z=A34)),1)))),ISNUMBER(SEARCH("cervical", _xlfn.TEXTJOIN("; ", TRUE, _xlfn._xlws.FILTER('Model output'!G:G, 'Model output'!Z:Z=A34)),1)),ISNUMBER(SEARCH("jugular", _xlfn.TEXTJOIN("; ", TRUE, _xlfn._xlws.FILTER('Model output'!G:G, 'Model output'!Z:Z=A34)),1)),ISNUMBER(SEARCH("left neck", _xlfn.TEXTJOIN("; ", TRUE, _xlfn._xlws.FILTER('Model output'!G:G, 'Model output'!Z:Z=A34)),1)),ISNUMBER(SEARCH("left anterior neck", _xlfn.TEXTJOIN("; ", TRUE, _xlfn._xlws.FILTER('Model output'!G:G, 'Model output'!Z:Z=A34)),1)),ISNUMBER(SEARCH("left posterior neck", _xlfn.TEXTJOIN("; ", TRUE, _xlfn._xlws.FILTER('Model output'!G:G, 'Model output'!Z:Z=A34)),1)),ISNUMBER(SEARCH("right neck", _xlfn.TEXTJOIN("; ", TRUE, _xlfn._xlws.FILTER('Model output'!G:G, 'Model output'!Z:Z=A34)),1)),ISNUMBER(SEARCH("right anterior neck", _xlfn.TEXTJOIN("; ", TRUE, _xlfn._xlws.FILTER('Model output'!G:G, 'Model output'!Z:Z=A34)),1)),ISNUMBER(SEARCH("right posterior neck", _xlfn.TEXTJOIN("; ", TRUE, _xlfn._xlws.FILTER('Model output'!G:G, 'Model output'!Z:Z=A34)),1)))),"lateral",IF(AND(M34=0, _xlfn.TEXTJOIN("; ", TRUE, _xlfn._xlws.FILTER('Model output'!G:G, 'Model output'!Z:Z=A34))=""),"", "central"))</f>
        <v>central</v>
      </c>
      <c r="K34" s="17" t="str" cm="1">
        <f t="array" ref="K34">IF(OR(ISNUMBER(SEARCH("lymph",_xlfn.TEXTJOIN("; ", TRUE, _xlfn._xlws.FILTER('Model output'!H:H, 'Model output'!Z:Z=A34)),1)), ISNUMBER(SEARCH("Not mentioned",_xlfn.TEXTJOIN("; ", TRUE, _xlfn._xlws.FILTER('Model output'!H:H, 'Model output'!Z:Z=A34)),1)),ISNUMBER(SEARCH("thyroid",_xlfn.TEXTJOIN("; ", TRUE, _xlfn._xlws.FILTER('Model output'!H:H, 'Model output'!Z:Z=A34)),1)),ISNUMBER(SEARCH("strap muscle",_xlfn.TEXTJOIN("; ", TRUE, _xlfn._xlws.FILTER('Model output'!H:H, 'Model output'!Z:Z=A34)),1)),ISNUMBER(SEARCH("subcutaneous soft tissues",_xlfn.TEXTJOIN("; ", TRUE, _xlfn._xlws.FILTER('Model output'!H:H, 'Model output'!Z:Z=A34)),1)),ISNUMBER(SEARCH("larynx",_xlfn.TEXTJOIN("; ", TRUE, _xlfn._xlws.FILTER('Model output'!H:H, 'Model output'!Z:Z=A34)),1)),ISNUMBER(SEARCH("trachea",_xlfn.TEXTJOIN("; ", TRUE, _xlfn._xlws.FILTER('Model output'!H:H, 'Model output'!Z:Z=A34)),1)),ISNUMBER(SEARCH("esophagus",_xlfn.TEXTJOIN("; ", TRUE, _xlfn._xlws.FILTER('Model output'!H:H, 'Model output'!Z:Z=A34)),1)),ISNUMBER(SEARCH("recurrent laryngeal nerve",_xlfn.TEXTJOIN("; ", TRUE, _xlfn._xlws.FILTER('Model output'!H:H, 'Model output'!Z:Z=A34)),1)),ISNUMBER(SEARCH("RLN",_xlfn.TEXTJOIN("; ", TRUE, _xlfn._xlws.FILTER('Model output'!H:H, 'Model output'!Z:Z=A34)),1)),_xlfn.TEXTJOIN("; ", TRUE, _xlfn._xlws.FILTER('Model output'!H:H, 'Model output'!Z:Z=A34))=""),"negative","positive")</f>
        <v>negative</v>
      </c>
      <c r="L34" s="17">
        <f>IF(IFERROR(INDEX('Model output'!I:I, MATCH(A34, 'Model output'!Z:Z, 0)), "") &lt; M34, "", IFERROR(INDEX('Model output'!I:I, MATCH(A34, 'Model output'!Z:Z, 0)), ""))</f>
        <v>12</v>
      </c>
      <c r="M34" s="17">
        <f>IFERROR(INDEX('Model output'!J:J, MATCH(A34, 'Model output'!Z:Z, 0)), "")</f>
        <v>1</v>
      </c>
      <c r="N34" s="18" t="str" cm="1">
        <f t="array" ref="N34">ReplaceTo(ReplaceAnd(SUBSTITUTE(SUBSTITUTE(_xlfn.TEXTJOIN("; ", TRUE, _xlfn._xlws.FILTER('Model output'!K:K, 'Model output'!Z:Z=A34)), " ", ""), ",", ";")))</f>
        <v>Notspecified</v>
      </c>
      <c r="O34" t="str" cm="1">
        <f t="array" ref="O34">IF(LEFT(IF(RIGHT(SUBSTITUTE(FilterWithUnits(N34)&amp; ";" &amp;FilterStringsWithNumericAnd(N34) &amp; ";" &amp; FilterStringsWithX(N34), ";;", ";"),1)=";",LEFT(SUBSTITUTE(FilterWithUnits(N34)&amp; ";" &amp;FilterStringsWithNumericAnd(N34) &amp; ";" &amp; FilterStringsWithX(N34), ";;", ";"),LEN(SUBSTITUTE(FilterWithUnits(N34)&amp; ";" &amp;FilterStringsWithNumericAnd(N34) &amp; ";" &amp; FilterStringsWithX(N34), ";;", ";"))-1),SUBSTITUTE(FilterWithUnits(N34)&amp; ";" &amp;FilterStringsWithNumericAnd(N34) &amp; ";" &amp; FilterStringsWithX(N34), ";;", ";")),1)=";",RIGHT(IF(RIGHT(SUBSTITUTE(FilterWithUnits(N34)&amp; ";" &amp;FilterStringsWithNumericAnd(N34) &amp; ";" &amp; FilterStringsWithX(N34), ";;", ";"),1)=";",LEFT(SUBSTITUTE(FilterWithUnits(N34)&amp; ";" &amp;FilterStringsWithNumericAnd(N34) &amp; ";" &amp; FilterStringsWithX(N34), ";;", ";"),LEN(SUBSTITUTE(FilterWithUnits(N34)&amp; ";" &amp;FilterStringsWithNumericAnd(N34) &amp; ";" &amp; FilterStringsWithX(N34), ";;", ";"))-1),SUBSTITUTE(FilterWithUnits(N34)&amp; ";" &amp;FilterStringsWithNumericAnd(N34) &amp; ";" &amp; FilterStringsWithX(N34), ";;", ";")),LEN(IF(RIGHT(SUBSTITUTE(FilterWithUnits(N34)&amp; ";" &amp;FilterStringsWithNumericAnd(N34) &amp; ";" &amp; FilterStringsWithX(N34), ";;", ";"),1)=";",LEFT(SUBSTITUTE(FilterWithUnits(N34)&amp; ";" &amp;FilterStringsWithNumericAnd(N34) &amp; ";" &amp; FilterStringsWithX(N34), ";;", ";"),LEN(SUBSTITUTE(FilterWithUnits(N34)&amp; ";" &amp;FilterStringsWithNumericAnd(N34) &amp; ";" &amp; FilterStringsWithX(N34), ";;", ";"))-1),SUBSTITUTE(FilterWithUnits(N34)&amp; ";" &amp;FilterStringsWithNumericAnd(N34) &amp; ";" &amp; FilterStringsWithX(N34), ";;", ";")))-1),IF(RIGHT(SUBSTITUTE(FilterWithUnits(N34)&amp; ";" &amp;FilterStringsWithNumericAnd(N34) &amp; ";" &amp; FilterStringsWithX(N34), ";;", ";"),1)=";",LEFT(SUBSTITUTE(FilterWithUnits(N34)&amp; ";" &amp;FilterStringsWithNumericAnd(N34) &amp; ";" &amp; FilterStringsWithX(N34), ";;", ";"),LEN(SUBSTITUTE(FilterWithUnits(N34)&amp; ";" &amp;FilterStringsWithNumericAnd(N34) &amp; ";" &amp; FilterStringsWithX(N34), ";;", ";"))-1),SUBSTITUTE(FilterWithUnits(N34)&amp; ";" &amp;FilterStringsWithNumericAnd(N34) &amp; ";" &amp; FilterStringsWithX(N34), ";;", ";")))</f>
        <v/>
      </c>
      <c r="P34" t="str" cm="1">
        <f t="array" ref="P34">IF(MaxSize((SplitDimensions(O34)))=0, "", MaxSize((SplitDimensions(O34))))</f>
        <v/>
      </c>
      <c r="Q34" t="str" cm="1">
        <f t="array" ref="Q34">IF(ISERROR(INDEX(_xlfn._xlws.FILTER('Model output'!L:L, ('Model output'!Z:Z=A34)*('Model output'!L:L&lt;&gt;"")), 1)), " ", LOWER(INDEX(_xlfn._xlws.FILTER('Model output'!L:L, ('Model output'!Z:Z=A34)*('Model output'!L:L&lt;&gt;"")), 1)))</f>
        <v>follicular carcinoma, widely invasive</v>
      </c>
      <c r="R34" t="str" cm="1">
        <f t="array" ref="R34">IF(ISERROR(INDEX(_xlfn._xlws.FILTER('Model output'!M:M, ('Model output'!Z:Z=A34)*('Model output'!M:M&lt;&gt;"")), 1)), " ", LOWER(INDEX(_xlfn._xlws.FILTER('Model output'!M:M, ('Model output'!Z:Z=A34)*('Model output'!M:M&lt;&gt;"")), 1)))</f>
        <v xml:space="preserve"> </v>
      </c>
      <c r="S34" t="str" cm="1">
        <f t="array" ref="S34">IF(OR(ISNUMBER(SEARCH("ly",SUBSTITUTE(INDEX(_xlfn._xlws.FILTER('Model output'!N:N,('Model output'!Z:Z=A34)*('Model output'!N:N&lt;&gt;"")),1)," ",""),1)), ISNUMBER(SEARCH("pole",SUBSTITUTE(INDEX(_xlfn._xlws.FILTER('Model output'!N:N,('Model output'!Z:Z=A34)*('Model output'!N:N&lt;&gt;"")),1)," ",""),1))),"",SUBSTITUTE(INDEX(_xlfn._xlws.FILTER('Model output'!N:N,('Model output'!Z:Z=A34)*('Model output'!N:N&lt;&gt;"")),1)," ",""))</f>
        <v/>
      </c>
      <c r="T34" t="str" cm="1">
        <f t="array" ref="T34">IF(LEFT(IF(RIGHT(SUBSTITUTE(FilterWithUnits(S34)&amp; ";" &amp;FilterStringsWithNumericAnd(S34) &amp; ";" &amp; FilterStringsWithX(S34), ";;", ";"),1)=";",LEFT(SUBSTITUTE(FilterWithUnits(S34)&amp; ";" &amp;FilterStringsWithNumericAnd(S34) &amp; ";" &amp; FilterStringsWithX(S34), ";;", ";"),LEN(SUBSTITUTE(FilterWithUnits(S34)&amp; ";" &amp;FilterStringsWithNumericAnd(S34) &amp; ";" &amp; FilterStringsWithX(S34), ";;", ";"))-1),SUBSTITUTE(FilterWithUnits(S34)&amp; ";" &amp;FilterStringsWithNumericAnd(S34) &amp; ";" &amp; FilterStringsWithX(S34), ";;", ";")),1)=";",RIGHT(IF(RIGHT(SUBSTITUTE(FilterWithUnits(S34)&amp; ";" &amp;FilterStringsWithNumericAnd(S34) &amp; ";" &amp; FilterStringsWithX(S34), ";;", ";"),1)=";",LEFT(SUBSTITUTE(FilterWithUnits(S34)&amp; ";" &amp;FilterStringsWithNumericAnd(S34) &amp; ";" &amp; FilterStringsWithX(S34), ";;", ";"),LEN(SUBSTITUTE(FilterWithUnits(S34)&amp; ";" &amp;FilterStringsWithNumericAnd(S34) &amp; ";" &amp; FilterStringsWithX(S34), ";;", ";"))-1),SUBSTITUTE(FilterWithUnits(S34)&amp; ";" &amp;FilterStringsWithNumericAnd(S34) &amp; ";" &amp; FilterStringsWithX(S34), ";;", ";")),LEN(IF(RIGHT(SUBSTITUTE(FilterWithUnits(S34)&amp; ";" &amp;FilterStringsWithNumericAnd(S34) &amp; ";" &amp; FilterStringsWithX(S34), ";;", ";"),1)=";",LEFT(SUBSTITUTE(FilterWithUnits(S34)&amp; ";" &amp;FilterStringsWithNumericAnd(S34) &amp; ";" &amp; FilterStringsWithX(S34), ";;", ";"),LEN(SUBSTITUTE(FilterWithUnits(S34)&amp; ";" &amp;FilterStringsWithNumericAnd(S34) &amp; ";" &amp; FilterStringsWithX(S34), ";;", ";"))-1),SUBSTITUTE(FilterWithUnits(S34)&amp; ";" &amp;FilterStringsWithNumericAnd(S34) &amp; ";" &amp; FilterStringsWithX(S34), ";;", ";")))-1),IF(RIGHT(SUBSTITUTE(FilterWithUnits(S34)&amp; ";" &amp;FilterStringsWithNumericAnd(S34) &amp; ";" &amp; FilterStringsWithX(S34), ";;", ";"),1)=";",LEFT(SUBSTITUTE(FilterWithUnits(S34)&amp; ";" &amp;FilterStringsWithNumericAnd(S34) &amp; ";" &amp; FilterStringsWithX(S34), ";;", ";"),LEN(SUBSTITUTE(FilterWithUnits(S34)&amp; ";" &amp;FilterStringsWithNumericAnd(S34) &amp; ";" &amp; FilterStringsWithX(S34), ";;", ";"))-1),SUBSTITUTE(FilterWithUnits(S34)&amp; ";" &amp;FilterStringsWithNumericAnd(S34) &amp; ";" &amp; FilterStringsWithX(S34), ";;", ";")))</f>
        <v/>
      </c>
      <c r="U34" t="str" cm="1">
        <f t="array" ref="U34">IF(MaxSize((SplitDimensions(T34)))=0, "", MaxSize((SplitDimensions(T34))))</f>
        <v/>
      </c>
      <c r="V34" s="17" t="str" cm="1">
        <f t="array" ref="V34">IF(ISERROR(INDEX(_xlfn._xlws.FILTER('Model output'!P:P,('Model output'!Z:Z=A34)*('Model output'!P:P&lt;&gt;"")),1)),"negative",IF(OR(ISNUMBER(SEARCH("foc",INDEX(_xlfn._xlws.FILTER('Model output'!P:P,('Model output'!Z:Z=A34)*('Model output'!P:P&lt;&gt;"")),1),1)),ISNUMBER(SEARCH("extensive",INDEX(_xlfn._xlws.FILTER('Model output'!P:P,('Model output'!Z:Z=A34)*('Model output'!P:P&lt;&gt;"")),1),1)),ISNUMBER(SEARCH("present",INDEX(_xlfn._xlws.FILTER('Model output'!P:P,('Model output'!Z:Z=A34)*('Model output'!P:P&lt;&gt;"")),1),1)),ISNUMBER(SEARCH("yes",INDEX(_xlfn._xlws.FILTER('Model output'!P:P,('Model output'!Z:Z=A34)*('Model output'!P:P&lt;&gt;"")),1),1))),"positive","negative"))</f>
        <v>positive</v>
      </c>
      <c r="X34" t="str" cm="1">
        <f t="array" ref="X34">IF(ISNUMBER(SEARCH("4",INDEX(_xlfn._xlws.FILTER('Model output'!P:P,('Model output'!Z:Z=A34)*('Model output'!P:P&lt;&gt;"")),1),1)),INDEX(_xlfn._xlws.FILTER('Model output'!P:P,('Model output'!Z:Z=A34)*('Model output'!P:P&lt;&gt;"")),1),"") &amp; _xlfn.TEXTJOIN("",TRUE,_xlfn._xlws.FILTER('Model output'!Q:Q,'Model output'!Z:Z=A34))</f>
        <v>Extensive (= or &gt; 4 vessels)Not specifiedNot mentioned</v>
      </c>
      <c r="Y34" t="str">
        <f t="shared" si="11"/>
        <v>extensive</v>
      </c>
      <c r="Z34" t="str" cm="1">
        <f t="array" ref="Z34">IF(OR(ISNUMBER(SEARCH("focal",_xlfn.TEXTJOIN("; ",TRUE,_xlfn._xlws.FILTER('Model output'!R:R,'Model output'!Z:Z=A34)),1)),ISNUMBER(SEARCH("present",_xlfn.TEXTJOIN("; ",TRUE,_xlfn._xlws.FILTER('Model output'!R:R,'Model output'!Z:Z=A34)),1))),"positive",IF(_xlfn.TEXTJOIN("; ",TRUE,_xlfn._xlws.FILTER('Model output'!R:R,'Model output'!Z:Z=A34))="","negative",IF(OR(ISNUMBER(SEARCH("no",_xlfn.TEXTJOIN("; ",TRUE,_xlfn._xlws.FILTER('Model output'!R:R,'Model output'!Z:Z=A34)),1)),ISNUMBER(SEARCH("absent",_xlfn.TEXTJOIN("; ",TRUE,_xlfn._xlws.FILTER('Model output'!R:R,'Model output'!Z:Z=A34)),1))),"negative","positive")))</f>
        <v>positive</v>
      </c>
      <c r="AA34" s="17" t="str">
        <f t="shared" si="15"/>
        <v>positive</v>
      </c>
      <c r="AE34" s="17" t="str">
        <f t="shared" si="12"/>
        <v>negative</v>
      </c>
      <c r="AF34" t="str" cm="1">
        <f t="array" ref="AF34">_xlfn.TEXTJOIN("; ",TRUE,_xlfn._xlws.FILTER('Model output'!S:S,'Model output'!Z:Z=A34))</f>
        <v>Focally into adjacent fibroadipose tissue (block B3); Not mentioned</v>
      </c>
      <c r="AG34" s="17" t="str" cm="1">
        <f t="array" ref="AG34">IF(OR(ISNUMBER(SEARCH("uninvolved",_xlfn.TEXTJOIN("; ",TRUE,_xlfn._xlws.FILTER('Model output'!V:V,'Model output'!Z:Z=A34)),1)),ISNUMBER(SEARCH("clear",_xlfn.TEXTJOIN("; ",TRUE,_xlfn._xlws.FILTER('Model output'!V:V,'Model output'!Z:Z=A34)),1))*ISNUMBER(SEARCH("not mentioned",_xlfn.TEXTJOIN("; ",TRUE,_xlfn._xlws.FILTER('Model output'!V:V,'Model output'!Z:Z=A34)),1))),"negative",IF(ISNUMBER(SEARCH("cannot be assessed",_xlfn.TEXTJOIN("; ",TRUE,_xlfn._xlws.FILTER('Model output'!V:V,'Model output'!Z:Z=A34)),1)),"unknown","negative"))</f>
        <v>negative</v>
      </c>
      <c r="AI34" s="45" t="str">
        <f t="shared" si="13"/>
        <v>high</v>
      </c>
      <c r="AJ34" s="41" t="str">
        <f>IF(OR(ISNUMBER(SEARCH("non-invasive follicular",Q34)),ISNUMBER(SEARCH("papillary-like nuclear features",Q34)),ISNUMBER(SEARCH("non-invasive follicular",R34)),ISNUMBER(SEARCH("papillary-like nuclear features",R34))),"NIFTP", IF(OR(F34="4b",AND(AE34="positive",OR(ISNUMBER(SEARCH("prevertebral",AF34)),ISNUMBER(SEARCH("fascia",AF34)),ISNUMBER(SEARCH("carotid artery",AF34)),ISNUMBER(SEARCH("mediastinal",AF34))))),"4b",IF(OR(F34="4a",AND(AE34="positive",OR(ISNUMBER(SEARCH("soft tissue",AF34)),ISNUMBER(SEARCH("larynx",AF34)),ISNUMBER(SEARCH("trachea",AF34)),ISNUMBER(SEARCH("esophagus",AF34)),ISNUMBER(SEARCH("recurrent laryngeal nerve",AF34)),ISNUMBER(SEARCH("RLN",AF34))))),"4a", IF(OR(F34="3b", AE34="positive",ISNUMBER(SEARCH("strap",AF34)),ISNUMBER(SEARCH("sternothyroid",AF34)),ISNUMBER(SEARCH("sternohyoid",AF34)),ISNUMBER(SEARCH("thyrohyoid",AF34)),ISNUMBER(SEARCH("omohyoid",AF34))),"3b",IF(OR(F34="3a", AND(U34&lt;&gt;"",U34&gt;4)),"3a",IF(AND(U34&lt;&gt;"", U34&lt;=4,U34&gt;2),"2",IF(AND(U34&lt;&gt;"",U34&lt;=2,U34&gt;1),"1b",IF(AND(U34&lt;&gt;"",U34&lt;=1),"1a","1a"))))))))</f>
        <v>1a</v>
      </c>
      <c r="AK34" s="41" t="str">
        <f t="shared" si="3"/>
        <v>1a</v>
      </c>
      <c r="AL34" s="41">
        <f t="shared" si="4"/>
        <v>0</v>
      </c>
      <c r="AM34" s="41" t="str">
        <f t="shared" si="5"/>
        <v>II</v>
      </c>
      <c r="AN34" s="42" t="s">
        <v>165</v>
      </c>
      <c r="AO34" s="43" t="s">
        <v>207</v>
      </c>
      <c r="AP34" s="43">
        <v>0</v>
      </c>
      <c r="AQ34" s="43">
        <v>0</v>
      </c>
      <c r="AR34" s="43" t="s">
        <v>44</v>
      </c>
      <c r="AS34" s="42">
        <f t="shared" si="6"/>
        <v>1</v>
      </c>
      <c r="AT34" s="43">
        <f t="shared" si="7"/>
        <v>0</v>
      </c>
      <c r="AU34" s="43">
        <f t="shared" si="8"/>
        <v>0</v>
      </c>
      <c r="AV34" s="43">
        <f t="shared" si="9"/>
        <v>1</v>
      </c>
      <c r="AW34" s="44">
        <f t="shared" si="10"/>
        <v>1</v>
      </c>
    </row>
    <row r="35" spans="1:50">
      <c r="A35" s="13">
        <v>33</v>
      </c>
      <c r="B35" s="16">
        <f>_xlfn.MAXIFS('Model output'!B:B,'Model output'!Z:Z,'Classification result'!$A35)</f>
        <v>44517</v>
      </c>
      <c r="C35" s="16"/>
      <c r="D35" s="16"/>
      <c r="E35" s="17">
        <f>_xlfn.MAXIFS('Model output'!C:C,'Model output'!Z:Z,'Classification result'!$A35)</f>
        <v>41</v>
      </c>
      <c r="F35" s="17" t="str" cm="1">
        <f t="array" ref="F35">LEFT(IF(ISERROR(RIGHT(IF(INDEX(_xlfn._xlws.FILTER('Model output'!D:D,('Model output'!Z:Z=A35)),1)&lt;&gt;"",INDEX(_xlfn._xlws.FILTER('Model output'!D:D,('Model output'!Z:Z=A35)),1),""),LEN(IF(INDEX(_xlfn._xlws.FILTER('Model output'!D:D,('Model output'!Z:Z=A35)),1)&lt;&gt;"",INDEX(_xlfn._xlws.FILTER('Model output'!D:D,('Model output'!Z:Z=A35)),1),""))-FIND("T",IF(INDEX(_xlfn._xlws.FILTER('Model output'!D:D,('Model output'!Z:Z=A35)),1)&lt;&gt;"",INDEX(_xlfn._xlws.FILTER('Model output'!D:D,('Model output'!Z:Z=A35)),1),""),1))),"",(RIGHT(IF(INDEX(_xlfn._xlws.FILTER('Model output'!D:D,('Model output'!Z:Z=A35)),1)&lt;&gt;"",INDEX(_xlfn._xlws.FILTER('Model output'!D:D,('Model output'!Z:Z=A35)),1),""),LEN(IF(INDEX(_xlfn._xlws.FILTER('Model output'!D:D,('Model output'!Z:Z=A35)),1)&lt;&gt;"",INDEX(_xlfn._xlws.FILTER('Model output'!D:D,('Model output'!Z:Z=A35)),1),""))-FIND("T",IF(INDEX(_xlfn._xlws.FILTER('Model output'!D:D,('Model output'!Z:Z=A35)),1)&lt;&gt;"",INDEX(_xlfn._xlws.FILTER('Model output'!D:D,('Model output'!Z:Z=A35)),1)))))),2)</f>
        <v>1a</v>
      </c>
      <c r="G35" s="17" t="str" cm="1">
        <f t="array" ref="G35">IF(ISNUMBER(SEARCH("N",IF(ISNUMBER(SEARCH("present",IF(INDEX(_xlfn._xlws.FILTER('Model output'!E:E,('Model output'!Z:Z=A35)),1)="","",INDEX(_xlfn._xlws.FILTER('Model output'!E:E,('Model output'!Z:Z=A35)),1)),1)),"N1", IF(INDEX(_xlfn._xlws.FILTER('Model output'!E:E,('Model output'!Z:Z=A35)),1)="","",INDEX(_xlfn._xlws.FILTER('Model output'!E:E,('Model output'!Z:Z=A35)),1))),1)),RIGHT(IF(ISNUMBER(SEARCH("present",IF(INDEX(_xlfn._xlws.FILTER('Model output'!E:E,('Model output'!Z:Z=A35)),1)="","",INDEX(_xlfn._xlws.FILTER('Model output'!E:E,('Model output'!Z:Z=A35)),1)),1)),"N1", IF(INDEX(_xlfn._xlws.FILTER('Model output'!E:E,('Model output'!Z:Z=A35)),1)="","",INDEX(_xlfn._xlws.FILTER('Model output'!E:E,('Model output'!Z:Z=A35)),1))),LEN(IF(ISNUMBER(SEARCH("present",IF(INDEX(_xlfn._xlws.FILTER('Model output'!E:E,('Model output'!Z:Z=A35)),1)="","",INDEX(_xlfn._xlws.FILTER('Model output'!E:E,('Model output'!Z:Z=A35)),1)),1)),"N1", IF(INDEX(_xlfn._xlws.FILTER('Model output'!E:E,('Model output'!Z:Z=A35)),1)="","",INDEX(_xlfn._xlws.FILTER('Model output'!E:E,('Model output'!Z:Z=A35)),1))))-FIND("N",IF(ISNUMBER(SEARCH("present",IF(INDEX(_xlfn._xlws.FILTER('Model output'!E:E,('Model output'!Z:Z=A35)),1)="","",INDEX(_xlfn._xlws.FILTER('Model output'!E:E,('Model output'!Z:Z=A35)),1)),1)),"N1", IF(INDEX(_xlfn._xlws.FILTER('Model output'!E:E,('Model output'!Z:Z=A35)),1)="","",INDEX(_xlfn._xlws.FILTER('Model output'!E:E,('Model output'!Z:Z=A35)),1))),1)), "")</f>
        <v/>
      </c>
      <c r="H35" s="17" cm="1">
        <f t="array" ref="H35">IF(AND(SUBSTITUTE(_xlfn.TEXTJOIN("/", TRUE, _xlfn._xlws.FILTER('Model output'!F:F, 'Model output'!Z:Z=A35)),"M", "")="", K35="negative"),0,IF(K35="positive",1,0))</f>
        <v>1</v>
      </c>
      <c r="I35" t="str">
        <f t="shared" si="0"/>
        <v/>
      </c>
      <c r="J35" t="str" cm="1">
        <f t="array" ref="J35">IF(AND(M35&gt;0, _xlfn.TEXTJOIN("; ", TRUE, _xlfn._xlws.FILTER('Model output'!G:G, 'Model output'!Z:Z=A35)) &lt;&gt;"", OR(AND(ISNUMBER(SEARCH("level", _xlfn.TEXTJOIN("; ", TRUE, _xlfn._xlws.FILTER('Model output'!G:G, 'Model output'!Z:Z=A35)),1)),OR(ISNUMBER(SEARCH(" II", _xlfn.TEXTJOIN("; ", TRUE, _xlfn._xlws.FILTER('Model output'!G:G, 'Model output'!Z:Z=A35)),1)),ISNUMBER(SEARCH("2", _xlfn.TEXTJOIN("; ", TRUE, _xlfn._xlws.FILTER('Model output'!G:G, 'Model output'!Z:Z=A35)),1)),ISNUMBER(SEARCH("two", _xlfn.TEXTJOIN("; ", TRUE, _xlfn._xlws.FILTER('Model output'!G:G, 'Model output'!Z:Z=A35)),1)),ISNUMBER(SEARCH("III", _xlfn.TEXTJOIN("; ", TRUE, _xlfn._xlws.FILTER('Model output'!G:G, 'Model output'!Z:Z=A35)),1)),ISNUMBER(SEARCH("3", _xlfn.TEXTJOIN("; ", TRUE, _xlfn._xlws.FILTER('Model output'!G:G, 'Model output'!Z:Z=A35)),1)),ISNUMBER(SEARCH("three", _xlfn.TEXTJOIN("; ", TRUE, _xlfn._xlws.FILTER('Model output'!G:G, 'Model output'!Z:Z=A35)),1)),ISNUMBER(SEARCH("IV", _xlfn.TEXTJOIN("; ", TRUE, _xlfn._xlws.FILTER('Model output'!G:G, 'Model output'!Z:Z=A35)),1)),ISNUMBER(SEARCH("4", _xlfn.TEXTJOIN("; ", TRUE, _xlfn._xlws.FILTER('Model output'!G:G, 'Model output'!Z:Z=A35)),1)),ISNUMBER(SEARCH("five", _xlfn.TEXTJOIN("; ", TRUE, _xlfn._xlws.FILTER('Model output'!G:G, 'Model output'!Z:Z=A35)),1)),ISNUMBER(SEARCH("V ", _xlfn.TEXTJOIN("; ", TRUE, _xlfn._xlws.FILTER('Model output'!G:G, 'Model output'!Z:Z=A35)),1)),ISNUMBER(SEARCH("5", _xlfn.TEXTJOIN("; ", TRUE, _xlfn._xlws.FILTER('Model output'!G:G, 'Model output'!Z:Z=A35)),1)),ISNUMBER(SEARCH("five", _xlfn.TEXTJOIN("; ", TRUE, _xlfn._xlws.FILTER('Model output'!G:G, 'Model output'!Z:Z=A35)),1)),ISNUMBER(SEARCH(" lateral", _xlfn.TEXTJOIN("; ", TRUE, _xlfn._xlws.FILTER('Model output'!G:G, 'Model output'!Z:Z=A35)),1)))),ISNUMBER(SEARCH("cervical", _xlfn.TEXTJOIN("; ", TRUE, _xlfn._xlws.FILTER('Model output'!G:G, 'Model output'!Z:Z=A35)),1)),ISNUMBER(SEARCH("jugular", _xlfn.TEXTJOIN("; ", TRUE, _xlfn._xlws.FILTER('Model output'!G:G, 'Model output'!Z:Z=A35)),1)),ISNUMBER(SEARCH("left neck", _xlfn.TEXTJOIN("; ", TRUE, _xlfn._xlws.FILTER('Model output'!G:G, 'Model output'!Z:Z=A35)),1)),ISNUMBER(SEARCH("left anterior neck", _xlfn.TEXTJOIN("; ", TRUE, _xlfn._xlws.FILTER('Model output'!G:G, 'Model output'!Z:Z=A35)),1)),ISNUMBER(SEARCH("left posterior neck", _xlfn.TEXTJOIN("; ", TRUE, _xlfn._xlws.FILTER('Model output'!G:G, 'Model output'!Z:Z=A35)),1)),ISNUMBER(SEARCH("right neck", _xlfn.TEXTJOIN("; ", TRUE, _xlfn._xlws.FILTER('Model output'!G:G, 'Model output'!Z:Z=A35)),1)),ISNUMBER(SEARCH("right anterior neck", _xlfn.TEXTJOIN("; ", TRUE, _xlfn._xlws.FILTER('Model output'!G:G, 'Model output'!Z:Z=A35)),1)),ISNUMBER(SEARCH("right posterior neck", _xlfn.TEXTJOIN("; ", TRUE, _xlfn._xlws.FILTER('Model output'!G:G, 'Model output'!Z:Z=A35)),1)))),"lateral",IF(AND(M35=0, _xlfn.TEXTJOIN("; ", TRUE, _xlfn._xlws.FILTER('Model output'!G:G, 'Model output'!Z:Z=A35))=""),"", "central"))</f>
        <v/>
      </c>
      <c r="K35" s="17" t="str" cm="1">
        <f t="array" ref="K35">IF(OR(ISNUMBER(SEARCH("lymph",_xlfn.TEXTJOIN("; ", TRUE, _xlfn._xlws.FILTER('Model output'!H:H, 'Model output'!Z:Z=A35)),1)), ISNUMBER(SEARCH("Not mentioned",_xlfn.TEXTJOIN("; ", TRUE, _xlfn._xlws.FILTER('Model output'!H:H, 'Model output'!Z:Z=A35)),1)),ISNUMBER(SEARCH("thyroid",_xlfn.TEXTJOIN("; ", TRUE, _xlfn._xlws.FILTER('Model output'!H:H, 'Model output'!Z:Z=A35)),1)),ISNUMBER(SEARCH("strap muscle",_xlfn.TEXTJOIN("; ", TRUE, _xlfn._xlws.FILTER('Model output'!H:H, 'Model output'!Z:Z=A35)),1)),ISNUMBER(SEARCH("subcutaneous soft tissues",_xlfn.TEXTJOIN("; ", TRUE, _xlfn._xlws.FILTER('Model output'!H:H, 'Model output'!Z:Z=A35)),1)),ISNUMBER(SEARCH("larynx",_xlfn.TEXTJOIN("; ", TRUE, _xlfn._xlws.FILTER('Model output'!H:H, 'Model output'!Z:Z=A35)),1)),ISNUMBER(SEARCH("trachea",_xlfn.TEXTJOIN("; ", TRUE, _xlfn._xlws.FILTER('Model output'!H:H, 'Model output'!Z:Z=A35)),1)),ISNUMBER(SEARCH("esophagus",_xlfn.TEXTJOIN("; ", TRUE, _xlfn._xlws.FILTER('Model output'!H:H, 'Model output'!Z:Z=A35)),1)),ISNUMBER(SEARCH("recurrent laryngeal nerve",_xlfn.TEXTJOIN("; ", TRUE, _xlfn._xlws.FILTER('Model output'!H:H, 'Model output'!Z:Z=A35)),1)),ISNUMBER(SEARCH("RLN",_xlfn.TEXTJOIN("; ", TRUE, _xlfn._xlws.FILTER('Model output'!H:H, 'Model output'!Z:Z=A35)),1)),_xlfn.TEXTJOIN("; ", TRUE, _xlfn._xlws.FILTER('Model output'!H:H, 'Model output'!Z:Z=A35))=""),"negative","positive")</f>
        <v>positive</v>
      </c>
      <c r="L35" s="17">
        <f>IF(IFERROR(INDEX('Model output'!I:I, MATCH(A35, 'Model output'!Z:Z, 0)), "") &lt; M35, "", IFERROR(INDEX('Model output'!I:I, MATCH(A35, 'Model output'!Z:Z, 0)), ""))</f>
        <v>0</v>
      </c>
      <c r="M35" s="17">
        <f>IFERROR(INDEX('Model output'!J:J, MATCH(A35, 'Model output'!Z:Z, 0)), "")</f>
        <v>0</v>
      </c>
      <c r="N35" s="18" t="str" cm="1">
        <f t="array" ref="N35">ReplaceTo(ReplaceAnd(SUBSTITUTE(SUBSTITUTE(_xlfn.TEXTJOIN("; ", TRUE, _xlfn._xlws.FILTER('Model output'!K:K, 'Model output'!Z:Z=A35)), " ", ""), ",", ";")))</f>
        <v/>
      </c>
      <c r="O35" t="str" cm="1">
        <f t="array" ref="O35">IF(LEFT(IF(RIGHT(SUBSTITUTE(FilterWithUnits(N35)&amp; ";" &amp;FilterStringsWithNumericAnd(N35) &amp; ";" &amp; FilterStringsWithX(N35), ";;", ";"),1)=";",LEFT(SUBSTITUTE(FilterWithUnits(N35)&amp; ";" &amp;FilterStringsWithNumericAnd(N35) &amp; ";" &amp; FilterStringsWithX(N35), ";;", ";"),LEN(SUBSTITUTE(FilterWithUnits(N35)&amp; ";" &amp;FilterStringsWithNumericAnd(N35) &amp; ";" &amp; FilterStringsWithX(N35), ";;", ";"))-1),SUBSTITUTE(FilterWithUnits(N35)&amp; ";" &amp;FilterStringsWithNumericAnd(N35) &amp; ";" &amp; FilterStringsWithX(N35), ";;", ";")),1)=";",RIGHT(IF(RIGHT(SUBSTITUTE(FilterWithUnits(N35)&amp; ";" &amp;FilterStringsWithNumericAnd(N35) &amp; ";" &amp; FilterStringsWithX(N35), ";;", ";"),1)=";",LEFT(SUBSTITUTE(FilterWithUnits(N35)&amp; ";" &amp;FilterStringsWithNumericAnd(N35) &amp; ";" &amp; FilterStringsWithX(N35), ";;", ";"),LEN(SUBSTITUTE(FilterWithUnits(N35)&amp; ";" &amp;FilterStringsWithNumericAnd(N35) &amp; ";" &amp; FilterStringsWithX(N35), ";;", ";"))-1),SUBSTITUTE(FilterWithUnits(N35)&amp; ";" &amp;FilterStringsWithNumericAnd(N35) &amp; ";" &amp; FilterStringsWithX(N35), ";;", ";")),LEN(IF(RIGHT(SUBSTITUTE(FilterWithUnits(N35)&amp; ";" &amp;FilterStringsWithNumericAnd(N35) &amp; ";" &amp; FilterStringsWithX(N35), ";;", ";"),1)=";",LEFT(SUBSTITUTE(FilterWithUnits(N35)&amp; ";" &amp;FilterStringsWithNumericAnd(N35) &amp; ";" &amp; FilterStringsWithX(N35), ";;", ";"),LEN(SUBSTITUTE(FilterWithUnits(N35)&amp; ";" &amp;FilterStringsWithNumericAnd(N35) &amp; ";" &amp; FilterStringsWithX(N35), ";;", ";"))-1),SUBSTITUTE(FilterWithUnits(N35)&amp; ";" &amp;FilterStringsWithNumericAnd(N35) &amp; ";" &amp; FilterStringsWithX(N35), ";;", ";")))-1),IF(RIGHT(SUBSTITUTE(FilterWithUnits(N35)&amp; ";" &amp;FilterStringsWithNumericAnd(N35) &amp; ";" &amp; FilterStringsWithX(N35), ";;", ";"),1)=";",LEFT(SUBSTITUTE(FilterWithUnits(N35)&amp; ";" &amp;FilterStringsWithNumericAnd(N35) &amp; ";" &amp; FilterStringsWithX(N35), ";;", ";"),LEN(SUBSTITUTE(FilterWithUnits(N35)&amp; ";" &amp;FilterStringsWithNumericAnd(N35) &amp; ";" &amp; FilterStringsWithX(N35), ";;", ";"))-1),SUBSTITUTE(FilterWithUnits(N35)&amp; ";" &amp;FilterStringsWithNumericAnd(N35) &amp; ";" &amp; FilterStringsWithX(N35), ";;", ";")))</f>
        <v/>
      </c>
      <c r="P35" t="str" cm="1">
        <f t="array" ref="P35">IF(MaxSize((SplitDimensions(O35)))=0, "", MaxSize((SplitDimensions(O35))))</f>
        <v/>
      </c>
      <c r="Q35" t="str" cm="1">
        <f t="array" ref="Q35">IF(ISERROR(INDEX(_xlfn._xlws.FILTER('Model output'!L:L, ('Model output'!Z:Z=A35)*('Model output'!L:L&lt;&gt;"")), 1)), " ", LOWER(INDEX(_xlfn._xlws.FILTER('Model output'!L:L, ('Model output'!Z:Z=A35)*('Model output'!L:L&lt;&gt;"")), 1)))</f>
        <v>papillary</v>
      </c>
      <c r="R35" t="str" cm="1">
        <f t="array" ref="R35">IF(ISERROR(INDEX(_xlfn._xlws.FILTER('Model output'!M:M, ('Model output'!Z:Z=A35)*('Model output'!M:M&lt;&gt;"")), 1)), " ", LOWER(INDEX(_xlfn._xlws.FILTER('Model output'!M:M, ('Model output'!Z:Z=A35)*('Model output'!M:M&lt;&gt;"")), 1)))</f>
        <v>microcarcinoma</v>
      </c>
      <c r="S35" t="str" cm="1">
        <f t="array" ref="S35">IF(OR(ISNUMBER(SEARCH("ly",SUBSTITUTE(INDEX(_xlfn._xlws.FILTER('Model output'!N:N,('Model output'!Z:Z=A35)*('Model output'!N:N&lt;&gt;"")),1)," ",""),1)), ISNUMBER(SEARCH("pole",SUBSTITUTE(INDEX(_xlfn._xlws.FILTER('Model output'!N:N,('Model output'!Z:Z=A35)*('Model output'!N:N&lt;&gt;"")),1)," ",""),1))),"",SUBSTITUTE(INDEX(_xlfn._xlws.FILTER('Model output'!N:N,('Model output'!Z:Z=A35)*('Model output'!N:N&lt;&gt;"")),1)," ",""))</f>
        <v>0.6mm</v>
      </c>
      <c r="T35" t="str" cm="1">
        <f t="array" ref="T35">IF(LEFT(IF(RIGHT(SUBSTITUTE(FilterWithUnits(S35)&amp; ";" &amp;FilterStringsWithNumericAnd(S35) &amp; ";" &amp; FilterStringsWithX(S35), ";;", ";"),1)=";",LEFT(SUBSTITUTE(FilterWithUnits(S35)&amp; ";" &amp;FilterStringsWithNumericAnd(S35) &amp; ";" &amp; FilterStringsWithX(S35), ";;", ";"),LEN(SUBSTITUTE(FilterWithUnits(S35)&amp; ";" &amp;FilterStringsWithNumericAnd(S35) &amp; ";" &amp; FilterStringsWithX(S35), ";;", ";"))-1),SUBSTITUTE(FilterWithUnits(S35)&amp; ";" &amp;FilterStringsWithNumericAnd(S35) &amp; ";" &amp; FilterStringsWithX(S35), ";;", ";")),1)=";",RIGHT(IF(RIGHT(SUBSTITUTE(FilterWithUnits(S35)&amp; ";" &amp;FilterStringsWithNumericAnd(S35) &amp; ";" &amp; FilterStringsWithX(S35), ";;", ";"),1)=";",LEFT(SUBSTITUTE(FilterWithUnits(S35)&amp; ";" &amp;FilterStringsWithNumericAnd(S35) &amp; ";" &amp; FilterStringsWithX(S35), ";;", ";"),LEN(SUBSTITUTE(FilterWithUnits(S35)&amp; ";" &amp;FilterStringsWithNumericAnd(S35) &amp; ";" &amp; FilterStringsWithX(S35), ";;", ";"))-1),SUBSTITUTE(FilterWithUnits(S35)&amp; ";" &amp;FilterStringsWithNumericAnd(S35) &amp; ";" &amp; FilterStringsWithX(S35), ";;", ";")),LEN(IF(RIGHT(SUBSTITUTE(FilterWithUnits(S35)&amp; ";" &amp;FilterStringsWithNumericAnd(S35) &amp; ";" &amp; FilterStringsWithX(S35), ";;", ";"),1)=";",LEFT(SUBSTITUTE(FilterWithUnits(S35)&amp; ";" &amp;FilterStringsWithNumericAnd(S35) &amp; ";" &amp; FilterStringsWithX(S35), ";;", ";"),LEN(SUBSTITUTE(FilterWithUnits(S35)&amp; ";" &amp;FilterStringsWithNumericAnd(S35) &amp; ";" &amp; FilterStringsWithX(S35), ";;", ";"))-1),SUBSTITUTE(FilterWithUnits(S35)&amp; ";" &amp;FilterStringsWithNumericAnd(S35) &amp; ";" &amp; FilterStringsWithX(S35), ";;", ";")))-1),IF(RIGHT(SUBSTITUTE(FilterWithUnits(S35)&amp; ";" &amp;FilterStringsWithNumericAnd(S35) &amp; ";" &amp; FilterStringsWithX(S35), ";;", ";"),1)=";",LEFT(SUBSTITUTE(FilterWithUnits(S35)&amp; ";" &amp;FilterStringsWithNumericAnd(S35) &amp; ";" &amp; FilterStringsWithX(S35), ";;", ";"),LEN(SUBSTITUTE(FilterWithUnits(S35)&amp; ";" &amp;FilterStringsWithNumericAnd(S35) &amp; ";" &amp; FilterStringsWithX(S35), ";;", ";"))-1),SUBSTITUTE(FilterWithUnits(S35)&amp; ";" &amp;FilterStringsWithNumericAnd(S35) &amp; ";" &amp; FilterStringsWithX(S35), ";;", ";")))</f>
        <v>0.6mm</v>
      </c>
      <c r="U35" cm="1">
        <f t="array" ref="U35">IF(MaxSize((SplitDimensions(T35)))=0, "", MaxSize((SplitDimensions(T35))))</f>
        <v>0.06</v>
      </c>
      <c r="V35" s="17" t="str" cm="1">
        <f t="array" ref="V35">IF(ISERROR(INDEX(_xlfn._xlws.FILTER('Model output'!P:P,('Model output'!Z:Z=A35)*('Model output'!P:P&lt;&gt;"")),1)),"negative",IF(OR(ISNUMBER(SEARCH("foc",INDEX(_xlfn._xlws.FILTER('Model output'!P:P,('Model output'!Z:Z=A35)*('Model output'!P:P&lt;&gt;"")),1),1)),ISNUMBER(SEARCH("extensive",INDEX(_xlfn._xlws.FILTER('Model output'!P:P,('Model output'!Z:Z=A35)*('Model output'!P:P&lt;&gt;"")),1),1)),ISNUMBER(SEARCH("present",INDEX(_xlfn._xlws.FILTER('Model output'!P:P,('Model output'!Z:Z=A35)*('Model output'!P:P&lt;&gt;"")),1),1)),ISNUMBER(SEARCH("yes",INDEX(_xlfn._xlws.FILTER('Model output'!P:P,('Model output'!Z:Z=A35)*('Model output'!P:P&lt;&gt;"")),1),1))),"positive","negative"))</f>
        <v>positive</v>
      </c>
      <c r="X35" t="str" cm="1">
        <f t="array" ref="X35">IF(ISNUMBER(SEARCH("4",INDEX(_xlfn._xlws.FILTER('Model output'!P:P,('Model output'!Z:Z=A35)*('Model output'!P:P&lt;&gt;"")),1),1)),INDEX(_xlfn._xlws.FILTER('Model output'!P:P,('Model output'!Z:Z=A35)*('Model output'!P:P&lt;&gt;"")),1),"") &amp; _xlfn.TEXTJOIN("",TRUE,_xlfn._xlws.FILTER('Model output'!Q:Q,'Model output'!Z:Z=A35))</f>
        <v/>
      </c>
      <c r="Y35" t="str">
        <f t="shared" si="11"/>
        <v>minimal</v>
      </c>
      <c r="Z35" t="str" cm="1">
        <f t="array" ref="Z35">IF(OR(ISNUMBER(SEARCH("focal",_xlfn.TEXTJOIN("; ",TRUE,_xlfn._xlws.FILTER('Model output'!R:R,'Model output'!Z:Z=A35)),1)),ISNUMBER(SEARCH("present",_xlfn.TEXTJOIN("; ",TRUE,_xlfn._xlws.FILTER('Model output'!R:R,'Model output'!Z:Z=A35)),1))),"positive",IF(_xlfn.TEXTJOIN("; ",TRUE,_xlfn._xlws.FILTER('Model output'!R:R,'Model output'!Z:Z=A35))="","negative",IF(OR(ISNUMBER(SEARCH("no",_xlfn.TEXTJOIN("; ",TRUE,_xlfn._xlws.FILTER('Model output'!R:R,'Model output'!Z:Z=A35)),1)),ISNUMBER(SEARCH("absent",_xlfn.TEXTJOIN("; ",TRUE,_xlfn._xlws.FILTER('Model output'!R:R,'Model output'!Z:Z=A35)),1))),"negative","positive")))</f>
        <v>negative</v>
      </c>
      <c r="AA35" s="17" t="str">
        <f t="shared" si="15"/>
        <v>negative</v>
      </c>
      <c r="AE35" s="17" t="str">
        <f t="shared" si="12"/>
        <v>negative</v>
      </c>
      <c r="AF35" t="str" cm="1">
        <f t="array" ref="AF35">_xlfn.TEXTJOIN("; ",TRUE,_xlfn._xlws.FILTER('Model output'!S:S,'Model output'!Z:Z=A35))</f>
        <v/>
      </c>
      <c r="AG35" s="17" t="str" cm="1">
        <f t="array" ref="AG35">IF(OR(ISNUMBER(SEARCH("uninvolved",_xlfn.TEXTJOIN("; ",TRUE,_xlfn._xlws.FILTER('Model output'!V:V,'Model output'!Z:Z=A35)),1)),ISNUMBER(SEARCH("clear",_xlfn.TEXTJOIN("; ",TRUE,_xlfn._xlws.FILTER('Model output'!V:V,'Model output'!Z:Z=A35)),1))*ISNUMBER(SEARCH("not mentioned",_xlfn.TEXTJOIN("; ",TRUE,_xlfn._xlws.FILTER('Model output'!V:V,'Model output'!Z:Z=A35)),1))),"negative",IF(ISNUMBER(SEARCH("cannot be assessed",_xlfn.TEXTJOIN("; ",TRUE,_xlfn._xlws.FILTER('Model output'!V:V,'Model output'!Z:Z=A35)),1)),"unknown","negative"))</f>
        <v>negative</v>
      </c>
      <c r="AI35" s="45" t="str">
        <f t="shared" si="13"/>
        <v>high</v>
      </c>
      <c r="AJ35" s="41" t="str">
        <f t="shared" ref="AJ35:AJ37" si="16">IF(OR(ISNUMBER(SEARCH("non-invasive follicular",Q35)),ISNUMBER(SEARCH("papillary-like nuclear features",Q35)),ISNUMBER(SEARCH("non-invasive follicular",R35)),ISNUMBER(SEARCH("papillary-like nuclear features",R35))),"NIFTP", IF(OR(F35="4b",AND(AE35="positive",OR(ISNUMBER(SEARCH("prevertebral",AF35)),ISNUMBER(SEARCH("fascia",AF35)),ISNUMBER(SEARCH("carotid artery",AF35)),ISNUMBER(SEARCH("mediastinal",AF35))))),"4b",IF(OR(F35="4a",AND(AE35="positive",OR(ISNUMBER(SEARCH("soft tissue",AF35)),ISNUMBER(SEARCH("larynx",AF35)),ISNUMBER(SEARCH("trachea",AF35)),ISNUMBER(SEARCH("esophagus",AF35)),ISNUMBER(SEARCH("recurrent laryngeal nerve",AF35)),ISNUMBER(SEARCH("RLN",AF35))))),"4a", IF(OR(F35="3b", AE35="positive",ISNUMBER(SEARCH("strap",AF35)),ISNUMBER(SEARCH("sternothyroid",AF35)),ISNUMBER(SEARCH("sternohyoid",AF35)),ISNUMBER(SEARCH("thyrohyoid",AF35)),ISNUMBER(SEARCH("omohyoid",AF35))),"3b",IF(OR(F35="3a", AND(U35&lt;&gt;"",U35&gt;4)),"3a",IF(AND(U35&lt;&gt;"", U35&lt;=4,U35&gt;2),"2",IF(AND(U35&lt;&gt;"",U35&lt;=2,U35&gt;1),"1b",IF(AND(U35&lt;&gt;"",U35&lt;=1),"1a","1a"))))))))</f>
        <v>1a</v>
      </c>
      <c r="AK35" s="41" t="str">
        <f t="shared" si="3"/>
        <v>x</v>
      </c>
      <c r="AL35" s="41">
        <f t="shared" si="4"/>
        <v>1</v>
      </c>
      <c r="AM35" s="41" t="str">
        <f t="shared" si="5"/>
        <v>II</v>
      </c>
      <c r="AN35" s="42" t="s">
        <v>165</v>
      </c>
      <c r="AO35" s="43" t="s">
        <v>205</v>
      </c>
      <c r="AP35" s="43" t="s">
        <v>204</v>
      </c>
      <c r="AQ35" s="43">
        <v>1</v>
      </c>
      <c r="AR35" s="43" t="s">
        <v>44</v>
      </c>
      <c r="AS35" s="42">
        <f t="shared" si="6"/>
        <v>1</v>
      </c>
      <c r="AT35" s="43">
        <f t="shared" si="7"/>
        <v>1</v>
      </c>
      <c r="AU35" s="43">
        <f t="shared" si="8"/>
        <v>1</v>
      </c>
      <c r="AV35" s="43">
        <f t="shared" si="9"/>
        <v>1</v>
      </c>
      <c r="AW35" s="44">
        <f t="shared" si="10"/>
        <v>1</v>
      </c>
    </row>
    <row r="36" spans="1:50">
      <c r="A36" s="13">
        <v>34</v>
      </c>
      <c r="B36" s="16">
        <f>_xlfn.MAXIFS('Model output'!B:B,'Model output'!Z:Z,'Classification result'!$A36)</f>
        <v>44825</v>
      </c>
      <c r="C36" s="16"/>
      <c r="D36" s="16"/>
      <c r="E36" s="17">
        <f>_xlfn.MAXIFS('Model output'!C:C,'Model output'!Z:Z,'Classification result'!$A36)</f>
        <v>63</v>
      </c>
      <c r="F36" s="17" t="str" cm="1">
        <f t="array" ref="F36">LEFT(IF(ISERROR(RIGHT(IF(INDEX(_xlfn._xlws.FILTER('Model output'!D:D,('Model output'!Z:Z=A36)),1)&lt;&gt;"",INDEX(_xlfn._xlws.FILTER('Model output'!D:D,('Model output'!Z:Z=A36)),1),""),LEN(IF(INDEX(_xlfn._xlws.FILTER('Model output'!D:D,('Model output'!Z:Z=A36)),1)&lt;&gt;"",INDEX(_xlfn._xlws.FILTER('Model output'!D:D,('Model output'!Z:Z=A36)),1),""))-FIND("T",IF(INDEX(_xlfn._xlws.FILTER('Model output'!D:D,('Model output'!Z:Z=A36)),1)&lt;&gt;"",INDEX(_xlfn._xlws.FILTER('Model output'!D:D,('Model output'!Z:Z=A36)),1),""),1))),"",(RIGHT(IF(INDEX(_xlfn._xlws.FILTER('Model output'!D:D,('Model output'!Z:Z=A36)),1)&lt;&gt;"",INDEX(_xlfn._xlws.FILTER('Model output'!D:D,('Model output'!Z:Z=A36)),1),""),LEN(IF(INDEX(_xlfn._xlws.FILTER('Model output'!D:D,('Model output'!Z:Z=A36)),1)&lt;&gt;"",INDEX(_xlfn._xlws.FILTER('Model output'!D:D,('Model output'!Z:Z=A36)),1),""))-FIND("T",IF(INDEX(_xlfn._xlws.FILTER('Model output'!D:D,('Model output'!Z:Z=A36)),1)&lt;&gt;"",INDEX(_xlfn._xlws.FILTER('Model output'!D:D,('Model output'!Z:Z=A36)),1)))))),2)</f>
        <v>4a</v>
      </c>
      <c r="G36" s="17" t="str" cm="1">
        <f t="array" ref="G36">IF(ISNUMBER(SEARCH("N",IF(ISNUMBER(SEARCH("present",IF(INDEX(_xlfn._xlws.FILTER('Model output'!E:E,('Model output'!Z:Z=A36)),1)="","",INDEX(_xlfn._xlws.FILTER('Model output'!E:E,('Model output'!Z:Z=A36)),1)),1)),"N1", IF(INDEX(_xlfn._xlws.FILTER('Model output'!E:E,('Model output'!Z:Z=A36)),1)="","",INDEX(_xlfn._xlws.FILTER('Model output'!E:E,('Model output'!Z:Z=A36)),1))),1)),RIGHT(IF(ISNUMBER(SEARCH("present",IF(INDEX(_xlfn._xlws.FILTER('Model output'!E:E,('Model output'!Z:Z=A36)),1)="","",INDEX(_xlfn._xlws.FILTER('Model output'!E:E,('Model output'!Z:Z=A36)),1)),1)),"N1", IF(INDEX(_xlfn._xlws.FILTER('Model output'!E:E,('Model output'!Z:Z=A36)),1)="","",INDEX(_xlfn._xlws.FILTER('Model output'!E:E,('Model output'!Z:Z=A36)),1))),LEN(IF(ISNUMBER(SEARCH("present",IF(INDEX(_xlfn._xlws.FILTER('Model output'!E:E,('Model output'!Z:Z=A36)),1)="","",INDEX(_xlfn._xlws.FILTER('Model output'!E:E,('Model output'!Z:Z=A36)),1)),1)),"N1", IF(INDEX(_xlfn._xlws.FILTER('Model output'!E:E,('Model output'!Z:Z=A36)),1)="","",INDEX(_xlfn._xlws.FILTER('Model output'!E:E,('Model output'!Z:Z=A36)),1))))-FIND("N",IF(ISNUMBER(SEARCH("present",IF(INDEX(_xlfn._xlws.FILTER('Model output'!E:E,('Model output'!Z:Z=A36)),1)="","",INDEX(_xlfn._xlws.FILTER('Model output'!E:E,('Model output'!Z:Z=A36)),1)),1)),"N1", IF(INDEX(_xlfn._xlws.FILTER('Model output'!E:E,('Model output'!Z:Z=A36)),1)="","",INDEX(_xlfn._xlws.FILTER('Model output'!E:E,('Model output'!Z:Z=A36)),1))),1)), "")</f>
        <v/>
      </c>
      <c r="H36" s="17" cm="1">
        <f t="array" ref="H36">IF(AND(SUBSTITUTE(_xlfn.TEXTJOIN("/", TRUE, _xlfn._xlws.FILTER('Model output'!F:F, 'Model output'!Z:Z=A36)),"M", "")="", K36="negative"),0,IF(K36="positive",1,0))</f>
        <v>0</v>
      </c>
      <c r="I36" t="str">
        <f t="shared" si="0"/>
        <v>positive</v>
      </c>
      <c r="J36" t="str" cm="1">
        <f t="array" ref="J36">IF(AND(M36&gt;0, _xlfn.TEXTJOIN("; ", TRUE, _xlfn._xlws.FILTER('Model output'!G:G, 'Model output'!Z:Z=A36)) &lt;&gt;"", OR(AND(ISNUMBER(SEARCH("level", _xlfn.TEXTJOIN("; ", TRUE, _xlfn._xlws.FILTER('Model output'!G:G, 'Model output'!Z:Z=A36)),1)),OR(ISNUMBER(SEARCH(" II", _xlfn.TEXTJOIN("; ", TRUE, _xlfn._xlws.FILTER('Model output'!G:G, 'Model output'!Z:Z=A36)),1)),ISNUMBER(SEARCH("2", _xlfn.TEXTJOIN("; ", TRUE, _xlfn._xlws.FILTER('Model output'!G:G, 'Model output'!Z:Z=A36)),1)),ISNUMBER(SEARCH("two", _xlfn.TEXTJOIN("; ", TRUE, _xlfn._xlws.FILTER('Model output'!G:G, 'Model output'!Z:Z=A36)),1)),ISNUMBER(SEARCH("III", _xlfn.TEXTJOIN("; ", TRUE, _xlfn._xlws.FILTER('Model output'!G:G, 'Model output'!Z:Z=A36)),1)),ISNUMBER(SEARCH("3", _xlfn.TEXTJOIN("; ", TRUE, _xlfn._xlws.FILTER('Model output'!G:G, 'Model output'!Z:Z=A36)),1)),ISNUMBER(SEARCH("three", _xlfn.TEXTJOIN("; ", TRUE, _xlfn._xlws.FILTER('Model output'!G:G, 'Model output'!Z:Z=A36)),1)),ISNUMBER(SEARCH("IV", _xlfn.TEXTJOIN("; ", TRUE, _xlfn._xlws.FILTER('Model output'!G:G, 'Model output'!Z:Z=A36)),1)),ISNUMBER(SEARCH("4", _xlfn.TEXTJOIN("; ", TRUE, _xlfn._xlws.FILTER('Model output'!G:G, 'Model output'!Z:Z=A36)),1)),ISNUMBER(SEARCH("five", _xlfn.TEXTJOIN("; ", TRUE, _xlfn._xlws.FILTER('Model output'!G:G, 'Model output'!Z:Z=A36)),1)),ISNUMBER(SEARCH("V ", _xlfn.TEXTJOIN("; ", TRUE, _xlfn._xlws.FILTER('Model output'!G:G, 'Model output'!Z:Z=A36)),1)),ISNUMBER(SEARCH("5", _xlfn.TEXTJOIN("; ", TRUE, _xlfn._xlws.FILTER('Model output'!G:G, 'Model output'!Z:Z=A36)),1)),ISNUMBER(SEARCH("five", _xlfn.TEXTJOIN("; ", TRUE, _xlfn._xlws.FILTER('Model output'!G:G, 'Model output'!Z:Z=A36)),1)),ISNUMBER(SEARCH(" lateral", _xlfn.TEXTJOIN("; ", TRUE, _xlfn._xlws.FILTER('Model output'!G:G, 'Model output'!Z:Z=A36)),1)))),ISNUMBER(SEARCH("cervical", _xlfn.TEXTJOIN("; ", TRUE, _xlfn._xlws.FILTER('Model output'!G:G, 'Model output'!Z:Z=A36)),1)),ISNUMBER(SEARCH("jugular", _xlfn.TEXTJOIN("; ", TRUE, _xlfn._xlws.FILTER('Model output'!G:G, 'Model output'!Z:Z=A36)),1)),ISNUMBER(SEARCH("left neck", _xlfn.TEXTJOIN("; ", TRUE, _xlfn._xlws.FILTER('Model output'!G:G, 'Model output'!Z:Z=A36)),1)),ISNUMBER(SEARCH("left anterior neck", _xlfn.TEXTJOIN("; ", TRUE, _xlfn._xlws.FILTER('Model output'!G:G, 'Model output'!Z:Z=A36)),1)),ISNUMBER(SEARCH("left posterior neck", _xlfn.TEXTJOIN("; ", TRUE, _xlfn._xlws.FILTER('Model output'!G:G, 'Model output'!Z:Z=A36)),1)),ISNUMBER(SEARCH("right neck", _xlfn.TEXTJOIN("; ", TRUE, _xlfn._xlws.FILTER('Model output'!G:G, 'Model output'!Z:Z=A36)),1)),ISNUMBER(SEARCH("right anterior neck", _xlfn.TEXTJOIN("; ", TRUE, _xlfn._xlws.FILTER('Model output'!G:G, 'Model output'!Z:Z=A36)),1)),ISNUMBER(SEARCH("right posterior neck", _xlfn.TEXTJOIN("; ", TRUE, _xlfn._xlws.FILTER('Model output'!G:G, 'Model output'!Z:Z=A36)),1)))),"lateral",IF(AND(M36=0, _xlfn.TEXTJOIN("; ", TRUE, _xlfn._xlws.FILTER('Model output'!G:G, 'Model output'!Z:Z=A36))=""),"", "central"))</f>
        <v>central</v>
      </c>
      <c r="K36" s="17" t="str" cm="1">
        <f t="array" ref="K36">IF(OR(ISNUMBER(SEARCH("lymph",_xlfn.TEXTJOIN("; ", TRUE, _xlfn._xlws.FILTER('Model output'!H:H, 'Model output'!Z:Z=A36)),1)), ISNUMBER(SEARCH("Not mentioned",_xlfn.TEXTJOIN("; ", TRUE, _xlfn._xlws.FILTER('Model output'!H:H, 'Model output'!Z:Z=A36)),1)),ISNUMBER(SEARCH("thyroid",_xlfn.TEXTJOIN("; ", TRUE, _xlfn._xlws.FILTER('Model output'!H:H, 'Model output'!Z:Z=A36)),1)),ISNUMBER(SEARCH("strap muscle",_xlfn.TEXTJOIN("; ", TRUE, _xlfn._xlws.FILTER('Model output'!H:H, 'Model output'!Z:Z=A36)),1)),ISNUMBER(SEARCH("subcutaneous soft tissues",_xlfn.TEXTJOIN("; ", TRUE, _xlfn._xlws.FILTER('Model output'!H:H, 'Model output'!Z:Z=A36)),1)),ISNUMBER(SEARCH("larynx",_xlfn.TEXTJOIN("; ", TRUE, _xlfn._xlws.FILTER('Model output'!H:H, 'Model output'!Z:Z=A36)),1)),ISNUMBER(SEARCH("trachea",_xlfn.TEXTJOIN("; ", TRUE, _xlfn._xlws.FILTER('Model output'!H:H, 'Model output'!Z:Z=A36)),1)),ISNUMBER(SEARCH("esophagus",_xlfn.TEXTJOIN("; ", TRUE, _xlfn._xlws.FILTER('Model output'!H:H, 'Model output'!Z:Z=A36)),1)),ISNUMBER(SEARCH("recurrent laryngeal nerve",_xlfn.TEXTJOIN("; ", TRUE, _xlfn._xlws.FILTER('Model output'!H:H, 'Model output'!Z:Z=A36)),1)),ISNUMBER(SEARCH("RLN",_xlfn.TEXTJOIN("; ", TRUE, _xlfn._xlws.FILTER('Model output'!H:H, 'Model output'!Z:Z=A36)),1)),_xlfn.TEXTJOIN("; ", TRUE, _xlfn._xlws.FILTER('Model output'!H:H, 'Model output'!Z:Z=A36))=""),"negative","positive")</f>
        <v>negative</v>
      </c>
      <c r="L36" s="17">
        <f>IF(IFERROR(INDEX('Model output'!I:I, MATCH(A36, 'Model output'!Z:Z, 0)), "") &lt; M36, "", IFERROR(INDEX('Model output'!I:I, MATCH(A36, 'Model output'!Z:Z, 0)), ""))</f>
        <v>5</v>
      </c>
      <c r="M36" s="17">
        <f>IFERROR(INDEX('Model output'!J:J, MATCH(A36, 'Model output'!Z:Z, 0)), "")</f>
        <v>1</v>
      </c>
      <c r="N36" s="18" t="str" cm="1">
        <f t="array" ref="N36">ReplaceTo(ReplaceAnd(SUBSTITUTE(SUBSTITUTE(_xlfn.TEXTJOIN("; ", TRUE, _xlfn._xlws.FILTER('Model output'!K:K, 'Model output'!Z:Z=A36)), " ", ""), ",", ";")))</f>
        <v/>
      </c>
      <c r="O36" t="str" cm="1">
        <f t="array" ref="O36">IF(LEFT(IF(RIGHT(SUBSTITUTE(FilterWithUnits(N36)&amp; ";" &amp;FilterStringsWithNumericAnd(N36) &amp; ";" &amp; FilterStringsWithX(N36), ";;", ";"),1)=";",LEFT(SUBSTITUTE(FilterWithUnits(N36)&amp; ";" &amp;FilterStringsWithNumericAnd(N36) &amp; ";" &amp; FilterStringsWithX(N36), ";;", ";"),LEN(SUBSTITUTE(FilterWithUnits(N36)&amp; ";" &amp;FilterStringsWithNumericAnd(N36) &amp; ";" &amp; FilterStringsWithX(N36), ";;", ";"))-1),SUBSTITUTE(FilterWithUnits(N36)&amp; ";" &amp;FilterStringsWithNumericAnd(N36) &amp; ";" &amp; FilterStringsWithX(N36), ";;", ";")),1)=";",RIGHT(IF(RIGHT(SUBSTITUTE(FilterWithUnits(N36)&amp; ";" &amp;FilterStringsWithNumericAnd(N36) &amp; ";" &amp; FilterStringsWithX(N36), ";;", ";"),1)=";",LEFT(SUBSTITUTE(FilterWithUnits(N36)&amp; ";" &amp;FilterStringsWithNumericAnd(N36) &amp; ";" &amp; FilterStringsWithX(N36), ";;", ";"),LEN(SUBSTITUTE(FilterWithUnits(N36)&amp; ";" &amp;FilterStringsWithNumericAnd(N36) &amp; ";" &amp; FilterStringsWithX(N36), ";;", ";"))-1),SUBSTITUTE(FilterWithUnits(N36)&amp; ";" &amp;FilterStringsWithNumericAnd(N36) &amp; ";" &amp; FilterStringsWithX(N36), ";;", ";")),LEN(IF(RIGHT(SUBSTITUTE(FilterWithUnits(N36)&amp; ";" &amp;FilterStringsWithNumericAnd(N36) &amp; ";" &amp; FilterStringsWithX(N36), ";;", ";"),1)=";",LEFT(SUBSTITUTE(FilterWithUnits(N36)&amp; ";" &amp;FilterStringsWithNumericAnd(N36) &amp; ";" &amp; FilterStringsWithX(N36), ";;", ";"),LEN(SUBSTITUTE(FilterWithUnits(N36)&amp; ";" &amp;FilterStringsWithNumericAnd(N36) &amp; ";" &amp; FilterStringsWithX(N36), ";;", ";"))-1),SUBSTITUTE(FilterWithUnits(N36)&amp; ";" &amp;FilterStringsWithNumericAnd(N36) &amp; ";" &amp; FilterStringsWithX(N36), ";;", ";")))-1),IF(RIGHT(SUBSTITUTE(FilterWithUnits(N36)&amp; ";" &amp;FilterStringsWithNumericAnd(N36) &amp; ";" &amp; FilterStringsWithX(N36), ";;", ";"),1)=";",LEFT(SUBSTITUTE(FilterWithUnits(N36)&amp; ";" &amp;FilterStringsWithNumericAnd(N36) &amp; ";" &amp; FilterStringsWithX(N36), ";;", ";"),LEN(SUBSTITUTE(FilterWithUnits(N36)&amp; ";" &amp;FilterStringsWithNumericAnd(N36) &amp; ";" &amp; FilterStringsWithX(N36), ";;", ";"))-1),SUBSTITUTE(FilterWithUnits(N36)&amp; ";" &amp;FilterStringsWithNumericAnd(N36) &amp; ";" &amp; FilterStringsWithX(N36), ";;", ";")))</f>
        <v/>
      </c>
      <c r="P36" t="str" cm="1">
        <f t="array" ref="P36">IF(MaxSize((SplitDimensions(O36)))=0, "", MaxSize((SplitDimensions(O36))))</f>
        <v/>
      </c>
      <c r="Q36" t="str" cm="1">
        <f t="array" ref="Q36">IF(ISERROR(INDEX(_xlfn._xlws.FILTER('Model output'!L:L, ('Model output'!Z:Z=A36)*('Model output'!L:L&lt;&gt;"")), 1)), " ", LOWER(INDEX(_xlfn._xlws.FILTER('Model output'!L:L, ('Model output'!Z:Z=A36)*('Model output'!L:L&lt;&gt;"")), 1)))</f>
        <v>papillary carcinoma, tall cell variant</v>
      </c>
      <c r="R36" t="str" cm="1">
        <f t="array" ref="R36">IF(ISERROR(INDEX(_xlfn._xlws.FILTER('Model output'!M:M, ('Model output'!Z:Z=A36)*('Model output'!M:M&lt;&gt;"")), 1)), " ", LOWER(INDEX(_xlfn._xlws.FILTER('Model output'!M:M, ('Model output'!Z:Z=A36)*('Model output'!M:M&lt;&gt;"")), 1)))</f>
        <v xml:space="preserve"> </v>
      </c>
      <c r="S36" t="str" cm="1">
        <f t="array" ref="S36">IF(OR(ISNUMBER(SEARCH("ly",SUBSTITUTE(INDEX(_xlfn._xlws.FILTER('Model output'!N:N,('Model output'!Z:Z=A36)*('Model output'!N:N&lt;&gt;"")),1)," ",""),1)), ISNUMBER(SEARCH("pole",SUBSTITUTE(INDEX(_xlfn._xlws.FILTER('Model output'!N:N,('Model output'!Z:Z=A36)*('Model output'!N:N&lt;&gt;"")),1)," ",""),1))),"",SUBSTITUTE(INDEX(_xlfn._xlws.FILTER('Model output'!N:N,('Model output'!Z:Z=A36)*('Model output'!N:N&lt;&gt;"")),1)," ",""))</f>
        <v>24.5mm</v>
      </c>
      <c r="T36" t="str" cm="1">
        <f t="array" ref="T36">IF(LEFT(IF(RIGHT(SUBSTITUTE(FilterWithUnits(S36)&amp; ";" &amp;FilterStringsWithNumericAnd(S36) &amp; ";" &amp; FilterStringsWithX(S36), ";;", ";"),1)=";",LEFT(SUBSTITUTE(FilterWithUnits(S36)&amp; ";" &amp;FilterStringsWithNumericAnd(S36) &amp; ";" &amp; FilterStringsWithX(S36), ";;", ";"),LEN(SUBSTITUTE(FilterWithUnits(S36)&amp; ";" &amp;FilterStringsWithNumericAnd(S36) &amp; ";" &amp; FilterStringsWithX(S36), ";;", ";"))-1),SUBSTITUTE(FilterWithUnits(S36)&amp; ";" &amp;FilterStringsWithNumericAnd(S36) &amp; ";" &amp; FilterStringsWithX(S36), ";;", ";")),1)=";",RIGHT(IF(RIGHT(SUBSTITUTE(FilterWithUnits(S36)&amp; ";" &amp;FilterStringsWithNumericAnd(S36) &amp; ";" &amp; FilterStringsWithX(S36), ";;", ";"),1)=";",LEFT(SUBSTITUTE(FilterWithUnits(S36)&amp; ";" &amp;FilterStringsWithNumericAnd(S36) &amp; ";" &amp; FilterStringsWithX(S36), ";;", ";"),LEN(SUBSTITUTE(FilterWithUnits(S36)&amp; ";" &amp;FilterStringsWithNumericAnd(S36) &amp; ";" &amp; FilterStringsWithX(S36), ";;", ";"))-1),SUBSTITUTE(FilterWithUnits(S36)&amp; ";" &amp;FilterStringsWithNumericAnd(S36) &amp; ";" &amp; FilterStringsWithX(S36), ";;", ";")),LEN(IF(RIGHT(SUBSTITUTE(FilterWithUnits(S36)&amp; ";" &amp;FilterStringsWithNumericAnd(S36) &amp; ";" &amp; FilterStringsWithX(S36), ";;", ";"),1)=";",LEFT(SUBSTITUTE(FilterWithUnits(S36)&amp; ";" &amp;FilterStringsWithNumericAnd(S36) &amp; ";" &amp; FilterStringsWithX(S36), ";;", ";"),LEN(SUBSTITUTE(FilterWithUnits(S36)&amp; ";" &amp;FilterStringsWithNumericAnd(S36) &amp; ";" &amp; FilterStringsWithX(S36), ";;", ";"))-1),SUBSTITUTE(FilterWithUnits(S36)&amp; ";" &amp;FilterStringsWithNumericAnd(S36) &amp; ";" &amp; FilterStringsWithX(S36), ";;", ";")))-1),IF(RIGHT(SUBSTITUTE(FilterWithUnits(S36)&amp; ";" &amp;FilterStringsWithNumericAnd(S36) &amp; ";" &amp; FilterStringsWithX(S36), ";;", ";"),1)=";",LEFT(SUBSTITUTE(FilterWithUnits(S36)&amp; ";" &amp;FilterStringsWithNumericAnd(S36) &amp; ";" &amp; FilterStringsWithX(S36), ";;", ";"),LEN(SUBSTITUTE(FilterWithUnits(S36)&amp; ";" &amp;FilterStringsWithNumericAnd(S36) &amp; ";" &amp; FilterStringsWithX(S36), ";;", ";"))-1),SUBSTITUTE(FilterWithUnits(S36)&amp; ";" &amp;FilterStringsWithNumericAnd(S36) &amp; ";" &amp; FilterStringsWithX(S36), ";;", ";")))</f>
        <v>24.5mm</v>
      </c>
      <c r="U36" cm="1">
        <f t="array" ref="U36">IF(MaxSize((SplitDimensions(T36)))=0, "", MaxSize((SplitDimensions(T36))))</f>
        <v>2.4500000000000002</v>
      </c>
      <c r="V36" s="17" t="str" cm="1">
        <f t="array" ref="V36">IF(ISERROR(INDEX(_xlfn._xlws.FILTER('Model output'!P:P,('Model output'!Z:Z=A36)*('Model output'!P:P&lt;&gt;"")),1)),"negative",IF(OR(ISNUMBER(SEARCH("foc",INDEX(_xlfn._xlws.FILTER('Model output'!P:P,('Model output'!Z:Z=A36)*('Model output'!P:P&lt;&gt;"")),1),1)),ISNUMBER(SEARCH("extensive",INDEX(_xlfn._xlws.FILTER('Model output'!P:P,('Model output'!Z:Z=A36)*('Model output'!P:P&lt;&gt;"")),1),1)),ISNUMBER(SEARCH("present",INDEX(_xlfn._xlws.FILTER('Model output'!P:P,('Model output'!Z:Z=A36)*('Model output'!P:P&lt;&gt;"")),1),1)),ISNUMBER(SEARCH("yes",INDEX(_xlfn._xlws.FILTER('Model output'!P:P,('Model output'!Z:Z=A36)*('Model output'!P:P&lt;&gt;"")),1),1))),"positive","negative"))</f>
        <v>positive</v>
      </c>
      <c r="X36" t="str" cm="1">
        <f t="array" ref="X36">IF(ISNUMBER(SEARCH("4",INDEX(_xlfn._xlws.FILTER('Model output'!P:P,('Model output'!Z:Z=A36)*('Model output'!P:P&lt;&gt;"")),1),1)),INDEX(_xlfn._xlws.FILTER('Model output'!P:P,('Model output'!Z:Z=A36)*('Model output'!P:P&lt;&gt;"")),1),"") &amp; _xlfn.TEXTJOIN("",TRUE,_xlfn._xlws.FILTER('Model output'!Q:Q,'Model output'!Z:Z=A36))</f>
        <v>Extensive (= or &gt;4 vessels)extra thyroidal extension to larynx and part of carotid sheath</v>
      </c>
      <c r="Y36" t="str">
        <f t="shared" si="11"/>
        <v>extensive</v>
      </c>
      <c r="Z36" t="str" cm="1">
        <f t="array" ref="Z36">IF(OR(ISNUMBER(SEARCH("focal",_xlfn.TEXTJOIN("; ",TRUE,_xlfn._xlws.FILTER('Model output'!R:R,'Model output'!Z:Z=A36)),1)),ISNUMBER(SEARCH("present",_xlfn.TEXTJOIN("; ",TRUE,_xlfn._xlws.FILTER('Model output'!R:R,'Model output'!Z:Z=A36)),1))),"positive",IF(_xlfn.TEXTJOIN("; ",TRUE,_xlfn._xlws.FILTER('Model output'!R:R,'Model output'!Z:Z=A36))="","negative",IF(OR(ISNUMBER(SEARCH("no",_xlfn.TEXTJOIN("; ",TRUE,_xlfn._xlws.FILTER('Model output'!R:R,'Model output'!Z:Z=A36)),1)),ISNUMBER(SEARCH("absent",_xlfn.TEXTJOIN("; ",TRUE,_xlfn._xlws.FILTER('Model output'!R:R,'Model output'!Z:Z=A36)),1))),"negative","positive")))</f>
        <v>positive</v>
      </c>
      <c r="AA36" s="17" t="str">
        <f t="shared" si="15"/>
        <v>positive</v>
      </c>
      <c r="AE36" s="17" t="str">
        <f t="shared" si="12"/>
        <v>positive</v>
      </c>
      <c r="AF36" t="str" cm="1">
        <f t="array" ref="AF36">_xlfn.TEXTJOIN("; ",TRUE,_xlfn._xlws.FILTER('Model output'!S:S,'Model output'!Z:Z=A36))</f>
        <v>Invading subcutaneous soft tissues, larynx, trachea, esophagus or recurrent laryngeal nerve; larynx, part of carotid sheath</v>
      </c>
      <c r="AG36" s="17" t="str" cm="1">
        <f t="array" ref="AG36">IF(OR(ISNUMBER(SEARCH("uninvolved",_xlfn.TEXTJOIN("; ",TRUE,_xlfn._xlws.FILTER('Model output'!V:V,'Model output'!Z:Z=A36)),1)),ISNUMBER(SEARCH("clear",_xlfn.TEXTJOIN("; ",TRUE,_xlfn._xlws.FILTER('Model output'!V:V,'Model output'!Z:Z=A36)),1))*ISNUMBER(SEARCH("not mentioned",_xlfn.TEXTJOIN("; ",TRUE,_xlfn._xlws.FILTER('Model output'!V:V,'Model output'!Z:Z=A36)),1))),"negative",IF(ISNUMBER(SEARCH("cannot be assessed",_xlfn.TEXTJOIN("; ",TRUE,_xlfn._xlws.FILTER('Model output'!V:V,'Model output'!Z:Z=A36)),1)),"unknown","negative"))</f>
        <v>negative</v>
      </c>
      <c r="AI36" s="45" t="str">
        <f t="shared" si="13"/>
        <v>high</v>
      </c>
      <c r="AJ36" s="41" t="str">
        <f t="shared" si="16"/>
        <v>4a</v>
      </c>
      <c r="AK36" s="41" t="str">
        <f t="shared" si="3"/>
        <v>1a</v>
      </c>
      <c r="AL36" s="41">
        <f t="shared" si="4"/>
        <v>0</v>
      </c>
      <c r="AM36" s="41" t="str">
        <f t="shared" si="5"/>
        <v>III</v>
      </c>
      <c r="AN36" s="42" t="s">
        <v>165</v>
      </c>
      <c r="AO36" s="43" t="s">
        <v>208</v>
      </c>
      <c r="AP36" s="43">
        <v>0</v>
      </c>
      <c r="AQ36" s="43">
        <v>0</v>
      </c>
      <c r="AR36" s="43" t="s">
        <v>68</v>
      </c>
      <c r="AS36" s="42">
        <f t="shared" si="6"/>
        <v>1</v>
      </c>
      <c r="AT36" s="43">
        <f t="shared" si="7"/>
        <v>1</v>
      </c>
      <c r="AU36" s="43">
        <f t="shared" si="8"/>
        <v>0</v>
      </c>
      <c r="AV36" s="43">
        <f t="shared" si="9"/>
        <v>1</v>
      </c>
      <c r="AW36" s="44">
        <f t="shared" si="10"/>
        <v>1</v>
      </c>
    </row>
    <row r="37" spans="1:50">
      <c r="A37" s="30">
        <v>35</v>
      </c>
      <c r="B37" s="31">
        <f>_xlfn.MAXIFS('Model output'!B:B,'Model output'!Z:Z,'Classification result'!$A37)</f>
        <v>44508</v>
      </c>
      <c r="C37" s="31"/>
      <c r="D37" s="31"/>
      <c r="E37" s="32">
        <f>_xlfn.MAXIFS('Model output'!C:C,'Model output'!Z:Z,'Classification result'!$A37)</f>
        <v>62</v>
      </c>
      <c r="F37" s="32" t="str" cm="1">
        <f t="array" ref="F37">LEFT(IF(ISERROR(RIGHT(IF(INDEX(_xlfn._xlws.FILTER('Model output'!D:D,('Model output'!Z:Z=A37)),1)&lt;&gt;"",INDEX(_xlfn._xlws.FILTER('Model output'!D:D,('Model output'!Z:Z=A37)),1),""),LEN(IF(INDEX(_xlfn._xlws.FILTER('Model output'!D:D,('Model output'!Z:Z=A37)),1)&lt;&gt;"",INDEX(_xlfn._xlws.FILTER('Model output'!D:D,('Model output'!Z:Z=A37)),1),""))-FIND("T",IF(INDEX(_xlfn._xlws.FILTER('Model output'!D:D,('Model output'!Z:Z=A37)),1)&lt;&gt;"",INDEX(_xlfn._xlws.FILTER('Model output'!D:D,('Model output'!Z:Z=A37)),1),""),1))),"",(RIGHT(IF(INDEX(_xlfn._xlws.FILTER('Model output'!D:D,('Model output'!Z:Z=A37)),1)&lt;&gt;"",INDEX(_xlfn._xlws.FILTER('Model output'!D:D,('Model output'!Z:Z=A37)),1),""),LEN(IF(INDEX(_xlfn._xlws.FILTER('Model output'!D:D,('Model output'!Z:Z=A37)),1)&lt;&gt;"",INDEX(_xlfn._xlws.FILTER('Model output'!D:D,('Model output'!Z:Z=A37)),1),""))-FIND("T",IF(INDEX(_xlfn._xlws.FILTER('Model output'!D:D,('Model output'!Z:Z=A37)),1)&lt;&gt;"",INDEX(_xlfn._xlws.FILTER('Model output'!D:D,('Model output'!Z:Z=A37)),1)))))),2)</f>
        <v/>
      </c>
      <c r="G37" s="32" t="str" cm="1">
        <f t="array" ref="G37">IF(ISNUMBER(SEARCH("N",IF(ISNUMBER(SEARCH("present",IF(INDEX(_xlfn._xlws.FILTER('Model output'!E:E,('Model output'!Z:Z=A37)),1)="","",INDEX(_xlfn._xlws.FILTER('Model output'!E:E,('Model output'!Z:Z=A37)),1)),1)),"N1", IF(INDEX(_xlfn._xlws.FILTER('Model output'!E:E,('Model output'!Z:Z=A37)),1)="","",INDEX(_xlfn._xlws.FILTER('Model output'!E:E,('Model output'!Z:Z=A37)),1))),1)),RIGHT(IF(ISNUMBER(SEARCH("present",IF(INDEX(_xlfn._xlws.FILTER('Model output'!E:E,('Model output'!Z:Z=A37)),1)="","",INDEX(_xlfn._xlws.FILTER('Model output'!E:E,('Model output'!Z:Z=A37)),1)),1)),"N1", IF(INDEX(_xlfn._xlws.FILTER('Model output'!E:E,('Model output'!Z:Z=A37)),1)="","",INDEX(_xlfn._xlws.FILTER('Model output'!E:E,('Model output'!Z:Z=A37)),1))),LEN(IF(ISNUMBER(SEARCH("present",IF(INDEX(_xlfn._xlws.FILTER('Model output'!E:E,('Model output'!Z:Z=A37)),1)="","",INDEX(_xlfn._xlws.FILTER('Model output'!E:E,('Model output'!Z:Z=A37)),1)),1)),"N1", IF(INDEX(_xlfn._xlws.FILTER('Model output'!E:E,('Model output'!Z:Z=A37)),1)="","",INDEX(_xlfn._xlws.FILTER('Model output'!E:E,('Model output'!Z:Z=A37)),1))))-FIND("N",IF(ISNUMBER(SEARCH("present",IF(INDEX(_xlfn._xlws.FILTER('Model output'!E:E,('Model output'!Z:Z=A37)),1)="","",INDEX(_xlfn._xlws.FILTER('Model output'!E:E,('Model output'!Z:Z=A37)),1)),1)),"N1", IF(INDEX(_xlfn._xlws.FILTER('Model output'!E:E,('Model output'!Z:Z=A37)),1)="","",INDEX(_xlfn._xlws.FILTER('Model output'!E:E,('Model output'!Z:Z=A37)),1))),1)), "")</f>
        <v/>
      </c>
      <c r="H37" s="32" cm="1">
        <f t="array" ref="H37">IF(AND(SUBSTITUTE(_xlfn.TEXTJOIN("/", TRUE, _xlfn._xlws.FILTER('Model output'!F:F, 'Model output'!Z:Z=A37)),"M", "")="", K37="negative"),0,IF(K37="positive",1,0))</f>
        <v>1</v>
      </c>
      <c r="I37" s="33" t="str">
        <f t="shared" si="0"/>
        <v>positive</v>
      </c>
      <c r="J37" s="33" t="str" cm="1">
        <f t="array" ref="J37">IF(AND(M37&gt;0, _xlfn.TEXTJOIN("; ", TRUE, _xlfn._xlws.FILTER('Model output'!G:G, 'Model output'!Z:Z=A37)) &lt;&gt;"", OR(AND(ISNUMBER(SEARCH("level", _xlfn.TEXTJOIN("; ", TRUE, _xlfn._xlws.FILTER('Model output'!G:G, 'Model output'!Z:Z=A37)),1)),OR(ISNUMBER(SEARCH(" II", _xlfn.TEXTJOIN("; ", TRUE, _xlfn._xlws.FILTER('Model output'!G:G, 'Model output'!Z:Z=A37)),1)),ISNUMBER(SEARCH("2", _xlfn.TEXTJOIN("; ", TRUE, _xlfn._xlws.FILTER('Model output'!G:G, 'Model output'!Z:Z=A37)),1)),ISNUMBER(SEARCH("two", _xlfn.TEXTJOIN("; ", TRUE, _xlfn._xlws.FILTER('Model output'!G:G, 'Model output'!Z:Z=A37)),1)),ISNUMBER(SEARCH("III", _xlfn.TEXTJOIN("; ", TRUE, _xlfn._xlws.FILTER('Model output'!G:G, 'Model output'!Z:Z=A37)),1)),ISNUMBER(SEARCH("3", _xlfn.TEXTJOIN("; ", TRUE, _xlfn._xlws.FILTER('Model output'!G:G, 'Model output'!Z:Z=A37)),1)),ISNUMBER(SEARCH("three", _xlfn.TEXTJOIN("; ", TRUE, _xlfn._xlws.FILTER('Model output'!G:G, 'Model output'!Z:Z=A37)),1)),ISNUMBER(SEARCH("IV", _xlfn.TEXTJOIN("; ", TRUE, _xlfn._xlws.FILTER('Model output'!G:G, 'Model output'!Z:Z=A37)),1)),ISNUMBER(SEARCH("4", _xlfn.TEXTJOIN("; ", TRUE, _xlfn._xlws.FILTER('Model output'!G:G, 'Model output'!Z:Z=A37)),1)),ISNUMBER(SEARCH("five", _xlfn.TEXTJOIN("; ", TRUE, _xlfn._xlws.FILTER('Model output'!G:G, 'Model output'!Z:Z=A37)),1)),ISNUMBER(SEARCH("V ", _xlfn.TEXTJOIN("; ", TRUE, _xlfn._xlws.FILTER('Model output'!G:G, 'Model output'!Z:Z=A37)),1)),ISNUMBER(SEARCH("5", _xlfn.TEXTJOIN("; ", TRUE, _xlfn._xlws.FILTER('Model output'!G:G, 'Model output'!Z:Z=A37)),1)),ISNUMBER(SEARCH("five", _xlfn.TEXTJOIN("; ", TRUE, _xlfn._xlws.FILTER('Model output'!G:G, 'Model output'!Z:Z=A37)),1)),ISNUMBER(SEARCH(" lateral", _xlfn.TEXTJOIN("; ", TRUE, _xlfn._xlws.FILTER('Model output'!G:G, 'Model output'!Z:Z=A37)),1)))),ISNUMBER(SEARCH("cervical", _xlfn.TEXTJOIN("; ", TRUE, _xlfn._xlws.FILTER('Model output'!G:G, 'Model output'!Z:Z=A37)),1)),ISNUMBER(SEARCH("jugular", _xlfn.TEXTJOIN("; ", TRUE, _xlfn._xlws.FILTER('Model output'!G:G, 'Model output'!Z:Z=A37)),1)),ISNUMBER(SEARCH("left neck", _xlfn.TEXTJOIN("; ", TRUE, _xlfn._xlws.FILTER('Model output'!G:G, 'Model output'!Z:Z=A37)),1)),ISNUMBER(SEARCH("left anterior neck", _xlfn.TEXTJOIN("; ", TRUE, _xlfn._xlws.FILTER('Model output'!G:G, 'Model output'!Z:Z=A37)),1)),ISNUMBER(SEARCH("left posterior neck", _xlfn.TEXTJOIN("; ", TRUE, _xlfn._xlws.FILTER('Model output'!G:G, 'Model output'!Z:Z=A37)),1)),ISNUMBER(SEARCH("right neck", _xlfn.TEXTJOIN("; ", TRUE, _xlfn._xlws.FILTER('Model output'!G:G, 'Model output'!Z:Z=A37)),1)),ISNUMBER(SEARCH("right anterior neck", _xlfn.TEXTJOIN("; ", TRUE, _xlfn._xlws.FILTER('Model output'!G:G, 'Model output'!Z:Z=A37)),1)),ISNUMBER(SEARCH("right posterior neck", _xlfn.TEXTJOIN("; ", TRUE, _xlfn._xlws.FILTER('Model output'!G:G, 'Model output'!Z:Z=A37)),1)))),"lateral",IF(AND(M37=0, _xlfn.TEXTJOIN("; ", TRUE, _xlfn._xlws.FILTER('Model output'!G:G, 'Model output'!Z:Z=A37))=""),"", "central"))</f>
        <v>lateral</v>
      </c>
      <c r="K37" s="32" t="str" cm="1">
        <f t="array" ref="K37">IF(OR(ISNUMBER(SEARCH("lymph",_xlfn.TEXTJOIN("; ", TRUE, _xlfn._xlws.FILTER('Model output'!H:H, 'Model output'!Z:Z=A37)),1)), ISNUMBER(SEARCH("Not mentioned",_xlfn.TEXTJOIN("; ", TRUE, _xlfn._xlws.FILTER('Model output'!H:H, 'Model output'!Z:Z=A37)),1)),ISNUMBER(SEARCH("thyroid",_xlfn.TEXTJOIN("; ", TRUE, _xlfn._xlws.FILTER('Model output'!H:H, 'Model output'!Z:Z=A37)),1)),ISNUMBER(SEARCH("strap muscle",_xlfn.TEXTJOIN("; ", TRUE, _xlfn._xlws.FILTER('Model output'!H:H, 'Model output'!Z:Z=A37)),1)),ISNUMBER(SEARCH("subcutaneous soft tissues",_xlfn.TEXTJOIN("; ", TRUE, _xlfn._xlws.FILTER('Model output'!H:H, 'Model output'!Z:Z=A37)),1)),ISNUMBER(SEARCH("larynx",_xlfn.TEXTJOIN("; ", TRUE, _xlfn._xlws.FILTER('Model output'!H:H, 'Model output'!Z:Z=A37)),1)),ISNUMBER(SEARCH("trachea",_xlfn.TEXTJOIN("; ", TRUE, _xlfn._xlws.FILTER('Model output'!H:H, 'Model output'!Z:Z=A37)),1)),ISNUMBER(SEARCH("esophagus",_xlfn.TEXTJOIN("; ", TRUE, _xlfn._xlws.FILTER('Model output'!H:H, 'Model output'!Z:Z=A37)),1)),ISNUMBER(SEARCH("recurrent laryngeal nerve",_xlfn.TEXTJOIN("; ", TRUE, _xlfn._xlws.FILTER('Model output'!H:H, 'Model output'!Z:Z=A37)),1)),ISNUMBER(SEARCH("RLN",_xlfn.TEXTJOIN("; ", TRUE, _xlfn._xlws.FILTER('Model output'!H:H, 'Model output'!Z:Z=A37)),1)),_xlfn.TEXTJOIN("; ", TRUE, _xlfn._xlws.FILTER('Model output'!H:H, 'Model output'!Z:Z=A37))=""),"negative","positive")</f>
        <v>positive</v>
      </c>
      <c r="L37" s="32">
        <f>IF(IFERROR(INDEX('Model output'!I:I, MATCH(A37, 'Model output'!Z:Z, 0)), "") &lt; M37, "", IFERROR(INDEX('Model output'!I:I, MATCH(A37, 'Model output'!Z:Z, 0)), ""))</f>
        <v>35</v>
      </c>
      <c r="M37" s="32">
        <f>IFERROR(INDEX('Model output'!J:J, MATCH(A37, 'Model output'!Z:Z, 0)), "")</f>
        <v>7</v>
      </c>
      <c r="N37" s="34" t="str" cm="1">
        <f t="array" ref="N37">ReplaceTo(ReplaceAnd(SUBSTITUTE(SUBSTITUTE(_xlfn.TEXTJOIN("; ", TRUE, _xlfn._xlws.FILTER('Model output'!K:K, 'Model output'!Z:Z=A37)), " ", ""), ",", ";")))</f>
        <v>Notspecified</v>
      </c>
      <c r="O37" s="33" t="str" cm="1">
        <f t="array" ref="O37">IF(LEFT(IF(RIGHT(SUBSTITUTE(FilterWithUnits(N37)&amp; ";" &amp;FilterStringsWithNumericAnd(N37) &amp; ";" &amp; FilterStringsWithX(N37), ";;", ";"),1)=";",LEFT(SUBSTITUTE(FilterWithUnits(N37)&amp; ";" &amp;FilterStringsWithNumericAnd(N37) &amp; ";" &amp; FilterStringsWithX(N37), ";;", ";"),LEN(SUBSTITUTE(FilterWithUnits(N37)&amp; ";" &amp;FilterStringsWithNumericAnd(N37) &amp; ";" &amp; FilterStringsWithX(N37), ";;", ";"))-1),SUBSTITUTE(FilterWithUnits(N37)&amp; ";" &amp;FilterStringsWithNumericAnd(N37) &amp; ";" &amp; FilterStringsWithX(N37), ";;", ";")),1)=";",RIGHT(IF(RIGHT(SUBSTITUTE(FilterWithUnits(N37)&amp; ";" &amp;FilterStringsWithNumericAnd(N37) &amp; ";" &amp; FilterStringsWithX(N37), ";;", ";"),1)=";",LEFT(SUBSTITUTE(FilterWithUnits(N37)&amp; ";" &amp;FilterStringsWithNumericAnd(N37) &amp; ";" &amp; FilterStringsWithX(N37), ";;", ";"),LEN(SUBSTITUTE(FilterWithUnits(N37)&amp; ";" &amp;FilterStringsWithNumericAnd(N37) &amp; ";" &amp; FilterStringsWithX(N37), ";;", ";"))-1),SUBSTITUTE(FilterWithUnits(N37)&amp; ";" &amp;FilterStringsWithNumericAnd(N37) &amp; ";" &amp; FilterStringsWithX(N37), ";;", ";")),LEN(IF(RIGHT(SUBSTITUTE(FilterWithUnits(N37)&amp; ";" &amp;FilterStringsWithNumericAnd(N37) &amp; ";" &amp; FilterStringsWithX(N37), ";;", ";"),1)=";",LEFT(SUBSTITUTE(FilterWithUnits(N37)&amp; ";" &amp;FilterStringsWithNumericAnd(N37) &amp; ";" &amp; FilterStringsWithX(N37), ";;", ";"),LEN(SUBSTITUTE(FilterWithUnits(N37)&amp; ";" &amp;FilterStringsWithNumericAnd(N37) &amp; ";" &amp; FilterStringsWithX(N37), ";;", ";"))-1),SUBSTITUTE(FilterWithUnits(N37)&amp; ";" &amp;FilterStringsWithNumericAnd(N37) &amp; ";" &amp; FilterStringsWithX(N37), ";;", ";")))-1),IF(RIGHT(SUBSTITUTE(FilterWithUnits(N37)&amp; ";" &amp;FilterStringsWithNumericAnd(N37) &amp; ";" &amp; FilterStringsWithX(N37), ";;", ";"),1)=";",LEFT(SUBSTITUTE(FilterWithUnits(N37)&amp; ";" &amp;FilterStringsWithNumericAnd(N37) &amp; ";" &amp; FilterStringsWithX(N37), ";;", ";"),LEN(SUBSTITUTE(FilterWithUnits(N37)&amp; ";" &amp;FilterStringsWithNumericAnd(N37) &amp; ";" &amp; FilterStringsWithX(N37), ";;", ";"))-1),SUBSTITUTE(FilterWithUnits(N37)&amp; ";" &amp;FilterStringsWithNumericAnd(N37) &amp; ";" &amp; FilterStringsWithX(N37), ";;", ";")))</f>
        <v/>
      </c>
      <c r="P37" s="33" t="str" cm="1">
        <f t="array" ref="P37">IF(MaxSize((SplitDimensions(O37)))=0, "", MaxSize((SplitDimensions(O37))))</f>
        <v/>
      </c>
      <c r="Q37" s="33" t="str" cm="1">
        <f t="array" ref="Q37">IF(ISERROR(INDEX(_xlfn._xlws.FILTER('Model output'!L:L, ('Model output'!Z:Z=A37)*('Model output'!L:L&lt;&gt;"")), 1)), " ", LOWER(INDEX(_xlfn._xlws.FILTER('Model output'!L:L, ('Model output'!Z:Z=A37)*('Model output'!L:L&lt;&gt;"")), 1)))</f>
        <v>papillary</v>
      </c>
      <c r="R37" s="33" t="str" cm="1">
        <f t="array" ref="R37">IF(ISERROR(INDEX(_xlfn._xlws.FILTER('Model output'!M:M, ('Model output'!Z:Z=A37)*('Model output'!M:M&lt;&gt;"")), 1)), " ", LOWER(INDEX(_xlfn._xlws.FILTER('Model output'!M:M, ('Model output'!Z:Z=A37)*('Model output'!M:M&lt;&gt;"")), 1)))</f>
        <v>tall cell</v>
      </c>
      <c r="S37" s="33" t="str" cm="1">
        <f t="array" ref="S37">IF(OR(ISNUMBER(SEARCH("ly",SUBSTITUTE(INDEX(_xlfn._xlws.FILTER('Model output'!N:N,('Model output'!Z:Z=A37)*('Model output'!N:N&lt;&gt;"")),1)," ",""),1)), ISNUMBER(SEARCH("pole",SUBSTITUTE(INDEX(_xlfn._xlws.FILTER('Model output'!N:N,('Model output'!Z:Z=A37)*('Model output'!N:N&lt;&gt;"")),1)," ",""),1))),"",SUBSTITUTE(INDEX(_xlfn._xlws.FILTER('Model output'!N:N,('Model output'!Z:Z=A37)*('Model output'!N:N&lt;&gt;"")),1)," ",""))</f>
        <v>Notspecified</v>
      </c>
      <c r="T37" s="33" t="str" cm="1">
        <f t="array" ref="T37">IF(LEFT(IF(RIGHT(SUBSTITUTE(FilterWithUnits(S37)&amp; ";" &amp;FilterStringsWithNumericAnd(S37) &amp; ";" &amp; FilterStringsWithX(S37), ";;", ";"),1)=";",LEFT(SUBSTITUTE(FilterWithUnits(S37)&amp; ";" &amp;FilterStringsWithNumericAnd(S37) &amp; ";" &amp; FilterStringsWithX(S37), ";;", ";"),LEN(SUBSTITUTE(FilterWithUnits(S37)&amp; ";" &amp;FilterStringsWithNumericAnd(S37) &amp; ";" &amp; FilterStringsWithX(S37), ";;", ";"))-1),SUBSTITUTE(FilterWithUnits(S37)&amp; ";" &amp;FilterStringsWithNumericAnd(S37) &amp; ";" &amp; FilterStringsWithX(S37), ";;", ";")),1)=";",RIGHT(IF(RIGHT(SUBSTITUTE(FilterWithUnits(S37)&amp; ";" &amp;FilterStringsWithNumericAnd(S37) &amp; ";" &amp; FilterStringsWithX(S37), ";;", ";"),1)=";",LEFT(SUBSTITUTE(FilterWithUnits(S37)&amp; ";" &amp;FilterStringsWithNumericAnd(S37) &amp; ";" &amp; FilterStringsWithX(S37), ";;", ";"),LEN(SUBSTITUTE(FilterWithUnits(S37)&amp; ";" &amp;FilterStringsWithNumericAnd(S37) &amp; ";" &amp; FilterStringsWithX(S37), ";;", ";"))-1),SUBSTITUTE(FilterWithUnits(S37)&amp; ";" &amp;FilterStringsWithNumericAnd(S37) &amp; ";" &amp; FilterStringsWithX(S37), ";;", ";")),LEN(IF(RIGHT(SUBSTITUTE(FilterWithUnits(S37)&amp; ";" &amp;FilterStringsWithNumericAnd(S37) &amp; ";" &amp; FilterStringsWithX(S37), ";;", ";"),1)=";",LEFT(SUBSTITUTE(FilterWithUnits(S37)&amp; ";" &amp;FilterStringsWithNumericAnd(S37) &amp; ";" &amp; FilterStringsWithX(S37), ";;", ";"),LEN(SUBSTITUTE(FilterWithUnits(S37)&amp; ";" &amp;FilterStringsWithNumericAnd(S37) &amp; ";" &amp; FilterStringsWithX(S37), ";;", ";"))-1),SUBSTITUTE(FilterWithUnits(S37)&amp; ";" &amp;FilterStringsWithNumericAnd(S37) &amp; ";" &amp; FilterStringsWithX(S37), ";;", ";")))-1),IF(RIGHT(SUBSTITUTE(FilterWithUnits(S37)&amp; ";" &amp;FilterStringsWithNumericAnd(S37) &amp; ";" &amp; FilterStringsWithX(S37), ";;", ";"),1)=";",LEFT(SUBSTITUTE(FilterWithUnits(S37)&amp; ";" &amp;FilterStringsWithNumericAnd(S37) &amp; ";" &amp; FilterStringsWithX(S37), ";;", ";"),LEN(SUBSTITUTE(FilterWithUnits(S37)&amp; ";" &amp;FilterStringsWithNumericAnd(S37) &amp; ";" &amp; FilterStringsWithX(S37), ";;", ";"))-1),SUBSTITUTE(FilterWithUnits(S37)&amp; ";" &amp;FilterStringsWithNumericAnd(S37) &amp; ";" &amp; FilterStringsWithX(S37), ";;", ";")))</f>
        <v/>
      </c>
      <c r="U37" s="33" t="str" cm="1">
        <f t="array" ref="U37">IF(MaxSize((SplitDimensions(T37)))=0, "", MaxSize((SplitDimensions(T37))))</f>
        <v/>
      </c>
      <c r="V37" s="32" t="str" cm="1">
        <f t="array" ref="V37">IF(ISERROR(INDEX(_xlfn._xlws.FILTER('Model output'!P:P,('Model output'!Z:Z=A37)*('Model output'!P:P&lt;&gt;"")),1)),"negative",IF(OR(ISNUMBER(SEARCH("foc",INDEX(_xlfn._xlws.FILTER('Model output'!P:P,('Model output'!Z:Z=A37)*('Model output'!P:P&lt;&gt;"")),1),1)),ISNUMBER(SEARCH("extensive",INDEX(_xlfn._xlws.FILTER('Model output'!P:P,('Model output'!Z:Z=A37)*('Model output'!P:P&lt;&gt;"")),1),1)),ISNUMBER(SEARCH("present",INDEX(_xlfn._xlws.FILTER('Model output'!P:P,('Model output'!Z:Z=A37)*('Model output'!P:P&lt;&gt;"")),1),1)),ISNUMBER(SEARCH("yes",INDEX(_xlfn._xlws.FILTER('Model output'!P:P,('Model output'!Z:Z=A37)*('Model output'!P:P&lt;&gt;"")),1),1))),"positive","negative"))</f>
        <v>positive</v>
      </c>
      <c r="W37" s="32"/>
      <c r="X37" s="33" t="str" cm="1">
        <f t="array" ref="X37">IF(ISNUMBER(SEARCH("4",INDEX(_xlfn._xlws.FILTER('Model output'!P:P,('Model output'!Z:Z=A37)*('Model output'!P:P&lt;&gt;"")),1),1)),INDEX(_xlfn._xlws.FILTER('Model output'!P:P,('Model output'!Z:Z=A37)*('Model output'!P:P&lt;&gt;"")),1),"") &amp; _xlfn.TEXTJOIN("",TRUE,_xlfn._xlws.FILTER('Model output'!Q:Q,'Model output'!Z:Z=A37))</f>
        <v>Not specifiedNot mentioned</v>
      </c>
      <c r="Y37" s="33" t="str">
        <f t="shared" si="11"/>
        <v>minimal</v>
      </c>
      <c r="Z37" s="33" t="str" cm="1">
        <f t="array" ref="Z37">IF(OR(ISNUMBER(SEARCH("focal",_xlfn.TEXTJOIN("; ",TRUE,_xlfn._xlws.FILTER('Model output'!R:R,'Model output'!Z:Z=A37)),1)),ISNUMBER(SEARCH("present",_xlfn.TEXTJOIN("; ",TRUE,_xlfn._xlws.FILTER('Model output'!R:R,'Model output'!Z:Z=A37)),1))),"positive",IF(_xlfn.TEXTJOIN("; ",TRUE,_xlfn._xlws.FILTER('Model output'!R:R,'Model output'!Z:Z=A37))="","negative",IF(OR(ISNUMBER(SEARCH("no",_xlfn.TEXTJOIN("; ",TRUE,_xlfn._xlws.FILTER('Model output'!R:R,'Model output'!Z:Z=A37)),1)),ISNUMBER(SEARCH("absent",_xlfn.TEXTJOIN("; ",TRUE,_xlfn._xlws.FILTER('Model output'!R:R,'Model output'!Z:Z=A37)),1))),"negative","positive")))</f>
        <v>positive</v>
      </c>
      <c r="AA37" s="32" t="str">
        <f t="shared" si="15"/>
        <v>positive</v>
      </c>
      <c r="AB37" s="32"/>
      <c r="AC37" s="32"/>
      <c r="AD37" s="32"/>
      <c r="AE37" s="32" t="str">
        <f t="shared" si="12"/>
        <v>negative</v>
      </c>
      <c r="AF37" s="33" t="str" cm="1">
        <f t="array" ref="AF37">_xlfn.TEXTJOIN("; ",TRUE,_xlfn._xlws.FILTER('Model output'!S:S,'Model output'!Z:Z=A37))</f>
        <v>Antero-inferior pole, extrathyroidal adipose tissue; Not mentioned</v>
      </c>
      <c r="AG37" s="32" t="str" cm="1">
        <f t="array" ref="AG37">IF(OR(ISNUMBER(SEARCH("uninvolved",_xlfn.TEXTJOIN("; ",TRUE,_xlfn._xlws.FILTER('Model output'!V:V,'Model output'!Z:Z=A37)),1)),ISNUMBER(SEARCH("clear",_xlfn.TEXTJOIN("; ",TRUE,_xlfn._xlws.FILTER('Model output'!V:V,'Model output'!Z:Z=A37)),1))*ISNUMBER(SEARCH("not mentioned",_xlfn.TEXTJOIN("; ",TRUE,_xlfn._xlws.FILTER('Model output'!V:V,'Model output'!Z:Z=A37)),1))),"negative",IF(ISNUMBER(SEARCH("cannot be assessed",_xlfn.TEXTJOIN("; ",TRUE,_xlfn._xlws.FILTER('Model output'!V:V,'Model output'!Z:Z=A37)),1)),"unknown","negative"))</f>
        <v>negative</v>
      </c>
      <c r="AH37" s="35"/>
      <c r="AI37" s="46" t="str">
        <f t="shared" si="13"/>
        <v>high</v>
      </c>
      <c r="AJ37" s="47" t="str">
        <f t="shared" si="16"/>
        <v>1a</v>
      </c>
      <c r="AK37" s="47" t="str">
        <f t="shared" si="3"/>
        <v>1b</v>
      </c>
      <c r="AL37" s="47">
        <f t="shared" si="4"/>
        <v>1</v>
      </c>
      <c r="AM37" s="47" t="str">
        <f t="shared" si="5"/>
        <v>IVB</v>
      </c>
      <c r="AN37" s="48" t="s">
        <v>165</v>
      </c>
      <c r="AO37" s="49" t="s">
        <v>443</v>
      </c>
      <c r="AP37" s="49" t="s">
        <v>203</v>
      </c>
      <c r="AQ37" s="49">
        <v>1</v>
      </c>
      <c r="AR37" s="49" t="s">
        <v>445</v>
      </c>
      <c r="AS37" s="48">
        <f t="shared" si="6"/>
        <v>1</v>
      </c>
      <c r="AT37" s="49">
        <f t="shared" si="7"/>
        <v>0</v>
      </c>
      <c r="AU37" s="49">
        <f t="shared" si="8"/>
        <v>1</v>
      </c>
      <c r="AV37" s="49">
        <f t="shared" si="9"/>
        <v>1</v>
      </c>
      <c r="AW37" s="50">
        <f t="shared" si="10"/>
        <v>1</v>
      </c>
    </row>
    <row r="38" spans="1:50">
      <c r="A38" s="13"/>
    </row>
    <row r="39" spans="1:50">
      <c r="A39" s="13"/>
      <c r="F39" s="18"/>
      <c r="G39" s="18"/>
      <c r="Z39" s="12"/>
      <c r="AS39" s="11"/>
      <c r="AT39" s="21"/>
      <c r="AU39" s="21"/>
      <c r="AV39" s="21"/>
      <c r="AW39" s="21"/>
      <c r="AX39" s="12"/>
    </row>
    <row r="40" spans="1:50">
      <c r="A40" s="13"/>
      <c r="F40" s="18"/>
      <c r="G40" t="str">
        <f>IF(ISNUMBER(SEARCH("N",G3,1)),FIND("N",G3,1), "")</f>
        <v/>
      </c>
      <c r="AR40" s="12"/>
      <c r="AS40" s="20"/>
      <c r="AT40" s="20"/>
      <c r="AU40" s="20"/>
      <c r="AV40" s="20"/>
      <c r="AW40" s="20"/>
    </row>
    <row r="41" spans="1:50">
      <c r="A41" s="13"/>
      <c r="F41" s="18"/>
      <c r="G41" t="str">
        <f>IF(ISNUMBER(SEARCH("N",G4,1)),FIND("N",G4,1), "")</f>
        <v/>
      </c>
    </row>
    <row r="42" spans="1:50">
      <c r="A42" s="13"/>
      <c r="F42" s="18"/>
    </row>
    <row r="43" spans="1:50">
      <c r="A43" s="13"/>
      <c r="F43" s="18"/>
    </row>
    <row r="44" spans="1:50">
      <c r="A44" s="13"/>
      <c r="F44" s="18"/>
    </row>
    <row r="45" spans="1:50">
      <c r="A45" s="13"/>
      <c r="F45" s="18"/>
    </row>
    <row r="46" spans="1:50">
      <c r="A46" s="13"/>
      <c r="F46" s="18"/>
    </row>
    <row r="47" spans="1:50">
      <c r="A47" s="13"/>
      <c r="F47" s="18"/>
    </row>
    <row r="48" spans="1:50">
      <c r="A48" s="13"/>
      <c r="F48" s="18"/>
    </row>
    <row r="49" spans="1:6">
      <c r="A49" s="13"/>
      <c r="F49" s="18"/>
    </row>
    <row r="50" spans="1:6">
      <c r="A50" s="13"/>
    </row>
    <row r="51" spans="1:6">
      <c r="A51" s="13"/>
    </row>
    <row r="52" spans="1:6">
      <c r="A52" s="13"/>
    </row>
    <row r="53" spans="1:6">
      <c r="A53" s="13"/>
    </row>
    <row r="54" spans="1:6">
      <c r="A54" s="13"/>
    </row>
    <row r="55" spans="1:6">
      <c r="A55" s="13"/>
    </row>
    <row r="56" spans="1:6">
      <c r="A56" s="13"/>
    </row>
    <row r="57" spans="1:6">
      <c r="A57" s="13"/>
    </row>
    <row r="58" spans="1:6">
      <c r="A58" s="13"/>
    </row>
    <row r="59" spans="1:6">
      <c r="A59" s="13"/>
    </row>
    <row r="60" spans="1:6">
      <c r="A60" s="13"/>
    </row>
    <row r="61" spans="1:6">
      <c r="A61" s="13"/>
    </row>
    <row r="62" spans="1:6">
      <c r="A62" s="13"/>
    </row>
    <row r="63" spans="1:6">
      <c r="A63" s="13"/>
    </row>
    <row r="64" spans="1:6">
      <c r="A64" s="13"/>
    </row>
  </sheetData>
  <mergeCells count="4">
    <mergeCell ref="A1:AG1"/>
    <mergeCell ref="AI1:AM1"/>
    <mergeCell ref="AN1:AR1"/>
    <mergeCell ref="AS1:AW1"/>
  </mergeCells>
  <conditionalFormatting sqref="AL1:AL2">
    <cfRule type="containsText" dxfId="2" priority="8" operator="containsText" text="x">
      <formula>NOT(ISERROR(SEARCH("x",AL1)))</formula>
    </cfRule>
  </conditionalFormatting>
  <conditionalFormatting sqref="AQ1">
    <cfRule type="containsText" dxfId="1" priority="7" operator="containsText" text="x">
      <formula>NOT(ISERROR(SEARCH("x",AQ1)))</formula>
    </cfRule>
  </conditionalFormatting>
  <conditionalFormatting sqref="AV1">
    <cfRule type="containsText" dxfId="0" priority="6" operator="containsText" text="x">
      <formula>NOT(ISERROR(SEARCH("x",AV1)))</formula>
    </cfRule>
  </conditionalFormatting>
  <pageMargins left="0.7" right="0.7" top="0.75" bottom="0.75" header="0.3" footer="0.3"/>
  <pageSetup paperSize="9" orientation="portrait" horizontalDpi="0" verticalDpi="0"/>
  <ignoredErrors>
    <ignoredError sqref="AU3:AU37" formula="1"/>
    <ignoredError sqref="AO4:AR37" numberStoredAsText="1"/>
  </ignoredErrors>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B8BC90A-B424-8A4C-A32B-07F03E2F7322}">
  <dimension ref="A1:Z72"/>
  <sheetViews>
    <sheetView zoomScale="70" zoomScaleNormal="70" workbookViewId="0">
      <pane xSplit="1" topLeftCell="C1" activePane="topRight" state="frozen"/>
      <selection pane="topRight"/>
    </sheetView>
  </sheetViews>
  <sheetFormatPr defaultColWidth="10.6640625" defaultRowHeight="14.25"/>
  <cols>
    <col min="2" max="2" width="0" hidden="1" customWidth="1"/>
    <col min="4" max="4" width="46.1328125" customWidth="1"/>
    <col min="7" max="7" width="26.59765625" customWidth="1"/>
    <col min="11" max="11" width="37.1328125" customWidth="1"/>
    <col min="14" max="14" width="65" customWidth="1"/>
    <col min="16" max="16" width="21.33203125" customWidth="1"/>
    <col min="18" max="18" width="17" customWidth="1"/>
    <col min="19" max="19" width="32.46484375" customWidth="1"/>
    <col min="22" max="22" width="167.73046875" bestFit="1" customWidth="1"/>
    <col min="23" max="25" width="0" hidden="1" customWidth="1"/>
    <col min="26" max="26" width="0" style="15" hidden="1" customWidth="1"/>
  </cols>
  <sheetData>
    <row r="1" spans="1:26">
      <c r="A1" s="51" t="s">
        <v>235</v>
      </c>
      <c r="B1" t="s">
        <v>236</v>
      </c>
      <c r="C1" t="s">
        <v>237</v>
      </c>
      <c r="D1" t="s">
        <v>238</v>
      </c>
      <c r="E1" t="s">
        <v>239</v>
      </c>
      <c r="F1" t="s">
        <v>240</v>
      </c>
      <c r="G1" t="s">
        <v>241</v>
      </c>
      <c r="H1" t="s">
        <v>242</v>
      </c>
      <c r="I1" t="s">
        <v>243</v>
      </c>
      <c r="J1" t="s">
        <v>244</v>
      </c>
      <c r="K1" t="s">
        <v>245</v>
      </c>
      <c r="L1" t="s">
        <v>246</v>
      </c>
      <c r="M1" t="s">
        <v>247</v>
      </c>
      <c r="N1" t="s">
        <v>248</v>
      </c>
      <c r="O1" t="s">
        <v>249</v>
      </c>
      <c r="P1" t="s">
        <v>250</v>
      </c>
      <c r="Q1" t="s">
        <v>251</v>
      </c>
      <c r="R1" t="s">
        <v>252</v>
      </c>
      <c r="S1" t="s">
        <v>271</v>
      </c>
      <c r="T1" t="s">
        <v>253</v>
      </c>
      <c r="U1" t="s">
        <v>254</v>
      </c>
      <c r="V1" t="s">
        <v>255</v>
      </c>
      <c r="W1" t="s">
        <v>256</v>
      </c>
      <c r="X1" t="s">
        <v>257</v>
      </c>
      <c r="Z1" s="14" t="s">
        <v>270</v>
      </c>
    </row>
    <row r="2" spans="1:26">
      <c r="A2" t="s">
        <v>30</v>
      </c>
      <c r="B2" t="s">
        <v>272</v>
      </c>
      <c r="C2">
        <v>67</v>
      </c>
      <c r="D2" t="s">
        <v>157</v>
      </c>
      <c r="L2" t="s">
        <v>334</v>
      </c>
      <c r="M2" t="s">
        <v>177</v>
      </c>
      <c r="N2" t="s">
        <v>212</v>
      </c>
      <c r="O2" t="s">
        <v>335</v>
      </c>
      <c r="P2" t="s">
        <v>169</v>
      </c>
      <c r="R2" t="s">
        <v>336</v>
      </c>
      <c r="S2" t="s">
        <v>169</v>
      </c>
      <c r="V2" t="s">
        <v>337</v>
      </c>
      <c r="W2">
        <v>1</v>
      </c>
      <c r="X2">
        <v>1</v>
      </c>
      <c r="Z2" s="15" cm="1">
        <f t="array" ref="Z2">VALUE(LEFT(A2, MIN(IFERROR(FIND({"o","p"}, A2), LEN(A2)+1))-1))</f>
        <v>1</v>
      </c>
    </row>
    <row r="3" spans="1:26">
      <c r="A3" t="s">
        <v>35</v>
      </c>
      <c r="C3">
        <v>67</v>
      </c>
      <c r="D3" t="s">
        <v>36</v>
      </c>
      <c r="E3" t="s">
        <v>273</v>
      </c>
      <c r="I3">
        <v>8</v>
      </c>
      <c r="L3" t="s">
        <v>36</v>
      </c>
      <c r="N3" t="s">
        <v>338</v>
      </c>
      <c r="O3">
        <v>2</v>
      </c>
      <c r="P3" t="s">
        <v>279</v>
      </c>
      <c r="Q3" t="s">
        <v>279</v>
      </c>
      <c r="R3" t="s">
        <v>279</v>
      </c>
      <c r="S3" t="s">
        <v>279</v>
      </c>
      <c r="T3" t="s">
        <v>279</v>
      </c>
      <c r="U3" t="s">
        <v>279</v>
      </c>
      <c r="V3" t="s">
        <v>279</v>
      </c>
      <c r="W3">
        <v>1</v>
      </c>
      <c r="X3">
        <v>2</v>
      </c>
      <c r="Z3" s="15" cm="1">
        <f t="array" ref="Z3">VALUE(LEFT(A3, MIN(IFERROR(FIND({"o","p"}, A3), LEN(A3)+1))-1))</f>
        <v>1</v>
      </c>
    </row>
    <row r="4" spans="1:26">
      <c r="A4" t="s">
        <v>37</v>
      </c>
      <c r="B4" t="s">
        <v>275</v>
      </c>
      <c r="C4">
        <v>39</v>
      </c>
      <c r="D4" t="s">
        <v>220</v>
      </c>
      <c r="L4" t="s">
        <v>168</v>
      </c>
      <c r="M4" t="s">
        <v>178</v>
      </c>
      <c r="N4" t="s">
        <v>38</v>
      </c>
      <c r="O4">
        <v>1</v>
      </c>
      <c r="P4" t="s">
        <v>169</v>
      </c>
      <c r="R4" t="s">
        <v>339</v>
      </c>
      <c r="S4" t="s">
        <v>169</v>
      </c>
      <c r="V4" t="s">
        <v>340</v>
      </c>
      <c r="W4">
        <v>2</v>
      </c>
      <c r="X4">
        <v>1</v>
      </c>
      <c r="Z4" s="15" cm="1">
        <f t="array" ref="Z4">VALUE(LEFT(A4, MIN(IFERROR(FIND({"o","p"}, A4), LEN(A4)+1))-1))</f>
        <v>2</v>
      </c>
    </row>
    <row r="5" spans="1:26">
      <c r="A5" t="s">
        <v>39</v>
      </c>
      <c r="B5" t="s">
        <v>279</v>
      </c>
      <c r="C5">
        <v>39</v>
      </c>
      <c r="D5" t="s">
        <v>36</v>
      </c>
      <c r="E5" t="s">
        <v>273</v>
      </c>
      <c r="F5" t="s">
        <v>274</v>
      </c>
      <c r="I5" t="s">
        <v>279</v>
      </c>
      <c r="J5">
        <v>1</v>
      </c>
      <c r="K5" t="s">
        <v>171</v>
      </c>
      <c r="L5" t="s">
        <v>195</v>
      </c>
      <c r="N5" t="s">
        <v>279</v>
      </c>
      <c r="O5">
        <v>1</v>
      </c>
      <c r="P5" t="s">
        <v>279</v>
      </c>
      <c r="Q5" t="s">
        <v>279</v>
      </c>
      <c r="R5" t="s">
        <v>279</v>
      </c>
      <c r="S5" t="s">
        <v>279</v>
      </c>
      <c r="T5" t="s">
        <v>279</v>
      </c>
      <c r="U5" t="s">
        <v>279</v>
      </c>
      <c r="V5" t="s">
        <v>279</v>
      </c>
      <c r="W5">
        <v>2</v>
      </c>
      <c r="X5">
        <v>2</v>
      </c>
      <c r="Z5" s="15" cm="1">
        <f t="array" ref="Z5">VALUE(LEFT(A5, MIN(IFERROR(FIND({"o","p"}, A5), LEN(A5)+1))-1))</f>
        <v>2</v>
      </c>
    </row>
    <row r="6" spans="1:26">
      <c r="A6" t="s">
        <v>40</v>
      </c>
      <c r="B6" s="25">
        <v>45373</v>
      </c>
      <c r="D6" t="s">
        <v>222</v>
      </c>
      <c r="E6" t="s">
        <v>223</v>
      </c>
      <c r="G6" t="s">
        <v>341</v>
      </c>
      <c r="I6">
        <v>5</v>
      </c>
      <c r="J6">
        <v>1</v>
      </c>
      <c r="K6" t="s">
        <v>41</v>
      </c>
      <c r="L6" t="s">
        <v>168</v>
      </c>
      <c r="M6" t="s">
        <v>172</v>
      </c>
      <c r="N6" t="s">
        <v>276</v>
      </c>
      <c r="O6">
        <v>2</v>
      </c>
      <c r="P6" t="s">
        <v>169</v>
      </c>
      <c r="S6" t="s">
        <v>342</v>
      </c>
      <c r="V6" t="s">
        <v>277</v>
      </c>
      <c r="W6">
        <v>3</v>
      </c>
      <c r="X6">
        <v>1</v>
      </c>
      <c r="Z6" s="15" cm="1">
        <f t="array" ref="Z6">VALUE(LEFT(A6, MIN(IFERROR(FIND({"o","p"}, A6), LEN(A6)+1))-1))</f>
        <v>3</v>
      </c>
    </row>
    <row r="7" spans="1:26">
      <c r="A7" t="s">
        <v>42</v>
      </c>
      <c r="B7" t="s">
        <v>279</v>
      </c>
      <c r="C7">
        <v>52</v>
      </c>
      <c r="I7">
        <v>7</v>
      </c>
      <c r="L7" t="s">
        <v>279</v>
      </c>
      <c r="N7" t="s">
        <v>279</v>
      </c>
      <c r="O7">
        <v>1</v>
      </c>
      <c r="P7" t="s">
        <v>279</v>
      </c>
      <c r="Q7" t="s">
        <v>279</v>
      </c>
      <c r="R7" t="s">
        <v>279</v>
      </c>
      <c r="S7" t="s">
        <v>279</v>
      </c>
      <c r="T7" t="s">
        <v>279</v>
      </c>
      <c r="V7" t="s">
        <v>279</v>
      </c>
      <c r="W7">
        <v>3</v>
      </c>
      <c r="X7">
        <v>2</v>
      </c>
      <c r="Z7" s="15" cm="1">
        <f t="array" ref="Z7">VALUE(LEFT(A7, MIN(IFERROR(FIND({"o","p"}, A7), LEN(A7)+1))-1))</f>
        <v>3</v>
      </c>
    </row>
    <row r="8" spans="1:26">
      <c r="A8" t="s">
        <v>43</v>
      </c>
      <c r="B8" t="s">
        <v>224</v>
      </c>
      <c r="D8" t="s">
        <v>343</v>
      </c>
      <c r="E8" t="s">
        <v>223</v>
      </c>
      <c r="F8" t="s">
        <v>274</v>
      </c>
      <c r="G8" t="s">
        <v>258</v>
      </c>
      <c r="I8">
        <v>4</v>
      </c>
      <c r="J8">
        <v>3</v>
      </c>
      <c r="K8" t="s">
        <v>344</v>
      </c>
      <c r="L8" t="s">
        <v>187</v>
      </c>
      <c r="N8" t="s">
        <v>45</v>
      </c>
      <c r="O8">
        <v>1</v>
      </c>
      <c r="P8" t="s">
        <v>173</v>
      </c>
      <c r="R8" t="s">
        <v>169</v>
      </c>
      <c r="S8" t="s">
        <v>278</v>
      </c>
      <c r="V8" t="s">
        <v>345</v>
      </c>
      <c r="W8">
        <v>4</v>
      </c>
      <c r="X8">
        <v>1</v>
      </c>
      <c r="Z8" s="15" cm="1">
        <f t="array" ref="Z8">VALUE(LEFT(A8, MIN(IFERROR(FIND({"o","p"}, A8), LEN(A8)+1))-1))</f>
        <v>4</v>
      </c>
    </row>
    <row r="9" spans="1:26">
      <c r="A9" t="s">
        <v>46</v>
      </c>
      <c r="C9">
        <v>61</v>
      </c>
      <c r="D9" t="s">
        <v>155</v>
      </c>
      <c r="E9" t="s">
        <v>160</v>
      </c>
      <c r="G9" t="s">
        <v>258</v>
      </c>
      <c r="I9" t="s">
        <v>346</v>
      </c>
      <c r="L9" t="s">
        <v>36</v>
      </c>
      <c r="N9" t="s">
        <v>280</v>
      </c>
      <c r="O9">
        <v>1</v>
      </c>
      <c r="W9">
        <v>4</v>
      </c>
      <c r="X9">
        <v>2</v>
      </c>
      <c r="Z9" s="15" cm="1">
        <f t="array" ref="Z9">VALUE(LEFT(A9, MIN(IFERROR(FIND({"o","p"}, A9), LEN(A9)+1))-1))</f>
        <v>4</v>
      </c>
    </row>
    <row r="10" spans="1:26">
      <c r="A10" t="s">
        <v>47</v>
      </c>
      <c r="B10" t="s">
        <v>281</v>
      </c>
      <c r="C10">
        <v>34</v>
      </c>
      <c r="D10" t="s">
        <v>225</v>
      </c>
      <c r="E10" t="s">
        <v>223</v>
      </c>
      <c r="G10" t="s">
        <v>347</v>
      </c>
      <c r="I10">
        <v>5</v>
      </c>
      <c r="J10">
        <v>1</v>
      </c>
      <c r="K10" t="s">
        <v>48</v>
      </c>
      <c r="L10" t="s">
        <v>348</v>
      </c>
      <c r="N10" t="s">
        <v>282</v>
      </c>
      <c r="O10">
        <v>2</v>
      </c>
      <c r="P10" t="s">
        <v>283</v>
      </c>
      <c r="R10" t="s">
        <v>279</v>
      </c>
      <c r="S10" t="s">
        <v>349</v>
      </c>
      <c r="T10" t="s">
        <v>279</v>
      </c>
      <c r="U10" t="s">
        <v>279</v>
      </c>
      <c r="V10" t="s">
        <v>284</v>
      </c>
      <c r="W10">
        <v>5</v>
      </c>
      <c r="X10">
        <v>1</v>
      </c>
      <c r="Z10" s="15" cm="1">
        <f t="array" ref="Z10">VALUE(LEFT(A10, MIN(IFERROR(FIND({"o","p"}, A10), LEN(A10)+1))-1))</f>
        <v>5</v>
      </c>
    </row>
    <row r="11" spans="1:26">
      <c r="A11" t="s">
        <v>49</v>
      </c>
      <c r="B11" t="s">
        <v>281</v>
      </c>
      <c r="C11">
        <v>34</v>
      </c>
      <c r="E11" t="s">
        <v>160</v>
      </c>
      <c r="G11" t="s">
        <v>175</v>
      </c>
      <c r="I11">
        <v>2</v>
      </c>
      <c r="J11">
        <v>1</v>
      </c>
      <c r="K11" t="s">
        <v>48</v>
      </c>
      <c r="L11" t="s">
        <v>32</v>
      </c>
      <c r="W11">
        <v>5</v>
      </c>
      <c r="X11">
        <v>1</v>
      </c>
      <c r="Z11" s="15" cm="1">
        <f t="array" ref="Z11">VALUE(LEFT(A11, MIN(IFERROR(FIND({"o","p"}, A11), LEN(A11)+1))-1))</f>
        <v>5</v>
      </c>
    </row>
    <row r="12" spans="1:26">
      <c r="A12" t="s">
        <v>50</v>
      </c>
      <c r="B12" t="s">
        <v>279</v>
      </c>
      <c r="C12">
        <v>34</v>
      </c>
      <c r="D12" t="s">
        <v>158</v>
      </c>
      <c r="E12" t="s">
        <v>273</v>
      </c>
      <c r="F12" t="s">
        <v>274</v>
      </c>
      <c r="G12" t="s">
        <v>175</v>
      </c>
      <c r="H12" t="s">
        <v>350</v>
      </c>
      <c r="I12">
        <v>11</v>
      </c>
      <c r="J12" t="s">
        <v>279</v>
      </c>
      <c r="K12" t="s">
        <v>279</v>
      </c>
      <c r="L12" t="s">
        <v>36</v>
      </c>
      <c r="M12" t="s">
        <v>279</v>
      </c>
      <c r="N12" t="s">
        <v>351</v>
      </c>
      <c r="O12">
        <v>2</v>
      </c>
      <c r="P12" t="s">
        <v>34</v>
      </c>
      <c r="Q12" t="s">
        <v>350</v>
      </c>
      <c r="R12" t="s">
        <v>279</v>
      </c>
      <c r="S12" t="s">
        <v>350</v>
      </c>
      <c r="T12" t="s">
        <v>279</v>
      </c>
      <c r="U12" t="s">
        <v>279</v>
      </c>
      <c r="V12" t="s">
        <v>279</v>
      </c>
      <c r="W12">
        <v>5</v>
      </c>
      <c r="X12">
        <v>2</v>
      </c>
      <c r="Z12" s="15" cm="1">
        <f t="array" ref="Z12">VALUE(LEFT(A12, MIN(IFERROR(FIND({"o","p"}, A12), LEN(A12)+1))-1))</f>
        <v>5</v>
      </c>
    </row>
    <row r="13" spans="1:26">
      <c r="A13" t="s">
        <v>51</v>
      </c>
      <c r="B13" s="25">
        <v>45416</v>
      </c>
      <c r="C13">
        <v>66</v>
      </c>
      <c r="D13" t="s">
        <v>155</v>
      </c>
      <c r="I13">
        <v>5</v>
      </c>
      <c r="J13">
        <v>1</v>
      </c>
      <c r="K13" t="s">
        <v>352</v>
      </c>
      <c r="L13" t="s">
        <v>115</v>
      </c>
      <c r="M13" t="s">
        <v>353</v>
      </c>
      <c r="N13" t="s">
        <v>354</v>
      </c>
      <c r="O13">
        <v>1</v>
      </c>
      <c r="P13" t="s">
        <v>214</v>
      </c>
      <c r="R13" t="s">
        <v>34</v>
      </c>
      <c r="V13" t="s">
        <v>355</v>
      </c>
      <c r="W13">
        <v>6</v>
      </c>
      <c r="X13">
        <v>1</v>
      </c>
      <c r="Z13" s="15" cm="1">
        <f t="array" ref="Z13">VALUE(LEFT(A13, MIN(IFERROR(FIND({"o","p"}, A13), LEN(A13)+1))-1))</f>
        <v>6</v>
      </c>
    </row>
    <row r="14" spans="1:26">
      <c r="A14" t="s">
        <v>52</v>
      </c>
      <c r="B14" t="s">
        <v>279</v>
      </c>
      <c r="C14">
        <v>66</v>
      </c>
      <c r="I14" t="s">
        <v>279</v>
      </c>
      <c r="J14" t="s">
        <v>279</v>
      </c>
      <c r="L14" t="s">
        <v>279</v>
      </c>
      <c r="N14" t="s">
        <v>176</v>
      </c>
      <c r="O14">
        <v>1</v>
      </c>
      <c r="P14" t="s">
        <v>279</v>
      </c>
      <c r="Q14" t="s">
        <v>279</v>
      </c>
      <c r="R14" t="s">
        <v>279</v>
      </c>
      <c r="S14" t="s">
        <v>279</v>
      </c>
      <c r="T14" t="s">
        <v>279</v>
      </c>
      <c r="U14" t="s">
        <v>279</v>
      </c>
      <c r="V14" t="s">
        <v>279</v>
      </c>
      <c r="W14">
        <v>6</v>
      </c>
      <c r="X14">
        <v>2</v>
      </c>
      <c r="Z14" s="15" cm="1">
        <f t="array" ref="Z14">VALUE(LEFT(A14, MIN(IFERROR(FIND({"o","p"}, A14), LEN(A14)+1))-1))</f>
        <v>6</v>
      </c>
    </row>
    <row r="15" spans="1:26">
      <c r="A15" t="s">
        <v>53</v>
      </c>
      <c r="B15" t="s">
        <v>286</v>
      </c>
      <c r="C15">
        <v>67</v>
      </c>
      <c r="D15" t="s">
        <v>156</v>
      </c>
      <c r="I15">
        <v>13</v>
      </c>
      <c r="J15">
        <v>0</v>
      </c>
      <c r="L15" t="s">
        <v>168</v>
      </c>
      <c r="M15" t="s">
        <v>172</v>
      </c>
      <c r="N15" t="s">
        <v>356</v>
      </c>
      <c r="O15">
        <v>2</v>
      </c>
      <c r="P15" t="s">
        <v>169</v>
      </c>
      <c r="R15" t="s">
        <v>169</v>
      </c>
      <c r="S15" t="s">
        <v>169</v>
      </c>
      <c r="V15" t="s">
        <v>277</v>
      </c>
      <c r="W15">
        <v>7</v>
      </c>
      <c r="X15">
        <v>1</v>
      </c>
      <c r="Z15" s="15" cm="1">
        <f t="array" ref="Z15">VALUE(LEFT(A15, MIN(IFERROR(FIND({"o","p"}, A15), LEN(A15)+1))-1))</f>
        <v>7</v>
      </c>
    </row>
    <row r="16" spans="1:26">
      <c r="A16" t="s">
        <v>54</v>
      </c>
      <c r="B16" t="s">
        <v>279</v>
      </c>
      <c r="C16">
        <v>67</v>
      </c>
      <c r="I16" t="s">
        <v>279</v>
      </c>
      <c r="J16">
        <v>0</v>
      </c>
      <c r="L16" t="s">
        <v>259</v>
      </c>
      <c r="M16" t="s">
        <v>279</v>
      </c>
      <c r="N16" t="s">
        <v>357</v>
      </c>
      <c r="O16">
        <v>2</v>
      </c>
      <c r="P16" t="s">
        <v>279</v>
      </c>
      <c r="Q16" t="s">
        <v>279</v>
      </c>
      <c r="R16" t="s">
        <v>279</v>
      </c>
      <c r="S16" t="s">
        <v>279</v>
      </c>
      <c r="T16" t="s">
        <v>279</v>
      </c>
      <c r="U16" t="s">
        <v>279</v>
      </c>
      <c r="V16" t="s">
        <v>279</v>
      </c>
      <c r="W16">
        <v>7</v>
      </c>
      <c r="X16">
        <v>2</v>
      </c>
      <c r="Z16" s="15" cm="1">
        <f t="array" ref="Z16">VALUE(LEFT(A16, MIN(IFERROR(FIND({"o","p"}, A16), LEN(A16)+1))-1))</f>
        <v>7</v>
      </c>
    </row>
    <row r="17" spans="1:26">
      <c r="A17" t="s">
        <v>55</v>
      </c>
      <c r="B17" t="s">
        <v>226</v>
      </c>
      <c r="C17">
        <v>78</v>
      </c>
      <c r="D17" t="s">
        <v>219</v>
      </c>
      <c r="L17" t="s">
        <v>168</v>
      </c>
      <c r="M17" t="s">
        <v>213</v>
      </c>
      <c r="N17" t="s">
        <v>56</v>
      </c>
      <c r="O17">
        <v>1</v>
      </c>
      <c r="P17" t="s">
        <v>169</v>
      </c>
      <c r="R17" t="s">
        <v>169</v>
      </c>
      <c r="S17" t="s">
        <v>169</v>
      </c>
      <c r="V17" t="s">
        <v>287</v>
      </c>
      <c r="W17">
        <v>8</v>
      </c>
      <c r="X17">
        <v>1</v>
      </c>
      <c r="Z17" s="15" cm="1">
        <f t="array" ref="Z17">VALUE(LEFT(A17, MIN(IFERROR(FIND({"o","p"}, A17), LEN(A17)+1))-1))</f>
        <v>8</v>
      </c>
    </row>
    <row r="18" spans="1:26">
      <c r="A18" t="s">
        <v>57</v>
      </c>
      <c r="B18" t="s">
        <v>279</v>
      </c>
      <c r="C18">
        <v>78</v>
      </c>
      <c r="D18" t="s">
        <v>155</v>
      </c>
      <c r="E18" t="s">
        <v>273</v>
      </c>
      <c r="F18" t="s">
        <v>274</v>
      </c>
      <c r="I18" t="s">
        <v>279</v>
      </c>
      <c r="J18" t="s">
        <v>279</v>
      </c>
      <c r="L18" t="s">
        <v>279</v>
      </c>
      <c r="M18" t="s">
        <v>215</v>
      </c>
      <c r="N18" t="s">
        <v>99</v>
      </c>
      <c r="O18">
        <v>1</v>
      </c>
      <c r="P18" t="s">
        <v>279</v>
      </c>
      <c r="R18" t="s">
        <v>279</v>
      </c>
      <c r="T18" t="s">
        <v>279</v>
      </c>
      <c r="V18" t="s">
        <v>279</v>
      </c>
      <c r="W18">
        <v>8</v>
      </c>
      <c r="X18">
        <v>2</v>
      </c>
      <c r="Z18" s="15" cm="1">
        <f t="array" ref="Z18">VALUE(LEFT(A18, MIN(IFERROR(FIND({"o","p"}, A18), LEN(A18)+1))-1))</f>
        <v>8</v>
      </c>
    </row>
    <row r="19" spans="1:26">
      <c r="A19" t="s">
        <v>58</v>
      </c>
      <c r="B19" s="25">
        <v>45537</v>
      </c>
      <c r="C19">
        <v>55</v>
      </c>
      <c r="D19" t="s">
        <v>220</v>
      </c>
      <c r="G19" t="s">
        <v>358</v>
      </c>
      <c r="I19">
        <v>8</v>
      </c>
      <c r="J19">
        <v>4</v>
      </c>
      <c r="L19" t="s">
        <v>260</v>
      </c>
      <c r="M19" t="s">
        <v>359</v>
      </c>
      <c r="N19" t="s">
        <v>360</v>
      </c>
      <c r="O19">
        <v>3</v>
      </c>
      <c r="P19" t="s">
        <v>169</v>
      </c>
      <c r="R19" t="s">
        <v>34</v>
      </c>
      <c r="S19" t="s">
        <v>169</v>
      </c>
      <c r="V19" t="s">
        <v>361</v>
      </c>
      <c r="W19">
        <v>9</v>
      </c>
      <c r="X19">
        <v>1</v>
      </c>
      <c r="Z19" s="15" cm="1">
        <f t="array" ref="Z19">VALUE(LEFT(A19, MIN(IFERROR(FIND({"o","p"}, A19), LEN(A19)+1))-1))</f>
        <v>9</v>
      </c>
    </row>
    <row r="20" spans="1:26">
      <c r="A20" t="s">
        <v>59</v>
      </c>
      <c r="B20" t="s">
        <v>279</v>
      </c>
      <c r="C20">
        <v>55</v>
      </c>
      <c r="G20" t="s">
        <v>362</v>
      </c>
      <c r="I20" t="s">
        <v>288</v>
      </c>
      <c r="J20" t="s">
        <v>279</v>
      </c>
      <c r="K20" t="s">
        <v>110</v>
      </c>
      <c r="L20" t="s">
        <v>285</v>
      </c>
      <c r="N20" t="s">
        <v>279</v>
      </c>
      <c r="O20" t="s">
        <v>363</v>
      </c>
      <c r="P20" t="s">
        <v>279</v>
      </c>
      <c r="Q20" t="s">
        <v>279</v>
      </c>
      <c r="R20" t="s">
        <v>279</v>
      </c>
      <c r="S20" t="s">
        <v>279</v>
      </c>
      <c r="T20" t="s">
        <v>279</v>
      </c>
      <c r="U20" t="s">
        <v>279</v>
      </c>
      <c r="V20" t="s">
        <v>279</v>
      </c>
      <c r="W20">
        <v>9</v>
      </c>
      <c r="X20">
        <v>2</v>
      </c>
      <c r="Z20" s="15" cm="1">
        <f t="array" ref="Z20">VALUE(LEFT(A20, MIN(IFERROR(FIND({"o","p"}, A20), LEN(A20)+1))-1))</f>
        <v>9</v>
      </c>
    </row>
    <row r="21" spans="1:26">
      <c r="A21" t="s">
        <v>60</v>
      </c>
      <c r="B21" t="s">
        <v>227</v>
      </c>
      <c r="C21">
        <v>24</v>
      </c>
      <c r="D21" t="s">
        <v>219</v>
      </c>
      <c r="I21">
        <v>1</v>
      </c>
      <c r="J21">
        <v>1</v>
      </c>
      <c r="L21" t="s">
        <v>187</v>
      </c>
      <c r="N21" t="s">
        <v>61</v>
      </c>
      <c r="O21">
        <v>1</v>
      </c>
      <c r="P21" t="s">
        <v>169</v>
      </c>
      <c r="R21" t="s">
        <v>289</v>
      </c>
      <c r="S21" t="s">
        <v>169</v>
      </c>
      <c r="V21" t="s">
        <v>364</v>
      </c>
      <c r="W21">
        <v>10</v>
      </c>
      <c r="X21">
        <v>1</v>
      </c>
      <c r="Z21" s="15" cm="1">
        <f t="array" ref="Z21">VALUE(LEFT(A21, MIN(IFERROR(FIND({"o","p"}, A21), LEN(A21)+1))-1))</f>
        <v>10</v>
      </c>
    </row>
    <row r="22" spans="1:26">
      <c r="A22" t="s">
        <v>62</v>
      </c>
      <c r="B22" t="s">
        <v>279</v>
      </c>
      <c r="C22">
        <v>24</v>
      </c>
      <c r="D22" t="s">
        <v>155</v>
      </c>
      <c r="E22" t="s">
        <v>273</v>
      </c>
      <c r="F22" t="s">
        <v>161</v>
      </c>
      <c r="I22" t="s">
        <v>279</v>
      </c>
      <c r="J22" t="s">
        <v>279</v>
      </c>
      <c r="L22" t="s">
        <v>36</v>
      </c>
      <c r="M22" t="s">
        <v>279</v>
      </c>
      <c r="N22" t="s">
        <v>170</v>
      </c>
      <c r="O22">
        <v>1</v>
      </c>
      <c r="P22" t="s">
        <v>279</v>
      </c>
      <c r="Q22" t="s">
        <v>279</v>
      </c>
      <c r="R22" t="s">
        <v>279</v>
      </c>
      <c r="S22" t="s">
        <v>279</v>
      </c>
      <c r="T22" t="s">
        <v>279</v>
      </c>
      <c r="U22" t="s">
        <v>279</v>
      </c>
      <c r="V22" t="s">
        <v>279</v>
      </c>
      <c r="W22">
        <v>10</v>
      </c>
      <c r="X22">
        <v>2</v>
      </c>
      <c r="Z22" s="15" cm="1">
        <f t="array" ref="Z22">VALUE(LEFT(A22, MIN(IFERROR(FIND({"o","p"}, A22), LEN(A22)+1))-1))</f>
        <v>10</v>
      </c>
    </row>
    <row r="23" spans="1:26">
      <c r="A23" t="s">
        <v>63</v>
      </c>
      <c r="B23" t="s">
        <v>226</v>
      </c>
      <c r="C23">
        <v>70</v>
      </c>
      <c r="D23" t="s">
        <v>228</v>
      </c>
      <c r="I23">
        <v>13</v>
      </c>
      <c r="J23">
        <v>0</v>
      </c>
      <c r="L23" t="s">
        <v>179</v>
      </c>
      <c r="N23" t="s">
        <v>180</v>
      </c>
      <c r="O23">
        <v>2</v>
      </c>
      <c r="P23" t="s">
        <v>169</v>
      </c>
      <c r="R23" t="s">
        <v>34</v>
      </c>
      <c r="S23" t="s">
        <v>169</v>
      </c>
      <c r="V23" t="s">
        <v>277</v>
      </c>
      <c r="W23">
        <v>11</v>
      </c>
      <c r="X23">
        <v>1</v>
      </c>
      <c r="Z23" s="15" cm="1">
        <f t="array" ref="Z23">VALUE(LEFT(A23, MIN(IFERROR(FIND({"o","p"}, A23), LEN(A23)+1))-1))</f>
        <v>11</v>
      </c>
    </row>
    <row r="24" spans="1:26">
      <c r="A24" t="s">
        <v>64</v>
      </c>
      <c r="B24" s="26">
        <v>45443</v>
      </c>
      <c r="C24">
        <v>70</v>
      </c>
      <c r="L24" t="s">
        <v>174</v>
      </c>
      <c r="N24" t="s">
        <v>261</v>
      </c>
      <c r="O24">
        <v>1</v>
      </c>
      <c r="P24" t="s">
        <v>279</v>
      </c>
      <c r="Q24" t="s">
        <v>279</v>
      </c>
      <c r="R24" t="s">
        <v>279</v>
      </c>
      <c r="S24" t="s">
        <v>279</v>
      </c>
      <c r="T24" t="s">
        <v>279</v>
      </c>
      <c r="U24" t="s">
        <v>279</v>
      </c>
      <c r="V24" t="s">
        <v>279</v>
      </c>
      <c r="W24">
        <v>11</v>
      </c>
      <c r="X24">
        <v>2</v>
      </c>
      <c r="Z24" s="15" cm="1">
        <f t="array" ref="Z24">VALUE(LEFT(A24, MIN(IFERROR(FIND({"o","p"}, A24), LEN(A24)+1))-1))</f>
        <v>11</v>
      </c>
    </row>
    <row r="25" spans="1:26">
      <c r="A25" t="s">
        <v>65</v>
      </c>
      <c r="B25" s="25">
        <v>45356</v>
      </c>
      <c r="C25">
        <v>67</v>
      </c>
      <c r="D25" t="s">
        <v>228</v>
      </c>
      <c r="I25">
        <v>22</v>
      </c>
      <c r="J25">
        <v>1</v>
      </c>
      <c r="K25" t="s">
        <v>181</v>
      </c>
      <c r="L25" t="s">
        <v>365</v>
      </c>
      <c r="M25" t="s">
        <v>179</v>
      </c>
      <c r="N25" t="s">
        <v>181</v>
      </c>
      <c r="O25">
        <v>1</v>
      </c>
      <c r="P25" t="s">
        <v>34</v>
      </c>
      <c r="Q25" t="s">
        <v>262</v>
      </c>
      <c r="R25" t="s">
        <v>34</v>
      </c>
      <c r="S25" t="s">
        <v>169</v>
      </c>
      <c r="V25" t="s">
        <v>366</v>
      </c>
      <c r="W25">
        <v>12</v>
      </c>
      <c r="X25">
        <v>1</v>
      </c>
      <c r="Z25" s="15" cm="1">
        <f t="array" ref="Z25">VALUE(LEFT(A25, MIN(IFERROR(FIND({"o","p"}, A25), LEN(A25)+1))-1))</f>
        <v>12</v>
      </c>
    </row>
    <row r="26" spans="1:26">
      <c r="A26" t="s">
        <v>66</v>
      </c>
      <c r="B26" t="s">
        <v>279</v>
      </c>
      <c r="C26">
        <v>67</v>
      </c>
      <c r="D26" t="s">
        <v>279</v>
      </c>
      <c r="E26" t="s">
        <v>279</v>
      </c>
      <c r="F26" t="s">
        <v>279</v>
      </c>
      <c r="H26" t="s">
        <v>279</v>
      </c>
      <c r="I26" t="s">
        <v>279</v>
      </c>
      <c r="J26" t="s">
        <v>279</v>
      </c>
      <c r="K26" t="s">
        <v>279</v>
      </c>
      <c r="L26" t="s">
        <v>266</v>
      </c>
      <c r="M26" t="s">
        <v>279</v>
      </c>
      <c r="N26" t="s">
        <v>182</v>
      </c>
      <c r="O26">
        <v>1</v>
      </c>
      <c r="P26" t="s">
        <v>279</v>
      </c>
      <c r="Q26" t="s">
        <v>279</v>
      </c>
      <c r="R26" t="s">
        <v>279</v>
      </c>
      <c r="S26" t="s">
        <v>279</v>
      </c>
      <c r="T26" t="s">
        <v>279</v>
      </c>
      <c r="U26" t="s">
        <v>279</v>
      </c>
      <c r="V26" t="s">
        <v>279</v>
      </c>
      <c r="W26">
        <v>12</v>
      </c>
      <c r="X26">
        <v>2</v>
      </c>
      <c r="Z26" s="15" cm="1">
        <f t="array" ref="Z26">VALUE(LEFT(A26, MIN(IFERROR(FIND({"o","p"}, A26), LEN(A26)+1))-1))</f>
        <v>12</v>
      </c>
    </row>
    <row r="27" spans="1:26">
      <c r="A27" t="s">
        <v>67</v>
      </c>
      <c r="B27" s="25">
        <v>45509</v>
      </c>
      <c r="C27">
        <v>66</v>
      </c>
      <c r="E27" t="s">
        <v>229</v>
      </c>
      <c r="G27" t="s">
        <v>269</v>
      </c>
      <c r="I27">
        <v>19</v>
      </c>
      <c r="J27">
        <v>2</v>
      </c>
      <c r="K27" t="s">
        <v>290</v>
      </c>
      <c r="L27" t="s">
        <v>187</v>
      </c>
      <c r="N27" t="s">
        <v>183</v>
      </c>
      <c r="O27">
        <v>1</v>
      </c>
      <c r="P27" t="s">
        <v>34</v>
      </c>
      <c r="Q27" t="s">
        <v>367</v>
      </c>
      <c r="S27" t="s">
        <v>368</v>
      </c>
      <c r="V27" t="s">
        <v>291</v>
      </c>
      <c r="W27">
        <v>13</v>
      </c>
      <c r="X27">
        <v>1</v>
      </c>
      <c r="Z27" s="15" cm="1">
        <f t="array" ref="Z27">VALUE(LEFT(A27, MIN(IFERROR(FIND({"o","p"}, A27), LEN(A27)+1))-1))</f>
        <v>13</v>
      </c>
    </row>
    <row r="28" spans="1:26">
      <c r="A28" t="s">
        <v>70</v>
      </c>
      <c r="B28" t="s">
        <v>279</v>
      </c>
      <c r="C28">
        <v>66</v>
      </c>
      <c r="D28" t="s">
        <v>158</v>
      </c>
      <c r="E28" t="s">
        <v>160</v>
      </c>
      <c r="F28" t="s">
        <v>162</v>
      </c>
      <c r="G28" t="s">
        <v>369</v>
      </c>
      <c r="H28" t="s">
        <v>279</v>
      </c>
      <c r="I28" t="s">
        <v>279</v>
      </c>
      <c r="J28">
        <v>1</v>
      </c>
      <c r="K28" t="s">
        <v>184</v>
      </c>
      <c r="L28" t="s">
        <v>279</v>
      </c>
      <c r="M28" t="s">
        <v>279</v>
      </c>
      <c r="N28" t="s">
        <v>279</v>
      </c>
      <c r="O28">
        <v>1</v>
      </c>
      <c r="P28" t="s">
        <v>34</v>
      </c>
      <c r="Q28" t="s">
        <v>292</v>
      </c>
      <c r="R28" t="s">
        <v>34</v>
      </c>
      <c r="S28" t="s">
        <v>370</v>
      </c>
      <c r="T28" t="s">
        <v>279</v>
      </c>
      <c r="U28" t="s">
        <v>279</v>
      </c>
      <c r="V28" t="s">
        <v>279</v>
      </c>
      <c r="W28">
        <v>13</v>
      </c>
      <c r="X28">
        <v>2</v>
      </c>
      <c r="Z28" s="15" cm="1">
        <f t="array" ref="Z28">VALUE(LEFT(A28, MIN(IFERROR(FIND({"o","p"}, A28), LEN(A28)+1))-1))</f>
        <v>13</v>
      </c>
    </row>
    <row r="29" spans="1:26">
      <c r="A29" t="s">
        <v>71</v>
      </c>
      <c r="B29" s="25">
        <v>45630</v>
      </c>
      <c r="C29">
        <v>51</v>
      </c>
      <c r="D29" t="s">
        <v>225</v>
      </c>
      <c r="G29" t="s">
        <v>175</v>
      </c>
      <c r="I29">
        <v>1</v>
      </c>
      <c r="J29">
        <v>0</v>
      </c>
      <c r="L29" t="s">
        <v>260</v>
      </c>
      <c r="N29" t="s">
        <v>72</v>
      </c>
      <c r="O29">
        <v>1</v>
      </c>
      <c r="P29" t="s">
        <v>34</v>
      </c>
      <c r="Q29" t="s">
        <v>371</v>
      </c>
      <c r="R29" t="s">
        <v>34</v>
      </c>
      <c r="S29" t="s">
        <v>372</v>
      </c>
      <c r="V29" t="s">
        <v>294</v>
      </c>
      <c r="W29">
        <v>14</v>
      </c>
      <c r="X29">
        <v>1</v>
      </c>
      <c r="Z29" s="15" cm="1">
        <f t="array" ref="Z29">VALUE(LEFT(A29, MIN(IFERROR(FIND({"o","p"}, A29), LEN(A29)+1))-1))</f>
        <v>14</v>
      </c>
    </row>
    <row r="30" spans="1:26">
      <c r="A30" t="s">
        <v>73</v>
      </c>
      <c r="B30" t="s">
        <v>279</v>
      </c>
      <c r="C30">
        <v>51</v>
      </c>
      <c r="D30" t="s">
        <v>158</v>
      </c>
      <c r="E30" t="s">
        <v>273</v>
      </c>
      <c r="F30" t="s">
        <v>274</v>
      </c>
      <c r="G30" t="s">
        <v>175</v>
      </c>
      <c r="H30" t="s">
        <v>279</v>
      </c>
      <c r="I30" t="s">
        <v>279</v>
      </c>
      <c r="J30" t="s">
        <v>279</v>
      </c>
      <c r="K30" t="s">
        <v>279</v>
      </c>
      <c r="L30" t="s">
        <v>285</v>
      </c>
      <c r="M30" t="s">
        <v>279</v>
      </c>
      <c r="N30" t="s">
        <v>279</v>
      </c>
      <c r="O30">
        <v>1</v>
      </c>
      <c r="P30" t="s">
        <v>34</v>
      </c>
      <c r="Q30" t="s">
        <v>295</v>
      </c>
      <c r="R30" t="s">
        <v>34</v>
      </c>
      <c r="S30" t="s">
        <v>373</v>
      </c>
      <c r="T30" t="s">
        <v>279</v>
      </c>
      <c r="U30" t="s">
        <v>279</v>
      </c>
      <c r="V30" t="s">
        <v>279</v>
      </c>
      <c r="W30">
        <v>14</v>
      </c>
      <c r="X30">
        <v>2</v>
      </c>
      <c r="Z30" s="15" cm="1">
        <f t="array" ref="Z30">VALUE(LEFT(A30, MIN(IFERROR(FIND({"o","p"}, A30), LEN(A30)+1))-1))</f>
        <v>14</v>
      </c>
    </row>
    <row r="31" spans="1:26">
      <c r="A31" t="s">
        <v>74</v>
      </c>
      <c r="B31" t="s">
        <v>230</v>
      </c>
      <c r="C31">
        <v>64</v>
      </c>
      <c r="I31">
        <v>7</v>
      </c>
      <c r="J31" s="29" t="s">
        <v>442</v>
      </c>
      <c r="L31" t="s">
        <v>296</v>
      </c>
      <c r="M31" t="s">
        <v>374</v>
      </c>
      <c r="N31" t="s">
        <v>297</v>
      </c>
      <c r="O31">
        <v>1</v>
      </c>
      <c r="P31" t="s">
        <v>214</v>
      </c>
      <c r="R31" t="s">
        <v>214</v>
      </c>
      <c r="T31" t="s">
        <v>34</v>
      </c>
      <c r="U31" t="s">
        <v>375</v>
      </c>
      <c r="V31" t="s">
        <v>298</v>
      </c>
      <c r="W31">
        <v>15</v>
      </c>
      <c r="X31">
        <v>1</v>
      </c>
      <c r="Z31" s="15" cm="1">
        <f t="array" ref="Z31">VALUE(LEFT(A31, MIN(IFERROR(FIND({"o","p"}, A31), LEN(A31)+1))-1))</f>
        <v>15</v>
      </c>
    </row>
    <row r="32" spans="1:26">
      <c r="A32" t="s">
        <v>76</v>
      </c>
      <c r="B32" t="s">
        <v>279</v>
      </c>
      <c r="C32">
        <v>64</v>
      </c>
      <c r="I32" t="s">
        <v>279</v>
      </c>
      <c r="J32" t="s">
        <v>279</v>
      </c>
      <c r="L32" t="s">
        <v>36</v>
      </c>
      <c r="N32" t="s">
        <v>279</v>
      </c>
      <c r="O32">
        <v>1</v>
      </c>
      <c r="P32" t="s">
        <v>279</v>
      </c>
      <c r="R32" t="s">
        <v>279</v>
      </c>
      <c r="S32" t="s">
        <v>279</v>
      </c>
      <c r="T32" t="s">
        <v>279</v>
      </c>
      <c r="V32" t="s">
        <v>279</v>
      </c>
      <c r="W32">
        <v>15</v>
      </c>
      <c r="X32">
        <v>2</v>
      </c>
      <c r="Z32" s="15" cm="1">
        <f t="array" ref="Z32">VALUE(LEFT(A32, MIN(IFERROR(FIND({"o","p"}, A32), LEN(A32)+1))-1))</f>
        <v>15</v>
      </c>
    </row>
    <row r="33" spans="1:26">
      <c r="A33" t="s">
        <v>77</v>
      </c>
      <c r="B33" s="25">
        <v>45537</v>
      </c>
      <c r="D33" t="s">
        <v>220</v>
      </c>
      <c r="I33">
        <v>15</v>
      </c>
      <c r="J33">
        <v>2</v>
      </c>
      <c r="L33" t="s">
        <v>187</v>
      </c>
      <c r="N33" t="s">
        <v>299</v>
      </c>
      <c r="O33">
        <v>2</v>
      </c>
      <c r="P33" t="s">
        <v>263</v>
      </c>
      <c r="R33" t="s">
        <v>34</v>
      </c>
      <c r="S33" t="s">
        <v>169</v>
      </c>
      <c r="V33" t="s">
        <v>376</v>
      </c>
      <c r="W33">
        <v>16</v>
      </c>
      <c r="X33">
        <v>1</v>
      </c>
      <c r="Z33" s="15" cm="1">
        <f t="array" ref="Z33">VALUE(LEFT(A33, MIN(IFERROR(FIND({"o","p"}, A33), LEN(A33)+1))-1))</f>
        <v>16</v>
      </c>
    </row>
    <row r="34" spans="1:26">
      <c r="A34" t="s">
        <v>78</v>
      </c>
      <c r="B34" t="s">
        <v>279</v>
      </c>
      <c r="C34">
        <v>43</v>
      </c>
      <c r="D34" t="s">
        <v>158</v>
      </c>
      <c r="E34" t="s">
        <v>273</v>
      </c>
      <c r="F34" t="s">
        <v>274</v>
      </c>
      <c r="G34" t="s">
        <v>258</v>
      </c>
      <c r="H34" s="28" t="s">
        <v>377</v>
      </c>
      <c r="I34">
        <v>1</v>
      </c>
      <c r="J34">
        <v>1</v>
      </c>
      <c r="K34" t="s">
        <v>279</v>
      </c>
      <c r="L34" t="s">
        <v>36</v>
      </c>
      <c r="M34" t="s">
        <v>279</v>
      </c>
      <c r="N34" t="s">
        <v>378</v>
      </c>
      <c r="O34">
        <v>2</v>
      </c>
      <c r="P34" t="s">
        <v>34</v>
      </c>
      <c r="Q34" t="s">
        <v>379</v>
      </c>
      <c r="R34" t="s">
        <v>34</v>
      </c>
      <c r="S34" t="s">
        <v>377</v>
      </c>
      <c r="T34" t="s">
        <v>279</v>
      </c>
      <c r="U34" t="s">
        <v>279</v>
      </c>
      <c r="V34" t="s">
        <v>279</v>
      </c>
      <c r="W34">
        <v>16</v>
      </c>
      <c r="X34">
        <v>2</v>
      </c>
      <c r="Z34" s="15" cm="1">
        <f t="array" ref="Z34">VALUE(LEFT(A34, MIN(IFERROR(FIND({"o","p"}, A34), LEN(A34)+1))-1))</f>
        <v>16</v>
      </c>
    </row>
    <row r="35" spans="1:26">
      <c r="A35" t="s">
        <v>79</v>
      </c>
      <c r="B35" t="s">
        <v>300</v>
      </c>
      <c r="C35">
        <v>49</v>
      </c>
      <c r="D35" t="s">
        <v>219</v>
      </c>
      <c r="E35" t="s">
        <v>229</v>
      </c>
      <c r="G35" t="s">
        <v>264</v>
      </c>
      <c r="I35">
        <v>21</v>
      </c>
      <c r="J35">
        <v>5</v>
      </c>
      <c r="K35">
        <v>8</v>
      </c>
      <c r="L35" t="s">
        <v>187</v>
      </c>
      <c r="N35" t="s">
        <v>69</v>
      </c>
      <c r="O35">
        <v>1</v>
      </c>
      <c r="P35" t="s">
        <v>169</v>
      </c>
      <c r="R35" t="s">
        <v>380</v>
      </c>
      <c r="S35" t="s">
        <v>169</v>
      </c>
      <c r="V35" t="s">
        <v>381</v>
      </c>
      <c r="W35">
        <v>17</v>
      </c>
      <c r="X35">
        <v>1</v>
      </c>
      <c r="Z35" s="15" cm="1">
        <f t="array" ref="Z35">VALUE(LEFT(A35, MIN(IFERROR(FIND({"o","p"}, A35), LEN(A35)+1))-1))</f>
        <v>17</v>
      </c>
    </row>
    <row r="36" spans="1:26">
      <c r="A36" t="s">
        <v>81</v>
      </c>
      <c r="B36" t="s">
        <v>279</v>
      </c>
      <c r="C36">
        <v>49</v>
      </c>
      <c r="D36" t="s">
        <v>155</v>
      </c>
      <c r="E36" t="s">
        <v>159</v>
      </c>
      <c r="F36" t="s">
        <v>161</v>
      </c>
      <c r="G36" t="s">
        <v>264</v>
      </c>
      <c r="I36" t="s">
        <v>279</v>
      </c>
      <c r="J36" t="s">
        <v>279</v>
      </c>
      <c r="L36" t="s">
        <v>279</v>
      </c>
      <c r="M36" t="s">
        <v>32</v>
      </c>
      <c r="N36" t="s">
        <v>186</v>
      </c>
      <c r="O36">
        <v>1</v>
      </c>
      <c r="P36" t="s">
        <v>279</v>
      </c>
      <c r="R36" t="s">
        <v>279</v>
      </c>
      <c r="S36" t="s">
        <v>279</v>
      </c>
      <c r="T36" t="s">
        <v>279</v>
      </c>
      <c r="V36" t="s">
        <v>279</v>
      </c>
      <c r="W36">
        <v>17</v>
      </c>
      <c r="X36">
        <v>2</v>
      </c>
      <c r="Z36" s="15" cm="1">
        <f t="array" ref="Z36">VALUE(LEFT(A36, MIN(IFERROR(FIND({"o","p"}, A36), LEN(A36)+1))-1))</f>
        <v>17</v>
      </c>
    </row>
    <row r="37" spans="1:26" ht="57">
      <c r="A37" t="s">
        <v>82</v>
      </c>
      <c r="B37" s="25">
        <v>45385</v>
      </c>
      <c r="C37">
        <v>55</v>
      </c>
      <c r="D37" t="s">
        <v>231</v>
      </c>
      <c r="E37" t="s">
        <v>223</v>
      </c>
      <c r="G37" t="s">
        <v>382</v>
      </c>
      <c r="I37">
        <v>4</v>
      </c>
      <c r="J37">
        <v>4</v>
      </c>
      <c r="L37" t="s">
        <v>187</v>
      </c>
      <c r="N37" t="s">
        <v>38</v>
      </c>
      <c r="O37">
        <v>1</v>
      </c>
      <c r="P37" t="s">
        <v>34</v>
      </c>
      <c r="Q37" t="s">
        <v>293</v>
      </c>
      <c r="R37" t="s">
        <v>383</v>
      </c>
      <c r="S37" t="s">
        <v>384</v>
      </c>
      <c r="V37" s="27" t="s">
        <v>385</v>
      </c>
      <c r="W37">
        <v>18</v>
      </c>
      <c r="X37">
        <v>1</v>
      </c>
      <c r="Z37" s="15" cm="1">
        <f t="array" ref="Z37">VALUE(LEFT(A37, MIN(IFERROR(FIND({"o","p"}, A37), LEN(A37)+1))-1))</f>
        <v>18</v>
      </c>
    </row>
    <row r="38" spans="1:26">
      <c r="A38" t="s">
        <v>83</v>
      </c>
      <c r="B38" t="s">
        <v>279</v>
      </c>
      <c r="C38">
        <v>55</v>
      </c>
      <c r="D38" t="s">
        <v>158</v>
      </c>
      <c r="E38" t="s">
        <v>160</v>
      </c>
      <c r="F38" t="s">
        <v>161</v>
      </c>
      <c r="G38" t="s">
        <v>386</v>
      </c>
      <c r="H38" t="s">
        <v>279</v>
      </c>
      <c r="I38">
        <v>12</v>
      </c>
      <c r="J38" t="s">
        <v>279</v>
      </c>
      <c r="K38" t="s">
        <v>279</v>
      </c>
      <c r="L38" t="s">
        <v>36</v>
      </c>
      <c r="M38" t="s">
        <v>279</v>
      </c>
      <c r="N38" t="s">
        <v>279</v>
      </c>
      <c r="O38">
        <v>1</v>
      </c>
      <c r="P38" t="s">
        <v>34</v>
      </c>
      <c r="Q38" t="s">
        <v>379</v>
      </c>
      <c r="R38" t="s">
        <v>279</v>
      </c>
      <c r="S38" t="s">
        <v>386</v>
      </c>
      <c r="T38" t="s">
        <v>279</v>
      </c>
      <c r="U38" t="s">
        <v>279</v>
      </c>
      <c r="V38" t="s">
        <v>387</v>
      </c>
      <c r="W38">
        <v>18</v>
      </c>
      <c r="X38">
        <v>2</v>
      </c>
      <c r="Z38" s="15" cm="1">
        <f t="array" ref="Z38">VALUE(LEFT(A38, MIN(IFERROR(FIND({"o","p"}, A38), LEN(A38)+1))-1))</f>
        <v>18</v>
      </c>
    </row>
    <row r="39" spans="1:26">
      <c r="A39" t="s">
        <v>84</v>
      </c>
      <c r="B39" t="s">
        <v>300</v>
      </c>
      <c r="C39">
        <v>23</v>
      </c>
      <c r="I39">
        <v>1</v>
      </c>
      <c r="J39">
        <v>0</v>
      </c>
      <c r="L39" t="s">
        <v>168</v>
      </c>
      <c r="M39" t="s">
        <v>388</v>
      </c>
      <c r="N39" t="s">
        <v>188</v>
      </c>
      <c r="O39">
        <v>1</v>
      </c>
      <c r="P39" t="s">
        <v>169</v>
      </c>
      <c r="R39" t="s">
        <v>169</v>
      </c>
      <c r="S39" t="s">
        <v>169</v>
      </c>
      <c r="V39" t="s">
        <v>301</v>
      </c>
      <c r="W39">
        <v>19</v>
      </c>
      <c r="X39">
        <v>1</v>
      </c>
      <c r="Z39" s="15" cm="1">
        <f t="array" ref="Z39">VALUE(LEFT(A39, MIN(IFERROR(FIND({"o","p"}, A39), LEN(A39)+1))-1))</f>
        <v>19</v>
      </c>
    </row>
    <row r="40" spans="1:26">
      <c r="A40" t="s">
        <v>85</v>
      </c>
      <c r="B40" t="s">
        <v>279</v>
      </c>
      <c r="C40">
        <v>23</v>
      </c>
      <c r="I40" t="s">
        <v>279</v>
      </c>
      <c r="J40" t="s">
        <v>279</v>
      </c>
      <c r="L40" t="s">
        <v>279</v>
      </c>
      <c r="N40" t="s">
        <v>302</v>
      </c>
      <c r="O40">
        <v>1</v>
      </c>
      <c r="P40" t="s">
        <v>279</v>
      </c>
      <c r="Q40" t="s">
        <v>279</v>
      </c>
      <c r="R40" t="s">
        <v>279</v>
      </c>
      <c r="S40" t="s">
        <v>279</v>
      </c>
      <c r="T40" t="s">
        <v>279</v>
      </c>
      <c r="V40" t="s">
        <v>279</v>
      </c>
      <c r="W40">
        <v>19</v>
      </c>
      <c r="X40">
        <v>2</v>
      </c>
      <c r="Z40" s="15" cm="1">
        <f t="array" ref="Z40">VALUE(LEFT(A40, MIN(IFERROR(FIND({"o","p"}, A40), LEN(A40)+1))-1))</f>
        <v>19</v>
      </c>
    </row>
    <row r="41" spans="1:26">
      <c r="A41" t="s">
        <v>86</v>
      </c>
      <c r="B41" t="s">
        <v>221</v>
      </c>
      <c r="C41">
        <v>61</v>
      </c>
      <c r="D41" t="s">
        <v>389</v>
      </c>
      <c r="G41" t="s">
        <v>390</v>
      </c>
      <c r="I41">
        <v>4</v>
      </c>
      <c r="J41">
        <v>3</v>
      </c>
      <c r="L41" t="s">
        <v>168</v>
      </c>
      <c r="M41" t="s">
        <v>391</v>
      </c>
      <c r="N41" t="s">
        <v>392</v>
      </c>
      <c r="O41">
        <v>2</v>
      </c>
      <c r="P41" t="s">
        <v>34</v>
      </c>
      <c r="R41" t="s">
        <v>214</v>
      </c>
      <c r="S41" t="s">
        <v>393</v>
      </c>
      <c r="V41" t="s">
        <v>394</v>
      </c>
      <c r="W41">
        <v>20</v>
      </c>
      <c r="X41">
        <v>1</v>
      </c>
      <c r="Z41" s="15" cm="1">
        <f t="array" ref="Z41">VALUE(LEFT(A41, MIN(IFERROR(FIND({"o","p"}, A41), LEN(A41)+1))-1))</f>
        <v>20</v>
      </c>
    </row>
    <row r="42" spans="1:26">
      <c r="A42" t="s">
        <v>87</v>
      </c>
      <c r="B42" t="s">
        <v>279</v>
      </c>
      <c r="C42">
        <v>61</v>
      </c>
      <c r="I42" t="s">
        <v>279</v>
      </c>
      <c r="J42" t="s">
        <v>279</v>
      </c>
      <c r="L42" t="s">
        <v>185</v>
      </c>
      <c r="N42" t="s">
        <v>279</v>
      </c>
      <c r="O42" t="s">
        <v>279</v>
      </c>
      <c r="P42" t="s">
        <v>279</v>
      </c>
      <c r="Q42" t="s">
        <v>279</v>
      </c>
      <c r="R42" t="s">
        <v>279</v>
      </c>
      <c r="S42" t="s">
        <v>279</v>
      </c>
      <c r="T42" t="s">
        <v>279</v>
      </c>
      <c r="U42" t="s">
        <v>279</v>
      </c>
      <c r="V42" t="s">
        <v>279</v>
      </c>
      <c r="W42">
        <v>20</v>
      </c>
      <c r="X42">
        <v>2</v>
      </c>
      <c r="Z42" s="15" cm="1">
        <f t="array" ref="Z42">VALUE(LEFT(A42, MIN(IFERROR(FIND({"o","p"}, A42), LEN(A42)+1))-1))</f>
        <v>20</v>
      </c>
    </row>
    <row r="43" spans="1:26">
      <c r="A43" t="s">
        <v>88</v>
      </c>
      <c r="B43" s="25">
        <v>45413</v>
      </c>
      <c r="C43">
        <v>51</v>
      </c>
      <c r="D43" t="s">
        <v>155</v>
      </c>
      <c r="E43" t="s">
        <v>160</v>
      </c>
      <c r="F43" t="s">
        <v>162</v>
      </c>
      <c r="G43" t="s">
        <v>322</v>
      </c>
      <c r="H43" t="s">
        <v>395</v>
      </c>
      <c r="I43">
        <v>7</v>
      </c>
      <c r="J43">
        <v>4</v>
      </c>
      <c r="L43" t="s">
        <v>32</v>
      </c>
      <c r="M43" t="s">
        <v>396</v>
      </c>
      <c r="N43" t="s">
        <v>89</v>
      </c>
      <c r="O43">
        <v>1</v>
      </c>
      <c r="P43" t="s">
        <v>34</v>
      </c>
      <c r="R43" t="s">
        <v>397</v>
      </c>
      <c r="S43" t="s">
        <v>398</v>
      </c>
      <c r="T43" t="s">
        <v>279</v>
      </c>
      <c r="U43" t="s">
        <v>279</v>
      </c>
      <c r="V43" t="s">
        <v>303</v>
      </c>
      <c r="W43">
        <v>21</v>
      </c>
      <c r="X43">
        <v>1</v>
      </c>
      <c r="Z43" s="15" cm="1">
        <f t="array" ref="Z43">VALUE(LEFT(A43, MIN(IFERROR(FIND({"o","p"}, A43), LEN(A43)+1))-1))</f>
        <v>21</v>
      </c>
    </row>
    <row r="44" spans="1:26">
      <c r="A44" t="s">
        <v>90</v>
      </c>
      <c r="B44" t="s">
        <v>279</v>
      </c>
      <c r="C44">
        <v>51</v>
      </c>
      <c r="I44" t="s">
        <v>279</v>
      </c>
      <c r="J44" t="s">
        <v>279</v>
      </c>
      <c r="L44" t="s">
        <v>399</v>
      </c>
      <c r="M44" t="s">
        <v>279</v>
      </c>
      <c r="N44" t="s">
        <v>189</v>
      </c>
      <c r="O44">
        <v>1</v>
      </c>
      <c r="P44" t="s">
        <v>279</v>
      </c>
      <c r="Q44" t="s">
        <v>279</v>
      </c>
      <c r="R44" t="s">
        <v>279</v>
      </c>
      <c r="S44" t="s">
        <v>279</v>
      </c>
      <c r="T44" t="s">
        <v>279</v>
      </c>
      <c r="U44" t="s">
        <v>279</v>
      </c>
      <c r="V44" t="s">
        <v>279</v>
      </c>
      <c r="W44">
        <v>21</v>
      </c>
      <c r="X44">
        <v>2</v>
      </c>
      <c r="Z44" s="15" cm="1">
        <f t="array" ref="Z44">VALUE(LEFT(A44, MIN(IFERROR(FIND({"o","p"}, A44), LEN(A44)+1))-1))</f>
        <v>21</v>
      </c>
    </row>
    <row r="45" spans="1:26">
      <c r="A45" t="s">
        <v>91</v>
      </c>
      <c r="B45" s="25">
        <v>45505</v>
      </c>
      <c r="C45">
        <v>50</v>
      </c>
      <c r="D45" t="s">
        <v>222</v>
      </c>
      <c r="F45" t="s">
        <v>161</v>
      </c>
      <c r="I45">
        <v>1</v>
      </c>
      <c r="J45">
        <v>0</v>
      </c>
      <c r="L45" t="s">
        <v>187</v>
      </c>
      <c r="N45" t="s">
        <v>190</v>
      </c>
      <c r="O45">
        <v>1</v>
      </c>
      <c r="P45" t="s">
        <v>169</v>
      </c>
      <c r="R45" t="s">
        <v>304</v>
      </c>
      <c r="S45" t="s">
        <v>169</v>
      </c>
      <c r="V45" t="s">
        <v>400</v>
      </c>
      <c r="W45">
        <v>22</v>
      </c>
      <c r="X45">
        <v>1</v>
      </c>
      <c r="Z45" s="15" cm="1">
        <f t="array" ref="Z45">VALUE(LEFT(A45, MIN(IFERROR(FIND({"o","p"}, A45), LEN(A45)+1))-1))</f>
        <v>22</v>
      </c>
    </row>
    <row r="46" spans="1:26">
      <c r="A46" t="s">
        <v>92</v>
      </c>
      <c r="B46" t="s">
        <v>279</v>
      </c>
      <c r="C46">
        <v>50</v>
      </c>
      <c r="D46" t="s">
        <v>155</v>
      </c>
      <c r="E46" t="s">
        <v>159</v>
      </c>
      <c r="F46" t="s">
        <v>161</v>
      </c>
      <c r="I46" t="s">
        <v>279</v>
      </c>
      <c r="J46" t="s">
        <v>279</v>
      </c>
      <c r="L46" t="s">
        <v>36</v>
      </c>
      <c r="M46" t="s">
        <v>279</v>
      </c>
      <c r="N46" t="s">
        <v>191</v>
      </c>
      <c r="O46">
        <v>1</v>
      </c>
      <c r="P46" t="s">
        <v>279</v>
      </c>
      <c r="R46" t="s">
        <v>279</v>
      </c>
      <c r="S46" t="s">
        <v>401</v>
      </c>
      <c r="T46" t="s">
        <v>279</v>
      </c>
      <c r="V46" t="s">
        <v>279</v>
      </c>
      <c r="W46">
        <v>22</v>
      </c>
      <c r="X46">
        <v>2</v>
      </c>
      <c r="Z46" s="15" cm="1">
        <f t="array" ref="Z46">VALUE(LEFT(A46, MIN(IFERROR(FIND({"o","p"}, A46), LEN(A46)+1))-1))</f>
        <v>22</v>
      </c>
    </row>
    <row r="47" spans="1:26">
      <c r="A47" t="s">
        <v>93</v>
      </c>
      <c r="B47" s="25">
        <v>45413</v>
      </c>
      <c r="C47">
        <v>61</v>
      </c>
      <c r="D47" t="s">
        <v>155</v>
      </c>
      <c r="I47">
        <v>1</v>
      </c>
      <c r="J47">
        <v>0</v>
      </c>
      <c r="L47" t="s">
        <v>168</v>
      </c>
      <c r="M47" t="s">
        <v>33</v>
      </c>
      <c r="N47" t="s">
        <v>305</v>
      </c>
      <c r="O47">
        <v>2</v>
      </c>
      <c r="S47" t="s">
        <v>402</v>
      </c>
      <c r="V47" t="s">
        <v>306</v>
      </c>
      <c r="W47">
        <v>23</v>
      </c>
      <c r="X47">
        <v>1</v>
      </c>
      <c r="Z47" s="15" cm="1">
        <f t="array" ref="Z47">VALUE(LEFT(A47, MIN(IFERROR(FIND({"o","p"}, A47), LEN(A47)+1))-1))</f>
        <v>23</v>
      </c>
    </row>
    <row r="48" spans="1:26">
      <c r="A48" t="s">
        <v>94</v>
      </c>
      <c r="C48">
        <v>61</v>
      </c>
      <c r="I48">
        <v>6</v>
      </c>
      <c r="L48" t="s">
        <v>266</v>
      </c>
      <c r="N48" t="s">
        <v>403</v>
      </c>
      <c r="O48">
        <v>1</v>
      </c>
      <c r="W48">
        <v>23</v>
      </c>
      <c r="X48">
        <v>2</v>
      </c>
      <c r="Z48" s="15" cm="1">
        <f t="array" ref="Z48">VALUE(LEFT(A48, MIN(IFERROR(FIND({"o","p"}, A48), LEN(A48)+1))-1))</f>
        <v>23</v>
      </c>
    </row>
    <row r="49" spans="1:26">
      <c r="A49" t="s">
        <v>95</v>
      </c>
      <c r="B49" s="25">
        <v>45566</v>
      </c>
      <c r="C49">
        <v>55</v>
      </c>
      <c r="D49" t="s">
        <v>231</v>
      </c>
      <c r="G49" t="s">
        <v>404</v>
      </c>
      <c r="I49">
        <v>15</v>
      </c>
      <c r="J49">
        <v>9</v>
      </c>
      <c r="K49" t="s">
        <v>405</v>
      </c>
      <c r="L49" t="s">
        <v>192</v>
      </c>
      <c r="N49" t="s">
        <v>406</v>
      </c>
      <c r="O49">
        <v>3</v>
      </c>
      <c r="P49" t="s">
        <v>173</v>
      </c>
      <c r="Q49" t="s">
        <v>307</v>
      </c>
      <c r="R49" t="s">
        <v>265</v>
      </c>
      <c r="S49" t="s">
        <v>308</v>
      </c>
      <c r="V49" t="s">
        <v>194</v>
      </c>
      <c r="W49">
        <v>24</v>
      </c>
      <c r="X49">
        <v>1</v>
      </c>
      <c r="Z49" s="15" cm="1">
        <f t="array" ref="Z49">VALUE(LEFT(A49, MIN(IFERROR(FIND({"o","p"}, A49), LEN(A49)+1))-1))</f>
        <v>24</v>
      </c>
    </row>
    <row r="50" spans="1:26">
      <c r="A50" t="s">
        <v>96</v>
      </c>
      <c r="B50" t="s">
        <v>279</v>
      </c>
      <c r="C50">
        <v>55</v>
      </c>
      <c r="D50" t="s">
        <v>158</v>
      </c>
      <c r="E50" t="s">
        <v>160</v>
      </c>
      <c r="F50" t="s">
        <v>161</v>
      </c>
      <c r="G50" t="s">
        <v>407</v>
      </c>
      <c r="H50" t="s">
        <v>279</v>
      </c>
      <c r="I50" t="s">
        <v>279</v>
      </c>
      <c r="J50" t="s">
        <v>309</v>
      </c>
      <c r="K50" t="s">
        <v>163</v>
      </c>
      <c r="L50" t="s">
        <v>279</v>
      </c>
      <c r="M50" t="s">
        <v>279</v>
      </c>
      <c r="N50" t="s">
        <v>279</v>
      </c>
      <c r="O50" t="s">
        <v>310</v>
      </c>
      <c r="P50" t="s">
        <v>34</v>
      </c>
      <c r="Q50" t="s">
        <v>408</v>
      </c>
      <c r="R50" t="s">
        <v>279</v>
      </c>
      <c r="S50" t="s">
        <v>409</v>
      </c>
      <c r="T50" t="s">
        <v>279</v>
      </c>
      <c r="U50" t="s">
        <v>279</v>
      </c>
      <c r="V50" t="s">
        <v>279</v>
      </c>
      <c r="W50">
        <v>24</v>
      </c>
      <c r="X50">
        <v>2</v>
      </c>
      <c r="Z50" s="15" cm="1">
        <f t="array" ref="Z50">VALUE(LEFT(A50, MIN(IFERROR(FIND({"o","p"}, A50), LEN(A50)+1))-1))</f>
        <v>24</v>
      </c>
    </row>
    <row r="51" spans="1:26">
      <c r="A51" t="s">
        <v>97</v>
      </c>
      <c r="B51" t="s">
        <v>311</v>
      </c>
      <c r="C51">
        <v>42</v>
      </c>
      <c r="D51" t="s">
        <v>157</v>
      </c>
      <c r="L51" t="s">
        <v>168</v>
      </c>
      <c r="M51" t="s">
        <v>410</v>
      </c>
      <c r="N51" t="s">
        <v>354</v>
      </c>
      <c r="O51">
        <v>1</v>
      </c>
      <c r="P51" t="s">
        <v>193</v>
      </c>
      <c r="R51" t="s">
        <v>193</v>
      </c>
      <c r="S51" t="s">
        <v>193</v>
      </c>
      <c r="V51" t="s">
        <v>312</v>
      </c>
      <c r="W51">
        <v>25</v>
      </c>
      <c r="X51">
        <v>1</v>
      </c>
      <c r="Z51" s="15" cm="1">
        <f t="array" ref="Z51">VALUE(LEFT(A51, MIN(IFERROR(FIND({"o","p"}, A51), LEN(A51)+1))-1))</f>
        <v>25</v>
      </c>
    </row>
    <row r="52" spans="1:26">
      <c r="A52" t="s">
        <v>98</v>
      </c>
      <c r="B52" t="s">
        <v>279</v>
      </c>
      <c r="C52">
        <v>42</v>
      </c>
      <c r="D52" t="s">
        <v>155</v>
      </c>
      <c r="E52" t="s">
        <v>273</v>
      </c>
      <c r="F52" t="s">
        <v>274</v>
      </c>
      <c r="I52" t="s">
        <v>279</v>
      </c>
      <c r="J52" t="s">
        <v>279</v>
      </c>
      <c r="L52" t="s">
        <v>195</v>
      </c>
      <c r="N52" t="s">
        <v>99</v>
      </c>
      <c r="O52">
        <v>1</v>
      </c>
      <c r="P52" t="s">
        <v>279</v>
      </c>
      <c r="Q52" t="s">
        <v>279</v>
      </c>
      <c r="R52" t="s">
        <v>279</v>
      </c>
      <c r="S52" t="s">
        <v>279</v>
      </c>
      <c r="T52" t="s">
        <v>279</v>
      </c>
      <c r="V52" t="s">
        <v>279</v>
      </c>
      <c r="W52">
        <v>25</v>
      </c>
      <c r="X52">
        <v>2</v>
      </c>
      <c r="Z52" s="15" cm="1">
        <f t="array" ref="Z52">VALUE(LEFT(A52, MIN(IFERROR(FIND({"o","p"}, A52), LEN(A52)+1))-1))</f>
        <v>25</v>
      </c>
    </row>
    <row r="53" spans="1:26">
      <c r="A53" t="s">
        <v>100</v>
      </c>
      <c r="B53" t="s">
        <v>313</v>
      </c>
      <c r="C53">
        <v>73</v>
      </c>
      <c r="D53" t="s">
        <v>155</v>
      </c>
      <c r="I53">
        <v>1</v>
      </c>
      <c r="J53">
        <v>0</v>
      </c>
      <c r="L53" t="s">
        <v>187</v>
      </c>
      <c r="N53" t="s">
        <v>80</v>
      </c>
      <c r="O53">
        <v>1</v>
      </c>
      <c r="P53" t="s">
        <v>34</v>
      </c>
      <c r="Q53" t="s">
        <v>411</v>
      </c>
      <c r="S53" t="s">
        <v>411</v>
      </c>
      <c r="V53" t="s">
        <v>314</v>
      </c>
      <c r="W53">
        <v>26</v>
      </c>
      <c r="X53">
        <v>1</v>
      </c>
      <c r="Z53" s="15" cm="1">
        <f t="array" ref="Z53">VALUE(LEFT(A53, MIN(IFERROR(FIND({"o","p"}, A53), LEN(A53)+1))-1))</f>
        <v>26</v>
      </c>
    </row>
    <row r="54" spans="1:26">
      <c r="A54" t="s">
        <v>101</v>
      </c>
      <c r="B54" t="s">
        <v>279</v>
      </c>
      <c r="C54">
        <v>73</v>
      </c>
      <c r="D54" t="s">
        <v>155</v>
      </c>
      <c r="E54" t="s">
        <v>273</v>
      </c>
      <c r="F54" t="s">
        <v>274</v>
      </c>
      <c r="G54" t="s">
        <v>258</v>
      </c>
      <c r="H54" t="s">
        <v>412</v>
      </c>
      <c r="I54" t="s">
        <v>279</v>
      </c>
      <c r="J54">
        <v>1</v>
      </c>
      <c r="K54" t="s">
        <v>99</v>
      </c>
      <c r="L54" t="s">
        <v>279</v>
      </c>
      <c r="M54" t="s">
        <v>279</v>
      </c>
      <c r="N54" t="s">
        <v>99</v>
      </c>
      <c r="O54">
        <v>1</v>
      </c>
      <c r="P54" t="s">
        <v>34</v>
      </c>
      <c r="Q54" t="s">
        <v>315</v>
      </c>
      <c r="R54" t="s">
        <v>279</v>
      </c>
      <c r="S54" t="s">
        <v>412</v>
      </c>
      <c r="T54" t="s">
        <v>279</v>
      </c>
      <c r="U54" t="s">
        <v>279</v>
      </c>
      <c r="V54" t="s">
        <v>279</v>
      </c>
      <c r="W54">
        <v>26</v>
      </c>
      <c r="X54">
        <v>2</v>
      </c>
      <c r="Z54" s="15" cm="1">
        <f t="array" ref="Z54">VALUE(LEFT(A54, MIN(IFERROR(FIND({"o","p"}, A54), LEN(A54)+1))-1))</f>
        <v>26</v>
      </c>
    </row>
    <row r="55" spans="1:26">
      <c r="A55" t="s">
        <v>102</v>
      </c>
      <c r="B55" t="s">
        <v>313</v>
      </c>
      <c r="C55">
        <v>39</v>
      </c>
      <c r="D55" t="s">
        <v>222</v>
      </c>
      <c r="G55" t="s">
        <v>316</v>
      </c>
      <c r="I55">
        <v>2</v>
      </c>
      <c r="J55">
        <v>1</v>
      </c>
      <c r="K55" t="s">
        <v>216</v>
      </c>
      <c r="L55" t="s">
        <v>317</v>
      </c>
      <c r="N55" t="s">
        <v>279</v>
      </c>
      <c r="O55">
        <v>2</v>
      </c>
      <c r="P55" t="s">
        <v>169</v>
      </c>
      <c r="Q55" t="s">
        <v>169</v>
      </c>
      <c r="R55" t="s">
        <v>413</v>
      </c>
      <c r="S55" t="s">
        <v>169</v>
      </c>
      <c r="V55" t="s">
        <v>414</v>
      </c>
      <c r="W55">
        <v>27</v>
      </c>
      <c r="X55">
        <v>1</v>
      </c>
      <c r="Z55" s="15" cm="1">
        <f t="array" ref="Z55">VALUE(LEFT(A55, MIN(IFERROR(FIND({"o","p"}, A55), LEN(A55)+1))-1))</f>
        <v>27</v>
      </c>
    </row>
    <row r="56" spans="1:26">
      <c r="A56" t="s">
        <v>103</v>
      </c>
      <c r="C56">
        <v>39</v>
      </c>
      <c r="I56">
        <v>11</v>
      </c>
      <c r="L56" t="s">
        <v>196</v>
      </c>
      <c r="N56" t="s">
        <v>176</v>
      </c>
      <c r="O56">
        <v>1</v>
      </c>
      <c r="W56">
        <v>27</v>
      </c>
      <c r="X56">
        <v>2</v>
      </c>
      <c r="Z56" s="15" cm="1">
        <f t="array" ref="Z56">VALUE(LEFT(A56, MIN(IFERROR(FIND({"o","p"}, A56), LEN(A56)+1))-1))</f>
        <v>27</v>
      </c>
    </row>
    <row r="57" spans="1:26">
      <c r="A57" t="s">
        <v>104</v>
      </c>
      <c r="B57" t="s">
        <v>313</v>
      </c>
      <c r="C57">
        <v>57</v>
      </c>
      <c r="D57" t="s">
        <v>222</v>
      </c>
      <c r="G57" t="s">
        <v>415</v>
      </c>
      <c r="I57">
        <v>5</v>
      </c>
      <c r="J57">
        <v>1</v>
      </c>
      <c r="K57" t="s">
        <v>105</v>
      </c>
      <c r="L57" t="s">
        <v>168</v>
      </c>
      <c r="N57" t="s">
        <v>416</v>
      </c>
      <c r="O57">
        <v>2</v>
      </c>
      <c r="P57" t="s">
        <v>169</v>
      </c>
      <c r="R57" t="s">
        <v>417</v>
      </c>
      <c r="S57" t="s">
        <v>169</v>
      </c>
      <c r="V57" t="s">
        <v>318</v>
      </c>
      <c r="W57">
        <v>28</v>
      </c>
      <c r="X57">
        <v>1</v>
      </c>
      <c r="Z57" s="15" cm="1">
        <f t="array" ref="Z57">VALUE(LEFT(A57, MIN(IFERROR(FIND({"o","p"}, A57), LEN(A57)+1))-1))</f>
        <v>28</v>
      </c>
    </row>
    <row r="58" spans="1:26">
      <c r="A58" t="s">
        <v>106</v>
      </c>
      <c r="B58" t="s">
        <v>279</v>
      </c>
      <c r="C58">
        <v>57</v>
      </c>
      <c r="D58" t="s">
        <v>155</v>
      </c>
      <c r="E58" t="s">
        <v>273</v>
      </c>
      <c r="F58" t="s">
        <v>274</v>
      </c>
      <c r="I58" t="s">
        <v>279</v>
      </c>
      <c r="J58" t="s">
        <v>279</v>
      </c>
      <c r="L58" t="s">
        <v>185</v>
      </c>
      <c r="M58" t="s">
        <v>279</v>
      </c>
      <c r="N58" t="s">
        <v>189</v>
      </c>
      <c r="O58">
        <v>1</v>
      </c>
      <c r="P58" t="s">
        <v>279</v>
      </c>
      <c r="R58" t="s">
        <v>279</v>
      </c>
      <c r="S58" t="s">
        <v>279</v>
      </c>
      <c r="T58" t="s">
        <v>279</v>
      </c>
      <c r="V58" t="s">
        <v>279</v>
      </c>
      <c r="W58">
        <v>28</v>
      </c>
      <c r="X58">
        <v>2</v>
      </c>
      <c r="Z58" s="15" cm="1">
        <f t="array" ref="Z58">VALUE(LEFT(A58, MIN(IFERROR(FIND({"o","p"}, A58), LEN(A58)+1))-1))</f>
        <v>28</v>
      </c>
    </row>
    <row r="59" spans="1:26">
      <c r="A59" t="s">
        <v>107</v>
      </c>
      <c r="B59" s="25">
        <v>45242</v>
      </c>
      <c r="C59">
        <v>63</v>
      </c>
      <c r="D59" t="s">
        <v>222</v>
      </c>
      <c r="I59">
        <v>5</v>
      </c>
      <c r="J59">
        <v>0</v>
      </c>
      <c r="L59" t="s">
        <v>187</v>
      </c>
      <c r="N59" t="s">
        <v>197</v>
      </c>
      <c r="O59">
        <v>1</v>
      </c>
      <c r="P59" t="s">
        <v>169</v>
      </c>
      <c r="R59" t="s">
        <v>169</v>
      </c>
      <c r="S59" t="s">
        <v>169</v>
      </c>
      <c r="V59" t="s">
        <v>319</v>
      </c>
      <c r="W59">
        <v>29</v>
      </c>
      <c r="X59">
        <v>1</v>
      </c>
      <c r="Z59" s="15" cm="1">
        <f t="array" ref="Z59">VALUE(LEFT(A59, MIN(IFERROR(FIND({"o","p"}, A59), LEN(A59)+1))-1))</f>
        <v>29</v>
      </c>
    </row>
    <row r="60" spans="1:26">
      <c r="A60" t="s">
        <v>108</v>
      </c>
      <c r="C60">
        <v>63</v>
      </c>
      <c r="D60" t="s">
        <v>36</v>
      </c>
      <c r="I60">
        <v>0</v>
      </c>
      <c r="J60">
        <v>0</v>
      </c>
      <c r="L60" t="s">
        <v>36</v>
      </c>
      <c r="N60" t="s">
        <v>189</v>
      </c>
      <c r="O60">
        <v>1</v>
      </c>
      <c r="W60">
        <v>29</v>
      </c>
      <c r="X60">
        <v>2</v>
      </c>
      <c r="Z60" s="15" cm="1">
        <f t="array" ref="Z60">VALUE(LEFT(A60, MIN(IFERROR(FIND({"o","p"}, A60), LEN(A60)+1))-1))</f>
        <v>29</v>
      </c>
    </row>
    <row r="61" spans="1:26">
      <c r="A61" t="s">
        <v>109</v>
      </c>
      <c r="B61" t="s">
        <v>320</v>
      </c>
      <c r="C61">
        <v>39</v>
      </c>
      <c r="D61" t="s">
        <v>219</v>
      </c>
      <c r="G61" t="s">
        <v>321</v>
      </c>
      <c r="I61">
        <v>24</v>
      </c>
      <c r="J61">
        <v>3</v>
      </c>
      <c r="K61" t="s">
        <v>198</v>
      </c>
      <c r="L61" t="s">
        <v>168</v>
      </c>
      <c r="M61" t="s">
        <v>33</v>
      </c>
      <c r="N61" t="s">
        <v>418</v>
      </c>
      <c r="O61">
        <v>1</v>
      </c>
      <c r="P61" t="s">
        <v>34</v>
      </c>
      <c r="R61" t="s">
        <v>169</v>
      </c>
      <c r="S61" t="s">
        <v>169</v>
      </c>
      <c r="V61" t="s">
        <v>419</v>
      </c>
      <c r="W61">
        <v>30</v>
      </c>
      <c r="X61">
        <v>1</v>
      </c>
      <c r="Z61" s="15" cm="1">
        <f t="array" ref="Z61">VALUE(LEFT(A61, MIN(IFERROR(FIND({"o","p"}, A61), LEN(A61)+1))-1))</f>
        <v>30</v>
      </c>
    </row>
    <row r="62" spans="1:26">
      <c r="A62" t="s">
        <v>111</v>
      </c>
      <c r="C62">
        <v>39</v>
      </c>
      <c r="D62" t="s">
        <v>155</v>
      </c>
      <c r="E62" t="s">
        <v>160</v>
      </c>
      <c r="G62" t="s">
        <v>199</v>
      </c>
      <c r="J62">
        <v>1</v>
      </c>
      <c r="L62" t="s">
        <v>185</v>
      </c>
      <c r="N62" t="s">
        <v>420</v>
      </c>
      <c r="O62">
        <v>1</v>
      </c>
      <c r="W62">
        <v>30</v>
      </c>
      <c r="X62">
        <v>2</v>
      </c>
      <c r="Z62" s="15" cm="1">
        <f t="array" ref="Z62">VALUE(LEFT(A62, MIN(IFERROR(FIND({"o","p"}, A62), LEN(A62)+1))-1))</f>
        <v>30</v>
      </c>
    </row>
    <row r="63" spans="1:26">
      <c r="A63" t="s">
        <v>112</v>
      </c>
      <c r="B63" t="s">
        <v>232</v>
      </c>
      <c r="I63">
        <v>1</v>
      </c>
      <c r="J63">
        <v>1</v>
      </c>
      <c r="K63" t="s">
        <v>154</v>
      </c>
      <c r="L63" t="s">
        <v>32</v>
      </c>
      <c r="M63" t="s">
        <v>421</v>
      </c>
      <c r="N63" t="s">
        <v>422</v>
      </c>
      <c r="O63" t="s">
        <v>423</v>
      </c>
      <c r="P63" t="s">
        <v>34</v>
      </c>
      <c r="R63" t="s">
        <v>34</v>
      </c>
      <c r="S63" t="s">
        <v>424</v>
      </c>
      <c r="V63" t="s">
        <v>323</v>
      </c>
      <c r="W63">
        <v>31</v>
      </c>
      <c r="X63">
        <v>1</v>
      </c>
      <c r="Z63" s="15" cm="1">
        <f t="array" ref="Z63">VALUE(LEFT(A63, MIN(IFERROR(FIND({"o","p"}, A63), LEN(A63)+1))-1))</f>
        <v>31</v>
      </c>
    </row>
    <row r="64" spans="1:26">
      <c r="A64" t="s">
        <v>113</v>
      </c>
      <c r="B64" s="26">
        <v>43304</v>
      </c>
      <c r="C64">
        <v>60</v>
      </c>
      <c r="D64" t="s">
        <v>158</v>
      </c>
      <c r="G64" t="s">
        <v>425</v>
      </c>
      <c r="M64" t="s">
        <v>417</v>
      </c>
      <c r="N64" t="s">
        <v>184</v>
      </c>
      <c r="O64">
        <v>1</v>
      </c>
      <c r="P64" t="s">
        <v>34</v>
      </c>
      <c r="Q64" t="s">
        <v>426</v>
      </c>
      <c r="R64" t="s">
        <v>34</v>
      </c>
      <c r="S64" t="s">
        <v>427</v>
      </c>
      <c r="V64" t="s">
        <v>417</v>
      </c>
      <c r="W64">
        <v>31</v>
      </c>
      <c r="X64">
        <v>2</v>
      </c>
      <c r="Z64" s="15" cm="1">
        <f t="array" ref="Z64">VALUE(LEFT(A64, MIN(IFERROR(FIND({"o","p"}, A64), LEN(A64)+1))-1))</f>
        <v>31</v>
      </c>
    </row>
    <row r="65" spans="1:26">
      <c r="A65" t="s">
        <v>114</v>
      </c>
      <c r="B65" s="25">
        <v>44837</v>
      </c>
      <c r="D65" t="s">
        <v>158</v>
      </c>
      <c r="E65" t="s">
        <v>160</v>
      </c>
      <c r="F65" t="s">
        <v>274</v>
      </c>
      <c r="G65" t="s">
        <v>428</v>
      </c>
      <c r="I65">
        <v>12</v>
      </c>
      <c r="J65">
        <v>1</v>
      </c>
      <c r="K65" t="s">
        <v>417</v>
      </c>
      <c r="L65" t="s">
        <v>429</v>
      </c>
      <c r="N65" t="s">
        <v>430</v>
      </c>
      <c r="O65">
        <v>1</v>
      </c>
      <c r="P65" t="s">
        <v>217</v>
      </c>
      <c r="Q65" t="s">
        <v>417</v>
      </c>
      <c r="R65" t="s">
        <v>324</v>
      </c>
      <c r="S65" t="s">
        <v>325</v>
      </c>
      <c r="V65" t="s">
        <v>431</v>
      </c>
      <c r="W65">
        <v>32</v>
      </c>
      <c r="X65">
        <v>1</v>
      </c>
      <c r="Z65" s="15" cm="1">
        <f t="array" ref="Z65">VALUE(LEFT(A65, MIN(IFERROR(FIND({"o","p"}, A65), LEN(A65)+1))-1))</f>
        <v>32</v>
      </c>
    </row>
    <row r="66" spans="1:26">
      <c r="A66" t="s">
        <v>116</v>
      </c>
      <c r="B66" s="26">
        <v>44629</v>
      </c>
      <c r="C66">
        <v>72</v>
      </c>
      <c r="D66" t="s">
        <v>158</v>
      </c>
      <c r="E66" t="s">
        <v>273</v>
      </c>
      <c r="F66" t="s">
        <v>162</v>
      </c>
      <c r="G66" t="s">
        <v>175</v>
      </c>
      <c r="L66" t="s">
        <v>115</v>
      </c>
      <c r="N66" t="s">
        <v>326</v>
      </c>
      <c r="O66">
        <v>1</v>
      </c>
      <c r="P66" t="s">
        <v>279</v>
      </c>
      <c r="Q66" t="s">
        <v>279</v>
      </c>
      <c r="R66" t="s">
        <v>279</v>
      </c>
      <c r="S66" t="s">
        <v>279</v>
      </c>
      <c r="T66" t="s">
        <v>279</v>
      </c>
      <c r="U66" t="s">
        <v>279</v>
      </c>
      <c r="V66" t="s">
        <v>279</v>
      </c>
      <c r="W66">
        <v>32</v>
      </c>
      <c r="X66">
        <v>2</v>
      </c>
      <c r="Z66" s="15" cm="1">
        <f t="array" ref="Z66">VALUE(LEFT(A66, MIN(IFERROR(FIND({"o","p"}, A66), LEN(A66)+1))-1))</f>
        <v>32</v>
      </c>
    </row>
    <row r="67" spans="1:26">
      <c r="A67" t="s">
        <v>117</v>
      </c>
      <c r="B67" t="s">
        <v>233</v>
      </c>
      <c r="D67" t="s">
        <v>156</v>
      </c>
      <c r="L67" t="s">
        <v>32</v>
      </c>
      <c r="M67" t="s">
        <v>432</v>
      </c>
      <c r="N67" t="s">
        <v>48</v>
      </c>
      <c r="O67">
        <v>1</v>
      </c>
      <c r="V67" t="s">
        <v>433</v>
      </c>
      <c r="W67">
        <v>33</v>
      </c>
      <c r="X67">
        <v>1</v>
      </c>
      <c r="Z67" s="15" cm="1">
        <f t="array" ref="Z67">VALUE(LEFT(A67, MIN(IFERROR(FIND({"o","p"}, A67), LEN(A67)+1))-1))</f>
        <v>33</v>
      </c>
    </row>
    <row r="68" spans="1:26">
      <c r="A68" t="s">
        <v>118</v>
      </c>
      <c r="B68" s="26">
        <v>44517</v>
      </c>
      <c r="C68">
        <v>41</v>
      </c>
      <c r="F68" t="s">
        <v>162</v>
      </c>
      <c r="H68" t="s">
        <v>267</v>
      </c>
      <c r="L68" t="s">
        <v>185</v>
      </c>
      <c r="N68" t="s">
        <v>327</v>
      </c>
      <c r="O68">
        <v>2</v>
      </c>
      <c r="P68" t="s">
        <v>34</v>
      </c>
      <c r="W68">
        <v>33</v>
      </c>
      <c r="X68">
        <v>2</v>
      </c>
      <c r="Z68" s="15" cm="1">
        <f t="array" ref="Z68">VALUE(LEFT(A68, MIN(IFERROR(FIND({"o","p"}, A68), LEN(A68)+1))-1))</f>
        <v>33</v>
      </c>
    </row>
    <row r="69" spans="1:26">
      <c r="A69" t="s">
        <v>119</v>
      </c>
      <c r="B69" t="s">
        <v>234</v>
      </c>
      <c r="D69" t="s">
        <v>231</v>
      </c>
      <c r="G69" t="s">
        <v>434</v>
      </c>
      <c r="I69">
        <v>5</v>
      </c>
      <c r="J69">
        <v>1</v>
      </c>
      <c r="L69" t="s">
        <v>435</v>
      </c>
      <c r="N69" t="s">
        <v>200</v>
      </c>
      <c r="O69">
        <v>3</v>
      </c>
      <c r="P69" t="s">
        <v>328</v>
      </c>
      <c r="R69" t="s">
        <v>34</v>
      </c>
      <c r="S69" t="s">
        <v>329</v>
      </c>
      <c r="V69" t="s">
        <v>436</v>
      </c>
      <c r="W69">
        <v>34</v>
      </c>
      <c r="X69">
        <v>1</v>
      </c>
      <c r="Z69" s="15" cm="1">
        <f t="array" ref="Z69">VALUE(LEFT(A69, MIN(IFERROR(FIND({"o","p"}, A69), LEN(A69)+1))-1))</f>
        <v>34</v>
      </c>
    </row>
    <row r="70" spans="1:26">
      <c r="A70" t="s">
        <v>120</v>
      </c>
      <c r="B70" s="26">
        <v>44825</v>
      </c>
      <c r="C70">
        <v>63</v>
      </c>
      <c r="D70" t="s">
        <v>158</v>
      </c>
      <c r="G70" t="s">
        <v>437</v>
      </c>
      <c r="L70" t="s">
        <v>215</v>
      </c>
      <c r="N70" t="s">
        <v>201</v>
      </c>
      <c r="O70">
        <v>1</v>
      </c>
      <c r="P70" t="s">
        <v>34</v>
      </c>
      <c r="Q70" t="s">
        <v>330</v>
      </c>
      <c r="S70" t="s">
        <v>437</v>
      </c>
      <c r="V70" t="s">
        <v>279</v>
      </c>
      <c r="W70">
        <v>34</v>
      </c>
      <c r="X70">
        <v>2</v>
      </c>
      <c r="Z70" s="15" cm="1">
        <f t="array" ref="Z70">VALUE(LEFT(A70, MIN(IFERROR(FIND({"o","p"}, A70), LEN(A70)+1))-1))</f>
        <v>34</v>
      </c>
    </row>
    <row r="71" spans="1:26">
      <c r="A71" t="s">
        <v>121</v>
      </c>
      <c r="B71" s="25">
        <v>44508</v>
      </c>
      <c r="G71" t="s">
        <v>268</v>
      </c>
      <c r="I71">
        <v>35</v>
      </c>
      <c r="J71">
        <v>7</v>
      </c>
      <c r="K71" t="s">
        <v>417</v>
      </c>
      <c r="L71" t="s">
        <v>32</v>
      </c>
      <c r="M71" t="s">
        <v>438</v>
      </c>
      <c r="N71" t="s">
        <v>417</v>
      </c>
      <c r="O71" t="s">
        <v>309</v>
      </c>
      <c r="P71" t="s">
        <v>34</v>
      </c>
      <c r="Q71" t="s">
        <v>417</v>
      </c>
      <c r="R71" t="s">
        <v>34</v>
      </c>
      <c r="S71" t="s">
        <v>439</v>
      </c>
      <c r="V71" t="s">
        <v>440</v>
      </c>
      <c r="W71">
        <v>35</v>
      </c>
      <c r="X71">
        <v>1</v>
      </c>
      <c r="Z71" s="15" cm="1">
        <f t="array" ref="Z71">VALUE(LEFT(A71, MIN(IFERROR(FIND({"o","p"}, A71), LEN(A71)+1))-1))</f>
        <v>35</v>
      </c>
    </row>
    <row r="72" spans="1:26">
      <c r="A72" t="s">
        <v>122</v>
      </c>
      <c r="B72" s="26">
        <v>44419</v>
      </c>
      <c r="C72">
        <v>62</v>
      </c>
      <c r="D72" t="s">
        <v>158</v>
      </c>
      <c r="E72" t="s">
        <v>160</v>
      </c>
      <c r="F72" t="s">
        <v>162</v>
      </c>
      <c r="G72" t="s">
        <v>269</v>
      </c>
      <c r="H72" t="s">
        <v>202</v>
      </c>
      <c r="L72" t="s">
        <v>185</v>
      </c>
      <c r="N72" t="s">
        <v>184</v>
      </c>
      <c r="O72">
        <v>1</v>
      </c>
      <c r="P72" t="s">
        <v>279</v>
      </c>
      <c r="Q72" t="s">
        <v>279</v>
      </c>
      <c r="R72" t="s">
        <v>441</v>
      </c>
      <c r="S72" t="s">
        <v>279</v>
      </c>
      <c r="T72" t="s">
        <v>279</v>
      </c>
      <c r="U72" t="s">
        <v>279</v>
      </c>
      <c r="V72" t="s">
        <v>279</v>
      </c>
      <c r="W72">
        <v>35</v>
      </c>
      <c r="X72">
        <v>2</v>
      </c>
      <c r="Z72" s="15" cm="1">
        <f t="array" ref="Z72">VALUE(LEFT(A72, MIN(IFERROR(FIND({"o","p"}, A72), LEN(A72)+1))-1))</f>
        <v>35</v>
      </c>
    </row>
  </sheetData>
  <pageMargins left="0.7" right="0.7" top="0.75" bottom="0.75" header="0.3" footer="0.3"/>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F36B7BF-4793-40D9-B3B5-825389DF0028}">
  <sheetPr codeName="Sheet2"/>
  <dimension ref="A1:B28"/>
  <sheetViews>
    <sheetView workbookViewId="0"/>
  </sheetViews>
  <sheetFormatPr defaultColWidth="9" defaultRowHeight="13.9"/>
  <cols>
    <col min="1" max="1" width="16.6640625" style="1" bestFit="1" customWidth="1"/>
    <col min="2" max="2" width="82.1328125" style="1" bestFit="1" customWidth="1"/>
    <col min="3" max="16384" width="9" style="1"/>
  </cols>
  <sheetData>
    <row r="1" spans="1:2">
      <c r="A1" s="2" t="s">
        <v>123</v>
      </c>
      <c r="B1" s="2" t="s">
        <v>124</v>
      </c>
    </row>
    <row r="2" spans="1:2">
      <c r="A2" s="1" t="s">
        <v>2</v>
      </c>
      <c r="B2" s="1" t="s">
        <v>125</v>
      </c>
    </row>
    <row r="3" spans="1:2">
      <c r="A3" s="1" t="s">
        <v>3</v>
      </c>
      <c r="B3" s="1" t="s">
        <v>126</v>
      </c>
    </row>
    <row r="4" spans="1:2">
      <c r="A4" s="1" t="s">
        <v>4</v>
      </c>
      <c r="B4" s="1" t="s">
        <v>127</v>
      </c>
    </row>
    <row r="5" spans="1:2">
      <c r="A5" s="1" t="s">
        <v>5</v>
      </c>
      <c r="B5" s="1" t="s">
        <v>128</v>
      </c>
    </row>
    <row r="6" spans="1:2">
      <c r="A6" s="1" t="s">
        <v>6</v>
      </c>
      <c r="B6" s="1" t="s">
        <v>129</v>
      </c>
    </row>
    <row r="7" spans="1:2">
      <c r="A7" s="1" t="s">
        <v>7</v>
      </c>
      <c r="B7" s="1" t="s">
        <v>130</v>
      </c>
    </row>
    <row r="8" spans="1:2">
      <c r="A8" s="1" t="s">
        <v>10</v>
      </c>
      <c r="B8" s="1" t="s">
        <v>131</v>
      </c>
    </row>
    <row r="9" spans="1:2">
      <c r="A9" s="1" t="s">
        <v>12</v>
      </c>
      <c r="B9" s="1" t="s">
        <v>132</v>
      </c>
    </row>
    <row r="10" spans="1:2">
      <c r="A10" s="1" t="s">
        <v>13</v>
      </c>
      <c r="B10" s="1" t="s">
        <v>133</v>
      </c>
    </row>
    <row r="11" spans="1:2">
      <c r="A11" s="1" t="s">
        <v>14</v>
      </c>
      <c r="B11" s="1" t="s">
        <v>134</v>
      </c>
    </row>
    <row r="12" spans="1:2">
      <c r="A12" s="1" t="s">
        <v>15</v>
      </c>
      <c r="B12" s="1" t="s">
        <v>135</v>
      </c>
    </row>
    <row r="13" spans="1:2">
      <c r="A13" s="1" t="s">
        <v>16</v>
      </c>
      <c r="B13" s="1" t="s">
        <v>136</v>
      </c>
    </row>
    <row r="14" spans="1:2">
      <c r="A14" s="1" t="s">
        <v>18</v>
      </c>
      <c r="B14" s="1" t="s">
        <v>137</v>
      </c>
    </row>
    <row r="15" spans="1:2">
      <c r="A15" s="1" t="s">
        <v>19</v>
      </c>
      <c r="B15" s="1" t="s">
        <v>138</v>
      </c>
    </row>
    <row r="16" spans="1:2">
      <c r="A16" s="1" t="s">
        <v>20</v>
      </c>
      <c r="B16" s="1" t="s">
        <v>139</v>
      </c>
    </row>
    <row r="17" spans="1:2">
      <c r="A17" s="1" t="s">
        <v>21</v>
      </c>
      <c r="B17" s="1" t="s">
        <v>21</v>
      </c>
    </row>
    <row r="18" spans="1:2">
      <c r="A18" s="1" t="s">
        <v>22</v>
      </c>
      <c r="B18" s="1" t="s">
        <v>140</v>
      </c>
    </row>
    <row r="19" spans="1:2">
      <c r="A19" s="1" t="s">
        <v>23</v>
      </c>
      <c r="B19" s="1" t="s">
        <v>141</v>
      </c>
    </row>
    <row r="20" spans="1:2">
      <c r="A20" s="1" t="s">
        <v>24</v>
      </c>
      <c r="B20" s="1" t="s">
        <v>142</v>
      </c>
    </row>
    <row r="21" spans="1:2">
      <c r="A21" s="1" t="s">
        <v>25</v>
      </c>
      <c r="B21" s="1" t="s">
        <v>25</v>
      </c>
    </row>
    <row r="22" spans="1:2">
      <c r="A22" s="1" t="s">
        <v>26</v>
      </c>
      <c r="B22" s="1" t="s">
        <v>143</v>
      </c>
    </row>
    <row r="23" spans="1:2">
      <c r="A23" s="1" t="s">
        <v>27</v>
      </c>
      <c r="B23" s="1" t="s">
        <v>144</v>
      </c>
    </row>
    <row r="24" spans="1:2">
      <c r="A24" s="1" t="s">
        <v>28</v>
      </c>
      <c r="B24" s="1" t="s">
        <v>145</v>
      </c>
    </row>
    <row r="25" spans="1:2">
      <c r="A25" s="2" t="s">
        <v>29</v>
      </c>
      <c r="B25" s="2" t="s">
        <v>146</v>
      </c>
    </row>
    <row r="27" spans="1:2">
      <c r="A27" s="1" t="s">
        <v>147</v>
      </c>
    </row>
    <row r="28" spans="1:2">
      <c r="A28" s="1" t="s">
        <v>148</v>
      </c>
    </row>
  </sheetData>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3</vt:i4>
      </vt:variant>
    </vt:vector>
  </HeadingPairs>
  <TitlesOfParts>
    <vt:vector size="3" baseType="lpstr">
      <vt:lpstr>Classification result</vt:lpstr>
      <vt:lpstr>Model output</vt:lpstr>
      <vt:lpstr>Schema</vt:lpstr>
    </vt:vector>
  </TitlesOfParts>
  <Manager/>
  <Company/>
  <LinksUpToDate>false</LinksUpToDate>
  <SharedDoc>false</SharedDoc>
  <HyperlinkBase/>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
  <dc:subject/>
  <dc:creator>Eric Tang</dc:creator>
  <cp:keywords/>
  <dc:description/>
  <cp:lastModifiedBy>Eric Tang</cp:lastModifiedBy>
  <cp:revision/>
  <dcterms:created xsi:type="dcterms:W3CDTF">2024-02-07T07:43:00Z</dcterms:created>
  <dcterms:modified xsi:type="dcterms:W3CDTF">2024-12-06T15:41:47Z</dcterms:modified>
  <cp:category/>
  <cp:contentStatus/>
</cp:coreProperties>
</file>

<file path=docProps/custom.xml><?xml version="1.0" encoding="utf-8"?>
<Properties xmlns="http://schemas.openxmlformats.org/officeDocument/2006/custom-properties" xmlns:vt="http://schemas.openxmlformats.org/officeDocument/2006/docPropsVTypes">
  <property fmtid="{D5CDD505-2E9C-101B-9397-08002B2CF9AE}" pid="2" name="ICV">
    <vt:lpwstr>6BD3FE08F50D43308719C3E877096B98_12</vt:lpwstr>
  </property>
  <property fmtid="{D5CDD505-2E9C-101B-9397-08002B2CF9AE}" pid="3" name="KSOProductBuildVer">
    <vt:lpwstr>2052-12.1.0.16388</vt:lpwstr>
  </property>
</Properties>
</file>