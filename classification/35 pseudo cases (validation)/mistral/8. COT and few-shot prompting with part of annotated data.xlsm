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DC747B9D-DBBB-FA85-71B4-595EBAB97821}"/>
  <workbookPr codeName="ThisWorkbook"/>
  <mc:AlternateContent xmlns:mc="http://schemas.openxmlformats.org/markup-compatibility/2006">
    <mc:Choice Requires="x15">
      <x15ac:absPath xmlns:x15ac="http://schemas.microsoft.com/office/spreadsheetml/2010/11/ac" url="C:\Users\erich\Desktop\manuscript\manuscript version\revision\model output &amp; classification results\35 pseudo cases (validation)\mistral\"/>
    </mc:Choice>
  </mc:AlternateContent>
  <xr:revisionPtr revIDLastSave="0" documentId="13_ncr:1_{8EAC3FBD-804A-490B-8A90-7595BB9D757C}" xr6:coauthVersionLast="47" xr6:coauthVersionMax="47" xr10:uidLastSave="{00000000-0000-0000-0000-000000000000}"/>
  <bookViews>
    <workbookView xWindow="-98" yWindow="-98" windowWidth="21795" windowHeight="11625" xr2:uid="{00000000-000D-0000-FFFF-FFFF00000000}"/>
  </bookViews>
  <sheets>
    <sheet name="Classification result" sheetId="16" r:id="rId1"/>
    <sheet name="Model output" sheetId="15" r:id="rId2"/>
    <sheet name="Schema" sheetId="2" state="hidden" r:id="rId3"/>
  </sheets>
  <functionGroups builtInGroupCount="19"/>
  <definedNames>
    <definedName name="_xlnm._FilterDatabase" localSheetId="0" hidden="1">'Classification result'!$A$2:$AW$37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E6" i="16" l="1"/>
  <c r="AE7" i="16"/>
  <c r="AE8" i="16"/>
  <c r="AE9" i="16"/>
  <c r="AE10" i="16"/>
  <c r="AE11" i="16"/>
  <c r="AE12" i="16"/>
  <c r="AE13" i="16"/>
  <c r="AE14" i="16"/>
  <c r="AE15" i="16"/>
  <c r="AE16" i="16"/>
  <c r="AE17" i="16"/>
  <c r="AE18" i="16"/>
  <c r="AE19" i="16"/>
  <c r="AE20" i="16"/>
  <c r="AE21" i="16"/>
  <c r="AE22" i="16"/>
  <c r="AE23" i="16"/>
  <c r="AE24" i="16"/>
  <c r="AE25" i="16"/>
  <c r="AE26" i="16"/>
  <c r="AE27" i="16"/>
  <c r="AE28" i="16"/>
  <c r="AE29" i="16"/>
  <c r="AE30" i="16"/>
  <c r="AE31" i="16"/>
  <c r="AE32" i="16"/>
  <c r="AE33" i="16"/>
  <c r="AE34" i="16"/>
  <c r="AE35" i="16"/>
  <c r="AE36" i="16"/>
  <c r="AE37" i="16"/>
  <c r="AE3" i="16"/>
  <c r="AE4" i="16"/>
  <c r="AE5" i="16"/>
  <c r="AI17" i="16" l="1"/>
  <c r="J4" i="16" a="1"/>
  <c r="J4" i="16" s="1"/>
  <c r="V4" i="16" a="1"/>
  <c r="V4" i="16" s="1"/>
  <c r="Y4" i="16" s="1"/>
  <c r="V5" i="16" a="1"/>
  <c r="V5" i="16" s="1"/>
  <c r="Y5" i="16" s="1"/>
  <c r="V6" i="16" a="1"/>
  <c r="V6" i="16" s="1"/>
  <c r="V7" i="16" a="1"/>
  <c r="V7" i="16" s="1"/>
  <c r="V8" i="16" a="1"/>
  <c r="V8" i="16" s="1"/>
  <c r="Y8" i="16" s="1"/>
  <c r="V9" i="16" a="1"/>
  <c r="V9" i="16" s="1"/>
  <c r="Y9" i="16" s="1"/>
  <c r="V10" i="16" a="1"/>
  <c r="V10" i="16" s="1"/>
  <c r="Y10" i="16" s="1"/>
  <c r="V11" i="16" a="1"/>
  <c r="V11" i="16" s="1"/>
  <c r="Y11" i="16" s="1"/>
  <c r="V12" i="16" a="1"/>
  <c r="V12" i="16" s="1"/>
  <c r="Y12" i="16" s="1"/>
  <c r="V13" i="16" a="1"/>
  <c r="V13" i="16" s="1"/>
  <c r="Y13" i="16" s="1"/>
  <c r="V14" i="16" a="1"/>
  <c r="V14" i="16" s="1"/>
  <c r="V15" i="16" a="1"/>
  <c r="V15" i="16" s="1"/>
  <c r="V16" i="16" a="1"/>
  <c r="V16" i="16" s="1"/>
  <c r="V17" i="16" a="1"/>
  <c r="V17" i="16" s="1"/>
  <c r="Y17" i="16" s="1"/>
  <c r="V18" i="16" a="1"/>
  <c r="V18" i="16" s="1"/>
  <c r="V19" i="16" a="1"/>
  <c r="V19" i="16" s="1"/>
  <c r="Y19" i="16" s="1"/>
  <c r="V20" i="16" a="1"/>
  <c r="V20" i="16" s="1"/>
  <c r="V21" i="16" a="1"/>
  <c r="V21" i="16" s="1"/>
  <c r="Y21" i="16" s="1"/>
  <c r="V22" i="16" a="1"/>
  <c r="V22" i="16" s="1"/>
  <c r="V23" i="16" a="1"/>
  <c r="V23" i="16" s="1"/>
  <c r="V24" i="16" a="1"/>
  <c r="V24" i="16" s="1"/>
  <c r="Y24" i="16" s="1"/>
  <c r="V25" i="16" a="1"/>
  <c r="V25" i="16" s="1"/>
  <c r="Y25" i="16" s="1"/>
  <c r="V26" i="16" a="1"/>
  <c r="V26" i="16" s="1"/>
  <c r="V27" i="16" a="1"/>
  <c r="V27" i="16" s="1"/>
  <c r="Y27" i="16" s="1"/>
  <c r="V28" i="16" a="1"/>
  <c r="V28" i="16" s="1"/>
  <c r="V29" i="16" a="1"/>
  <c r="V29" i="16" s="1"/>
  <c r="Y29" i="16" s="1"/>
  <c r="V30" i="16" a="1"/>
  <c r="V30" i="16" s="1"/>
  <c r="Y30" i="16" s="1"/>
  <c r="V31" i="16" a="1"/>
  <c r="V31" i="16" s="1"/>
  <c r="Y31" i="16" s="1"/>
  <c r="V32" i="16" a="1"/>
  <c r="V32" i="16" s="1"/>
  <c r="V33" i="16" a="1"/>
  <c r="V33" i="16" s="1"/>
  <c r="V34" i="16" a="1"/>
  <c r="V34" i="16" s="1"/>
  <c r="V35" i="16" a="1"/>
  <c r="V35" i="16" s="1"/>
  <c r="V36" i="16" a="1"/>
  <c r="V36" i="16" s="1"/>
  <c r="V37" i="16" a="1"/>
  <c r="V37" i="16" s="1"/>
  <c r="V3" i="16" a="1"/>
  <c r="V3" i="16" s="1"/>
  <c r="Y3" i="16" s="1"/>
  <c r="K4" i="16" a="1"/>
  <c r="K4" i="16" s="1"/>
  <c r="K5" i="16" a="1"/>
  <c r="K5" i="16" s="1"/>
  <c r="K6" i="16" a="1"/>
  <c r="K6" i="16" s="1"/>
  <c r="K7" i="16" a="1"/>
  <c r="K7" i="16" s="1"/>
  <c r="K8" i="16" a="1"/>
  <c r="K8" i="16" s="1"/>
  <c r="K9" i="16" a="1"/>
  <c r="K9" i="16" s="1"/>
  <c r="K10" i="16" a="1"/>
  <c r="K10" i="16" s="1"/>
  <c r="K11" i="16" a="1"/>
  <c r="K11" i="16" s="1"/>
  <c r="K12" i="16" a="1"/>
  <c r="K12" i="16" s="1"/>
  <c r="K13" i="16" a="1"/>
  <c r="K13" i="16" s="1"/>
  <c r="K14" i="16" a="1"/>
  <c r="K14" i="16" s="1"/>
  <c r="K15" i="16" a="1"/>
  <c r="K15" i="16" s="1"/>
  <c r="K16" i="16" a="1"/>
  <c r="K16" i="16" s="1"/>
  <c r="K17" i="16" a="1"/>
  <c r="K17" i="16" s="1"/>
  <c r="K18" i="16" a="1"/>
  <c r="K18" i="16" s="1"/>
  <c r="K19" i="16" a="1"/>
  <c r="K19" i="16" s="1"/>
  <c r="K20" i="16" a="1"/>
  <c r="K20" i="16" s="1"/>
  <c r="K21" i="16" a="1"/>
  <c r="K21" i="16" s="1"/>
  <c r="K22" i="16" a="1"/>
  <c r="K22" i="16" s="1"/>
  <c r="K23" i="16" a="1"/>
  <c r="K23" i="16" s="1"/>
  <c r="K24" i="16" a="1"/>
  <c r="K24" i="16" s="1"/>
  <c r="K25" i="16" a="1"/>
  <c r="K25" i="16" s="1"/>
  <c r="K26" i="16" a="1"/>
  <c r="K26" i="16" s="1"/>
  <c r="K27" i="16" a="1"/>
  <c r="K27" i="16" s="1"/>
  <c r="K28" i="16" a="1"/>
  <c r="K28" i="16" s="1"/>
  <c r="K29" i="16" a="1"/>
  <c r="K29" i="16" s="1"/>
  <c r="K30" i="16" a="1"/>
  <c r="K30" i="16" s="1"/>
  <c r="K31" i="16" a="1"/>
  <c r="K31" i="16" s="1"/>
  <c r="K32" i="16" a="1"/>
  <c r="K32" i="16" s="1"/>
  <c r="K33" i="16" a="1"/>
  <c r="K33" i="16" s="1"/>
  <c r="K34" i="16" a="1"/>
  <c r="K34" i="16" s="1"/>
  <c r="K35" i="16" a="1"/>
  <c r="K35" i="16" s="1"/>
  <c r="K36" i="16" a="1"/>
  <c r="K36" i="16" s="1"/>
  <c r="K37" i="16" a="1"/>
  <c r="K37" i="16" s="1"/>
  <c r="K3" i="16" a="1"/>
  <c r="K3" i="16" s="1"/>
  <c r="F7" i="16" a="1"/>
  <c r="F7" i="16" s="1"/>
  <c r="F8" i="16" a="1"/>
  <c r="F8" i="16" s="1"/>
  <c r="F9" i="16" a="1"/>
  <c r="F9" i="16" s="1"/>
  <c r="F10" i="16" a="1"/>
  <c r="F10" i="16" s="1"/>
  <c r="F11" i="16" a="1"/>
  <c r="F11" i="16" s="1"/>
  <c r="F12" i="16" a="1"/>
  <c r="F12" i="16" s="1"/>
  <c r="F13" i="16" a="1"/>
  <c r="F13" i="16" s="1"/>
  <c r="F14" i="16" a="1"/>
  <c r="F14" i="16" s="1"/>
  <c r="F15" i="16" a="1"/>
  <c r="F15" i="16" s="1"/>
  <c r="F16" i="16" a="1"/>
  <c r="F16" i="16" s="1"/>
  <c r="F17" i="16" a="1"/>
  <c r="F17" i="16" s="1"/>
  <c r="F18" i="16" a="1"/>
  <c r="F18" i="16" s="1"/>
  <c r="F19" i="16" a="1"/>
  <c r="F19" i="16" s="1"/>
  <c r="F20" i="16" a="1"/>
  <c r="F20" i="16" s="1"/>
  <c r="F21" i="16" a="1"/>
  <c r="F21" i="16" s="1"/>
  <c r="F22" i="16" a="1"/>
  <c r="F22" i="16" s="1"/>
  <c r="F23" i="16" a="1"/>
  <c r="F23" i="16" s="1"/>
  <c r="F24" i="16" a="1"/>
  <c r="F24" i="16" s="1"/>
  <c r="F25" i="16" a="1"/>
  <c r="F25" i="16" s="1"/>
  <c r="F26" i="16" a="1"/>
  <c r="F26" i="16" s="1"/>
  <c r="F27" i="16" a="1"/>
  <c r="F27" i="16" s="1"/>
  <c r="F28" i="16" a="1"/>
  <c r="F28" i="16" s="1"/>
  <c r="F29" i="16" a="1"/>
  <c r="F29" i="16" s="1"/>
  <c r="F30" i="16" a="1"/>
  <c r="F30" i="16" s="1"/>
  <c r="F31" i="16" a="1"/>
  <c r="F31" i="16" s="1"/>
  <c r="F32" i="16" a="1"/>
  <c r="F32" i="16" s="1"/>
  <c r="F33" i="16" a="1"/>
  <c r="F33" i="16" s="1"/>
  <c r="F34" i="16" a="1"/>
  <c r="F34" i="16" s="1"/>
  <c r="F35" i="16" a="1"/>
  <c r="F35" i="16" s="1"/>
  <c r="F36" i="16" a="1"/>
  <c r="F36" i="16" s="1"/>
  <c r="F37" i="16" a="1"/>
  <c r="F37" i="16" s="1"/>
  <c r="F3" i="16" a="1"/>
  <c r="F3" i="16" s="1"/>
  <c r="F4" i="16" a="1"/>
  <c r="F4" i="16" s="1"/>
  <c r="F5" i="16" a="1"/>
  <c r="F5" i="16" s="1"/>
  <c r="F6" i="16" a="1"/>
  <c r="F6" i="16" s="1"/>
  <c r="AF4" i="16" l="1" a="1"/>
  <c r="AF4" i="16" s="1"/>
  <c r="AF5" i="16" a="1"/>
  <c r="AF5" i="16" s="1"/>
  <c r="AF6" i="16" a="1"/>
  <c r="AF6" i="16" s="1"/>
  <c r="AF7" i="16" a="1"/>
  <c r="AF7" i="16" s="1"/>
  <c r="AF8" i="16" a="1"/>
  <c r="AF8" i="16" s="1"/>
  <c r="AF9" i="16" a="1"/>
  <c r="AF9" i="16" s="1"/>
  <c r="AF10" i="16" a="1"/>
  <c r="AF10" i="16" s="1"/>
  <c r="AF11" i="16" a="1"/>
  <c r="AF11" i="16" s="1"/>
  <c r="AF12" i="16" a="1"/>
  <c r="AF12" i="16" s="1"/>
  <c r="AF13" i="16" a="1"/>
  <c r="AF13" i="16" s="1"/>
  <c r="AF14" i="16" a="1"/>
  <c r="AF14" i="16" s="1"/>
  <c r="AF15" i="16" a="1"/>
  <c r="AF15" i="16" s="1"/>
  <c r="AF16" i="16" a="1"/>
  <c r="AF16" i="16" s="1"/>
  <c r="AF17" i="16" a="1"/>
  <c r="AF17" i="16" s="1"/>
  <c r="AF18" i="16" a="1"/>
  <c r="AF18" i="16" s="1"/>
  <c r="AF19" i="16" a="1"/>
  <c r="AF19" i="16" s="1"/>
  <c r="AF20" i="16" a="1"/>
  <c r="AF20" i="16" s="1"/>
  <c r="AF21" i="16" a="1"/>
  <c r="AF21" i="16" s="1"/>
  <c r="AF22" i="16" a="1"/>
  <c r="AF22" i="16" s="1"/>
  <c r="AF23" i="16" a="1"/>
  <c r="AF23" i="16" s="1"/>
  <c r="AF24" i="16" a="1"/>
  <c r="AF24" i="16" s="1"/>
  <c r="AF25" i="16" a="1"/>
  <c r="AF25" i="16" s="1"/>
  <c r="AF26" i="16" a="1"/>
  <c r="AF26" i="16" s="1"/>
  <c r="AF27" i="16" a="1"/>
  <c r="AF27" i="16" s="1"/>
  <c r="AF28" i="16" a="1"/>
  <c r="AF28" i="16" s="1"/>
  <c r="AF29" i="16" a="1"/>
  <c r="AF29" i="16" s="1"/>
  <c r="AF30" i="16" a="1"/>
  <c r="AF30" i="16" s="1"/>
  <c r="AF31" i="16" a="1"/>
  <c r="AF31" i="16" s="1"/>
  <c r="AF32" i="16" a="1"/>
  <c r="AF32" i="16" s="1"/>
  <c r="AF33" i="16" a="1"/>
  <c r="AF33" i="16" s="1"/>
  <c r="AF34" i="16" a="1"/>
  <c r="AF34" i="16" s="1"/>
  <c r="AF35" i="16" a="1"/>
  <c r="AF35" i="16" s="1"/>
  <c r="AF36" i="16" a="1"/>
  <c r="AF36" i="16" s="1"/>
  <c r="AF37" i="16" a="1"/>
  <c r="AF37" i="16" s="1"/>
  <c r="AF3" i="16" a="1"/>
  <c r="AF3" i="16" s="1"/>
  <c r="AG3" i="16" a="1"/>
  <c r="AG3" i="16" s="1"/>
  <c r="AG4" i="16" a="1"/>
  <c r="AG4" i="16" s="1"/>
  <c r="AG5" i="16" a="1"/>
  <c r="AG5" i="16" s="1"/>
  <c r="AG6" i="16" a="1"/>
  <c r="AG6" i="16" s="1"/>
  <c r="AG7" i="16" a="1"/>
  <c r="AG7" i="16" s="1"/>
  <c r="AG8" i="16" a="1"/>
  <c r="AG8" i="16" s="1"/>
  <c r="AG9" i="16" a="1"/>
  <c r="AG9" i="16" s="1"/>
  <c r="AG10" i="16" a="1"/>
  <c r="AG10" i="16" s="1"/>
  <c r="AG11" i="16" a="1"/>
  <c r="AG11" i="16" s="1"/>
  <c r="AG12" i="16" a="1"/>
  <c r="AG12" i="16" s="1"/>
  <c r="AG13" i="16" a="1"/>
  <c r="AG13" i="16" s="1"/>
  <c r="AG14" i="16" a="1"/>
  <c r="AG14" i="16" s="1"/>
  <c r="AG15" i="16" a="1"/>
  <c r="AG15" i="16" s="1"/>
  <c r="AG16" i="16" a="1"/>
  <c r="AG16" i="16" s="1"/>
  <c r="AG17" i="16" a="1"/>
  <c r="AG17" i="16" s="1"/>
  <c r="AG18" i="16" a="1"/>
  <c r="AG18" i="16" s="1"/>
  <c r="AG19" i="16" a="1"/>
  <c r="AG19" i="16" s="1"/>
  <c r="AG20" i="16" a="1"/>
  <c r="AG20" i="16" s="1"/>
  <c r="AG21" i="16" a="1"/>
  <c r="AG21" i="16" s="1"/>
  <c r="AG22" i="16" a="1"/>
  <c r="AG22" i="16" s="1"/>
  <c r="AG23" i="16" a="1"/>
  <c r="AG23" i="16" s="1"/>
  <c r="AG24" i="16" a="1"/>
  <c r="AG24" i="16" s="1"/>
  <c r="AG25" i="16" a="1"/>
  <c r="AG25" i="16" s="1"/>
  <c r="AG26" i="16" a="1"/>
  <c r="AG26" i="16" s="1"/>
  <c r="AG27" i="16" a="1"/>
  <c r="AG27" i="16" s="1"/>
  <c r="AG28" i="16" a="1"/>
  <c r="AG28" i="16" s="1"/>
  <c r="AG29" i="16" a="1"/>
  <c r="AG29" i="16" s="1"/>
  <c r="AG30" i="16" a="1"/>
  <c r="AG30" i="16" s="1"/>
  <c r="AG31" i="16" a="1"/>
  <c r="AG31" i="16" s="1"/>
  <c r="AG32" i="16" a="1"/>
  <c r="AG32" i="16" s="1"/>
  <c r="AG33" i="16" a="1"/>
  <c r="AG33" i="16" s="1"/>
  <c r="AG34" i="16" a="1"/>
  <c r="AG34" i="16" s="1"/>
  <c r="AG35" i="16" a="1"/>
  <c r="AG35" i="16" s="1"/>
  <c r="AG36" i="16" a="1"/>
  <c r="AG36" i="16" s="1"/>
  <c r="AG37" i="16" a="1"/>
  <c r="AG37" i="16" s="1"/>
  <c r="AA26" i="16" l="1"/>
  <c r="AA6" i="16"/>
  <c r="AA25" i="16"/>
  <c r="AA5" i="16"/>
  <c r="AA24" i="16"/>
  <c r="AA4" i="16"/>
  <c r="AA23" i="16"/>
  <c r="AA22" i="16"/>
  <c r="AA21" i="16"/>
  <c r="AA20" i="16"/>
  <c r="AA19" i="16"/>
  <c r="AA18" i="16"/>
  <c r="AA37" i="16"/>
  <c r="AA17" i="16"/>
  <c r="AA16" i="16"/>
  <c r="AA3" i="16"/>
  <c r="AA15" i="16"/>
  <c r="AA35" i="16"/>
  <c r="AA14" i="16"/>
  <c r="AA13" i="16"/>
  <c r="AA36" i="16"/>
  <c r="AA34" i="16"/>
  <c r="AA33" i="16"/>
  <c r="AA32" i="16"/>
  <c r="AA12" i="16"/>
  <c r="AA31" i="16"/>
  <c r="AA11" i="16"/>
  <c r="AA30" i="16"/>
  <c r="AA10" i="16"/>
  <c r="AA29" i="16"/>
  <c r="AA9" i="16"/>
  <c r="AA28" i="16"/>
  <c r="AA8" i="16"/>
  <c r="AA27" i="16"/>
  <c r="AA7" i="16"/>
  <c r="Z3" i="15" l="1" a="1"/>
  <c r="Z3" i="15" s="1"/>
  <c r="Z4" i="15" a="1"/>
  <c r="Z4" i="15" s="1"/>
  <c r="Z5" i="15" a="1"/>
  <c r="Z5" i="15" s="1"/>
  <c r="Z6" i="15" a="1"/>
  <c r="Z6" i="15" s="1"/>
  <c r="Z7" i="15" a="1"/>
  <c r="Z7" i="15" s="1"/>
  <c r="Z8" i="15" a="1"/>
  <c r="Z8" i="15" s="1"/>
  <c r="Z9" i="15" a="1"/>
  <c r="Z9" i="15" s="1"/>
  <c r="Z10" i="15" a="1"/>
  <c r="Z10" i="15" s="1"/>
  <c r="Z11" i="15" a="1"/>
  <c r="Z11" i="15" s="1"/>
  <c r="Z12" i="15" a="1"/>
  <c r="Z12" i="15" s="1"/>
  <c r="Z13" i="15" a="1"/>
  <c r="Z13" i="15" s="1"/>
  <c r="Z14" i="15" a="1"/>
  <c r="Z14" i="15" s="1"/>
  <c r="Z15" i="15" a="1"/>
  <c r="Z15" i="15" s="1"/>
  <c r="Z16" i="15" a="1"/>
  <c r="Z16" i="15" s="1"/>
  <c r="Z17" i="15" a="1"/>
  <c r="Z17" i="15" s="1"/>
  <c r="Z18" i="15" a="1"/>
  <c r="Z18" i="15" s="1"/>
  <c r="Z19" i="15" a="1"/>
  <c r="Z19" i="15" s="1"/>
  <c r="Z20" i="15" a="1"/>
  <c r="Z20" i="15"/>
  <c r="Z21" i="15" a="1"/>
  <c r="Z21" i="15" s="1"/>
  <c r="Z22" i="15" a="1"/>
  <c r="Z22" i="15" s="1"/>
  <c r="Z23" i="15" a="1"/>
  <c r="Z23" i="15" s="1"/>
  <c r="Z24" i="15" a="1"/>
  <c r="Z24" i="15" s="1"/>
  <c r="Z25" i="15" a="1"/>
  <c r="Z25" i="15" s="1"/>
  <c r="Z26" i="15" a="1"/>
  <c r="Z26" i="15" s="1"/>
  <c r="Z27" i="15" a="1"/>
  <c r="Z27" i="15" s="1"/>
  <c r="Z28" i="15" a="1"/>
  <c r="Z28" i="15" s="1"/>
  <c r="Z29" i="15" a="1"/>
  <c r="Z29" i="15" s="1"/>
  <c r="Z30" i="15" a="1"/>
  <c r="Z30" i="15" s="1"/>
  <c r="Z31" i="15" a="1"/>
  <c r="Z31" i="15" s="1"/>
  <c r="Z32" i="15" a="1"/>
  <c r="Z32" i="15" s="1"/>
  <c r="Z33" i="15" a="1"/>
  <c r="Z33" i="15" s="1"/>
  <c r="Z34" i="15" a="1"/>
  <c r="Z34" i="15" s="1"/>
  <c r="Z35" i="15" a="1"/>
  <c r="Z35" i="15" s="1"/>
  <c r="Z36" i="15" a="1"/>
  <c r="Z36" i="15"/>
  <c r="Z37" i="15" a="1"/>
  <c r="Z37" i="15" s="1"/>
  <c r="Z38" i="15" a="1"/>
  <c r="Z38" i="15"/>
  <c r="Z39" i="15" a="1"/>
  <c r="Z39" i="15" s="1"/>
  <c r="Z40" i="15" a="1"/>
  <c r="Z40" i="15"/>
  <c r="Z41" i="15" a="1"/>
  <c r="Z41" i="15" s="1"/>
  <c r="Z42" i="15" a="1"/>
  <c r="Z42" i="15" s="1"/>
  <c r="Z43" i="15" a="1"/>
  <c r="Z43" i="15" s="1"/>
  <c r="Z44" i="15" a="1"/>
  <c r="Z44" i="15" s="1"/>
  <c r="Z45" i="15" a="1"/>
  <c r="Z45" i="15" s="1"/>
  <c r="Z46" i="15" a="1"/>
  <c r="Z46" i="15" s="1"/>
  <c r="Z47" i="15" a="1"/>
  <c r="Z47" i="15" s="1"/>
  <c r="Z48" i="15" a="1"/>
  <c r="Z48" i="15" s="1"/>
  <c r="Z49" i="15" a="1"/>
  <c r="Z49" i="15" s="1"/>
  <c r="Z50" i="15" a="1"/>
  <c r="Z50" i="15" s="1"/>
  <c r="Z51" i="15" a="1"/>
  <c r="Z51" i="15" s="1"/>
  <c r="Z52" i="15" a="1"/>
  <c r="Z52" i="15" s="1"/>
  <c r="Z53" i="15" a="1"/>
  <c r="Z53" i="15" s="1"/>
  <c r="Z54" i="15" a="1"/>
  <c r="Z54" i="15"/>
  <c r="Z55" i="15" a="1"/>
  <c r="Z55" i="15" s="1"/>
  <c r="Z56" i="15" a="1"/>
  <c r="Z56" i="15" s="1"/>
  <c r="Z57" i="15" a="1"/>
  <c r="Z57" i="15" s="1"/>
  <c r="Z58" i="15" a="1"/>
  <c r="Z58" i="15" s="1"/>
  <c r="Z59" i="15" a="1"/>
  <c r="Z59" i="15" s="1"/>
  <c r="Z60" i="15" a="1"/>
  <c r="Z60" i="15" s="1"/>
  <c r="Z61" i="15" a="1"/>
  <c r="Z61" i="15" s="1"/>
  <c r="Z62" i="15" a="1"/>
  <c r="Z62" i="15" s="1"/>
  <c r="Z63" i="15" a="1"/>
  <c r="Z63" i="15" s="1"/>
  <c r="Z64" i="15" a="1"/>
  <c r="Z64" i="15" s="1"/>
  <c r="Z65" i="15" a="1"/>
  <c r="Z65" i="15" s="1"/>
  <c r="Z66" i="15" a="1"/>
  <c r="Z66" i="15" s="1"/>
  <c r="Z67" i="15" a="1"/>
  <c r="Z67" i="15" s="1"/>
  <c r="Z68" i="15" a="1"/>
  <c r="Z68" i="15" s="1"/>
  <c r="Z69" i="15" a="1"/>
  <c r="Z69" i="15" s="1"/>
  <c r="Z70" i="15" a="1"/>
  <c r="Z70" i="15"/>
  <c r="Z71" i="15" a="1"/>
  <c r="Z71" i="15" s="1"/>
  <c r="Z72" i="15" a="1"/>
  <c r="Z72" i="15" s="1"/>
  <c r="Z2" i="15" a="1"/>
  <c r="Z2" i="15" s="1"/>
  <c r="E19" i="16" l="1"/>
  <c r="Z16" i="16" a="1"/>
  <c r="Z16" i="16" s="1"/>
  <c r="Q35" i="16" a="1"/>
  <c r="Q35" i="16" s="1"/>
  <c r="Q37" i="16" a="1"/>
  <c r="Q37" i="16" s="1"/>
  <c r="E9" i="16"/>
  <c r="E29" i="16"/>
  <c r="B14" i="16"/>
  <c r="B34" i="16"/>
  <c r="E20" i="16"/>
  <c r="B5" i="16"/>
  <c r="B25" i="16"/>
  <c r="E10" i="16"/>
  <c r="E30" i="16"/>
  <c r="B15" i="16"/>
  <c r="B35" i="16"/>
  <c r="E4" i="16"/>
  <c r="E24" i="16"/>
  <c r="B9" i="16"/>
  <c r="B29" i="16"/>
  <c r="E23" i="16"/>
  <c r="B8" i="16"/>
  <c r="B28" i="16"/>
  <c r="E6" i="16"/>
  <c r="E26" i="16"/>
  <c r="B11" i="16"/>
  <c r="B31" i="16"/>
  <c r="E8" i="16"/>
  <c r="E28" i="16"/>
  <c r="B13" i="16"/>
  <c r="B33" i="16"/>
  <c r="Q33" i="16" a="1"/>
  <c r="Q33" i="16" s="1"/>
  <c r="Q13" i="16" a="1"/>
  <c r="Q13" i="16" s="1"/>
  <c r="H28" i="16" a="1"/>
  <c r="H28" i="16" s="1"/>
  <c r="H8" i="16" a="1"/>
  <c r="H8" i="16" s="1"/>
  <c r="Z23" i="16" a="1"/>
  <c r="Z23" i="16" s="1"/>
  <c r="B30" i="16"/>
  <c r="B10" i="16"/>
  <c r="E25" i="16"/>
  <c r="E5" i="16"/>
  <c r="Q32" i="16" a="1"/>
  <c r="Q32" i="16" s="1"/>
  <c r="Q12" i="16" a="1"/>
  <c r="Q12" i="16" s="1"/>
  <c r="H27" i="16" a="1"/>
  <c r="H27" i="16" s="1"/>
  <c r="H7" i="16" a="1"/>
  <c r="H7" i="16" s="1"/>
  <c r="Z22" i="16" a="1"/>
  <c r="Z22" i="16" s="1"/>
  <c r="Q31" i="16" a="1"/>
  <c r="Q31" i="16" s="1"/>
  <c r="Q11" i="16" a="1"/>
  <c r="Q11" i="16" s="1"/>
  <c r="H26" i="16" a="1"/>
  <c r="H26" i="16" s="1"/>
  <c r="H6" i="16" a="1"/>
  <c r="H6" i="16" s="1"/>
  <c r="Z21" i="16" a="1"/>
  <c r="Z21" i="16" s="1"/>
  <c r="Q30" i="16" a="1"/>
  <c r="Q30" i="16" s="1"/>
  <c r="Q10" i="16" a="1"/>
  <c r="Q10" i="16" s="1"/>
  <c r="H25" i="16" a="1"/>
  <c r="H25" i="16" s="1"/>
  <c r="H5" i="16" a="1"/>
  <c r="H5" i="16" s="1"/>
  <c r="Z20" i="16" a="1"/>
  <c r="Z20" i="16" s="1"/>
  <c r="B27" i="16"/>
  <c r="B7" i="16"/>
  <c r="E22" i="16"/>
  <c r="Q29" i="16" a="1"/>
  <c r="Q29" i="16" s="1"/>
  <c r="Q9" i="16" a="1"/>
  <c r="Q9" i="16" s="1"/>
  <c r="H24" i="16" a="1"/>
  <c r="H24" i="16" s="1"/>
  <c r="H4" i="16" a="1"/>
  <c r="H4" i="16" s="1"/>
  <c r="Z19" i="16" a="1"/>
  <c r="Z19" i="16" s="1"/>
  <c r="B26" i="16"/>
  <c r="B6" i="16"/>
  <c r="E21" i="16"/>
  <c r="Q28" i="16" a="1"/>
  <c r="Q28" i="16" s="1"/>
  <c r="Q8" i="16" a="1"/>
  <c r="Q8" i="16" s="1"/>
  <c r="H23" i="16" a="1"/>
  <c r="H23" i="16" s="1"/>
  <c r="Z3" i="16" a="1"/>
  <c r="Z3" i="16" s="1"/>
  <c r="Z18" i="16" a="1"/>
  <c r="Z18" i="16" s="1"/>
  <c r="Q27" i="16" a="1"/>
  <c r="Q27" i="16" s="1"/>
  <c r="Q7" i="16" a="1"/>
  <c r="Q7" i="16" s="1"/>
  <c r="H22" i="16" a="1"/>
  <c r="H22" i="16" s="1"/>
  <c r="Z37" i="16" a="1"/>
  <c r="Z37" i="16" s="1"/>
  <c r="Z17" i="16" a="1"/>
  <c r="Z17" i="16" s="1"/>
  <c r="Q26" i="16" a="1"/>
  <c r="Q26" i="16" s="1"/>
  <c r="Q6" i="16" a="1"/>
  <c r="Q6" i="16" s="1"/>
  <c r="H21" i="16" a="1"/>
  <c r="H21" i="16" s="1"/>
  <c r="Z36" i="16" a="1"/>
  <c r="Z36" i="16" s="1"/>
  <c r="G37" i="16" a="1"/>
  <c r="G37" i="16" s="1"/>
  <c r="G25" i="16" a="1"/>
  <c r="G25" i="16" s="1"/>
  <c r="G5" i="16" a="1"/>
  <c r="G5" i="16" s="1"/>
  <c r="S12" i="16" a="1"/>
  <c r="S12" i="16" s="1"/>
  <c r="S32" i="16" a="1"/>
  <c r="S32" i="16" s="1"/>
  <c r="G24" i="16" a="1"/>
  <c r="G24" i="16" s="1"/>
  <c r="G4" i="16" a="1"/>
  <c r="G4" i="16" s="1"/>
  <c r="G41" i="16" s="1"/>
  <c r="S13" i="16" a="1"/>
  <c r="S13" i="16" s="1"/>
  <c r="S33" i="16" a="1"/>
  <c r="S33" i="16" s="1"/>
  <c r="M21" i="16"/>
  <c r="J21" i="16" s="1" a="1"/>
  <c r="J21" i="16" s="1"/>
  <c r="G36" i="16" a="1"/>
  <c r="G36" i="16" s="1"/>
  <c r="G23" i="16" a="1"/>
  <c r="G23" i="16" s="1"/>
  <c r="S14" i="16" a="1"/>
  <c r="S14" i="16" s="1"/>
  <c r="S34" i="16" a="1"/>
  <c r="S34" i="16" s="1"/>
  <c r="R18" i="16" a="1"/>
  <c r="R18" i="16" s="1"/>
  <c r="M18" i="16"/>
  <c r="J18" i="16" s="1" a="1"/>
  <c r="J18" i="16" s="1"/>
  <c r="M3" i="16"/>
  <c r="J3" i="16" s="1" a="1"/>
  <c r="J3" i="16" s="1"/>
  <c r="R21" i="16" a="1"/>
  <c r="R21" i="16" s="1"/>
  <c r="G22" i="16" a="1"/>
  <c r="G22" i="16" s="1"/>
  <c r="G3" i="16" a="1"/>
  <c r="G3" i="16" s="1"/>
  <c r="G40" i="16" s="1"/>
  <c r="S15" i="16" a="1"/>
  <c r="S15" i="16" s="1"/>
  <c r="S35" i="16" a="1"/>
  <c r="S35" i="16" s="1"/>
  <c r="M17" i="16"/>
  <c r="J17" i="16" s="1" a="1"/>
  <c r="J17" i="16" s="1"/>
  <c r="M37" i="16"/>
  <c r="J37" i="16" s="1" a="1"/>
  <c r="J37" i="16" s="1"/>
  <c r="G35" i="16" a="1"/>
  <c r="G35" i="16" s="1"/>
  <c r="G21" i="16" a="1"/>
  <c r="G21" i="16" s="1"/>
  <c r="S16" i="16" a="1"/>
  <c r="S16" i="16" s="1"/>
  <c r="S36" i="16" a="1"/>
  <c r="S36" i="16" s="1"/>
  <c r="R20" i="16" a="1"/>
  <c r="R20" i="16" s="1"/>
  <c r="G20" i="16" a="1"/>
  <c r="G20" i="16" s="1"/>
  <c r="S17" i="16" a="1"/>
  <c r="S17" i="16" s="1"/>
  <c r="S37" i="16" a="1"/>
  <c r="S37" i="16" s="1"/>
  <c r="G34" i="16" a="1"/>
  <c r="G34" i="16" s="1"/>
  <c r="G19" i="16" a="1"/>
  <c r="G19" i="16" s="1"/>
  <c r="S18" i="16" a="1"/>
  <c r="S18" i="16" s="1"/>
  <c r="S3" i="16" a="1"/>
  <c r="S3" i="16" s="1"/>
  <c r="M20" i="16"/>
  <c r="J20" i="16" s="1" a="1"/>
  <c r="J20" i="16" s="1"/>
  <c r="G18" i="16" a="1"/>
  <c r="G18" i="16" s="1"/>
  <c r="S19" i="16" a="1"/>
  <c r="S19" i="16" s="1"/>
  <c r="M11" i="16"/>
  <c r="J11" i="16" s="1" a="1"/>
  <c r="J11" i="16" s="1"/>
  <c r="R23" i="16" a="1"/>
  <c r="R23" i="16" s="1"/>
  <c r="G33" i="16" a="1"/>
  <c r="G33" i="16" s="1"/>
  <c r="G17" i="16" a="1"/>
  <c r="G17" i="16" s="1"/>
  <c r="S20" i="16" a="1"/>
  <c r="S20" i="16" s="1"/>
  <c r="R4" i="16" a="1"/>
  <c r="R4" i="16" s="1"/>
  <c r="R24" i="16" a="1"/>
  <c r="R24" i="16" s="1"/>
  <c r="G16" i="16" a="1"/>
  <c r="G16" i="16" s="1"/>
  <c r="S21" i="16" a="1"/>
  <c r="S21" i="16" s="1"/>
  <c r="R5" i="16" a="1"/>
  <c r="R5" i="16" s="1"/>
  <c r="R25" i="16" a="1"/>
  <c r="R25" i="16" s="1"/>
  <c r="G32" i="16" a="1"/>
  <c r="G32" i="16" s="1"/>
  <c r="G15" i="16" a="1"/>
  <c r="G15" i="16" s="1"/>
  <c r="S22" i="16" a="1"/>
  <c r="S22" i="16" s="1"/>
  <c r="R6" i="16" a="1"/>
  <c r="R6" i="16" s="1"/>
  <c r="AL6" i="16" s="1"/>
  <c r="R26" i="16" a="1"/>
  <c r="R26" i="16" s="1"/>
  <c r="AL26" i="16" s="1"/>
  <c r="G14" i="16" a="1"/>
  <c r="G14" i="16" s="1"/>
  <c r="S23" i="16" a="1"/>
  <c r="S23" i="16" s="1"/>
  <c r="R7" i="16" a="1"/>
  <c r="R7" i="16" s="1"/>
  <c r="AL7" i="16" s="1"/>
  <c r="R27" i="16" a="1"/>
  <c r="R27" i="16" s="1"/>
  <c r="M5" i="16"/>
  <c r="J5" i="16" s="1" a="1"/>
  <c r="J5" i="16" s="1"/>
  <c r="M25" i="16"/>
  <c r="J25" i="16" s="1" a="1"/>
  <c r="J25" i="16" s="1"/>
  <c r="M6" i="16"/>
  <c r="J6" i="16" s="1" a="1"/>
  <c r="J6" i="16" s="1"/>
  <c r="M26" i="16"/>
  <c r="J26" i="16" s="1" a="1"/>
  <c r="J26" i="16" s="1"/>
  <c r="M7" i="16"/>
  <c r="J7" i="16" s="1" a="1"/>
  <c r="J7" i="16" s="1"/>
  <c r="M27" i="16"/>
  <c r="J27" i="16" s="1" a="1"/>
  <c r="J27" i="16" s="1"/>
  <c r="S26" i="16" a="1"/>
  <c r="S26" i="16" s="1"/>
  <c r="M8" i="16"/>
  <c r="J8" i="16" s="1" a="1"/>
  <c r="J8" i="16" s="1"/>
  <c r="M28" i="16"/>
  <c r="J28" i="16" s="1" a="1"/>
  <c r="J28" i="16" s="1"/>
  <c r="R11" i="16" a="1"/>
  <c r="R11" i="16" s="1"/>
  <c r="M16" i="16"/>
  <c r="J16" i="16" s="1" a="1"/>
  <c r="J16" i="16" s="1"/>
  <c r="M36" i="16"/>
  <c r="J36" i="16" s="1" a="1"/>
  <c r="J36" i="16" s="1"/>
  <c r="R19" i="16" a="1"/>
  <c r="R19" i="16" s="1"/>
  <c r="G31" i="16" a="1"/>
  <c r="G31" i="16" s="1"/>
  <c r="G13" i="16" a="1"/>
  <c r="G13" i="16" s="1"/>
  <c r="S4" i="16" a="1"/>
  <c r="S4" i="16" s="1"/>
  <c r="S24" i="16" a="1"/>
  <c r="S24" i="16" s="1"/>
  <c r="R8" i="16" a="1"/>
  <c r="R8" i="16" s="1"/>
  <c r="AL8" i="16" s="1"/>
  <c r="R28" i="16" a="1"/>
  <c r="R28" i="16" s="1"/>
  <c r="AL28" i="16" s="1"/>
  <c r="R10" i="16" a="1"/>
  <c r="R10" i="16" s="1"/>
  <c r="R31" i="16" a="1"/>
  <c r="R31" i="16" s="1"/>
  <c r="R37" i="16" a="1"/>
  <c r="R37" i="16" s="1"/>
  <c r="G12" i="16" a="1"/>
  <c r="G12" i="16" s="1"/>
  <c r="S5" i="16" a="1"/>
  <c r="S5" i="16" s="1"/>
  <c r="S25" i="16" a="1"/>
  <c r="S25" i="16" s="1"/>
  <c r="R9" i="16" a="1"/>
  <c r="R9" i="16" s="1"/>
  <c r="R29" i="16" a="1"/>
  <c r="R29" i="16" s="1"/>
  <c r="R30" i="16" a="1"/>
  <c r="R30" i="16" s="1"/>
  <c r="M31" i="16"/>
  <c r="J31" i="16" s="1" a="1"/>
  <c r="J31" i="16" s="1"/>
  <c r="G30" i="16" a="1"/>
  <c r="G30" i="16" s="1"/>
  <c r="G11" i="16" a="1"/>
  <c r="G11" i="16" s="1"/>
  <c r="S6" i="16" a="1"/>
  <c r="S6" i="16" s="1"/>
  <c r="M9" i="16"/>
  <c r="J9" i="16" s="1" a="1"/>
  <c r="J9" i="16" s="1"/>
  <c r="M29" i="16"/>
  <c r="J29" i="16" s="1" a="1"/>
  <c r="J29" i="16" s="1"/>
  <c r="R32" i="16" a="1"/>
  <c r="R32" i="16" s="1"/>
  <c r="G10" i="16" a="1"/>
  <c r="G10" i="16" s="1"/>
  <c r="S7" i="16" a="1"/>
  <c r="S7" i="16" s="1"/>
  <c r="S27" i="16" a="1"/>
  <c r="S27" i="16" s="1"/>
  <c r="M19" i="16"/>
  <c r="J19" i="16" s="1" a="1"/>
  <c r="J19" i="16" s="1"/>
  <c r="R22" i="16" a="1"/>
  <c r="R22" i="16" s="1"/>
  <c r="G29" i="16" a="1"/>
  <c r="G29" i="16" s="1"/>
  <c r="G9" i="16" a="1"/>
  <c r="G9" i="16" s="1"/>
  <c r="S8" i="16" a="1"/>
  <c r="S8" i="16" s="1"/>
  <c r="S28" i="16" a="1"/>
  <c r="S28" i="16" s="1"/>
  <c r="R12" i="16" a="1"/>
  <c r="R12" i="16" s="1"/>
  <c r="AL12" i="16" s="1"/>
  <c r="M10" i="16"/>
  <c r="J10" i="16" s="1" a="1"/>
  <c r="J10" i="16" s="1"/>
  <c r="M30" i="16"/>
  <c r="J30" i="16" s="1" a="1"/>
  <c r="J30" i="16" s="1"/>
  <c r="R33" i="16" a="1"/>
  <c r="R33" i="16" s="1"/>
  <c r="M24" i="16"/>
  <c r="J24" i="16" s="1" a="1"/>
  <c r="J24" i="16" s="1"/>
  <c r="G28" i="16" a="1"/>
  <c r="G28" i="16" s="1"/>
  <c r="G8" i="16" a="1"/>
  <c r="G8" i="16" s="1"/>
  <c r="S9" i="16" a="1"/>
  <c r="S9" i="16" s="1"/>
  <c r="S29" i="16" a="1"/>
  <c r="S29" i="16" s="1"/>
  <c r="R13" i="16" a="1"/>
  <c r="R13" i="16" s="1"/>
  <c r="M23" i="16"/>
  <c r="J23" i="16" s="1" a="1"/>
  <c r="J23" i="16" s="1"/>
  <c r="G27" i="16" a="1"/>
  <c r="G27" i="16" s="1"/>
  <c r="G7" i="16" a="1"/>
  <c r="G7" i="16" s="1"/>
  <c r="S10" i="16" a="1"/>
  <c r="S10" i="16" s="1"/>
  <c r="S30" i="16" a="1"/>
  <c r="S30" i="16" s="1"/>
  <c r="R14" i="16" a="1"/>
  <c r="R14" i="16" s="1"/>
  <c r="R34" i="16" a="1"/>
  <c r="R34" i="16" s="1"/>
  <c r="M12" i="16"/>
  <c r="J12" i="16" s="1" a="1"/>
  <c r="J12" i="16" s="1"/>
  <c r="M32" i="16"/>
  <c r="J32" i="16" s="1" a="1"/>
  <c r="J32" i="16" s="1"/>
  <c r="M13" i="16"/>
  <c r="J13" i="16" s="1" a="1"/>
  <c r="J13" i="16" s="1"/>
  <c r="M33" i="16"/>
  <c r="J33" i="16" s="1" a="1"/>
  <c r="J33" i="16" s="1"/>
  <c r="R16" i="16" a="1"/>
  <c r="R16" i="16" s="1"/>
  <c r="M14" i="16"/>
  <c r="J14" i="16" s="1" a="1"/>
  <c r="J14" i="16" s="1"/>
  <c r="M34" i="16"/>
  <c r="J34" i="16" s="1" a="1"/>
  <c r="J34" i="16" s="1"/>
  <c r="R17" i="16" a="1"/>
  <c r="R17" i="16" s="1"/>
  <c r="G26" i="16" a="1"/>
  <c r="G26" i="16" s="1"/>
  <c r="G6" i="16" a="1"/>
  <c r="G6" i="16" s="1"/>
  <c r="S11" i="16" a="1"/>
  <c r="S11" i="16" s="1"/>
  <c r="S31" i="16" a="1"/>
  <c r="S31" i="16" s="1"/>
  <c r="R15" i="16" a="1"/>
  <c r="R15" i="16" s="1"/>
  <c r="R35" i="16" a="1"/>
  <c r="R35" i="16" s="1"/>
  <c r="R36" i="16" a="1"/>
  <c r="R36" i="16" s="1"/>
  <c r="M15" i="16"/>
  <c r="J15" i="16" s="1" a="1"/>
  <c r="J15" i="16" s="1"/>
  <c r="M35" i="16"/>
  <c r="J35" i="16" s="1" a="1"/>
  <c r="J35" i="16" s="1"/>
  <c r="M22" i="16"/>
  <c r="J22" i="16" s="1" a="1"/>
  <c r="J22" i="16" s="1"/>
  <c r="X4" i="16" a="1"/>
  <c r="X4" i="16" s="1"/>
  <c r="X24" i="16" a="1"/>
  <c r="X24" i="16" s="1"/>
  <c r="X5" i="16" a="1"/>
  <c r="X5" i="16" s="1"/>
  <c r="X25" i="16" a="1"/>
  <c r="X25" i="16" s="1"/>
  <c r="X6" i="16" a="1"/>
  <c r="X6" i="16" s="1"/>
  <c r="Y6" i="16" s="1"/>
  <c r="X26" i="16" a="1"/>
  <c r="X26" i="16" s="1"/>
  <c r="Y26" i="16" s="1"/>
  <c r="X7" i="16" a="1"/>
  <c r="X7" i="16" s="1"/>
  <c r="Y7" i="16" s="1"/>
  <c r="X27" i="16" a="1"/>
  <c r="X27" i="16" s="1"/>
  <c r="X8" i="16" a="1"/>
  <c r="X8" i="16" s="1"/>
  <c r="X28" i="16" a="1"/>
  <c r="X28" i="16" s="1"/>
  <c r="Y28" i="16" s="1"/>
  <c r="X9" i="16" a="1"/>
  <c r="X9" i="16" s="1"/>
  <c r="X29" i="16" a="1"/>
  <c r="X29" i="16" s="1"/>
  <c r="X10" i="16" a="1"/>
  <c r="X10" i="16" s="1"/>
  <c r="X30" i="16" a="1"/>
  <c r="X30" i="16" s="1"/>
  <c r="X11" i="16" a="1"/>
  <c r="X11" i="16" s="1"/>
  <c r="X31" i="16" a="1"/>
  <c r="X31" i="16" s="1"/>
  <c r="X12" i="16" a="1"/>
  <c r="X12" i="16" s="1"/>
  <c r="X32" i="16" a="1"/>
  <c r="X32" i="16" s="1"/>
  <c r="Y32" i="16" s="1"/>
  <c r="X13" i="16" a="1"/>
  <c r="X13" i="16" s="1"/>
  <c r="X33" i="16" a="1"/>
  <c r="X33" i="16" s="1"/>
  <c r="Y33" i="16" s="1"/>
  <c r="X14" i="16" a="1"/>
  <c r="X14" i="16" s="1"/>
  <c r="Y14" i="16" s="1"/>
  <c r="X34" i="16" a="1"/>
  <c r="X34" i="16" s="1"/>
  <c r="Y34" i="16" s="1"/>
  <c r="X15" i="16" a="1"/>
  <c r="X15" i="16" s="1"/>
  <c r="Y15" i="16" s="1"/>
  <c r="X35" i="16" a="1"/>
  <c r="X35" i="16" s="1"/>
  <c r="Y35" i="16" s="1"/>
  <c r="X16" i="16" a="1"/>
  <c r="X16" i="16" s="1"/>
  <c r="Y16" i="16" s="1"/>
  <c r="X36" i="16" a="1"/>
  <c r="X36" i="16" s="1"/>
  <c r="Y36" i="16" s="1"/>
  <c r="X17" i="16" a="1"/>
  <c r="X17" i="16" s="1"/>
  <c r="X37" i="16" a="1"/>
  <c r="X37" i="16" s="1"/>
  <c r="Y37" i="16" s="1"/>
  <c r="X18" i="16" a="1"/>
  <c r="X18" i="16" s="1"/>
  <c r="Y18" i="16" s="1"/>
  <c r="X3" i="16" a="1"/>
  <c r="X3" i="16" s="1"/>
  <c r="X19" i="16" a="1"/>
  <c r="X19" i="16" s="1"/>
  <c r="X20" i="16" a="1"/>
  <c r="X20" i="16" s="1"/>
  <c r="Y20" i="16" s="1"/>
  <c r="X21" i="16" a="1"/>
  <c r="X21" i="16" s="1"/>
  <c r="X22" i="16" a="1"/>
  <c r="X22" i="16" s="1"/>
  <c r="Y22" i="16" s="1"/>
  <c r="X23" i="16" a="1"/>
  <c r="X23" i="16" s="1"/>
  <c r="Y23" i="16" s="1"/>
  <c r="B23" i="16"/>
  <c r="E3" i="16"/>
  <c r="E18" i="16"/>
  <c r="Q5" i="16" a="1"/>
  <c r="Q5" i="16" s="1"/>
  <c r="H20" i="16" a="1"/>
  <c r="H20" i="16" s="1"/>
  <c r="Z35" i="16" a="1"/>
  <c r="Z35" i="16" s="1"/>
  <c r="Z15" i="16" a="1"/>
  <c r="Z15" i="16" s="1"/>
  <c r="Q25" i="16" a="1"/>
  <c r="Q25" i="16" s="1"/>
  <c r="B22" i="16"/>
  <c r="E37" i="16"/>
  <c r="E17" i="16"/>
  <c r="Q24" i="16" a="1"/>
  <c r="Q24" i="16" s="1"/>
  <c r="Q4" i="16" a="1"/>
  <c r="Q4" i="16" s="1"/>
  <c r="H19" i="16" a="1"/>
  <c r="H19" i="16" s="1"/>
  <c r="Z34" i="16" a="1"/>
  <c r="Z34" i="16" s="1"/>
  <c r="Z14" i="16" a="1"/>
  <c r="Z14" i="16" s="1"/>
  <c r="Q23" i="16" a="1"/>
  <c r="Q23" i="16" s="1"/>
  <c r="H3" i="16" a="1"/>
  <c r="H3" i="16" s="1"/>
  <c r="H18" i="16" a="1"/>
  <c r="H18" i="16" s="1"/>
  <c r="Z33" i="16" a="1"/>
  <c r="Z33" i="16" s="1"/>
  <c r="Z13" i="16" a="1"/>
  <c r="Z13" i="16" s="1"/>
  <c r="Q22" i="16" a="1"/>
  <c r="Q22" i="16" s="1"/>
  <c r="H37" i="16" a="1"/>
  <c r="H37" i="16" s="1"/>
  <c r="H17" i="16" a="1"/>
  <c r="H17" i="16" s="1"/>
  <c r="Z32" i="16" a="1"/>
  <c r="Z32" i="16" s="1"/>
  <c r="Z12" i="16" a="1"/>
  <c r="Z12" i="16" s="1"/>
  <c r="B21" i="16"/>
  <c r="E36" i="16"/>
  <c r="E16" i="16"/>
  <c r="B19" i="16"/>
  <c r="E34" i="16"/>
  <c r="E14" i="16"/>
  <c r="Q21" i="16" a="1"/>
  <c r="Q21" i="16" s="1"/>
  <c r="H36" i="16" a="1"/>
  <c r="H36" i="16" s="1"/>
  <c r="H16" i="16" a="1"/>
  <c r="H16" i="16" s="1"/>
  <c r="Z31" i="16" a="1"/>
  <c r="Z31" i="16" s="1"/>
  <c r="Z11" i="16" a="1"/>
  <c r="Z11" i="16" s="1"/>
  <c r="B20" i="16"/>
  <c r="E35" i="16"/>
  <c r="E15" i="16"/>
  <c r="B3" i="16"/>
  <c r="B18" i="16"/>
  <c r="E33" i="16"/>
  <c r="E13" i="16"/>
  <c r="Q20" i="16" a="1"/>
  <c r="Q20" i="16" s="1"/>
  <c r="AJ20" i="16" s="1"/>
  <c r="H35" i="16" a="1"/>
  <c r="H35" i="16" s="1"/>
  <c r="H15" i="16" a="1"/>
  <c r="H15" i="16" s="1"/>
  <c r="Z30" i="16" a="1"/>
  <c r="Z30" i="16" s="1"/>
  <c r="Z10" i="16" a="1"/>
  <c r="Z10" i="16" s="1"/>
  <c r="B24" i="16"/>
  <c r="B4" i="16"/>
  <c r="B37" i="16"/>
  <c r="B17" i="16"/>
  <c r="E32" i="16"/>
  <c r="E12" i="16"/>
  <c r="Q19" i="16" a="1"/>
  <c r="Q19" i="16" s="1"/>
  <c r="H34" i="16" a="1"/>
  <c r="H34" i="16" s="1"/>
  <c r="H14" i="16" a="1"/>
  <c r="H14" i="16" s="1"/>
  <c r="Z29" i="16" a="1"/>
  <c r="Z29" i="16" s="1"/>
  <c r="Z9" i="16" a="1"/>
  <c r="Z9" i="16" s="1"/>
  <c r="B36" i="16"/>
  <c r="B16" i="16"/>
  <c r="E31" i="16"/>
  <c r="E11" i="16"/>
  <c r="Q3" i="16" a="1"/>
  <c r="Q3" i="16" s="1"/>
  <c r="Q18" i="16" a="1"/>
  <c r="Q18" i="16" s="1"/>
  <c r="AJ18" i="16" s="1"/>
  <c r="H33" i="16" a="1"/>
  <c r="H33" i="16" s="1"/>
  <c r="H13" i="16" a="1"/>
  <c r="H13" i="16" s="1"/>
  <c r="Z28" i="16" a="1"/>
  <c r="Z28" i="16" s="1"/>
  <c r="Z8" i="16" a="1"/>
  <c r="Z8" i="16" s="1"/>
  <c r="Q17" i="16" a="1"/>
  <c r="Q17" i="16" s="1"/>
  <c r="AJ17" i="16" s="1"/>
  <c r="H32" i="16" a="1"/>
  <c r="H32" i="16" s="1"/>
  <c r="H12" i="16" a="1"/>
  <c r="H12" i="16" s="1"/>
  <c r="Z27" i="16" a="1"/>
  <c r="Z27" i="16" s="1"/>
  <c r="Z7" i="16" a="1"/>
  <c r="Z7" i="16" s="1"/>
  <c r="Q36" i="16" a="1"/>
  <c r="Q36" i="16" s="1"/>
  <c r="AJ36" i="16" s="1"/>
  <c r="Q16" i="16" a="1"/>
  <c r="Q16" i="16" s="1"/>
  <c r="AJ16" i="16" s="1"/>
  <c r="H31" i="16" a="1"/>
  <c r="H31" i="16" s="1"/>
  <c r="H11" i="16" a="1"/>
  <c r="H11" i="16" s="1"/>
  <c r="Z26" i="16" a="1"/>
  <c r="Z26" i="16" s="1"/>
  <c r="Z6" i="16" a="1"/>
  <c r="Z6" i="16" s="1"/>
  <c r="Q15" i="16" a="1"/>
  <c r="Q15" i="16" s="1"/>
  <c r="H30" i="16" a="1"/>
  <c r="H30" i="16" s="1"/>
  <c r="H10" i="16" a="1"/>
  <c r="H10" i="16" s="1"/>
  <c r="Z25" i="16" a="1"/>
  <c r="Z25" i="16" s="1"/>
  <c r="Z5" i="16" a="1"/>
  <c r="Z5" i="16" s="1"/>
  <c r="B32" i="16"/>
  <c r="B12" i="16"/>
  <c r="E27" i="16"/>
  <c r="E7" i="16"/>
  <c r="Q34" i="16" a="1"/>
  <c r="Q34" i="16" s="1"/>
  <c r="Q14" i="16" a="1"/>
  <c r="Q14" i="16" s="1"/>
  <c r="H29" i="16" a="1"/>
  <c r="H29" i="16" s="1"/>
  <c r="H9" i="16" a="1"/>
  <c r="H9" i="16" s="1"/>
  <c r="Z24" i="16" a="1"/>
  <c r="Z24" i="16" s="1"/>
  <c r="Z4" i="16" a="1"/>
  <c r="Z4" i="16" s="1"/>
  <c r="AL32" i="16"/>
  <c r="AL27" i="16"/>
  <c r="T17" i="16" a="1"/>
  <c r="T8" i="16" a="1"/>
  <c r="T37" i="16" a="1"/>
  <c r="N28" i="16" a="1"/>
  <c r="N34" i="16" a="1"/>
  <c r="T6" i="16" a="1"/>
  <c r="T11" i="16" a="1"/>
  <c r="N19" i="16" a="1"/>
  <c r="T26" i="16" a="1"/>
  <c r="T9" i="16" a="1"/>
  <c r="N36" i="16" a="1"/>
  <c r="T21" i="16" a="1"/>
  <c r="T4" i="16" a="1"/>
  <c r="N15" i="16" a="1"/>
  <c r="T5" i="16" a="1"/>
  <c r="T28" i="16" a="1"/>
  <c r="N29" i="16" a="1"/>
  <c r="N17" i="16" a="1"/>
  <c r="N6" i="16" a="1"/>
  <c r="T10" i="16" a="1"/>
  <c r="T16" i="16" a="1"/>
  <c r="N32" i="16" a="1"/>
  <c r="N21" i="16" a="1"/>
  <c r="N33" i="16" a="1"/>
  <c r="N25" i="16" a="1"/>
  <c r="N27" i="16" a="1"/>
  <c r="T13" i="16" a="1"/>
  <c r="T32" i="16" a="1"/>
  <c r="T20" i="16" a="1"/>
  <c r="N37" i="16" a="1"/>
  <c r="T19" i="16" a="1"/>
  <c r="N10" i="16" a="1"/>
  <c r="T15" i="16" a="1"/>
  <c r="N18" i="16" a="1"/>
  <c r="N22" i="16" a="1"/>
  <c r="T23" i="16" a="1"/>
  <c r="T7" i="16" a="1"/>
  <c r="N12" i="16" a="1"/>
  <c r="N13" i="16" a="1"/>
  <c r="N11" i="16" a="1"/>
  <c r="T33" i="16" a="1"/>
  <c r="T29" i="16" a="1"/>
  <c r="T25" i="16" a="1"/>
  <c r="N35" i="16" a="1"/>
  <c r="N26" i="16" a="1"/>
  <c r="N8" i="16" a="1"/>
  <c r="N16" i="16" a="1"/>
  <c r="N23" i="16" a="1"/>
  <c r="N4" i="16" a="1"/>
  <c r="N20" i="16" a="1"/>
  <c r="N31" i="16" a="1"/>
  <c r="N9" i="16" a="1"/>
  <c r="N3" i="16" a="1"/>
  <c r="T34" i="16" a="1"/>
  <c r="N30" i="16" a="1"/>
  <c r="T12" i="16" a="1"/>
  <c r="N24" i="16" a="1"/>
  <c r="T22" i="16" a="1"/>
  <c r="T36" i="16" a="1"/>
  <c r="T18" i="16" a="1"/>
  <c r="T14" i="16" a="1"/>
  <c r="N5" i="16" a="1"/>
  <c r="T30" i="16" a="1"/>
  <c r="T3" i="16" a="1"/>
  <c r="T27" i="16" a="1"/>
  <c r="T24" i="16" a="1"/>
  <c r="N7" i="16" a="1"/>
  <c r="T31" i="16" a="1"/>
  <c r="T35" i="16" a="1"/>
  <c r="N14" i="16" a="1"/>
  <c r="AJ26" i="16" l="1"/>
  <c r="AM26" i="16" s="1"/>
  <c r="AJ15" i="16"/>
  <c r="AJ7" i="16"/>
  <c r="AJ33" i="16"/>
  <c r="AJ28" i="16"/>
  <c r="AM32" i="16"/>
  <c r="AM7" i="16"/>
  <c r="AL24" i="16"/>
  <c r="AM24" i="16" s="1"/>
  <c r="AM27" i="16"/>
  <c r="AM17" i="16"/>
  <c r="AM12" i="16"/>
  <c r="AK17" i="16"/>
  <c r="AL29" i="16"/>
  <c r="AM29" i="16" s="1"/>
  <c r="R3" i="16" a="1"/>
  <c r="R3" i="16" s="1"/>
  <c r="AL9" i="16"/>
  <c r="AL25" i="16"/>
  <c r="AL20" i="16"/>
  <c r="AM20" i="16" s="1"/>
  <c r="AL36" i="16"/>
  <c r="AM36" i="16" s="1"/>
  <c r="AL21" i="16"/>
  <c r="AM21" i="16" s="1"/>
  <c r="AL4" i="16"/>
  <c r="AM4" i="16" s="1"/>
  <c r="AL17" i="16"/>
  <c r="AL18" i="16"/>
  <c r="AM18" i="16" s="1"/>
  <c r="AL10" i="16"/>
  <c r="AL19" i="16"/>
  <c r="AM19" i="16" s="1"/>
  <c r="AL13" i="16"/>
  <c r="AL14" i="16"/>
  <c r="AL15" i="16"/>
  <c r="AL5" i="16"/>
  <c r="AM5" i="16" s="1"/>
  <c r="AL22" i="16"/>
  <c r="AL30" i="16"/>
  <c r="AL35" i="16"/>
  <c r="AM35" i="16" s="1"/>
  <c r="AL37" i="16"/>
  <c r="AM37" i="16" s="1"/>
  <c r="AL16" i="16"/>
  <c r="AM16" i="16" s="1"/>
  <c r="AL23" i="16"/>
  <c r="AM23" i="16" s="1"/>
  <c r="N15" i="16"/>
  <c r="N27" i="16"/>
  <c r="N18" i="16"/>
  <c r="N25" i="16"/>
  <c r="N24" i="16"/>
  <c r="N26" i="16"/>
  <c r="N10" i="16"/>
  <c r="N34" i="16"/>
  <c r="N4" i="16"/>
  <c r="N19" i="16"/>
  <c r="N36" i="16"/>
  <c r="N12" i="16"/>
  <c r="N3" i="16"/>
  <c r="N30" i="16"/>
  <c r="N29" i="16"/>
  <c r="N28" i="16"/>
  <c r="N33" i="16"/>
  <c r="N22" i="16"/>
  <c r="N14" i="16"/>
  <c r="N17" i="16"/>
  <c r="N6" i="16"/>
  <c r="N7" i="16"/>
  <c r="N11" i="16"/>
  <c r="N21" i="16"/>
  <c r="N13" i="16"/>
  <c r="N35" i="16"/>
  <c r="N32" i="16"/>
  <c r="N23" i="16"/>
  <c r="N5" i="16"/>
  <c r="N20" i="16"/>
  <c r="N9" i="16"/>
  <c r="N16" i="16"/>
  <c r="N31" i="16"/>
  <c r="N37" i="16"/>
  <c r="N8" i="16"/>
  <c r="I26" i="16"/>
  <c r="L26" i="16"/>
  <c r="I6" i="16"/>
  <c r="L6" i="16"/>
  <c r="I25" i="16"/>
  <c r="L25" i="16"/>
  <c r="I20" i="16"/>
  <c r="L20" i="16"/>
  <c r="L21" i="16"/>
  <c r="I21" i="16"/>
  <c r="I5" i="16"/>
  <c r="L5" i="16"/>
  <c r="L37" i="16"/>
  <c r="I37" i="16"/>
  <c r="I23" i="16"/>
  <c r="L23" i="16"/>
  <c r="I17" i="16"/>
  <c r="L17" i="16"/>
  <c r="I34" i="16"/>
  <c r="L34" i="16"/>
  <c r="AL11" i="16"/>
  <c r="I14" i="16"/>
  <c r="L14" i="16"/>
  <c r="I19" i="16"/>
  <c r="L19" i="16"/>
  <c r="L31" i="16"/>
  <c r="I31" i="16"/>
  <c r="I30" i="16"/>
  <c r="L30" i="16"/>
  <c r="L29" i="16"/>
  <c r="I29" i="16"/>
  <c r="I13" i="16"/>
  <c r="L13" i="16"/>
  <c r="L22" i="16"/>
  <c r="I22" i="16"/>
  <c r="I36" i="16"/>
  <c r="L36" i="16"/>
  <c r="I3" i="16"/>
  <c r="L3" i="16"/>
  <c r="L18" i="16"/>
  <c r="I18" i="16"/>
  <c r="L33" i="16"/>
  <c r="I33" i="16"/>
  <c r="I35" i="16"/>
  <c r="L35" i="16"/>
  <c r="I32" i="16"/>
  <c r="L32" i="16"/>
  <c r="I15" i="16"/>
  <c r="L15" i="16"/>
  <c r="I12" i="16"/>
  <c r="L12" i="16"/>
  <c r="I24" i="16"/>
  <c r="L24" i="16"/>
  <c r="I8" i="16"/>
  <c r="L8" i="16"/>
  <c r="L11" i="16"/>
  <c r="I11" i="16"/>
  <c r="I16" i="16"/>
  <c r="L16" i="16"/>
  <c r="AL31" i="16"/>
  <c r="I4" i="16"/>
  <c r="AK4" i="16" s="1"/>
  <c r="I28" i="16"/>
  <c r="L28" i="16"/>
  <c r="AL33" i="16"/>
  <c r="AL34" i="16"/>
  <c r="L27" i="16"/>
  <c r="I27" i="16"/>
  <c r="I10" i="16"/>
  <c r="L10" i="16"/>
  <c r="I9" i="16"/>
  <c r="L9" i="16"/>
  <c r="I7" i="16"/>
  <c r="L7" i="16"/>
  <c r="T20" i="16"/>
  <c r="T24" i="16"/>
  <c r="T7" i="16"/>
  <c r="T28" i="16"/>
  <c r="T9" i="16"/>
  <c r="T10" i="16"/>
  <c r="T15" i="16"/>
  <c r="T31" i="16"/>
  <c r="T17" i="16"/>
  <c r="T18" i="16"/>
  <c r="T27" i="16"/>
  <c r="T36" i="16"/>
  <c r="T4" i="16"/>
  <c r="T13" i="16"/>
  <c r="T22" i="16"/>
  <c r="T8" i="16"/>
  <c r="T34" i="16"/>
  <c r="T21" i="16"/>
  <c r="T30" i="16"/>
  <c r="T12" i="16"/>
  <c r="T25" i="16"/>
  <c r="T26" i="16"/>
  <c r="T11" i="16"/>
  <c r="T32" i="16"/>
  <c r="T29" i="16"/>
  <c r="T6" i="16"/>
  <c r="T19" i="16"/>
  <c r="T33" i="16"/>
  <c r="T16" i="16"/>
  <c r="T35" i="16"/>
  <c r="T3" i="16"/>
  <c r="T5" i="16"/>
  <c r="T14" i="16"/>
  <c r="T23" i="16"/>
  <c r="T37" i="16"/>
  <c r="O34" i="16" a="1"/>
  <c r="U31" i="16" a="1"/>
  <c r="O33" i="16" a="1"/>
  <c r="U26" i="16" a="1"/>
  <c r="O3" i="16" a="1"/>
  <c r="U29" i="16" a="1"/>
  <c r="O35" i="16" a="1"/>
  <c r="O14" i="16" a="1"/>
  <c r="U24" i="16" a="1"/>
  <c r="O9" i="16" a="1"/>
  <c r="U14" i="16" a="1"/>
  <c r="U5" i="16" a="1"/>
  <c r="O6" i="16" a="1"/>
  <c r="O32" i="16" a="1"/>
  <c r="U21" i="16" a="1"/>
  <c r="O8" i="16" a="1"/>
  <c r="O4" i="16" a="1"/>
  <c r="O36" i="16" a="1"/>
  <c r="O25" i="16" a="1"/>
  <c r="O23" i="16" a="1"/>
  <c r="U11" i="16" a="1"/>
  <c r="U25" i="16" a="1"/>
  <c r="U35" i="16" a="1"/>
  <c r="O18" i="16" a="1"/>
  <c r="O19" i="16" a="1"/>
  <c r="U34" i="16" a="1"/>
  <c r="U15" i="16" a="1"/>
  <c r="U6" i="16" a="1"/>
  <c r="O5" i="16" a="1"/>
  <c r="O10" i="16" a="1"/>
  <c r="O13" i="16" a="1"/>
  <c r="O31" i="16" a="1"/>
  <c r="U13" i="16" a="1"/>
  <c r="U23" i="16" a="1"/>
  <c r="O7" i="16" a="1"/>
  <c r="U4" i="16" a="1"/>
  <c r="O15" i="16" a="1"/>
  <c r="O16" i="16" a="1"/>
  <c r="U30" i="16" a="1"/>
  <c r="O11" i="16" a="1"/>
  <c r="U7" i="16" a="1"/>
  <c r="U9" i="16" a="1"/>
  <c r="U10" i="16" a="1"/>
  <c r="O12" i="16" a="1"/>
  <c r="O28" i="16" a="1"/>
  <c r="U18" i="16" a="1"/>
  <c r="U12" i="16" a="1"/>
  <c r="O20" i="16" a="1"/>
  <c r="U20" i="16" a="1"/>
  <c r="O30" i="16" a="1"/>
  <c r="U17" i="16" a="1"/>
  <c r="U16" i="16" a="1"/>
  <c r="O22" i="16" a="1"/>
  <c r="U28" i="16" a="1"/>
  <c r="U32" i="16" a="1"/>
  <c r="U36" i="16" a="1"/>
  <c r="U37" i="16" a="1"/>
  <c r="O17" i="16" a="1"/>
  <c r="U8" i="16" a="1"/>
  <c r="O24" i="16" a="1"/>
  <c r="O21" i="16" a="1"/>
  <c r="U27" i="16" a="1"/>
  <c r="U19" i="16" a="1"/>
  <c r="O37" i="16" a="1"/>
  <c r="U3" i="16" a="1"/>
  <c r="O26" i="16" a="1"/>
  <c r="O27" i="16" a="1"/>
  <c r="U33" i="16" a="1"/>
  <c r="O29" i="16" a="1"/>
  <c r="U22" i="16" a="1"/>
  <c r="AK8" i="16" l="1"/>
  <c r="AK12" i="16"/>
  <c r="AK20" i="16"/>
  <c r="AK15" i="16"/>
  <c r="AK30" i="16"/>
  <c r="AK32" i="16"/>
  <c r="AK6" i="16"/>
  <c r="AK22" i="16"/>
  <c r="AK31" i="16"/>
  <c r="AK19" i="16"/>
  <c r="AK18" i="16"/>
  <c r="AK26" i="16"/>
  <c r="AK33" i="16"/>
  <c r="AK14" i="16"/>
  <c r="AK34" i="16"/>
  <c r="AK23" i="16"/>
  <c r="AK7" i="16"/>
  <c r="AK11" i="16"/>
  <c r="AK37" i="16"/>
  <c r="AK29" i="16"/>
  <c r="AK5" i="16"/>
  <c r="AM33" i="16"/>
  <c r="AK35" i="16"/>
  <c r="AK16" i="16"/>
  <c r="AK27" i="16"/>
  <c r="AK13" i="16"/>
  <c r="AK21" i="16"/>
  <c r="AK10" i="16"/>
  <c r="AK28" i="16"/>
  <c r="AK25" i="16"/>
  <c r="AK3" i="16"/>
  <c r="AK36" i="16"/>
  <c r="AK24" i="16"/>
  <c r="AK9" i="16"/>
  <c r="AL3" i="16"/>
  <c r="O17" i="16"/>
  <c r="O14" i="16"/>
  <c r="O22" i="16"/>
  <c r="O33" i="16"/>
  <c r="O28" i="16"/>
  <c r="O8" i="16"/>
  <c r="O29" i="16"/>
  <c r="O37" i="16"/>
  <c r="O30" i="16"/>
  <c r="O31" i="16"/>
  <c r="O3" i="16"/>
  <c r="O16" i="16"/>
  <c r="O12" i="16"/>
  <c r="O9" i="16"/>
  <c r="O36" i="16"/>
  <c r="O20" i="16"/>
  <c r="O19" i="16"/>
  <c r="O5" i="16"/>
  <c r="O4" i="16"/>
  <c r="O23" i="16"/>
  <c r="O34" i="16"/>
  <c r="O32" i="16"/>
  <c r="O10" i="16"/>
  <c r="O35" i="16"/>
  <c r="O26" i="16"/>
  <c r="O13" i="16"/>
  <c r="O24" i="16"/>
  <c r="O21" i="16"/>
  <c r="O25" i="16"/>
  <c r="O11" i="16"/>
  <c r="O18" i="16"/>
  <c r="O7" i="16"/>
  <c r="O27" i="16"/>
  <c r="O6" i="16"/>
  <c r="O15" i="16"/>
  <c r="U25" i="16"/>
  <c r="AJ25" i="16" s="1"/>
  <c r="U8" i="16"/>
  <c r="AJ8" i="16" s="1"/>
  <c r="U33" i="16"/>
  <c r="U31" i="16"/>
  <c r="AJ31" i="16" s="1"/>
  <c r="AM31" i="16" s="1"/>
  <c r="U19" i="16"/>
  <c r="AJ19" i="16" s="1"/>
  <c r="U22" i="16"/>
  <c r="AJ22" i="16" s="1"/>
  <c r="U15" i="16"/>
  <c r="U37" i="16"/>
  <c r="AJ37" i="16" s="1"/>
  <c r="U11" i="16"/>
  <c r="AJ11" i="16" s="1"/>
  <c r="U13" i="16"/>
  <c r="AJ13" i="16" s="1"/>
  <c r="AM13" i="16" s="1"/>
  <c r="U24" i="16"/>
  <c r="AJ24" i="16" s="1"/>
  <c r="U29" i="16"/>
  <c r="AJ29" i="16" s="1"/>
  <c r="U30" i="16"/>
  <c r="AJ30" i="16" s="1"/>
  <c r="AM30" i="16" s="1"/>
  <c r="U17" i="16"/>
  <c r="U20" i="16"/>
  <c r="U14" i="16"/>
  <c r="AJ14" i="16" s="1"/>
  <c r="AM14" i="16" s="1"/>
  <c r="U35" i="16"/>
  <c r="AJ35" i="16" s="1"/>
  <c r="U21" i="16"/>
  <c r="AJ21" i="16" s="1"/>
  <c r="U5" i="16"/>
  <c r="AJ5" i="16" s="1"/>
  <c r="U16" i="16"/>
  <c r="U3" i="16"/>
  <c r="AJ3" i="16" s="1"/>
  <c r="U36" i="16"/>
  <c r="U28" i="16"/>
  <c r="U32" i="16"/>
  <c r="AJ32" i="16" s="1"/>
  <c r="U27" i="16"/>
  <c r="AJ27" i="16" s="1"/>
  <c r="U7" i="16"/>
  <c r="U6" i="16"/>
  <c r="AJ6" i="16" s="1"/>
  <c r="U12" i="16"/>
  <c r="AJ12" i="16" s="1"/>
  <c r="U18" i="16"/>
  <c r="U10" i="16"/>
  <c r="AJ10" i="16" s="1"/>
  <c r="U23" i="16"/>
  <c r="AJ23" i="16" s="1"/>
  <c r="U26" i="16"/>
  <c r="U4" i="16"/>
  <c r="AJ4" i="16" s="1"/>
  <c r="U9" i="16"/>
  <c r="AJ9" i="16" s="1"/>
  <c r="U34" i="16"/>
  <c r="AJ34" i="16" s="1"/>
  <c r="AM34" i="16" s="1"/>
  <c r="AV37" i="16"/>
  <c r="AV36" i="16"/>
  <c r="AV35" i="16"/>
  <c r="AU35" i="16"/>
  <c r="AV34" i="16"/>
  <c r="AU34" i="16"/>
  <c r="AV33" i="16"/>
  <c r="AU33" i="16"/>
  <c r="AU32" i="16"/>
  <c r="AV31" i="16"/>
  <c r="AU31" i="16"/>
  <c r="AV30" i="16"/>
  <c r="AU30" i="16"/>
  <c r="AU29" i="16"/>
  <c r="AV28" i="16"/>
  <c r="AV27" i="16"/>
  <c r="AV26" i="16"/>
  <c r="AU26" i="16"/>
  <c r="AV25" i="16"/>
  <c r="AU23" i="16"/>
  <c r="AV22" i="16"/>
  <c r="AU22" i="16"/>
  <c r="AV20" i="16"/>
  <c r="AU20" i="16"/>
  <c r="AU19" i="16"/>
  <c r="AU18" i="16"/>
  <c r="P15" i="16" a="1"/>
  <c r="P34" i="16" a="1"/>
  <c r="P14" i="16" a="1"/>
  <c r="P7" i="16" a="1"/>
  <c r="P9" i="16" a="1"/>
  <c r="P8" i="16" a="1"/>
  <c r="P6" i="16" a="1"/>
  <c r="P25" i="16" a="1"/>
  <c r="P35" i="16" a="1"/>
  <c r="P31" i="16" a="1"/>
  <c r="P5" i="16" a="1"/>
  <c r="P17" i="16" a="1"/>
  <c r="P21" i="16" a="1"/>
  <c r="P11" i="16" a="1"/>
  <c r="P24" i="16" a="1"/>
  <c r="P26" i="16" a="1"/>
  <c r="P32" i="16" a="1"/>
  <c r="P29" i="16" a="1"/>
  <c r="P27" i="16" a="1"/>
  <c r="P16" i="16" a="1"/>
  <c r="P18" i="16" a="1"/>
  <c r="P37" i="16" a="1"/>
  <c r="P10" i="16" a="1"/>
  <c r="P36" i="16" a="1"/>
  <c r="P30" i="16" a="1"/>
  <c r="P13" i="16" a="1"/>
  <c r="P19" i="16" a="1"/>
  <c r="P22" i="16" a="1"/>
  <c r="P33" i="16" a="1"/>
  <c r="P28" i="16" a="1"/>
  <c r="P20" i="16" a="1"/>
  <c r="P23" i="16" a="1"/>
  <c r="P4" i="16" a="1"/>
  <c r="P3" i="16" a="1"/>
  <c r="P12" i="16" a="1"/>
  <c r="AM11" i="16" l="1"/>
  <c r="AU37" i="16"/>
  <c r="AM9" i="16"/>
  <c r="AM10" i="16"/>
  <c r="AM3" i="16"/>
  <c r="AU27" i="16"/>
  <c r="AM6" i="16"/>
  <c r="AU28" i="16"/>
  <c r="AU24" i="16"/>
  <c r="AM15" i="16"/>
  <c r="AM22" i="16"/>
  <c r="AU36" i="16"/>
  <c r="AU21" i="16"/>
  <c r="AM28" i="16"/>
  <c r="AM8" i="16"/>
  <c r="AM25" i="16"/>
  <c r="AU25" i="16"/>
  <c r="P23" i="16"/>
  <c r="AI23" i="16" s="1"/>
  <c r="P4" i="16"/>
  <c r="AI4" i="16" s="1"/>
  <c r="P5" i="16"/>
  <c r="AI5" i="16" s="1"/>
  <c r="P19" i="16"/>
  <c r="AI19" i="16" s="1"/>
  <c r="P20" i="16"/>
  <c r="AI20" i="16" s="1"/>
  <c r="P15" i="16"/>
  <c r="AI15" i="16" s="1"/>
  <c r="P36" i="16"/>
  <c r="AI36" i="16" s="1"/>
  <c r="P6" i="16"/>
  <c r="AI6" i="16" s="1"/>
  <c r="P9" i="16"/>
  <c r="AI9" i="16" s="1"/>
  <c r="P27" i="16"/>
  <c r="AI27" i="16" s="1"/>
  <c r="P12" i="16"/>
  <c r="AI12" i="16" s="1"/>
  <c r="P7" i="16"/>
  <c r="AI7" i="16" s="1"/>
  <c r="P16" i="16"/>
  <c r="AI16" i="16" s="1"/>
  <c r="P18" i="16"/>
  <c r="AI18" i="16" s="1"/>
  <c r="P3" i="16"/>
  <c r="AI3" i="16" s="1"/>
  <c r="P11" i="16"/>
  <c r="AI11" i="16" s="1"/>
  <c r="P31" i="16"/>
  <c r="AI31" i="16" s="1"/>
  <c r="P25" i="16"/>
  <c r="AI25" i="16" s="1"/>
  <c r="P30" i="16"/>
  <c r="AI30" i="16" s="1"/>
  <c r="P21" i="16"/>
  <c r="AI21" i="16" s="1"/>
  <c r="P37" i="16"/>
  <c r="AI37" i="16" s="1"/>
  <c r="P24" i="16"/>
  <c r="AI24" i="16" s="1"/>
  <c r="P29" i="16"/>
  <c r="AI29" i="16" s="1"/>
  <c r="P13" i="16"/>
  <c r="AI13" i="16" s="1"/>
  <c r="P8" i="16"/>
  <c r="AI8" i="16" s="1"/>
  <c r="P26" i="16"/>
  <c r="AI26" i="16" s="1"/>
  <c r="P28" i="16"/>
  <c r="AI28" i="16" s="1"/>
  <c r="P35" i="16"/>
  <c r="AI35" i="16" s="1"/>
  <c r="P33" i="16"/>
  <c r="AI33" i="16" s="1"/>
  <c r="P10" i="16"/>
  <c r="AI10" i="16" s="1"/>
  <c r="P22" i="16"/>
  <c r="AI22" i="16" s="1"/>
  <c r="P32" i="16"/>
  <c r="AI32" i="16" s="1"/>
  <c r="P14" i="16"/>
  <c r="AI14" i="16" s="1"/>
  <c r="P34" i="16"/>
  <c r="AI34" i="16" s="1"/>
  <c r="P17" i="16"/>
  <c r="AV18" i="16"/>
  <c r="AV19" i="16"/>
  <c r="AT20" i="16"/>
  <c r="AV21" i="16"/>
  <c r="AV23" i="16"/>
  <c r="AV24" i="16"/>
  <c r="AW27" i="16"/>
  <c r="AV29" i="16"/>
  <c r="AV32" i="16"/>
  <c r="AW35" i="16"/>
  <c r="AW37" i="16"/>
  <c r="AT33" i="16" l="1"/>
  <c r="AT26" i="16"/>
  <c r="AT36" i="16"/>
  <c r="AT30" i="16"/>
  <c r="AT15" i="16"/>
  <c r="AT28" i="16"/>
  <c r="AU4" i="16"/>
  <c r="AU13" i="16"/>
  <c r="AU9" i="16"/>
  <c r="AU7" i="16"/>
  <c r="AV9" i="16"/>
  <c r="AV12" i="16"/>
  <c r="AU15" i="16"/>
  <c r="AU12" i="16"/>
  <c r="AV17" i="16"/>
  <c r="AV6" i="16"/>
  <c r="AU11" i="16"/>
  <c r="AU17" i="16"/>
  <c r="AU5" i="16"/>
  <c r="AV11" i="16"/>
  <c r="AU8" i="16"/>
  <c r="AU3" i="16"/>
  <c r="AU6" i="16"/>
  <c r="AV3" i="16"/>
  <c r="AW12" i="16"/>
  <c r="AU14" i="16"/>
  <c r="AU16" i="16"/>
  <c r="AV14" i="16"/>
  <c r="AV16" i="16"/>
  <c r="AV13" i="16"/>
  <c r="AU10" i="16"/>
  <c r="AW16" i="16"/>
  <c r="AV8" i="16"/>
  <c r="AV10" i="16"/>
  <c r="AW31" i="16"/>
  <c r="AS18" i="16"/>
  <c r="AS17" i="16"/>
  <c r="AW17" i="16"/>
  <c r="AV7" i="16"/>
  <c r="AV5" i="16"/>
  <c r="AS4" i="16"/>
  <c r="AV4" i="16"/>
  <c r="AS13" i="16"/>
  <c r="AW22" i="16"/>
  <c r="AS16" i="16"/>
  <c r="AS28" i="16"/>
  <c r="AV15" i="16"/>
  <c r="AS15" i="16"/>
  <c r="AS34" i="16"/>
  <c r="AS26" i="16"/>
  <c r="AS31" i="16"/>
  <c r="AS23" i="16"/>
  <c r="AS20" i="16"/>
  <c r="AS12" i="16"/>
  <c r="AS9" i="16"/>
  <c r="AS36" i="16"/>
  <c r="AS6" i="16"/>
  <c r="AS14" i="16"/>
  <c r="AS33" i="16"/>
  <c r="AS25" i="16"/>
  <c r="AS22" i="16"/>
  <c r="AS30" i="16"/>
  <c r="AS19" i="16"/>
  <c r="AS11" i="16"/>
  <c r="AS8" i="16"/>
  <c r="AS5" i="16"/>
  <c r="AS35" i="16"/>
  <c r="AS27" i="16"/>
  <c r="AS32" i="16"/>
  <c r="AS24" i="16"/>
  <c r="AS21" i="16"/>
  <c r="AS10" i="16"/>
  <c r="AS37" i="16"/>
  <c r="AS29" i="16"/>
  <c r="AS7" i="16"/>
  <c r="AW28" i="16"/>
  <c r="AW26" i="16"/>
  <c r="AW20" i="16"/>
  <c r="AW36" i="16"/>
  <c r="AW33" i="16"/>
  <c r="AW32" i="16"/>
  <c r="AW29" i="16"/>
  <c r="AW24" i="16"/>
  <c r="AW23" i="16"/>
  <c r="AW21" i="16"/>
  <c r="AW19" i="16"/>
  <c r="AW18" i="16"/>
  <c r="AT31" i="16" l="1"/>
  <c r="AT21" i="16"/>
  <c r="AT32" i="16"/>
  <c r="AT22" i="16"/>
  <c r="AT23" i="16"/>
  <c r="AT13" i="16"/>
  <c r="AT24" i="16"/>
  <c r="AT12" i="16"/>
  <c r="AT16" i="16"/>
  <c r="AT5" i="16"/>
  <c r="AT25" i="16"/>
  <c r="AT34" i="16"/>
  <c r="AT4" i="16"/>
  <c r="AT3" i="16"/>
  <c r="AT8" i="16"/>
  <c r="AT14" i="16"/>
  <c r="AT18" i="16"/>
  <c r="AT27" i="16"/>
  <c r="AT35" i="16"/>
  <c r="AT9" i="16"/>
  <c r="AT29" i="16"/>
  <c r="AT19" i="16"/>
  <c r="AT7" i="16"/>
  <c r="AT37" i="16"/>
  <c r="AT17" i="16"/>
  <c r="AT10" i="16"/>
  <c r="AT11" i="16"/>
  <c r="AT6" i="16"/>
  <c r="AW11" i="16"/>
  <c r="AW9" i="16"/>
  <c r="AW13" i="16"/>
  <c r="AW10" i="16"/>
  <c r="AW8" i="16"/>
  <c r="AW30" i="16"/>
  <c r="AW6" i="16"/>
  <c r="AW14" i="16"/>
  <c r="AW34" i="16"/>
  <c r="AW25" i="16"/>
  <c r="AW15" i="16"/>
  <c r="AW4" i="16"/>
  <c r="AW5" i="16"/>
  <c r="AW7" i="16"/>
  <c r="AW3" i="16" l="1"/>
  <c r="AS3" i="16"/>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<sst xmlns="http://schemas.openxmlformats.org/spreadsheetml/2006/main" count="1108" uniqueCount="434">
  <si>
    <t>patient_id</t>
  </si>
  <si>
    <t>date_of_note</t>
  </si>
  <si>
    <t>ATARisk</t>
  </si>
  <si>
    <t>AJCC8</t>
  </si>
  <si>
    <t>Age</t>
  </si>
  <si>
    <t>Tstage</t>
  </si>
  <si>
    <t>Nstage</t>
  </si>
  <si>
    <t>Mstage</t>
  </si>
  <si>
    <t>LN</t>
  </si>
  <si>
    <t>Meta</t>
  </si>
  <si>
    <t>NoLNresected</t>
  </si>
  <si>
    <t>NoLNinvolved</t>
  </si>
  <si>
    <t>SizeLN</t>
  </si>
  <si>
    <t>Histo</t>
  </si>
  <si>
    <t>HistoType</t>
  </si>
  <si>
    <t>TumorSize</t>
  </si>
  <si>
    <t>VI</t>
  </si>
  <si>
    <t>Number of tumours</t>
  </si>
  <si>
    <t>NoFociVIFTC</t>
  </si>
  <si>
    <t>CI</t>
  </si>
  <si>
    <t>m-ETE</t>
  </si>
  <si>
    <t>Mutation</t>
  </si>
  <si>
    <t>MutationType</t>
  </si>
  <si>
    <t>RAIMetaFoci</t>
  </si>
  <si>
    <t>gETE</t>
  </si>
  <si>
    <t>Thyroidectomy</t>
  </si>
  <si>
    <t>ThyroidectomyType</t>
  </si>
  <si>
    <t>CompResectSurg</t>
  </si>
  <si>
    <t>CompResectPath</t>
  </si>
  <si>
    <t>PostTg</t>
  </si>
  <si>
    <t>1p</t>
  </si>
  <si>
    <t>I</t>
  </si>
  <si>
    <t>Papillary</t>
  </si>
  <si>
    <t>infiltrative follicular</t>
  </si>
  <si>
    <t>Yes</t>
  </si>
  <si>
    <t>1o</t>
  </si>
  <si>
    <t>PTC</t>
  </si>
  <si>
    <t>2p</t>
  </si>
  <si>
    <t>30 mm</t>
  </si>
  <si>
    <t>2o</t>
  </si>
  <si>
    <t>3p</t>
  </si>
  <si>
    <t>1 mm</t>
  </si>
  <si>
    <t>3o</t>
  </si>
  <si>
    <t>4p</t>
  </si>
  <si>
    <t>II</t>
  </si>
  <si>
    <t>15 mm</t>
  </si>
  <si>
    <t>4o</t>
  </si>
  <si>
    <t>5p1</t>
  </si>
  <si>
    <t>0.6 mm</t>
  </si>
  <si>
    <t>5p2</t>
  </si>
  <si>
    <t>5o</t>
  </si>
  <si>
    <t>6p</t>
  </si>
  <si>
    <t>6o</t>
  </si>
  <si>
    <t>7p</t>
  </si>
  <si>
    <t>7o</t>
  </si>
  <si>
    <t>8p</t>
  </si>
  <si>
    <t>11.5 mm</t>
  </si>
  <si>
    <t>8o</t>
  </si>
  <si>
    <t>9p</t>
  </si>
  <si>
    <t>9o</t>
  </si>
  <si>
    <t>10p</t>
  </si>
  <si>
    <t>1.5 x 0.5 x 0.8 cm</t>
  </si>
  <si>
    <t>10o</t>
  </si>
  <si>
    <t>11p</t>
  </si>
  <si>
    <t>Minimally invasive</t>
  </si>
  <si>
    <t>11o</t>
  </si>
  <si>
    <t>12p</t>
  </si>
  <si>
    <t>12o</t>
  </si>
  <si>
    <t>13p</t>
  </si>
  <si>
    <t>III</t>
  </si>
  <si>
    <t>11mm</t>
  </si>
  <si>
    <t>13o</t>
  </si>
  <si>
    <t>14p</t>
  </si>
  <si>
    <t>3.9 cm</t>
  </si>
  <si>
    <t>14o</t>
  </si>
  <si>
    <t>15p</t>
  </si>
  <si>
    <t>NIFTP</t>
  </si>
  <si>
    <t>15o</t>
  </si>
  <si>
    <t>16p</t>
  </si>
  <si>
    <t>16o</t>
  </si>
  <si>
    <t>17p</t>
  </si>
  <si>
    <t>11 mm</t>
  </si>
  <si>
    <t>17o</t>
  </si>
  <si>
    <t>18p</t>
  </si>
  <si>
    <t>18o</t>
  </si>
  <si>
    <t>19p</t>
  </si>
  <si>
    <t>19o</t>
  </si>
  <si>
    <t>20p</t>
  </si>
  <si>
    <t>20o</t>
  </si>
  <si>
    <t>21p</t>
  </si>
  <si>
    <t>1.8 cm</t>
  </si>
  <si>
    <t>21o</t>
  </si>
  <si>
    <t>22p</t>
  </si>
  <si>
    <t>22o</t>
  </si>
  <si>
    <t>23p</t>
  </si>
  <si>
    <t>23o</t>
  </si>
  <si>
    <t>24p</t>
  </si>
  <si>
    <t>24o</t>
  </si>
  <si>
    <t>25p</t>
  </si>
  <si>
    <t>25o</t>
  </si>
  <si>
    <t>1cm</t>
  </si>
  <si>
    <t>26p</t>
  </si>
  <si>
    <t>26o</t>
  </si>
  <si>
    <t>27p</t>
  </si>
  <si>
    <t>27o</t>
  </si>
  <si>
    <t>28p</t>
  </si>
  <si>
    <t>2.5 mm</t>
  </si>
  <si>
    <t>28o</t>
  </si>
  <si>
    <t>29p</t>
  </si>
  <si>
    <t>29o</t>
  </si>
  <si>
    <t>30p</t>
  </si>
  <si>
    <t>1.5cm</t>
  </si>
  <si>
    <t>30o</t>
  </si>
  <si>
    <t>31p</t>
  </si>
  <si>
    <t>31o</t>
  </si>
  <si>
    <t>32p</t>
  </si>
  <si>
    <t>Follicular</t>
  </si>
  <si>
    <t>32o</t>
  </si>
  <si>
    <t>33p</t>
  </si>
  <si>
    <t>33o</t>
  </si>
  <si>
    <t>34p</t>
  </si>
  <si>
    <t>34o</t>
  </si>
  <si>
    <t>35p</t>
  </si>
  <si>
    <t>35o</t>
  </si>
  <si>
    <t>Name</t>
  </si>
  <si>
    <t>Description</t>
  </si>
  <si>
    <t>ATA risk stratification category</t>
  </si>
  <si>
    <t>8th edition of AJCC cancer staging</t>
  </si>
  <si>
    <t>Age at cancer diagnosis‡</t>
  </si>
  <si>
    <t>Tumor stage‡</t>
  </si>
  <si>
    <t>Lymph node stage†‡</t>
  </si>
  <si>
    <t>Metastasis stage†‡</t>
  </si>
  <si>
    <t>Total number of lymph node resected†</t>
  </si>
  <si>
    <t>Size of largest involved lymph node†</t>
  </si>
  <si>
    <t>Histopathology†</t>
  </si>
  <si>
    <t>Histological subtype†</t>
  </si>
  <si>
    <t>Tumor size‡</t>
  </si>
  <si>
    <t>Vascular invasion†</t>
  </si>
  <si>
    <t>Number of foci of vascular invasion for FTC†</t>
  </si>
  <si>
    <t>Capsular invasion†</t>
  </si>
  <si>
    <t>Microscopic extrathyroidal extension†</t>
  </si>
  <si>
    <t>Mutation type†</t>
  </si>
  <si>
    <t>RAI-avid metastatic foci outside the thyroid bed on the first posttreatment whole-body radioiodine scan†</t>
  </si>
  <si>
    <t>Gross extrathyroidal extension†‡</t>
  </si>
  <si>
    <t>Thyroidectomy type</t>
  </si>
  <si>
    <t>Completeness of resection (surgeon) †</t>
  </si>
  <si>
    <t>Completeness of resection (pathologist) †</t>
  </si>
  <si>
    <t>Postoperative serum thyroglobulin†</t>
  </si>
  <si>
    <t>† Item for American Thyroid Association 2009 risk stratification</t>
  </si>
  <si>
    <t>‡ Item for 8th edition of the American Joint Committee on Cancer TNM staging system of thyroid cancer</t>
  </si>
  <si>
    <t>ATA RISK</t>
  </si>
  <si>
    <t>T</t>
  </si>
  <si>
    <t>N</t>
  </si>
  <si>
    <t>M</t>
  </si>
  <si>
    <t>AJCC 8</t>
  </si>
  <si>
    <t>4mm</t>
  </si>
  <si>
    <t>T1</t>
  </si>
  <si>
    <t>T1a</t>
  </si>
  <si>
    <t>T1b</t>
  </si>
  <si>
    <t>T4</t>
  </si>
  <si>
    <t>N0</t>
  </si>
  <si>
    <t>N1</t>
  </si>
  <si>
    <t>M0</t>
  </si>
  <si>
    <t>M1</t>
  </si>
  <si>
    <t>intermediate</t>
  </si>
  <si>
    <t>high</t>
  </si>
  <si>
    <t>low</t>
  </si>
  <si>
    <t>LN extent</t>
  </si>
  <si>
    <t>Papillary carcinoma</t>
  </si>
  <si>
    <t>Not identified</t>
  </si>
  <si>
    <t>8g</t>
  </si>
  <si>
    <t>23g</t>
  </si>
  <si>
    <t>infiltrative follicular subtype</t>
  </si>
  <si>
    <t>Present</t>
  </si>
  <si>
    <t>Nontoxic uninodular goitre</t>
  </si>
  <si>
    <t>Left central compartment</t>
  </si>
  <si>
    <t>2cm</t>
  </si>
  <si>
    <t>Minimally invasive follicular carcinoma</t>
  </si>
  <si>
    <t>50 mm and 30 mm respectively</t>
  </si>
  <si>
    <t>50 mm</t>
  </si>
  <si>
    <t>6.5cm</t>
  </si>
  <si>
    <t>63 mm (macroscopic)</t>
  </si>
  <si>
    <t>4cm</t>
  </si>
  <si>
    <t>Cancer of thyroid</t>
  </si>
  <si>
    <t>1.3cm</t>
  </si>
  <si>
    <t>Papillary carcinoma, classic subtype</t>
  </si>
  <si>
    <t>2mm</t>
  </si>
  <si>
    <t>10g</t>
  </si>
  <si>
    <t>10 mm</t>
  </si>
  <si>
    <t>16g</t>
  </si>
  <si>
    <t>Papillary carcinoma: Classic (usual, conventional)</t>
  </si>
  <si>
    <t>Absent</t>
  </si>
  <si>
    <t>Focal involvement by invasive carcinoma at posterior surface</t>
  </si>
  <si>
    <t>papillary carcinoma</t>
  </si>
  <si>
    <t>Hurthle cell neoplasm</t>
  </si>
  <si>
    <t>7 mm (microscopical dimension)</t>
  </si>
  <si>
    <t>4.5 mm</t>
  </si>
  <si>
    <t>Left level III</t>
  </si>
  <si>
    <t>24.5 mm</t>
  </si>
  <si>
    <t>3cm</t>
  </si>
  <si>
    <t>lung</t>
  </si>
  <si>
    <t>1b</t>
  </si>
  <si>
    <t>x</t>
  </si>
  <si>
    <t>1a</t>
  </si>
  <si>
    <t>3b</t>
  </si>
  <si>
    <t>3a</t>
  </si>
  <si>
    <t>4a</t>
  </si>
  <si>
    <t>4b</t>
  </si>
  <si>
    <t>GROUND TRUTH</t>
  </si>
  <si>
    <t>PERFORMANCE</t>
  </si>
  <si>
    <t>13 mm</t>
  </si>
  <si>
    <t>classic</t>
  </si>
  <si>
    <t>No</t>
  </si>
  <si>
    <t>papillary</t>
  </si>
  <si>
    <t>2.2 mm</t>
  </si>
  <si>
    <t>Extensive (= or &gt; 4 vessels)</t>
  </si>
  <si>
    <r>
      <t>NoFociVIFTC</t>
    </r>
    <r>
      <rPr>
        <b/>
        <sz val="11"/>
        <rFont val="Calibri (Body)"/>
      </rPr>
      <t xml:space="preserve"> (extensive/minimal)</t>
    </r>
  </si>
  <si>
    <t>pT1b</t>
  </si>
  <si>
    <t>pT2</t>
  </si>
  <si>
    <t>pT1a</t>
  </si>
  <si>
    <t>pN1a</t>
  </si>
  <si>
    <t>pT3b</t>
  </si>
  <si>
    <t>pT3a</t>
  </si>
  <si>
    <t>pN1b</t>
  </si>
  <si>
    <t>pT4a</t>
  </si>
  <si>
    <t>ID</t>
  </si>
  <si>
    <t>Date of clinical note or operation</t>
  </si>
  <si>
    <t>Age of patient</t>
  </si>
  <si>
    <t>Tumor staging (pT)</t>
  </si>
  <si>
    <t>Regional lymph node staging (pN)</t>
  </si>
  <si>
    <t>Distant metastasis staging (pM)</t>
  </si>
  <si>
    <t>Site of lymph node involved</t>
  </si>
  <si>
    <t>Distant metastasis involvement</t>
  </si>
  <si>
    <t>Number of lymph node resected</t>
  </si>
  <si>
    <t>Number of lymph node involved</t>
  </si>
  <si>
    <t>Greatest dimension of involved lymph node</t>
  </si>
  <si>
    <t>Histological type of thyroid cancer</t>
  </si>
  <si>
    <t>Histological subtype or variant</t>
  </si>
  <si>
    <t>Greatest dimension of tumor size</t>
  </si>
  <si>
    <t>Number of tumor</t>
  </si>
  <si>
    <t>Presence of angioinvasion</t>
  </si>
  <si>
    <t>Extensiveness of angioinvasion</t>
  </si>
  <si>
    <t>Presence of capsular invasion</t>
  </si>
  <si>
    <t>Gene mutation test performed</t>
  </si>
  <si>
    <t>Gene mutation type identified</t>
  </si>
  <si>
    <t>Presence of involved surgical margin</t>
  </si>
  <si>
    <t>IDv2</t>
  </si>
  <si>
    <t>Report</t>
  </si>
  <si>
    <t>Right central compartment</t>
  </si>
  <si>
    <t>Multinodular goitre</t>
  </si>
  <si>
    <t>Papillary carcinoma, encapsulated classic subtype</t>
  </si>
  <si>
    <t>40g</t>
  </si>
  <si>
    <t>Focal (&lt; 4 vessels)</t>
  </si>
  <si>
    <t>Suspicious foci</t>
  </si>
  <si>
    <t>Right level III</t>
  </si>
  <si>
    <t>Papillary thyroid carcinoma, classic type</t>
  </si>
  <si>
    <t>~9mm</t>
  </si>
  <si>
    <t>Present (focal)</t>
  </si>
  <si>
    <t>follicular</t>
  </si>
  <si>
    <t>lung, bone</t>
  </si>
  <si>
    <t>left lateral level II, III, IV</t>
  </si>
  <si>
    <t>left lateral neck</t>
  </si>
  <si>
    <t>PATIENT ID</t>
  </si>
  <si>
    <t>Site of extrathyroidal extension</t>
  </si>
  <si>
    <t>Invasion into the surrounding thyroid tissue is noted</t>
  </si>
  <si>
    <t>Not mentioned in the provided clinical note</t>
  </si>
  <si>
    <t>NX</t>
  </si>
  <si>
    <t>MX</t>
  </si>
  <si>
    <t>8 mm &amp; 2 mm</t>
  </si>
  <si>
    <t>Uninvolved by carcinoma</t>
  </si>
  <si>
    <t>fatty soft tissue at isthmus</t>
  </si>
  <si>
    <t>Not mentioned</t>
  </si>
  <si>
    <t>14g (right thyroid)</t>
  </si>
  <si>
    <t>Focally noted(B1)</t>
  </si>
  <si>
    <t>Anterior margin: Involved by tumour (Block B4), Posterior margin: Involved by tumour (Block B6), Lateral margin: Less than 0.1 mm (Block B4)</t>
  </si>
  <si>
    <t>PTC (Papillary Thyroid Carcinoma)</t>
  </si>
  <si>
    <t>Extrathyroidal extension to overlying strap muscle</t>
  </si>
  <si>
    <t>Anterior surface: &lt; 0.1 mm from carcinoma (block 3)</t>
  </si>
  <si>
    <t>Multiple (&gt;5)</t>
  </si>
  <si>
    <t>Involved by invasive carcinoma (block 5)</t>
  </si>
  <si>
    <t>0.3 mm from anterior margin</t>
  </si>
  <si>
    <t>4 x 3 x 2.1 cm</t>
  </si>
  <si>
    <t>The tumour measures less than 0.1 mm from the anterior, posterior and lateral margins</t>
  </si>
  <si>
    <t>Gross ETE to surrounding muscles, posteriorly adherent to trachea and esophagus at cricoid level</t>
  </si>
  <si>
    <t>Invading only strap muscles</t>
  </si>
  <si>
    <t>Uninvolved by carcinoma, closest distance: Upper pole margin = 0.5 mm (block A2), Lower pole margin = 5 mm (block A3), Anterior surface = &lt; 0.1 mm (block A7), Posterior margin = 0.4 mm (block A5)</t>
  </si>
  <si>
    <t>Gross ETE at upper pole</t>
  </si>
  <si>
    <t>NON-INVASIVE FOLLICULAR THYROID NEOPLASM</t>
  </si>
  <si>
    <t>40 x 20 x 20 mm (left thyroid lobe) and 50 x 15 x 5 mm (isthmus and pyramidal lobe)</t>
  </si>
  <si>
    <t>Clear</t>
  </si>
  <si>
    <t>36 x 32 x 26 mm (mid to lower pole tumor) and 14 x 8 x 9 mm (upper pole tumor)</t>
  </si>
  <si>
    <t>Uninvolved by carcinoma, closest 3mm from anterior margin</t>
  </si>
  <si>
    <t>19g</t>
  </si>
  <si>
    <t>Partially encapsulated, while in other areas have an invasive front</t>
  </si>
  <si>
    <t>4.3 cm (superoinferior)</t>
  </si>
  <si>
    <t>All resection margins are microscopically clear, with a minimal clearance of 0.1 mm from the anterior margin.</t>
  </si>
  <si>
    <t>5 x 3 x 2 cm</t>
  </si>
  <si>
    <t>Minimal</t>
  </si>
  <si>
    <t>Present (minimal)</t>
  </si>
  <si>
    <t>Multiple</t>
  </si>
  <si>
    <t>2 (upper pole and lower pole)</t>
  </si>
  <si>
    <t>Complete encasement of 2.5cm length of right RLN</t>
  </si>
  <si>
    <t>12.8 cm</t>
  </si>
  <si>
    <t>Clear, 1 mm from the peri-thyroid soft tissue margin</t>
  </si>
  <si>
    <t>Anterior: 0.2 mm (block B2), Posterior: 1.5 mm (block B2)</t>
  </si>
  <si>
    <t>ETE to strap muscle</t>
  </si>
  <si>
    <t>Isthmus</t>
  </si>
  <si>
    <t>Papillary Thyroid Carcinoma (x2)</t>
  </si>
  <si>
    <t>Anterior: 1 mm (block 1), Posterior: 2 mm (block 3), Isthmic: 4 mm (block 3)</t>
  </si>
  <si>
    <t>Anterior: 1.5 mm, Posterior: 7 mm, Isthmic margin(shaved): not involved</t>
  </si>
  <si>
    <t>Left central compartment, Left level 2, 3, 4 cervical</t>
  </si>
  <si>
    <t>Uninvolved by carcinoma, specify location and distance (mm): 0.5 mm, anterior and posterior aspects of isthmus</t>
  </si>
  <si>
    <t>Central compartment</t>
  </si>
  <si>
    <t>Anterior and posterior margins focally involved</t>
  </si>
  <si>
    <t>Focal capsular invasion</t>
  </si>
  <si>
    <t>Focally into adjacent fibroadipose tissue (block B3)</t>
  </si>
  <si>
    <t>16g (right thyroid), 1g (left thyroid remnant)</t>
  </si>
  <si>
    <t>Extensive (= or &gt;4 vessels)</t>
  </si>
  <si>
    <t>Invading subcutaneous soft tissues, larynx, trachea, esophagus or recurrent laryngeal nerve</t>
  </si>
  <si>
    <t>Margin</t>
  </si>
  <si>
    <t>Focally, the tumor is separated from the surgical margin by thin fibrous tissue (0.6 mm)</t>
  </si>
  <si>
    <t>8g (left), 46g (right)</t>
  </si>
  <si>
    <t>Focally involved</t>
  </si>
  <si>
    <t>Anterior surface: Focally involved by carcinoma</t>
  </si>
  <si>
    <t>Microscopic invasive of the surrounding fat at the 2 mm tumor nodule. No gross invasion was detected. No involvement of skeletal muscle bundles is detected.</t>
  </si>
  <si>
    <t>pT1</t>
  </si>
  <si>
    <t>2 cm</t>
  </si>
  <si>
    <t>Touched posterior and lateral margins and involvement of extrathyroid soft tissue</t>
  </si>
  <si>
    <t>Several</t>
  </si>
  <si>
    <t>1 (right)</t>
  </si>
  <si>
    <t>Papillary carcinoma, oncocytic classic subtype</t>
  </si>
  <si>
    <t>20 mm (Lower pole tumour)</t>
  </si>
  <si>
    <t>Invading soft tissue and strap muscles (Please refer to operation record for gross extrathyroidal extension)</t>
  </si>
  <si>
    <t>Papillary Thyroid Carcinoma (PTC)</t>
  </si>
  <si>
    <t>Overlying strap muscle</t>
  </si>
  <si>
    <t>Left thyroid 11g, right thyroid 5g</t>
  </si>
  <si>
    <t>4 cm</t>
  </si>
  <si>
    <t>Yes (block 4)</t>
  </si>
  <si>
    <t>4 mm</t>
  </si>
  <si>
    <t>15g (Right thyroid)</t>
  </si>
  <si>
    <t>Encapsulated classic</t>
  </si>
  <si>
    <t>27 x 22 x 17 mm (mid pole)</t>
  </si>
  <si>
    <t>Central compartment LNs</t>
  </si>
  <si>
    <t>1 (right lobe)</t>
  </si>
  <si>
    <t>Anterior margin: Involved by invasive carcinoma (block 5), Posterior margin: Clear by less than 0.1 mm (block 5)</t>
  </si>
  <si>
    <t>Positive vagal signal post procedure</t>
  </si>
  <si>
    <t>Extrathyroidal tumour invasion into the surrounding skeletal muscle</t>
  </si>
  <si>
    <t>gross ETE to surrounding muscles, posteriorly adherent to trachea and esophagus at cricoid level</t>
  </si>
  <si>
    <t>Left SCF LN, Level II-VB</t>
  </si>
  <si>
    <t>Perithyroidal fibradipose tissue, surrounding muscles, posteriorly adherent to trachea and esophagus at cricoid level</t>
  </si>
  <si>
    <t>Perithyroidal fibradipose tissue</t>
  </si>
  <si>
    <t>Perithyroidal fibradipose tissue (due to tumor infiltration of tubercle)</t>
  </si>
  <si>
    <t>WITH PAPILLARY LIKE NUCLEAR FEATURES</t>
  </si>
  <si>
    <t>No BRAF, KRAS or NRAS hot spot mutation</t>
  </si>
  <si>
    <t>Suspected Cancer of thyroid - left lobe</t>
  </si>
  <si>
    <t>The mid to lower pole tumor measures 0.3 mm from both the anterior and posterior margins. The upper pole tumor measures 0.2 mm from both the anterior and posterior surfaces.</t>
  </si>
  <si>
    <t>Overlying strap muscles</t>
  </si>
  <si>
    <t>24g (Right thyroid) and 9g (Left thyroid)</t>
  </si>
  <si>
    <t>Gross extrathyroidal extension with invasion to overlying strap muscles</t>
  </si>
  <si>
    <t>Tumor reaches the anterior and anterolateral capsule without breaching the capsule. It extends to 1 mm from posterior margin.</t>
  </si>
  <si>
    <t>Isthmic margin, shaved</t>
  </si>
  <si>
    <t>Level VI</t>
  </si>
  <si>
    <t>Involved by carcinoma (Block A3)</t>
  </si>
  <si>
    <t>Invading only strap muscles (Please correlate with operation record for gross extrathyroidal extension)</t>
  </si>
  <si>
    <t>Anterior margin : 0.3 mm (Block A5)
Posterior margin: involved by carcinoma (Block A3)
Lateral margin  : less than 0.1 mm (Block A5)
Isthmic margin  : More than 10 mm (Macroscopic)</t>
  </si>
  <si>
    <t>Right cricothyroid and inferior constrictor muscle</t>
  </si>
  <si>
    <t>Gross extrathyroidal extension</t>
  </si>
  <si>
    <t>gross tumour clearance</t>
  </si>
  <si>
    <t>Classic</t>
  </si>
  <si>
    <t>T1 for the right thyroid (B) and T1a for the left thyroid (C)</t>
  </si>
  <si>
    <t>Level and location not specified</t>
  </si>
  <si>
    <t>Infiltrative follicular pattern and focal papillary structures among a sclerotic stroma, associated with calcification and ossification</t>
  </si>
  <si>
    <t>1.5 cm (Right thyroid) and 11 mm (Left thyroid)</t>
  </si>
  <si>
    <t>Present in the left thyroid</t>
  </si>
  <si>
    <t>Minimal microscopic clearance of &lt;1 mm from the anterior surface (Right thyroid) and both the anterior and posterior surfaces (Left thyroid)</t>
  </si>
  <si>
    <t>Thyroid</t>
  </si>
  <si>
    <t>Skeletal muscle</t>
  </si>
  <si>
    <t>Minimal microscopic clearance at the posterior and anterior margins, measuring 0.3 mm and 0.5 mm, respectively.</t>
  </si>
  <si>
    <t>Suspected Cancer of thyroid - right lobe</t>
  </si>
  <si>
    <t>The anterior, posterior and lateral surfaces are clear by 0.4 mm, 0.9 mm and 1.5 mm respectively (Block 2). The superior and inferior surfaces are grossly well clear. The isthmic margin is clear (Block 1)</t>
  </si>
  <si>
    <t>Focally extends to the anterior margin</t>
  </si>
  <si>
    <t>peri-thyroidal adipose tissue</t>
  </si>
  <si>
    <t>Right level 2, 3, 4 lymph node</t>
  </si>
  <si>
    <t>Right lateral neck (Level II, III, IV)</t>
  </si>
  <si>
    <t>Multiple enlarged right lateral neck LNs</t>
  </si>
  <si>
    <t>Perithyroidal fibradipose tissue (as the lower pole tumour was completely encased right RLN)</t>
  </si>
  <si>
    <t>Classic (usual, conventional)</t>
  </si>
  <si>
    <t>1.5 cm</t>
  </si>
  <si>
    <t>Microscopic extrathyroidal extension to skeletal muscle anterior to the thyroid gland</t>
  </si>
  <si>
    <t>Strap muscle</t>
  </si>
  <si>
    <t>Not definite capsular invasion</t>
  </si>
  <si>
    <t>1 out of 2 lymph nodes</t>
  </si>
  <si>
    <t>Not specified (mentioned as 5 mm for one tumor and 2.5 mm for another)</t>
  </si>
  <si>
    <t>Not specified</t>
  </si>
  <si>
    <t>12 mm</t>
  </si>
  <si>
    <t>Cancer of thyroid - isthmus</t>
  </si>
  <si>
    <t>N1 (Left level III LN enlarged)</t>
  </si>
  <si>
    <t>M1 (Metastasis to regional lymph node)</t>
  </si>
  <si>
    <t>1 (Left level III LN)</t>
  </si>
  <si>
    <t>1 (Isthmic tumour)</t>
  </si>
  <si>
    <t>Infiltrative follicular</t>
  </si>
  <si>
    <t>4.5 x 3 x 2cm (Left thyroid)</t>
  </si>
  <si>
    <t>1 (Left thyroid)</t>
  </si>
  <si>
    <t>Surrounding striated muscle (Left thyroid)</t>
  </si>
  <si>
    <t>esophagus, prevertebral fascia</t>
  </si>
  <si>
    <t>Overlying strap muscle, carotid sheath, RLN at lower pole, esophagus, prevertebral fascia</t>
  </si>
  <si>
    <t>perithyroidal fibradipose tissue, skeletal muscle, subcutaneous soft tissues, larynx, trachea, esophagus, recurrent laryngeal nerve (RLN)</t>
  </si>
  <si>
    <t>Left central compartment LN, fibroadipose tissue (block B3), lateral (block B11), superior (block B4), posterior (block B7)</t>
  </si>
  <si>
    <t>Follicular carcinoma, widely invasive</t>
  </si>
  <si>
    <t>6 cm superoinferiorly, 3.2 cm transversely and 2.5 cm anteroposteriorly</t>
  </si>
  <si>
    <t>Inferior, lateral, superior, posterior: Involved, Anterior: clear</t>
  </si>
  <si>
    <t>Thyroid - left lobe</t>
  </si>
  <si>
    <t>28g (left lower pole tumour)</t>
  </si>
  <si>
    <t>Microcarcinoma</t>
  </si>
  <si>
    <t>The thyroid capsule and isthmic margin are free of involvement.</t>
  </si>
  <si>
    <t>Tall cell variant</t>
  </si>
  <si>
    <t>Deep margin: Involved (block A1, A7, A8), Superior pole margin: Involved (A1)</t>
  </si>
  <si>
    <t>Larynx, part of carotid sheath</t>
  </si>
  <si>
    <t>Extra-thyroidal extension to larynx and part of carotid sheath</t>
  </si>
  <si>
    <t>Tall cell</t>
  </si>
  <si>
    <t>Antero-inferior pole, extrathyroidal adipose tissue</t>
  </si>
  <si>
    <t>Superior: 1.7 mm clearance, Inferior: Tumor present in extrathyroidal adipose tissue and involves the cauterized margin of antero-inferior pole, Anteromedial: 0.18 mm clearance, Anterolateral: Tumor lymphovascular permeation involving extra-thyroidal adipose tissue (C5): 0.55 mm clearance, Posterior: 0.83 mm</t>
  </si>
  <si>
    <t>Closely adherent to RLN</t>
  </si>
  <si>
    <t>2</t>
  </si>
  <si>
    <t>IVA</t>
  </si>
  <si>
    <t>IVB</t>
  </si>
  <si>
    <t>ETE</t>
  </si>
  <si>
    <r>
      <t xml:space="preserve">TumorSize </t>
    </r>
    <r>
      <rPr>
        <b/>
        <sz val="11"/>
        <rFont val="Calibri (Body)"/>
      </rPr>
      <t>clean</t>
    </r>
  </si>
  <si>
    <r>
      <t>TumorSize</t>
    </r>
    <r>
      <rPr>
        <b/>
        <sz val="11"/>
        <rFont val="Calibri (Body)"/>
      </rPr>
      <t xml:space="preserve"> 
(cm)</t>
    </r>
  </si>
  <si>
    <t>EXTRACTED INFORMATION FOR CLASSIFCATION</t>
  </si>
  <si>
    <r>
      <t xml:space="preserve">SizeLN </t>
    </r>
    <r>
      <rPr>
        <b/>
        <sz val="11"/>
        <rFont val="Calibri (Body)"/>
      </rPr>
      <t>clean</t>
    </r>
  </si>
  <si>
    <r>
      <t xml:space="preserve">SizeLN
</t>
    </r>
    <r>
      <rPr>
        <b/>
        <sz val="11"/>
        <rFont val="Calibri (Body)"/>
      </rPr>
      <t xml:space="preserve"> (cm)</t>
    </r>
  </si>
  <si>
    <t>3/7</t>
  </si>
  <si>
    <t>CLASSIFICATION RESULT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</si>
</sst>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yy;@"/>
  </numFmts>
  <fonts count="27">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Times New Roman"/>
      <family val="1"/>
    </font>
    <font>
      <b/>
      <sz val="11"/>
      <color theme="1"/>
      <name val="Calibri"/>
      <family val="2"/>
      <scheme val="minor"/>
    </font>
    <font>
      <b/>
      <sz val="11"/>
      <color rgb="FF000000"/>
      <name val="Calibri"/>
      <family val="2"/>
      <scheme val="minor"/>
    </font>
    <font>
      <sz val="11"/>
      <color rgb="FFFF0000"/>
      <name val="Calibri"/>
      <family val="2"/>
      <scheme val="minor"/>
    </font>
    <font>
      <sz val="11"/>
      <name val="Calibri"/>
      <family val="2"/>
      <scheme val="minor"/>
    </font>
    <font>
      <sz val="11"/>
      <color theme="1"/>
      <name val="Calibri"/>
      <family val="2"/>
      <scheme val="minor"/>
    </font>
    <font>
      <b/>
      <sz val="11"/>
      <name val="Calibri"/>
      <family val="2"/>
      <scheme val="minor"/>
    </font>
    <font>
      <b/>
      <sz val="11"/>
      <name val="Calibri (Body)"/>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1"/>
      <color rgb="FF9C6500"/>
      <name val="Calibri"/>
      <family val="2"/>
      <scheme val="minor"/>
    </font>
  </fonts>
  <fills count="35">
    <fill>
      <patternFill patternType="none"/>
    </fill>
    <fill>
      <patternFill patternType="gray125"/>
    </fill>
    <fill>
      <patternFill patternType="solid">
        <fgColor theme="7" tint="0.79998168889431442"/>
        <bgColor indexed="64"/>
      </patternFill>
    </fill>
    <fill>
      <patternFill patternType="solid">
        <fgColor them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7">
    <border>
      <left/>
      <right/>
      <top/>
      <bottom/>
      <diagonal/>
    </border>
    <border>
      <left/>
      <right/>
      <top/>
      <bottom style="thin">
        <color rgb="FF000000"/>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s>
  <cellStyleXfs count="46">
    <xf numFmtId="0" fontId="0" fillId="0" borderId="0"/>
    <xf numFmtId="9" fontId="10" fillId="0" borderId="0" applyFont="0" applyFill="0" applyBorder="0" applyAlignment="0" applyProtection="0"/>
    <xf numFmtId="0" fontId="4" fillId="0" borderId="0"/>
    <xf numFmtId="0" fontId="3" fillId="0" borderId="0"/>
    <xf numFmtId="0" fontId="13" fillId="0" borderId="0" applyNumberFormat="0" applyFill="0" applyBorder="0" applyAlignment="0" applyProtection="0"/>
    <xf numFmtId="0" fontId="14" fillId="0" borderId="5" applyNumberFormat="0" applyFill="0" applyAlignment="0" applyProtection="0"/>
    <xf numFmtId="0" fontId="15" fillId="0" borderId="6" applyNumberFormat="0" applyFill="0" applyAlignment="0" applyProtection="0"/>
    <xf numFmtId="0" fontId="16" fillId="0" borderId="7" applyNumberFormat="0" applyFill="0" applyAlignment="0" applyProtection="0"/>
    <xf numFmtId="0" fontId="16" fillId="0" borderId="0" applyNumberFormat="0" applyFill="0" applyBorder="0" applyAlignment="0" applyProtection="0"/>
    <xf numFmtId="0" fontId="17" fillId="4" borderId="0" applyNumberFormat="0" applyBorder="0" applyAlignment="0" applyProtection="0"/>
    <xf numFmtId="0" fontId="18" fillId="5" borderId="0" applyNumberFormat="0" applyBorder="0" applyAlignment="0" applyProtection="0"/>
    <xf numFmtId="0" fontId="19" fillId="7" borderId="8" applyNumberFormat="0" applyAlignment="0" applyProtection="0"/>
    <xf numFmtId="0" fontId="20" fillId="8" borderId="9" applyNumberFormat="0" applyAlignment="0" applyProtection="0"/>
    <xf numFmtId="0" fontId="21" fillId="8" borderId="8" applyNumberFormat="0" applyAlignment="0" applyProtection="0"/>
    <xf numFmtId="0" fontId="22" fillId="0" borderId="10" applyNumberFormat="0" applyFill="0" applyAlignment="0" applyProtection="0"/>
    <xf numFmtId="0" fontId="23" fillId="9" borderId="11" applyNumberFormat="0" applyAlignment="0" applyProtection="0"/>
    <xf numFmtId="0" fontId="8" fillId="0" borderId="0" applyNumberFormat="0" applyFill="0" applyBorder="0" applyAlignment="0" applyProtection="0"/>
    <xf numFmtId="0" fontId="24" fillId="0" borderId="0" applyNumberFormat="0" applyFill="0" applyBorder="0" applyAlignment="0" applyProtection="0"/>
    <xf numFmtId="0" fontId="6" fillId="0" borderId="13" applyNumberFormat="0" applyFill="0" applyAlignment="0" applyProtection="0"/>
    <xf numFmtId="0" fontId="25"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5"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5" fillId="19" borderId="0" applyNumberFormat="0" applyBorder="0" applyAlignment="0" applyProtection="0"/>
    <xf numFmtId="0" fontId="2" fillId="20" borderId="0" applyNumberFormat="0" applyBorder="0" applyAlignment="0" applyProtection="0"/>
    <xf numFmtId="0" fontId="2" fillId="21" borderId="0" applyNumberFormat="0" applyBorder="0" applyAlignment="0" applyProtection="0"/>
    <xf numFmtId="0" fontId="25" fillId="23" borderId="0" applyNumberFormat="0" applyBorder="0" applyAlignment="0" applyProtection="0"/>
    <xf numFmtId="0" fontId="2" fillId="24" borderId="0" applyNumberFormat="0" applyBorder="0" applyAlignment="0" applyProtection="0"/>
    <xf numFmtId="0" fontId="2" fillId="25" borderId="0" applyNumberFormat="0" applyBorder="0" applyAlignment="0" applyProtection="0"/>
    <xf numFmtId="0" fontId="25" fillId="27" borderId="0" applyNumberFormat="0" applyBorder="0" applyAlignment="0" applyProtection="0"/>
    <xf numFmtId="0" fontId="2" fillId="28" borderId="0" applyNumberFormat="0" applyBorder="0" applyAlignment="0" applyProtection="0"/>
    <xf numFmtId="0" fontId="2" fillId="29" borderId="0" applyNumberFormat="0" applyBorder="0" applyAlignment="0" applyProtection="0"/>
    <xf numFmtId="0" fontId="25" fillId="31" borderId="0" applyNumberFormat="0" applyBorder="0" applyAlignment="0" applyProtection="0"/>
    <xf numFmtId="0" fontId="2" fillId="32" borderId="0" applyNumberFormat="0" applyBorder="0" applyAlignment="0" applyProtection="0"/>
    <xf numFmtId="0" fontId="2" fillId="33" borderId="0" applyNumberFormat="0" applyBorder="0" applyAlignment="0" applyProtection="0"/>
    <xf numFmtId="0" fontId="2" fillId="0" borderId="0"/>
    <xf numFmtId="0" fontId="26" fillId="6" borderId="0" applyNumberFormat="0" applyBorder="0" applyAlignment="0" applyProtection="0"/>
    <xf numFmtId="0" fontId="2" fillId="10" borderId="12" applyNumberFormat="0" applyFont="0" applyAlignment="0" applyProtection="0"/>
    <xf numFmtId="0" fontId="25" fillId="14" borderId="0" applyNumberFormat="0" applyBorder="0" applyAlignment="0" applyProtection="0"/>
    <xf numFmtId="0" fontId="25" fillId="18" borderId="0" applyNumberFormat="0" applyBorder="0" applyAlignment="0" applyProtection="0"/>
    <xf numFmtId="0" fontId="25" fillId="22" borderId="0" applyNumberFormat="0" applyBorder="0" applyAlignment="0" applyProtection="0"/>
    <xf numFmtId="0" fontId="25" fillId="26" borderId="0" applyNumberFormat="0" applyBorder="0" applyAlignment="0" applyProtection="0"/>
    <xf numFmtId="0" fontId="25" fillId="30" borderId="0" applyNumberFormat="0" applyBorder="0" applyAlignment="0" applyProtection="0"/>
    <xf numFmtId="0" fontId="25" fillId="34" borderId="0" applyNumberFormat="0" applyBorder="0" applyAlignment="0" applyProtection="0"/>
  </cellStyleXfs>
  <cellXfs count="49">
    <xf numFmtId="0" fontId="0" fillId="0" borderId="0" xfId="0"/>
    <xf numFmtId="0" fontId="5" fillId="0" borderId="0" xfId="0" applyFont="1"/>
    <xf numFmtId="0" fontId="5" fillId="0" borderId="1" xfId="0" applyFont="1" applyBorder="1"/>
    <xf numFmtId="0" fontId="7" fillId="0" borderId="2" xfId="0" applyFont="1" applyBorder="1" applyAlignment="1">
      <alignment horizontal="center" vertical="center"/>
    </xf>
    <xf numFmtId="0" fontId="9" fillId="0" borderId="0" xfId="0" applyFont="1" applyAlignment="1">
      <alignment horizontal="center" vertical="center"/>
    </xf>
    <xf numFmtId="0" fontId="11" fillId="0" borderId="0" xfId="0" applyFont="1"/>
    <xf numFmtId="0" fontId="11" fillId="0" borderId="2" xfId="0" applyFont="1" applyBorder="1" applyAlignment="1">
      <alignment horizontal="center" vertical="center"/>
    </xf>
    <xf numFmtId="0" fontId="11" fillId="0" borderId="2" xfId="0" applyFont="1" applyBorder="1" applyAlignment="1">
      <alignment horizontal="center" vertical="center" wrapText="1"/>
    </xf>
    <xf numFmtId="0" fontId="11" fillId="0" borderId="0" xfId="0" applyFont="1" applyAlignment="1">
      <alignment horizontal="center" vertical="center"/>
    </xf>
    <xf numFmtId="1" fontId="11" fillId="0" borderId="2" xfId="0" applyNumberFormat="1" applyFont="1" applyBorder="1" applyAlignment="1">
      <alignment horizontal="center" vertical="center"/>
    </xf>
    <xf numFmtId="1" fontId="11" fillId="0" borderId="4" xfId="0" applyNumberFormat="1" applyFont="1" applyBorder="1" applyAlignment="1">
      <alignment horizontal="center" vertical="center" wrapText="1"/>
    </xf>
    <xf numFmtId="10" fontId="9" fillId="0" borderId="0" xfId="1" applyNumberFormat="1" applyFont="1" applyFill="1" applyBorder="1"/>
    <xf numFmtId="0" fontId="3" fillId="0" borderId="0" xfId="0" applyFont="1"/>
    <xf numFmtId="0" fontId="3" fillId="0" borderId="0" xfId="0" applyFont="1" applyAlignment="1">
      <alignment horizontal="center"/>
    </xf>
    <xf numFmtId="0" fontId="3" fillId="2" borderId="0" xfId="0" applyFont="1" applyFill="1" applyAlignment="1">
      <alignment horizontal="center"/>
    </xf>
    <xf numFmtId="0" fontId="0" fillId="2" borderId="0" xfId="0" applyFill="1" applyAlignment="1">
      <alignment horizontal="center"/>
    </xf>
    <xf numFmtId="164" fontId="0" fillId="0" borderId="0" xfId="0" applyNumberFormat="1"/>
    <xf numFmtId="0" fontId="0" fillId="0" borderId="0" xfId="0" applyAlignment="1">
      <alignment horizontal="center"/>
    </xf>
    <xf numFmtId="0" fontId="0" fillId="0" borderId="0" xfId="0" applyAlignment="1">
      <alignment horizontal="left"/>
    </xf>
    <xf numFmtId="0" fontId="11" fillId="0" borderId="0" xfId="0" applyFont="1" applyAlignment="1">
      <alignment horizontal="center"/>
    </xf>
    <xf numFmtId="10" fontId="0" fillId="0" borderId="0" xfId="0" applyNumberFormat="1"/>
    <xf numFmtId="10" fontId="3" fillId="0" borderId="0" xfId="1" applyNumberFormat="1" applyFont="1" applyFill="1" applyBorder="1"/>
    <xf numFmtId="14" fontId="0" fillId="0" borderId="0" xfId="0" applyNumberFormat="1"/>
    <xf numFmtId="15" fontId="0" fillId="0" borderId="0" xfId="0" applyNumberFormat="1"/>
    <xf numFmtId="0" fontId="0" fillId="0" borderId="0" xfId="0" applyAlignment="1">
      <alignment wrapText="1"/>
    </xf>
    <xf numFmtId="1" fontId="11" fillId="0" borderId="4" xfId="0" applyNumberFormat="1" applyFont="1" applyBorder="1" applyAlignment="1">
      <alignment horizontal="center" vertical="center"/>
    </xf>
    <xf numFmtId="1" fontId="11" fillId="0" borderId="15" xfId="0" applyNumberFormat="1" applyFont="1" applyBorder="1" applyAlignment="1">
      <alignment horizontal="center" vertical="center"/>
    </xf>
    <xf numFmtId="0" fontId="3" fillId="0" borderId="2" xfId="0" applyFont="1" applyBorder="1" applyAlignment="1">
      <alignment horizontal="center"/>
    </xf>
    <xf numFmtId="164" fontId="0" fillId="0" borderId="2" xfId="0" applyNumberFormat="1" applyBorder="1"/>
    <xf numFmtId="0" fontId="0" fillId="0" borderId="2" xfId="0" applyBorder="1" applyAlignment="1">
      <alignment horizontal="center"/>
    </xf>
    <xf numFmtId="0" fontId="0" fillId="0" borderId="2" xfId="0" applyBorder="1"/>
    <xf numFmtId="0" fontId="0" fillId="0" borderId="2" xfId="0" applyBorder="1" applyAlignment="1">
      <alignment horizontal="left"/>
    </xf>
    <xf numFmtId="0" fontId="11" fillId="2" borderId="0" xfId="0" applyFont="1" applyFill="1" applyAlignment="1">
      <alignment horizontal="center"/>
    </xf>
    <xf numFmtId="1" fontId="11" fillId="3" borderId="3" xfId="0" applyNumberFormat="1" applyFont="1" applyFill="1" applyBorder="1" applyAlignment="1">
      <alignment horizontal="center"/>
    </xf>
    <xf numFmtId="1" fontId="11" fillId="3" borderId="0" xfId="0" applyNumberFormat="1" applyFont="1" applyFill="1" applyAlignment="1">
      <alignment horizontal="center"/>
    </xf>
    <xf numFmtId="1" fontId="11" fillId="3" borderId="14" xfId="0" applyNumberFormat="1" applyFont="1" applyFill="1" applyBorder="1" applyAlignment="1">
      <alignment horizontal="center"/>
    </xf>
    <xf numFmtId="0" fontId="9" fillId="0" borderId="0" xfId="0" applyFont="1" applyFill="1" applyAlignment="1">
      <alignment horizontal="center"/>
    </xf>
    <xf numFmtId="1" fontId="9" fillId="0" borderId="3" xfId="0" applyNumberFormat="1" applyFont="1" applyFill="1" applyBorder="1" applyAlignment="1">
      <alignment horizontal="center"/>
    </xf>
    <xf numFmtId="1" fontId="9" fillId="0" borderId="0" xfId="0" applyNumberFormat="1" applyFont="1" applyFill="1" applyAlignment="1">
      <alignment horizontal="center"/>
    </xf>
    <xf numFmtId="1" fontId="9" fillId="0" borderId="14" xfId="0" applyNumberFormat="1" applyFont="1" applyFill="1" applyBorder="1" applyAlignment="1">
      <alignment horizontal="center"/>
    </xf>
    <xf numFmtId="0" fontId="9" fillId="0" borderId="2" xfId="0" applyFont="1" applyFill="1" applyBorder="1" applyAlignment="1">
      <alignment horizontal="center"/>
    </xf>
    <xf numFmtId="1" fontId="9" fillId="0" borderId="4" xfId="0" applyNumberFormat="1" applyFont="1" applyFill="1" applyBorder="1" applyAlignment="1">
      <alignment horizontal="center"/>
    </xf>
    <xf numFmtId="1" fontId="9" fillId="0" borderId="2" xfId="0" applyNumberFormat="1" applyFont="1" applyFill="1" applyBorder="1" applyAlignment="1">
      <alignment horizontal="center"/>
    </xf>
    <xf numFmtId="1" fontId="9" fillId="0" borderId="15" xfId="0" applyNumberFormat="1" applyFont="1" applyFill="1" applyBorder="1" applyAlignment="1">
      <alignment horizontal="center"/>
    </xf>
    <xf numFmtId="0" fontId="9" fillId="0" borderId="16" xfId="0" applyFont="1" applyFill="1" applyBorder="1" applyAlignment="1">
      <alignment horizontal="center"/>
    </xf>
    <xf numFmtId="0" fontId="9" fillId="0" borderId="3" xfId="0" applyFont="1" applyFill="1" applyBorder="1" applyAlignment="1">
      <alignment horizontal="center"/>
    </xf>
    <xf numFmtId="0" fontId="9" fillId="0" borderId="4" xfId="0" applyFont="1" applyFill="1" applyBorder="1" applyAlignment="1">
      <alignment horizontal="center"/>
    </xf>
    <xf numFmtId="2" fontId="11" fillId="0" borderId="2" xfId="0" applyNumberFormat="1" applyFont="1" applyBorder="1" applyAlignment="1">
      <alignment horizontal="center" vertical="center" wrapText="1"/>
    </xf>
    <xf numFmtId="16" fontId="1" fillId="0" borderId="0" xfId="0" quotePrefix="1" applyNumberFormat="1" applyFont="1"/>
  </cellXfs>
  <cellStyles count="46">
    <cellStyle name="20% - Accent1" xfId="20" builtinId="30" customBuiltin="1"/>
    <cellStyle name="20% - Accent2" xfId="23" builtinId="34" customBuiltin="1"/>
    <cellStyle name="20% - Accent3" xfId="26" builtinId="38" customBuiltin="1"/>
    <cellStyle name="20% - Accent4" xfId="29" builtinId="42" customBuiltin="1"/>
    <cellStyle name="20% - Accent5" xfId="32" builtinId="46" customBuiltin="1"/>
    <cellStyle name="20% - Accent6" xfId="35" builtinId="50" customBuiltin="1"/>
    <cellStyle name="40% - Accent1" xfId="21" builtinId="31" customBuiltin="1"/>
    <cellStyle name="40% - Accent2" xfId="24" builtinId="35" customBuiltin="1"/>
    <cellStyle name="40% - Accent3" xfId="27" builtinId="39" customBuiltin="1"/>
    <cellStyle name="40% - Accent4" xfId="30" builtinId="43" customBuiltin="1"/>
    <cellStyle name="40% - Accent5" xfId="33" builtinId="47" customBuiltin="1"/>
    <cellStyle name="40% - Accent6" xfId="36" builtinId="51" customBuiltin="1"/>
    <cellStyle name="60% - Accent1 2" xfId="40" xr:uid="{0C43852C-115E-475F-996E-2E6B552A787A}"/>
    <cellStyle name="60% - Accent2 2" xfId="41" xr:uid="{18396898-0E43-47C8-AF3B-CE3B414DA01F}"/>
    <cellStyle name="60% - Accent3 2" xfId="42" xr:uid="{41988CE8-561A-4068-AB58-BDC32D7BC003}"/>
    <cellStyle name="60% - Accent4 2" xfId="43" xr:uid="{2C1DA9D9-C699-46CC-8F46-0AAFB6D4D2CC}"/>
    <cellStyle name="60% - Accent5 2" xfId="44" xr:uid="{B850B3EC-7518-4C4C-9AC4-406062816E07}"/>
    <cellStyle name="60% - Accent6 2" xfId="45" xr:uid="{BE985310-0348-4A0E-B58F-BB6E420F3A46}"/>
    <cellStyle name="Accent1" xfId="19" builtinId="29" customBuiltin="1"/>
    <cellStyle name="Accent2" xfId="22" builtinId="33" customBuiltin="1"/>
    <cellStyle name="Accent3" xfId="25" builtinId="37" customBuiltin="1"/>
    <cellStyle name="Accent4" xfId="28" builtinId="41" customBuiltin="1"/>
    <cellStyle name="Accent5" xfId="31" builtinId="45" customBuiltin="1"/>
    <cellStyle name="Accent6" xfId="34" builtinId="49" customBuiltin="1"/>
    <cellStyle name="Bad" xfId="10" builtinId="27" customBuiltin="1"/>
    <cellStyle name="Calculation" xfId="13" builtinId="22" customBuiltin="1"/>
    <cellStyle name="Check Cell" xfId="15" builtinId="23" customBuiltin="1"/>
    <cellStyle name="Explanatory Text" xfId="17"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Input" xfId="11" builtinId="20" customBuiltin="1"/>
    <cellStyle name="Linked Cell" xfId="14" builtinId="24" customBuiltin="1"/>
    <cellStyle name="Neutral 2" xfId="38" xr:uid="{4C4AF6F1-E759-42BD-A947-3D51191B37A0}"/>
    <cellStyle name="Normal" xfId="0" builtinId="0"/>
    <cellStyle name="Normal 2" xfId="2" xr:uid="{266EB89C-DF2D-482B-91DC-BD609FF311D0}"/>
    <cellStyle name="Normal 3" xfId="3" xr:uid="{487789B2-E6F5-48EB-A123-3C12300ABE75}"/>
    <cellStyle name="Normal 4" xfId="37" xr:uid="{8933903E-25B0-40DD-B280-C5ED34D225D7}"/>
    <cellStyle name="Note 2" xfId="39" xr:uid="{229BDDF4-8816-40CB-B8F6-A1B6E2DC4ADF}"/>
    <cellStyle name="Output" xfId="12" builtinId="21" customBuiltin="1"/>
    <cellStyle name="Percent" xfId="1" builtinId="5"/>
    <cellStyle name="Title" xfId="4" builtinId="15" customBuiltin="1"/>
    <cellStyle name="Total" xfId="18" builtinId="25" customBuiltin="1"/>
    <cellStyle name="Warning Text" xfId="16" builtinId="11" customBuiltin="1"/>
  </cellStyles>
  <dxfs count="3">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965DEB-A405-FD42-8A3F-BEDB5F4341EF}">
  <dimension ref="A1:AX64"/>
  <sheetViews>
    <sheetView tabSelected="1" zoomScale="70" zoomScaleNormal="70" workbookViewId="0">
      <pane xSplit="1" ySplit="2" topLeftCell="AF3" activePane="bottomRight" state="frozen"/>
      <selection pane="topRight"/>
      <selection pane="bottomLeft"/>
      <selection pane="bottomRight" activeCell="AI1" sqref="AI1:AM1"/>
    </sheetView>
  </sheetViews>
  <sheetFormatPr defaultColWidth="10.6640625" defaultRowHeight="14.25"/>
  <cols>
    <col min="2" max="4" width="11.33203125" hidden="1" customWidth="1"/>
    <col min="5" max="5" width="10.796875" style="17" customWidth="1"/>
    <col min="6" max="6" width="10.59765625" customWidth="1"/>
    <col min="7" max="7" width="10.33203125" customWidth="1"/>
    <col min="8" max="8" width="10.796875" style="17"/>
    <col min="10" max="10" width="12.33203125" customWidth="1"/>
    <col min="11" max="11" width="11.796875" style="17" customWidth="1"/>
    <col min="12" max="12" width="12.53125" style="17" bestFit="1" customWidth="1"/>
    <col min="13" max="13" width="12.46484375" style="17" bestFit="1" customWidth="1"/>
    <col min="14" max="14" width="10.796875" hidden="1" customWidth="1"/>
    <col min="15" max="15" width="13.33203125" hidden="1" customWidth="1"/>
    <col min="16" max="16" width="9.6640625" customWidth="1"/>
    <col min="17" max="17" width="26.33203125" customWidth="1"/>
    <col min="18" max="18" width="24.796875" customWidth="1"/>
    <col min="19" max="19" width="17.6640625" hidden="1" customWidth="1"/>
    <col min="20" max="20" width="0" hidden="1" customWidth="1"/>
    <col min="22" max="22" width="14.6640625" style="17" customWidth="1"/>
    <col min="23" max="23" width="14.6640625" style="17" hidden="1" customWidth="1"/>
    <col min="24" max="24" width="23.53125" customWidth="1"/>
    <col min="25" max="25" width="12.265625" customWidth="1"/>
    <col min="27" max="27" width="14.1328125" style="17" customWidth="1"/>
    <col min="28" max="30" width="14.1328125" style="17" hidden="1" customWidth="1"/>
    <col min="31" max="31" width="14.33203125" customWidth="1"/>
    <col min="32" max="32" width="86.73046875" customWidth="1"/>
    <col min="34" max="34" width="10.796875" style="17"/>
    <col min="35" max="35" width="13.265625" customWidth="1"/>
    <col min="36" max="39" width="10.796875" customWidth="1"/>
    <col min="40" max="40" width="11.33203125" bestFit="1" customWidth="1"/>
    <col min="41" max="46" width="10.796875" customWidth="1"/>
    <col min="47" max="49" width="10.6640625" customWidth="1"/>
  </cols>
  <sheetData>
    <row r="1" spans="1:49" s="5" customFormat="1">
      <c r="A1" s="32" t="s">
        <v>429</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19"/>
      <c r="AI1" s="33" t="s">
        <v>433</v>
      </c>
      <c r="AJ1" s="34"/>
      <c r="AK1" s="34"/>
      <c r="AL1" s="34"/>
      <c r="AM1" s="34"/>
      <c r="AN1" s="33" t="s">
        <v>208</v>
      </c>
      <c r="AO1" s="34"/>
      <c r="AP1" s="34"/>
      <c r="AQ1" s="34"/>
      <c r="AR1" s="34"/>
      <c r="AS1" s="33" t="s">
        <v>209</v>
      </c>
      <c r="AT1" s="34"/>
      <c r="AU1" s="34"/>
      <c r="AV1" s="34"/>
      <c r="AW1" s="35"/>
    </row>
    <row r="2" spans="1:49" s="4" customFormat="1" ht="42">
      <c r="A2" s="6" t="s">
        <v>0</v>
      </c>
      <c r="B2" s="6" t="s">
        <v>1</v>
      </c>
      <c r="C2" s="3" t="s">
        <v>2</v>
      </c>
      <c r="D2" s="3" t="s">
        <v>3</v>
      </c>
      <c r="E2" s="6" t="s">
        <v>4</v>
      </c>
      <c r="F2" s="6" t="s">
        <v>5</v>
      </c>
      <c r="G2" s="6" t="s">
        <v>6</v>
      </c>
      <c r="H2" s="6" t="s">
        <v>7</v>
      </c>
      <c r="I2" s="6" t="s">
        <v>8</v>
      </c>
      <c r="J2" s="6" t="s">
        <v>167</v>
      </c>
      <c r="K2" s="6" t="s">
        <v>9</v>
      </c>
      <c r="L2" s="6" t="s">
        <v>10</v>
      </c>
      <c r="M2" s="6" t="s">
        <v>11</v>
      </c>
      <c r="N2" s="6" t="s">
        <v>12</v>
      </c>
      <c r="O2" s="6" t="s">
        <v>430</v>
      </c>
      <c r="P2" s="47" t="s">
        <v>431</v>
      </c>
      <c r="Q2" s="6" t="s">
        <v>13</v>
      </c>
      <c r="R2" s="6" t="s">
        <v>14</v>
      </c>
      <c r="S2" s="6" t="s">
        <v>15</v>
      </c>
      <c r="T2" s="7" t="s">
        <v>427</v>
      </c>
      <c r="U2" s="47" t="s">
        <v>428</v>
      </c>
      <c r="V2" s="6" t="s">
        <v>16</v>
      </c>
      <c r="W2" s="6" t="s">
        <v>17</v>
      </c>
      <c r="X2" s="6" t="s">
        <v>18</v>
      </c>
      <c r="Y2" s="7" t="s">
        <v>216</v>
      </c>
      <c r="Z2" s="6" t="s">
        <v>19</v>
      </c>
      <c r="AA2" s="6" t="s">
        <v>20</v>
      </c>
      <c r="AB2" s="6" t="s">
        <v>21</v>
      </c>
      <c r="AC2" s="6" t="s">
        <v>22</v>
      </c>
      <c r="AD2" s="7" t="s">
        <v>23</v>
      </c>
      <c r="AE2" s="6" t="s">
        <v>24</v>
      </c>
      <c r="AF2" s="7" t="s">
        <v>426</v>
      </c>
      <c r="AG2" s="6" t="s">
        <v>319</v>
      </c>
      <c r="AH2" s="8"/>
      <c r="AI2" s="25" t="s">
        <v>150</v>
      </c>
      <c r="AJ2" s="9" t="s">
        <v>151</v>
      </c>
      <c r="AK2" s="9" t="s">
        <v>152</v>
      </c>
      <c r="AL2" s="9" t="s">
        <v>153</v>
      </c>
      <c r="AM2" s="9" t="s">
        <v>154</v>
      </c>
      <c r="AN2" s="10" t="s">
        <v>150</v>
      </c>
      <c r="AO2" s="9" t="s">
        <v>151</v>
      </c>
      <c r="AP2" s="9" t="s">
        <v>152</v>
      </c>
      <c r="AQ2" s="9" t="s">
        <v>153</v>
      </c>
      <c r="AR2" s="9" t="s">
        <v>154</v>
      </c>
      <c r="AS2" s="10" t="s">
        <v>150</v>
      </c>
      <c r="AT2" s="9" t="s">
        <v>151</v>
      </c>
      <c r="AU2" s="9" t="s">
        <v>152</v>
      </c>
      <c r="AV2" s="9" t="s">
        <v>153</v>
      </c>
      <c r="AW2" s="26" t="s">
        <v>154</v>
      </c>
    </row>
    <row r="3" spans="1:49">
      <c r="A3" s="13">
        <v>1</v>
      </c>
      <c r="B3" s="16">
        <f>_xlfn.MAXIFS('Model output'!B:B,'Model output'!Z:Z,'Classification result'!$A3)</f>
        <v>45320</v>
      </c>
      <c r="C3" s="16"/>
      <c r="D3" s="16"/>
      <c r="E3" s="17">
        <f>_xlfn.MAXIFS('Model output'!C:C,'Model output'!Z:Z,'Classification result'!$A3)</f>
        <v>67</v>
      </c>
      <c r="F3" s="17" t="str" cm="1">
        <f t="array" ref="F3">LEFT(IF(ISERROR(RIGHT(IF(INDEX(_xlfn._xlws.FILTER('Model output'!D:D,('Model output'!Z:Z=A3)),1)&lt;&gt;"",INDEX(_xlfn._xlws.FILTER('Model output'!D:D,('Model output'!Z:Z=A3)),1),""),LEN(IF(INDEX(_xlfn._xlws.FILTER('Model output'!D:D,('Model output'!Z:Z=A3)),1)&lt;&gt;"",INDEX(_xlfn._xlws.FILTER('Model output'!D:D,('Model output'!Z:Z=A3)),1),""))-FIND("T",IF(INDEX(_xlfn._xlws.FILTER('Model output'!D:D,('Model output'!Z:Z=A3)),1)&lt;&gt;"",INDEX(_xlfn._xlws.FILTER('Model output'!D:D,('Model output'!Z:Z=A3)),1),""),1))),"",(RIGHT(IF(INDEX(_xlfn._xlws.FILTER('Model output'!D:D,('Model output'!Z:Z=A3)),1)&lt;&gt;"",INDEX(_xlfn._xlws.FILTER('Model output'!D:D,('Model output'!Z:Z=A3)),1),""),LEN(IF(INDEX(_xlfn._xlws.FILTER('Model output'!D:D,('Model output'!Z:Z=A3)),1)&lt;&gt;"",INDEX(_xlfn._xlws.FILTER('Model output'!D:D,('Model output'!Z:Z=A3)),1),""))-FIND("T",IF(INDEX(_xlfn._xlws.FILTER('Model output'!D:D,('Model output'!Z:Z=A3)),1)&lt;&gt;"",INDEX(_xlfn._xlws.FILTER('Model output'!D:D,('Model output'!Z:Z=A3)),1)))))),2)</f>
        <v>1b</v>
      </c>
      <c r="G3" s="17" t="str" cm="1">
        <f t="array" ref="G3">IF(ISNUMBER(SEARCH("N",IF(ISNUMBER(SEARCH("present",IF(INDEX(_xlfn._xlws.FILTER('Model output'!E:E,('Model output'!Z:Z=A3)),1)="","",INDEX(_xlfn._xlws.FILTER('Model output'!E:E,('Model output'!Z:Z=A3)),1)),1)),"N1", IF(INDEX(_xlfn._xlws.FILTER('Model output'!E:E,('Model output'!Z:Z=A3)),1)="","",INDEX(_xlfn._xlws.FILTER('Model output'!E:E,('Model output'!Z:Z=A3)),1))),1)),RIGHT(IF(ISNUMBER(SEARCH("present",IF(INDEX(_xlfn._xlws.FILTER('Model output'!E:E,('Model output'!Z:Z=A3)),1)="","",INDEX(_xlfn._xlws.FILTER('Model output'!E:E,('Model output'!Z:Z=A3)),1)),1)),"N1", IF(INDEX(_xlfn._xlws.FILTER('Model output'!E:E,('Model output'!Z:Z=A3)),1)="","",INDEX(_xlfn._xlws.FILTER('Model output'!E:E,('Model output'!Z:Z=A3)),1))),LEN(IF(ISNUMBER(SEARCH("present",IF(INDEX(_xlfn._xlws.FILTER('Model output'!E:E,('Model output'!Z:Z=A3)),1)="","",INDEX(_xlfn._xlws.FILTER('Model output'!E:E,('Model output'!Z:Z=A3)),1)),1)),"N1", IF(INDEX(_xlfn._xlws.FILTER('Model output'!E:E,('Model output'!Z:Z=A3)),1)="","",INDEX(_xlfn._xlws.FILTER('Model output'!E:E,('Model output'!Z:Z=A3)),1))))-FIND("N",IF(ISNUMBER(SEARCH("present",IF(INDEX(_xlfn._xlws.FILTER('Model output'!E:E,('Model output'!Z:Z=A3)),1)="","",INDEX(_xlfn._xlws.FILTER('Model output'!E:E,('Model output'!Z:Z=A3)),1)),1)),"N1", IF(INDEX(_xlfn._xlws.FILTER('Model output'!E:E,('Model output'!Z:Z=A3)),1)="","",INDEX(_xlfn._xlws.FILTER('Model output'!E:E,('Model output'!Z:Z=A3)),1))),1)), "")</f>
        <v/>
      </c>
      <c r="H3" s="17" cm="1">
        <f t="array" ref="H3">IF(AND(SUBSTITUTE(_xlfn.TEXTJOIN("/", TRUE, _xlfn._xlws.FILTER('Model output'!F:F, 'Model output'!Z:Z=A3)),"M", "")="", K3="negative"),0,IF(K3="positive",1,0))</f>
        <v>0</v>
      </c>
      <c r="I3" t="str">
        <f t="shared" ref="I3:I37" si="0">IF(OR(J3&lt;&gt;"",AND(M3&lt;&gt;"",M3&gt;0)),"positive","")</f>
        <v/>
      </c>
      <c r="J3" t="str" cm="1">
        <f t="array" ref="J3">IF(AND(M3&gt;0, _xlfn.TEXTJOIN("; ", TRUE, _xlfn._xlws.FILTER('Model output'!G:G, 'Model output'!Z:Z=A3)) &lt;&gt;"", OR(AND(ISNUMBER(SEARCH("level", _xlfn.TEXTJOIN("; ", TRUE, _xlfn._xlws.FILTER('Model output'!G:G, 'Model output'!Z:Z=A3)),1)),OR(ISNUMBER(SEARCH(" II", _xlfn.TEXTJOIN("; ", TRUE, _xlfn._xlws.FILTER('Model output'!G:G, 'Model output'!Z:Z=A3)),1)),ISNUMBER(SEARCH("2", _xlfn.TEXTJOIN("; ", TRUE, _xlfn._xlws.FILTER('Model output'!G:G, 'Model output'!Z:Z=A3)),1)),ISNUMBER(SEARCH("two", _xlfn.TEXTJOIN("; ", TRUE, _xlfn._xlws.FILTER('Model output'!G:G, 'Model output'!Z:Z=A3)),1)),ISNUMBER(SEARCH("III", _xlfn.TEXTJOIN("; ", TRUE, _xlfn._xlws.FILTER('Model output'!G:G, 'Model output'!Z:Z=A3)),1)),ISNUMBER(SEARCH("3", _xlfn.TEXTJOIN("; ", TRUE, _xlfn._xlws.FILTER('Model output'!G:G, 'Model output'!Z:Z=A3)),1)),ISNUMBER(SEARCH("three", _xlfn.TEXTJOIN("; ", TRUE, _xlfn._xlws.FILTER('Model output'!G:G, 'Model output'!Z:Z=A3)),1)),ISNUMBER(SEARCH("IV", _xlfn.TEXTJOIN("; ", TRUE, _xlfn._xlws.FILTER('Model output'!G:G, 'Model output'!Z:Z=A3)),1)),ISNUMBER(SEARCH("4", _xlfn.TEXTJOIN("; ", TRUE, _xlfn._xlws.FILTER('Model output'!G:G, 'Model output'!Z:Z=A3)),1)),ISNUMBER(SEARCH("five", _xlfn.TEXTJOIN("; ", TRUE, _xlfn._xlws.FILTER('Model output'!G:G, 'Model output'!Z:Z=A3)),1)),ISNUMBER(SEARCH("V ", _xlfn.TEXTJOIN("; ", TRUE, _xlfn._xlws.FILTER('Model output'!G:G, 'Model output'!Z:Z=A3)),1)),ISNUMBER(SEARCH("5", _xlfn.TEXTJOIN("; ", TRUE, _xlfn._xlws.FILTER('Model output'!G:G, 'Model output'!Z:Z=A3)),1)),ISNUMBER(SEARCH("five", _xlfn.TEXTJOIN("; ", TRUE, _xlfn._xlws.FILTER('Model output'!G:G, 'Model output'!Z:Z=A3)),1)),ISNUMBER(SEARCH(" lateral", _xlfn.TEXTJOIN("; ", TRUE, _xlfn._xlws.FILTER('Model output'!G:G, 'Model output'!Z:Z=A3)),1)))),ISNUMBER(SEARCH("cervical", _xlfn.TEXTJOIN("; ", TRUE, _xlfn._xlws.FILTER('Model output'!G:G, 'Model output'!Z:Z=A3)),1)),ISNUMBER(SEARCH("jugular", _xlfn.TEXTJOIN("; ", TRUE, _xlfn._xlws.FILTER('Model output'!G:G, 'Model output'!Z:Z=A3)),1)),ISNUMBER(SEARCH("left neck", _xlfn.TEXTJOIN("; ", TRUE, _xlfn._xlws.FILTER('Model output'!G:G, 'Model output'!Z:Z=A3)),1)),ISNUMBER(SEARCH("left anterior neck", _xlfn.TEXTJOIN("; ", TRUE, _xlfn._xlws.FILTER('Model output'!G:G, 'Model output'!Z:Z=A3)),1)),ISNUMBER(SEARCH("left posterior neck", _xlfn.TEXTJOIN("; ", TRUE, _xlfn._xlws.FILTER('Model output'!G:G, 'Model output'!Z:Z=A3)),1)),ISNUMBER(SEARCH("right neck", _xlfn.TEXTJOIN("; ", TRUE, _xlfn._xlws.FILTER('Model output'!G:G, 'Model output'!Z:Z=A3)),1)),ISNUMBER(SEARCH("right anterior neck", _xlfn.TEXTJOIN("; ", TRUE, _xlfn._xlws.FILTER('Model output'!G:G, 'Model output'!Z:Z=A3)),1)),ISNUMBER(SEARCH("right posterior neck", _xlfn.TEXTJOIN("; ", TRUE, _xlfn._xlws.FILTER('Model output'!G:G, 'Model output'!Z:Z=A3)),1)))),"lateral",IF(AND(M3=0, _xlfn.TEXTJOIN("; ", TRUE, _xlfn._xlws.FILTER('Model output'!G:G, 'Model output'!Z:Z=A3))=""),"", "central"))</f>
        <v/>
      </c>
      <c r="K3" s="17" t="str" cm="1">
        <f t="array" ref="K3">IF(OR(ISNUMBER(SEARCH("lymph",_xlfn.TEXTJOIN("; ", TRUE, _xlfn._xlws.FILTER('Model output'!H:H, 'Model output'!Z:Z=A3)),1)), ISNUMBER(SEARCH("Not mentioned",_xlfn.TEXTJOIN("; ", TRUE, _xlfn._xlws.FILTER('Model output'!H:H, 'Model output'!Z:Z=A3)),1)),ISNUMBER(SEARCH("subcutaneous soft tissues",_xlfn.TEXTJOIN("; ", TRUE, _xlfn._xlws.FILTER('Model output'!H:H, 'Model output'!Z:Z=A3)),1)),ISNUMBER(SEARCH("larynx",_xlfn.TEXTJOIN("; ", TRUE, _xlfn._xlws.FILTER('Model output'!H:H, 'Model output'!Z:Z=A3)),1)),ISNUMBER(SEARCH("trachea",_xlfn.TEXTJOIN("; ", TRUE, _xlfn._xlws.FILTER('Model output'!H:H, 'Model output'!Z:Z=A3)),1)),ISNUMBER(SEARCH("esophagus",_xlfn.TEXTJOIN("; ", TRUE, _xlfn._xlws.FILTER('Model output'!H:H, 'Model output'!Z:Z=A3)),1)),ISNUMBER(SEARCH("recurrent laryngeal nerve",_xlfn.TEXTJOIN("; ", TRUE, _xlfn._xlws.FILTER('Model output'!H:H, 'Model output'!Z:Z=A3)),1)),ISNUMBER(SEARCH("strap muscle",_xlfn.TEXTJOIN("; ", TRUE, _xlfn._xlws.FILTER('Model output'!H:H, 'Model output'!Z:Z=A3)),1)),ISNUMBER(SEARCH("thyroid",_xlfn.TEXTJOIN("; ", TRUE, _xlfn._xlws.FILTER('Model output'!H:H, 'Model output'!Z:Z=A3)),1)),ISNUMBER(SEARCH("RLN",_xlfn.TEXTJOIN("; ", TRUE, _xlfn._xlws.FILTER('Model output'!H:H, 'Model output'!Z:Z=A3)),1)),_xlfn.TEXTJOIN("; ", TRUE, _xlfn._xlws.FILTER('Model output'!H:H, 'Model output'!Z:Z=A3))=""),"negative","positive")</f>
        <v>negative</v>
      </c>
      <c r="L3" s="17">
        <f>IF(IFERROR(INDEX('Model output'!I:I, MATCH(A3, 'Model output'!Z:Z, 0)), "") &lt; M3, "", IFERROR(INDEX('Model output'!I:I, MATCH(A3, 'Model output'!Z:Z, 0)), ""))</f>
        <v>0</v>
      </c>
      <c r="M3" s="17">
        <f>IFERROR(INDEX('Model output'!J:J, MATCH(A3, 'Model output'!Z:Z, 0)), "")</f>
        <v>0</v>
      </c>
      <c r="N3" s="18" t="str" cm="1">
        <f t="array" ref="N3">ReplaceTo(ReplaceAnd(SUBSTITUTE(SUBSTITUTE(_xlfn.TEXTJOIN("; ", TRUE, _xlfn._xlws.FILTER('Model output'!K:K, 'Model output'!Z:Z=A3)), " ", ""), ",", ";")))</f>
        <v/>
      </c>
      <c r="O3" t="str" cm="1">
        <f t="array" ref="O3">IF(LEFT(IF(RIGHT(SUBSTITUTE(FilterWithUnits(N3)&amp; ";" &amp;FilterStringsWithNumericAnd(N3) &amp; ";" &amp; FilterStringsWithX(N3), ";;", ";"),1)=";",LEFT(SUBSTITUTE(FilterWithUnits(N3)&amp; ";" &amp;FilterStringsWithNumericAnd(N3) &amp; ";" &amp; FilterStringsWithX(N3), ";;", ";"),LEN(SUBSTITUTE(FilterWithUnits(N3)&amp; ";" &amp;FilterStringsWithNumericAnd(N3) &amp; ";" &amp; FilterStringsWithX(N3), ";;", ";"))-1),SUBSTITUTE(FilterWithUnits(N3)&amp; ";" &amp;FilterStringsWithNumericAnd(N3) &amp; ";" &amp; FilterStringsWithX(N3), ";;", ";")),1)=";",RIGHT(IF(RIGHT(SUBSTITUTE(FilterWithUnits(N3)&amp; ";" &amp;FilterStringsWithNumericAnd(N3) &amp; ";" &amp; FilterStringsWithX(N3), ";;", ";"),1)=";",LEFT(SUBSTITUTE(FilterWithUnits(N3)&amp; ";" &amp;FilterStringsWithNumericAnd(N3) &amp; ";" &amp; FilterStringsWithX(N3), ";;", ";"),LEN(SUBSTITUTE(FilterWithUnits(N3)&amp; ";" &amp;FilterStringsWithNumericAnd(N3) &amp; ";" &amp; FilterStringsWithX(N3), ";;", ";"))-1),SUBSTITUTE(FilterWithUnits(N3)&amp; ";" &amp;FilterStringsWithNumericAnd(N3) &amp; ";" &amp; FilterStringsWithX(N3), ";;", ";")),LEN(IF(RIGHT(SUBSTITUTE(FilterWithUnits(N3)&amp; ";" &amp;FilterStringsWithNumericAnd(N3) &amp; ";" &amp; FilterStringsWithX(N3), ";;", ";"),1)=";",LEFT(SUBSTITUTE(FilterWithUnits(N3)&amp; ";" &amp;FilterStringsWithNumericAnd(N3) &amp; ";" &amp; FilterStringsWithX(N3), ";;", ";"),LEN(SUBSTITUTE(FilterWithUnits(N3)&amp; ";" &amp;FilterStringsWithNumericAnd(N3) &amp; ";" &amp; FilterStringsWithX(N3), ";;", ";"))-1),SUBSTITUTE(FilterWithUnits(N3)&amp; ";" &amp;FilterStringsWithNumericAnd(N3) &amp; ";" &amp; FilterStringsWithX(N3), ";;", ";")))-1),IF(RIGHT(SUBSTITUTE(FilterWithUnits(N3)&amp; ";" &amp;FilterStringsWithNumericAnd(N3) &amp; ";" &amp; FilterStringsWithX(N3), ";;", ";"),1)=";",LEFT(SUBSTITUTE(FilterWithUnits(N3)&amp; ";" &amp;FilterStringsWithNumericAnd(N3) &amp; ";" &amp; FilterStringsWithX(N3), ";;", ";"),LEN(SUBSTITUTE(FilterWithUnits(N3)&amp; ";" &amp;FilterStringsWithNumericAnd(N3) &amp; ";" &amp; FilterStringsWithX(N3), ";;", ";"))-1),SUBSTITUTE(FilterWithUnits(N3)&amp; ";" &amp;FilterStringsWithNumericAnd(N3) &amp; ";" &amp; FilterStringsWithX(N3), ";;", ";")))</f>
        <v/>
      </c>
      <c r="P3" t="str" cm="1">
        <f t="array" ref="P3">IF(MaxSize((SplitDimensions(O3)))=0, "", MaxSize((SplitDimensions(O3))))</f>
        <v/>
      </c>
      <c r="Q3" t="str" cm="1">
        <f t="array" ref="Q3">IF(ISERROR(INDEX(_xlfn._xlws.FILTER('Model output'!L:L, ('Model output'!Z:Z=A3)*('Model output'!L:L&lt;&gt;"")), 1)), " ", LOWER(INDEX(_xlfn._xlws.FILTER('Model output'!L:L, ('Model output'!Z:Z=A3)*('Model output'!L:L&lt;&gt;"")), 1)))</f>
        <v>papillary carcinoma</v>
      </c>
      <c r="R3" t="str" cm="1">
        <f t="array" ref="R3">Q3 &amp; " " &amp;IF(ISERROR(INDEX(_xlfn._xlws.FILTER('Model output'!M:M, ('Model output'!Z:Z=A3)*('Model output'!M:M&lt;&gt;"")), 1)), " ", LOWER(INDEX(_xlfn._xlws.FILTER('Model output'!M:M, ('Model output'!Z:Z=A3)*('Model output'!M:M&lt;&gt;"")), 1)))</f>
        <v>papillary carcinoma infiltrative follicular subtype</v>
      </c>
      <c r="S3" t="str" cm="1">
        <f t="array" ref="S3">IF(OR(ISNUMBER(SEARCH("ly",SUBSTITUTE(INDEX(_xlfn._xlws.FILTER('Model output'!N:N,('Model output'!Z:Z=A3)*('Model output'!N:N&lt;&gt;"")),1)," ",""),1)), ISNUMBER(SEARCH("pole",SUBSTITUTE(INDEX(_xlfn._xlws.FILTER('Model output'!N:N,('Model output'!Z:Z=A3)*('Model output'!N:N&lt;&gt;"")),1)," ",""),1))),"",SUBSTITUTE(INDEX(_xlfn._xlws.FILTER('Model output'!N:N,('Model output'!Z:Z=A3)*('Model output'!N:N&lt;&gt;"")),1)," ",""))</f>
        <v>13mm</v>
      </c>
      <c r="T3" t="str" cm="1">
        <f t="array" ref="T3">IF(LEFT(IF(RIGHT(SUBSTITUTE(FilterWithUnits(S3)&amp; ";" &amp;FilterStringsWithNumericAnd(S3) &amp; ";" &amp; FilterStringsWithX(S3), ";;", ";"),1)=";",LEFT(SUBSTITUTE(FilterWithUnits(S3)&amp; ";" &amp;FilterStringsWithNumericAnd(S3) &amp; ";" &amp; FilterStringsWithX(S3), ";;", ";"),LEN(SUBSTITUTE(FilterWithUnits(S3)&amp; ";" &amp;FilterStringsWithNumericAnd(S3) &amp; ";" &amp; FilterStringsWithX(S3), ";;", ";"))-1),SUBSTITUTE(FilterWithUnits(S3)&amp; ";" &amp;FilterStringsWithNumericAnd(S3) &amp; ";" &amp; FilterStringsWithX(S3), ";;", ";")),1)=";",RIGHT(IF(RIGHT(SUBSTITUTE(FilterWithUnits(S3)&amp; ";" &amp;FilterStringsWithNumericAnd(S3) &amp; ";" &amp; FilterStringsWithX(S3), ";;", ";"),1)=";",LEFT(SUBSTITUTE(FilterWithUnits(S3)&amp; ";" &amp;FilterStringsWithNumericAnd(S3) &amp; ";" &amp; FilterStringsWithX(S3), ";;", ";"),LEN(SUBSTITUTE(FilterWithUnits(S3)&amp; ";" &amp;FilterStringsWithNumericAnd(S3) &amp; ";" &amp; FilterStringsWithX(S3), ";;", ";"))-1),SUBSTITUTE(FilterWithUnits(S3)&amp; ";" &amp;FilterStringsWithNumericAnd(S3) &amp; ";" &amp; FilterStringsWithX(S3), ";;", ";")),LEN(IF(RIGHT(SUBSTITUTE(FilterWithUnits(S3)&amp; ";" &amp;FilterStringsWithNumericAnd(S3) &amp; ";" &amp; FilterStringsWithX(S3), ";;", ";"),1)=";",LEFT(SUBSTITUTE(FilterWithUnits(S3)&amp; ";" &amp;FilterStringsWithNumericAnd(S3) &amp; ";" &amp; FilterStringsWithX(S3), ";;", ";"),LEN(SUBSTITUTE(FilterWithUnits(S3)&amp; ";" &amp;FilterStringsWithNumericAnd(S3) &amp; ";" &amp; FilterStringsWithX(S3), ";;", ";"))-1),SUBSTITUTE(FilterWithUnits(S3)&amp; ";" &amp;FilterStringsWithNumericAnd(S3) &amp; ";" &amp; FilterStringsWithX(S3), ";;", ";")))-1),IF(RIGHT(SUBSTITUTE(FilterWithUnits(S3)&amp; ";" &amp;FilterStringsWithNumericAnd(S3) &amp; ";" &amp; FilterStringsWithX(S3), ";;", ";"),1)=";",LEFT(SUBSTITUTE(FilterWithUnits(S3)&amp; ";" &amp;FilterStringsWithNumericAnd(S3) &amp; ";" &amp; FilterStringsWithX(S3), ";;", ";"),LEN(SUBSTITUTE(FilterWithUnits(S3)&amp; ";" &amp;FilterStringsWithNumericAnd(S3) &amp; ";" &amp; FilterStringsWithX(S3), ";;", ";"))-1),SUBSTITUTE(FilterWithUnits(S3)&amp; ";" &amp;FilterStringsWithNumericAnd(S3) &amp; ";" &amp; FilterStringsWithX(S3), ";;", ";")))</f>
        <v>13mm</v>
      </c>
      <c r="U3" cm="1">
        <f t="array" ref="U3">IF(MaxSize((SplitDimensions(T3)))=0, "", MaxSize((SplitDimensions(T3))))</f>
        <v>1.3</v>
      </c>
      <c r="V3" s="17" t="str" cm="1">
        <f t="array" ref="V3">IF(ISERROR(INDEX(_xlfn._xlws.FILTER('Model output'!P:P,('Model output'!Z:Z=A3)*('Model output'!P:P&lt;&gt;"")),1)),"negative",IF(OR(ISNUMBER(SEARCH("foc",INDEX(_xlfn._xlws.FILTER('Model output'!P:P,('Model output'!Z:Z=A3)*('Model output'!P:P&lt;&gt;"")),1),1)),ISNUMBER(SEARCH("extensive",INDEX(_xlfn._xlws.FILTER('Model output'!P:P,('Model output'!Z:Z=A3)*('Model output'!P:P&lt;&gt;"")),1),1)),ISNUMBER(SEARCH("present",INDEX(_xlfn._xlws.FILTER('Model output'!P:P,('Model output'!Z:Z=A3)*('Model output'!P:P&lt;&gt;"")),1),1)),ISNUMBER(SEARCH("yes",INDEX(_xlfn._xlws.FILTER('Model output'!P:P,('Model output'!Z:Z=A3)*('Model output'!P:P&lt;&gt;"")),1),1))),"positive","negative"))</f>
        <v>negative</v>
      </c>
      <c r="X3" t="str" cm="1">
        <f t="array" ref="X3">IF(ISNUMBER(SEARCH("4",INDEX(_xlfn._xlws.FILTER('Model output'!P:P,('Model output'!Z:Z=A3)*('Model output'!P:P&lt;&gt;"")),1),1)),INDEX(_xlfn._xlws.FILTER('Model output'!P:P,('Model output'!Z:Z=A3)*('Model output'!P:P&lt;&gt;"")),1),"") &amp; _xlfn.TEXTJOIN("",TRUE,_xlfn._xlws.FILTER('Model output'!Q:Q,'Model output'!Z:Z=A3))</f>
        <v>Not mentioned</v>
      </c>
      <c r="Y3" t="str">
        <f>IF(V3="negative","no",IF(OR(ISNUMBER(SEARCH("&gt; 4",X3,1)),ISNUMBER(SEARCH("&gt;4",X3,1)),ISNUMBER(SEARCH("4 or more",X3,1)),ISNUMBER(SEARCH("extensive",X3,1))),"extensive","minimal"))</f>
        <v>no</v>
      </c>
      <c r="Z3" t="str" cm="1">
        <f t="array" ref="Z3">IF(OR(ISNUMBER(SEARCH("focal",_xlfn.TEXTJOIN("; ",TRUE,_xlfn._xlws.FILTER('Model output'!R:R,'Model output'!Z:Z=A3)),1)),ISNUMBER(SEARCH("present",_xlfn.TEXTJOIN("; ",TRUE,_xlfn._xlws.FILTER('Model output'!R:R,'Model output'!Z:Z=A3)),1))),"positive",IF(_xlfn.TEXTJOIN("; ",TRUE,_xlfn._xlws.FILTER('Model output'!R:R,'Model output'!Z:Z=A3))="","negative",IF(OR(ISNUMBER(SEARCH("no",_xlfn.TEXTJOIN("; ",TRUE,_xlfn._xlws.FILTER('Model output'!R:R,'Model output'!Z:Z=A3)),1)),ISNUMBER(SEARCH("absent",_xlfn.TEXTJOIN("; ",TRUE,_xlfn._xlws.FILTER('Model output'!R:R,'Model output'!Z:Z=A3)),1))),"negative","positive")))</f>
        <v>negative</v>
      </c>
      <c r="AA3" s="17" t="str">
        <f>IF(OR(ISNUMBER(SEARCH("soft tissue", AF3)), ISNUMBER(SEARCH("adipose tissue", AF3)), ISNUMBER(SEARCH("muscles", AF3)), ISNUMBER(SEARCH("microscopic", AF3)), ISNUMBER(SEARCH("minimal", AF3)), ISNUMBER(SEARCH("surrounding fat", AF3)), ISNUMBER(SEARCH("present", AF3)), ISNUMBER(SEARCH("yes", AF3))), "positive", "negative")</f>
        <v>negative</v>
      </c>
      <c r="AE3" s="17" t="str">
        <f t="shared" ref="AE3:AE4" si="1">IF(OR(ISNUMBER(SEARCH("subcutaneous soft tissues", AF3)),ISNUMBER(SEARCH("strap muscle", AF3)),AND(ISNUMBER(SEARCH("skeletal muscle", AF3)),NOT(ISNUMBER(SEARCH("no involvement of skeletal muscle", AF3)))), ISNUMBER(SEARCH("larynx", AF3)),ISNUMBER(SEARCH("trachea", AF3)),ISNUMBER(SEARCH("esophagus", AF3)), ISNUMBER(SEARCH("recurrent laryngeal nerve", AF3)), ISNUMBER(SEARCH("RLN", AF3))), "positive", "negative")</f>
        <v>negative</v>
      </c>
      <c r="AF3" t="str" cm="1">
        <f t="array" ref="AF3">_xlfn.TEXTJOIN("; ",TRUE,_xlfn._xlws.FILTER('Model output'!S:S,'Model output'!Z:Z=A3))</f>
        <v>Not identified; Not mentioned</v>
      </c>
      <c r="AG3" s="17" t="str" cm="1">
        <f t="array" ref="AG3">IF(OR(ISNUMBER(SEARCH("uninvolved",_xlfn.TEXTJOIN("; ",TRUE,_xlfn._xlws.FILTER('Model output'!V:V,'Model output'!Z:Z=A3)),1)),ISNUMBER(SEARCH("clear",_xlfn.TEXTJOIN("; ",TRUE,_xlfn._xlws.FILTER('Model output'!V:V,'Model output'!Z:Z=A3)),1)),ISNUMBER(SEARCH("not mentioned",_xlfn.TEXTJOIN("; ",TRUE,_xlfn._xlws.FILTER('Model output'!V:V,'Model output'!Z:Z=A3)),1))),"negative","positive")</f>
        <v>negative</v>
      </c>
      <c r="AI3" s="44" t="str">
        <f>IF(OR(ISNUMBER(SEARCH("non-invasive follicular",Q3,1)),ISNUMBER(SEARCH("non-invasive follicular",R3,1))),"NIFTP", IF(OR(K3="positive",AE3="positive",AND(OR(ISNUMBER(SEARCH("follicular", Q3)),ISNUMBER(SEARCH("FTC", Q3))),Y3="extensive"),AND(I3="positive",ISNUMBER(P3),P3&gt;3),AL3=1),"high",IF(OR(ISNUMBER(SEARCH("positive",AA3,1)),ISNUMBER(SEARCH("tall",R3,1)),ISNUMBER(SEARCH("hobnail",R3,1)),ISNUMBER(SEARCH("cribriform",R3,1)),ISNUMBER(SEARCH("diffuse",R3,1)),ISNUMBER(SEARCH("columnar",R3,1)),ISNUMBER(SEARCH("solid",R3,1)),ISNUMBER(SEARCH("tall",Q3,1)),ISNUMBER(SEARCH("hobnail",Q3,1)),ISNUMBER(SEARCH("cribriform",Q3,1)),ISNUMBER(SEARCH("diffuse",Q3,1)),ISNUMBER(SEARCH("columnar",Q3,1)),ISNUMBER(SEARCH("solid",Q3,1)),AND(OR(ISNUMBER(SEARCH("papillary carcinoma",Q3,1)),ISNUMBER(SEARCH("papillary microcarcinoma",Q3,1))),V3="positive"),,AND(AND(ISNUMBER(M3),M3&gt;=5),P3=""),AND(AND(ISNUMBER(M3),M3&gt;=5),AND(ISNUMBER(P3),P3&gt;=1)),J3="lateral"),"intermediate","low")))</f>
        <v>low</v>
      </c>
      <c r="AJ3" s="36" t="str">
        <f t="shared" ref="AJ3:AJ31" si="2">IF(OR(ISNUMBER(SEARCH("non-invasive follicular",Q3)),ISNUMBER(SEARCH("papillary-like nuclear features",Q3)),ISNUMBER(SEARCH("non-invasive follicular",R3)),ISNUMBER(SEARCH("papillary-like nuclear features",R3))),"NIFTP", IF(OR(F3="4b",AND(AE3="positive",OR(ISNUMBER(SEARCH("prevertebral",AF3)),ISNUMBER(SEARCH("fascia",AF3)),ISNUMBER(SEARCH("carotid artery",AF3)),ISNUMBER(SEARCH("mediastinal",AF3))))),"4b",IF(OR(F3="4a",AND(AE3="positive",OR(ISNUMBER(SEARCH("soft tissue",AF3)),ISNUMBER(SEARCH("larynx",AF3)),ISNUMBER(SEARCH("trachea",AF3)),ISNUMBER(SEARCH("esophagus",AF3)),ISNUMBER(SEARCH("recurrent laryngeal nerve",AF3)),ISNUMBER(SEARCH("RLN",AF3))))),"4a", IF(OR(F3="3b", AE3="positive",ISNUMBER(SEARCH("strap",AF3)),ISNUMBER(SEARCH("sternothyroid",AF3)),ISNUMBER(SEARCH("sternohyoid",AF3)),ISNUMBER(SEARCH("thyrohyoid",AF3)),ISNUMBER(SEARCH("omohyoid",AF3))),"3b",IF(OR(F3="3a", AND(U3&lt;&gt;"",U3&gt;4)),"3a",IF(AND(U3&lt;&gt;"", U3&lt;=4,U3&gt;2),"2",IF(AND(U3&lt;&gt;"",U3&lt;=2,U3&gt;1),"1b",IF(AND(U3&lt;&gt;"",U3&lt;=1),"1a","1a"))))))))</f>
        <v>1b</v>
      </c>
      <c r="AK3" s="36" t="str">
        <f t="shared" ref="AK3:AK37" si="3">IF(OR(ISNUMBER(SEARCH("non-invasive follicular",Q3,1)),ISNUMBER(SEARCH("non-invasive follicular",R3,1))),"NIFTP",IF(AND(M3&gt;0,I3="positive",J3="central"),"1a",IF(AND(M3&gt;0,I3="positive",J3="lateral"),"1b",IF(AND(M3=0,L3=0),"x",0))))</f>
        <v>x</v>
      </c>
      <c r="AL3" s="36">
        <f t="shared" ref="AL3:AL37" si="4">IF(OR(ISNUMBER(SEARCH("non-invasive follicular",Q3,1)),ISNUMBER(SEARCH("non-invasive follicular",R3,1))),"NIFTP",IF(K3="unknown","x",IF(K3="negative",0,1)))</f>
        <v>0</v>
      </c>
      <c r="AM3" s="36" t="str">
        <f t="shared" ref="AM3:AM37" si="5">IF(OR(ISNUMBER(SEARCH("non-invasive follicular",Q3,1)),ISNUMBER(SEARCH("non-invasive follicular",R3,1))),"NIFTP",IF(AND(E3&lt;55,AL3=0),"I",IF(AND(E3&lt;55,AL3=1),"II",IF(AL3=1,"IVB",IF(AND(AJ3="4b",AL3=0),"IVA",IF(AND(AJ3="4a",AL3=0),"III",IF(AND(OR(AJ3="3a",AJ3="3b"),AL3=0),"II",IF(AND(AJ3="2",OR(AK3="1",AK3="1a",AK3="1b"),AL3=0),"II",IF(AND(OR(AJ3="1a",AJ3="1b",AJ3="1",AJ3="1 "),OR(AK3="1",AK3="1a",AK3="1b"),AL3=0),"II","I")))))))))</f>
        <v>I</v>
      </c>
      <c r="AN3" s="37" t="s">
        <v>166</v>
      </c>
      <c r="AO3" s="38" t="s">
        <v>201</v>
      </c>
      <c r="AP3" s="38" t="s">
        <v>202</v>
      </c>
      <c r="AQ3" s="38">
        <v>0</v>
      </c>
      <c r="AR3" s="38" t="s">
        <v>31</v>
      </c>
      <c r="AS3" s="37">
        <f t="shared" ref="AS3:AS37" si="6">IF(AN3=AI3,1,0)</f>
        <v>1</v>
      </c>
      <c r="AT3" s="38">
        <f t="shared" ref="AT3:AT37" si="7">IF(AO3=AJ3,1,0)</f>
        <v>1</v>
      </c>
      <c r="AU3" s="38">
        <f t="shared" ref="AU3:AU37" si="8">IF(AK3=AP3,1,IF(OR(AND(AP3="x",AK3=0),AND(AK3="x",AP3=0)),1,0))</f>
        <v>1</v>
      </c>
      <c r="AV3" s="38">
        <f t="shared" ref="AV3:AV37" si="9">IF(AQ3=AL3,1,0)</f>
        <v>1</v>
      </c>
      <c r="AW3" s="39">
        <f t="shared" ref="AW3:AW37" si="10">IF(AR3=AM3,1,0)</f>
        <v>1</v>
      </c>
    </row>
    <row r="4" spans="1:49">
      <c r="A4" s="13">
        <v>2</v>
      </c>
      <c r="B4" s="16">
        <f>_xlfn.MAXIFS('Model output'!B:B,'Model output'!Z:Z,'Classification result'!$A4)</f>
        <v>45348</v>
      </c>
      <c r="C4" s="16"/>
      <c r="D4" s="16"/>
      <c r="E4" s="17">
        <f>_xlfn.MAXIFS('Model output'!C:C,'Model output'!Z:Z,'Classification result'!$A4)</f>
        <v>39</v>
      </c>
      <c r="F4" s="17" t="str" cm="1">
        <f t="array" ref="F4">LEFT(IF(ISERROR(RIGHT(IF(INDEX(_xlfn._xlws.FILTER('Model output'!D:D,('Model output'!Z:Z=A4)),1)&lt;&gt;"",INDEX(_xlfn._xlws.FILTER('Model output'!D:D,('Model output'!Z:Z=A4)),1),""),LEN(IF(INDEX(_xlfn._xlws.FILTER('Model output'!D:D,('Model output'!Z:Z=A4)),1)&lt;&gt;"",INDEX(_xlfn._xlws.FILTER('Model output'!D:D,('Model output'!Z:Z=A4)),1),""))-FIND("T",IF(INDEX(_xlfn._xlws.FILTER('Model output'!D:D,('Model output'!Z:Z=A4)),1)&lt;&gt;"",INDEX(_xlfn._xlws.FILTER('Model output'!D:D,('Model output'!Z:Z=A4)),1),""),1))),"",(RIGHT(IF(INDEX(_xlfn._xlws.FILTER('Model output'!D:D,('Model output'!Z:Z=A4)),1)&lt;&gt;"",INDEX(_xlfn._xlws.FILTER('Model output'!D:D,('Model output'!Z:Z=A4)),1),""),LEN(IF(INDEX(_xlfn._xlws.FILTER('Model output'!D:D,('Model output'!Z:Z=A4)),1)&lt;&gt;"",INDEX(_xlfn._xlws.FILTER('Model output'!D:D,('Model output'!Z:Z=A4)),1),""))-FIND("T",IF(INDEX(_xlfn._xlws.FILTER('Model output'!D:D,('Model output'!Z:Z=A4)),1)&lt;&gt;"",INDEX(_xlfn._xlws.FILTER('Model output'!D:D,('Model output'!Z:Z=A4)),1)))))),2)</f>
        <v>2</v>
      </c>
      <c r="G4" s="17" t="str" cm="1">
        <f t="array" ref="G4">IF(ISNUMBER(SEARCH("N",IF(ISNUMBER(SEARCH("present",IF(INDEX(_xlfn._xlws.FILTER('Model output'!E:E,('Model output'!Z:Z=A4)),1)="","",INDEX(_xlfn._xlws.FILTER('Model output'!E:E,('Model output'!Z:Z=A4)),1)),1)),"N1", IF(INDEX(_xlfn._xlws.FILTER('Model output'!E:E,('Model output'!Z:Z=A4)),1)="","",INDEX(_xlfn._xlws.FILTER('Model output'!E:E,('Model output'!Z:Z=A4)),1))),1)),RIGHT(IF(ISNUMBER(SEARCH("present",IF(INDEX(_xlfn._xlws.FILTER('Model output'!E:E,('Model output'!Z:Z=A4)),1)="","",INDEX(_xlfn._xlws.FILTER('Model output'!E:E,('Model output'!Z:Z=A4)),1)),1)),"N1", IF(INDEX(_xlfn._xlws.FILTER('Model output'!E:E,('Model output'!Z:Z=A4)),1)="","",INDEX(_xlfn._xlws.FILTER('Model output'!E:E,('Model output'!Z:Z=A4)),1))),LEN(IF(ISNUMBER(SEARCH("present",IF(INDEX(_xlfn._xlws.FILTER('Model output'!E:E,('Model output'!Z:Z=A4)),1)="","",INDEX(_xlfn._xlws.FILTER('Model output'!E:E,('Model output'!Z:Z=A4)),1)),1)),"N1", IF(INDEX(_xlfn._xlws.FILTER('Model output'!E:E,('Model output'!Z:Z=A4)),1)="","",INDEX(_xlfn._xlws.FILTER('Model output'!E:E,('Model output'!Z:Z=A4)),1))))-FIND("N",IF(ISNUMBER(SEARCH("present",IF(INDEX(_xlfn._xlws.FILTER('Model output'!E:E,('Model output'!Z:Z=A4)),1)="","",INDEX(_xlfn._xlws.FILTER('Model output'!E:E,('Model output'!Z:Z=A4)),1)),1)),"N1", IF(INDEX(_xlfn._xlws.FILTER('Model output'!E:E,('Model output'!Z:Z=A4)),1)="","",INDEX(_xlfn._xlws.FILTER('Model output'!E:E,('Model output'!Z:Z=A4)),1))),1)), "")</f>
        <v/>
      </c>
      <c r="H4" s="17" cm="1">
        <f t="array" ref="H4">IF(AND(SUBSTITUTE(_xlfn.TEXTJOIN("/", TRUE, _xlfn._xlws.FILTER('Model output'!F:F, 'Model output'!Z:Z=A4)),"M", "")="", K4="negative"),0,IF(K4="positive",1,0))</f>
        <v>0</v>
      </c>
      <c r="I4" t="str">
        <f t="shared" si="0"/>
        <v/>
      </c>
      <c r="J4" t="str" cm="1">
        <f t="array" ref="J4">IF(AND(M4&gt;0, _xlfn.TEXTJOIN("; ", TRUE, _xlfn._xlws.FILTER('Model output'!G:G, 'Model output'!Z:Z=A4)) &lt;&gt;"", OR(AND(ISNUMBER(SEARCH("level", _xlfn.TEXTJOIN("; ", TRUE, _xlfn._xlws.FILTER('Model output'!G:G, 'Model output'!Z:Z=A4)),1)),OR(ISNUMBER(SEARCH(" II", _xlfn.TEXTJOIN("; ", TRUE, _xlfn._xlws.FILTER('Model output'!G:G, 'Model output'!Z:Z=A4)),1)),ISNUMBER(SEARCH("2", _xlfn.TEXTJOIN("; ", TRUE, _xlfn._xlws.FILTER('Model output'!G:G, 'Model output'!Z:Z=A4)),1)),ISNUMBER(SEARCH("two", _xlfn.TEXTJOIN("; ", TRUE, _xlfn._xlws.FILTER('Model output'!G:G, 'Model output'!Z:Z=A4)),1)),ISNUMBER(SEARCH("III", _xlfn.TEXTJOIN("; ", TRUE, _xlfn._xlws.FILTER('Model output'!G:G, 'Model output'!Z:Z=A4)),1)),ISNUMBER(SEARCH("3", _xlfn.TEXTJOIN("; ", TRUE, _xlfn._xlws.FILTER('Model output'!G:G, 'Model output'!Z:Z=A4)),1)),ISNUMBER(SEARCH("three", _xlfn.TEXTJOIN("; ", TRUE, _xlfn._xlws.FILTER('Model output'!G:G, 'Model output'!Z:Z=A4)),1)),ISNUMBER(SEARCH("IV", _xlfn.TEXTJOIN("; ", TRUE, _xlfn._xlws.FILTER('Model output'!G:G, 'Model output'!Z:Z=A4)),1)),ISNUMBER(SEARCH("4", _xlfn.TEXTJOIN("; ", TRUE, _xlfn._xlws.FILTER('Model output'!G:G, 'Model output'!Z:Z=A4)),1)),ISNUMBER(SEARCH("five", _xlfn.TEXTJOIN("; ", TRUE, _xlfn._xlws.FILTER('Model output'!G:G, 'Model output'!Z:Z=A4)),1)),ISNUMBER(SEARCH("V ", _xlfn.TEXTJOIN("; ", TRUE, _xlfn._xlws.FILTER('Model output'!G:G, 'Model output'!Z:Z=A4)),1)),ISNUMBER(SEARCH("5", _xlfn.TEXTJOIN("; ", TRUE, _xlfn._xlws.FILTER('Model output'!G:G, 'Model output'!Z:Z=A4)),1)),ISNUMBER(SEARCH("five", _xlfn.TEXTJOIN("; ", TRUE, _xlfn._xlws.FILTER('Model output'!G:G, 'Model output'!Z:Z=A4)),1)),ISNUMBER(SEARCH(" lateral", _xlfn.TEXTJOIN("; ", TRUE, _xlfn._xlws.FILTER('Model output'!G:G, 'Model output'!Z:Z=A4)),1)))),ISNUMBER(SEARCH("cervical", _xlfn.TEXTJOIN("; ", TRUE, _xlfn._xlws.FILTER('Model output'!G:G, 'Model output'!Z:Z=A4)),1)),ISNUMBER(SEARCH("jugular", _xlfn.TEXTJOIN("; ", TRUE, _xlfn._xlws.FILTER('Model output'!G:G, 'Model output'!Z:Z=A4)),1)),ISNUMBER(SEARCH("left neck", _xlfn.TEXTJOIN("; ", TRUE, _xlfn._xlws.FILTER('Model output'!G:G, 'Model output'!Z:Z=A4)),1)),ISNUMBER(SEARCH("left anterior neck", _xlfn.TEXTJOIN("; ", TRUE, _xlfn._xlws.FILTER('Model output'!G:G, 'Model output'!Z:Z=A4)),1)),ISNUMBER(SEARCH("left posterior neck", _xlfn.TEXTJOIN("; ", TRUE, _xlfn._xlws.FILTER('Model output'!G:G, 'Model output'!Z:Z=A4)),1)),ISNUMBER(SEARCH("right neck", _xlfn.TEXTJOIN("; ", TRUE, _xlfn._xlws.FILTER('Model output'!G:G, 'Model output'!Z:Z=A4)),1)),ISNUMBER(SEARCH("right anterior neck", _xlfn.TEXTJOIN("; ", TRUE, _xlfn._xlws.FILTER('Model output'!G:G, 'Model output'!Z:Z=A4)),1)),ISNUMBER(SEARCH("right posterior neck", _xlfn.TEXTJOIN("; ", TRUE, _xlfn._xlws.FILTER('Model output'!G:G, 'Model output'!Z:Z=A4)),1)))),"lateral",IF(AND(M4=0, _xlfn.TEXTJOIN("; ", TRUE, _xlfn._xlws.FILTER('Model output'!G:G, 'Model output'!Z:Z=A4))=""),"", "central"))</f>
        <v/>
      </c>
      <c r="K4" s="17" t="str" cm="1">
        <f t="array" ref="K4">IF(OR(ISNUMBER(SEARCH("lymph",_xlfn.TEXTJOIN("; ", TRUE, _xlfn._xlws.FILTER('Model output'!H:H, 'Model output'!Z:Z=A4)),1)), ISNUMBER(SEARCH("Not mentioned",_xlfn.TEXTJOIN("; ", TRUE, _xlfn._xlws.FILTER('Model output'!H:H, 'Model output'!Z:Z=A4)),1)),ISNUMBER(SEARCH("subcutaneous soft tissues",_xlfn.TEXTJOIN("; ", TRUE, _xlfn._xlws.FILTER('Model output'!H:H, 'Model output'!Z:Z=A4)),1)),ISNUMBER(SEARCH("larynx",_xlfn.TEXTJOIN("; ", TRUE, _xlfn._xlws.FILTER('Model output'!H:H, 'Model output'!Z:Z=A4)),1)),ISNUMBER(SEARCH("trachea",_xlfn.TEXTJOIN("; ", TRUE, _xlfn._xlws.FILTER('Model output'!H:H, 'Model output'!Z:Z=A4)),1)),ISNUMBER(SEARCH("esophagus",_xlfn.TEXTJOIN("; ", TRUE, _xlfn._xlws.FILTER('Model output'!H:H, 'Model output'!Z:Z=A4)),1)),ISNUMBER(SEARCH("recurrent laryngeal nerve",_xlfn.TEXTJOIN("; ", TRUE, _xlfn._xlws.FILTER('Model output'!H:H, 'Model output'!Z:Z=A4)),1)),ISNUMBER(SEARCH("strap muscle",_xlfn.TEXTJOIN("; ", TRUE, _xlfn._xlws.FILTER('Model output'!H:H, 'Model output'!Z:Z=A4)),1)),ISNUMBER(SEARCH("thyroid",_xlfn.TEXTJOIN("; ", TRUE, _xlfn._xlws.FILTER('Model output'!H:H, 'Model output'!Z:Z=A4)),1)),ISNUMBER(SEARCH("RLN",_xlfn.TEXTJOIN("; ", TRUE, _xlfn._xlws.FILTER('Model output'!H:H, 'Model output'!Z:Z=A4)),1)),_xlfn.TEXTJOIN("; ", TRUE, _xlfn._xlws.FILTER('Model output'!H:H, 'Model output'!Z:Z=A4))=""),"negative","positive")</f>
        <v>negative</v>
      </c>
      <c r="N4" s="18" t="str" cm="1">
        <f t="array" ref="N4">ReplaceTo(ReplaceAnd(SUBSTITUTE(SUBSTITUTE(_xlfn.TEXTJOIN("; ", TRUE, _xlfn._xlws.FILTER('Model output'!K:K, 'Model output'!Z:Z=A4)), " ", ""), ",", ";")))</f>
        <v>23g</v>
      </c>
      <c r="O4" t="str" cm="1">
        <f t="array" ref="O4">IF(LEFT(IF(RIGHT(SUBSTITUTE(FilterWithUnits(N4)&amp; ";" &amp;FilterStringsWithNumericAnd(N4) &amp; ";" &amp; FilterStringsWithX(N4), ";;", ";"),1)=";",LEFT(SUBSTITUTE(FilterWithUnits(N4)&amp; ";" &amp;FilterStringsWithNumericAnd(N4) &amp; ";" &amp; FilterStringsWithX(N4), ";;", ";"),LEN(SUBSTITUTE(FilterWithUnits(N4)&amp; ";" &amp;FilterStringsWithNumericAnd(N4) &amp; ";" &amp; FilterStringsWithX(N4), ";;", ";"))-1),SUBSTITUTE(FilterWithUnits(N4)&amp; ";" &amp;FilterStringsWithNumericAnd(N4) &amp; ";" &amp; FilterStringsWithX(N4), ";;", ";")),1)=";",RIGHT(IF(RIGHT(SUBSTITUTE(FilterWithUnits(N4)&amp; ";" &amp;FilterStringsWithNumericAnd(N4) &amp; ";" &amp; FilterStringsWithX(N4), ";;", ";"),1)=";",LEFT(SUBSTITUTE(FilterWithUnits(N4)&amp; ";" &amp;FilterStringsWithNumericAnd(N4) &amp; ";" &amp; FilterStringsWithX(N4), ";;", ";"),LEN(SUBSTITUTE(FilterWithUnits(N4)&amp; ";" &amp;FilterStringsWithNumericAnd(N4) &amp; ";" &amp; FilterStringsWithX(N4), ";;", ";"))-1),SUBSTITUTE(FilterWithUnits(N4)&amp; ";" &amp;FilterStringsWithNumericAnd(N4) &amp; ";" &amp; FilterStringsWithX(N4), ";;", ";")),LEN(IF(RIGHT(SUBSTITUTE(FilterWithUnits(N4)&amp; ";" &amp;FilterStringsWithNumericAnd(N4) &amp; ";" &amp; FilterStringsWithX(N4), ";;", ";"),1)=";",LEFT(SUBSTITUTE(FilterWithUnits(N4)&amp; ";" &amp;FilterStringsWithNumericAnd(N4) &amp; ";" &amp; FilterStringsWithX(N4), ";;", ";"),LEN(SUBSTITUTE(FilterWithUnits(N4)&amp; ";" &amp;FilterStringsWithNumericAnd(N4) &amp; ";" &amp; FilterStringsWithX(N4), ";;", ";"))-1),SUBSTITUTE(FilterWithUnits(N4)&amp; ";" &amp;FilterStringsWithNumericAnd(N4) &amp; ";" &amp; FilterStringsWithX(N4), ";;", ";")))-1),IF(RIGHT(SUBSTITUTE(FilterWithUnits(N4)&amp; ";" &amp;FilterStringsWithNumericAnd(N4) &amp; ";" &amp; FilterStringsWithX(N4), ";;", ";"),1)=";",LEFT(SUBSTITUTE(FilterWithUnits(N4)&amp; ";" &amp;FilterStringsWithNumericAnd(N4) &amp; ";" &amp; FilterStringsWithX(N4), ";;", ";"),LEN(SUBSTITUTE(FilterWithUnits(N4)&amp; ";" &amp;FilterStringsWithNumericAnd(N4) &amp; ";" &amp; FilterStringsWithX(N4), ";;", ";"))-1),SUBSTITUTE(FilterWithUnits(N4)&amp; ";" &amp;FilterStringsWithNumericAnd(N4) &amp; ";" &amp; FilterStringsWithX(N4), ";;", ";")))</f>
        <v/>
      </c>
      <c r="P4" t="str" cm="1">
        <f t="array" ref="P4">IF(MaxSize((SplitDimensions(O4)))=0, "", MaxSize((SplitDimensions(O4))))</f>
        <v/>
      </c>
      <c r="Q4" t="str" cm="1">
        <f t="array" ref="Q4">IF(ISERROR(INDEX(_xlfn._xlws.FILTER('Model output'!L:L, ('Model output'!Z:Z=A4)*('Model output'!L:L&lt;&gt;"")), 1)), " ", LOWER(INDEX(_xlfn._xlws.FILTER('Model output'!L:L, ('Model output'!Z:Z=A4)*('Model output'!L:L&lt;&gt;"")), 1)))</f>
        <v>papillary carcinoma, classic subtype</v>
      </c>
      <c r="R4" t="str" cm="1">
        <f t="array" ref="R4">IF(ISERROR(INDEX(_xlfn._xlws.FILTER('Model output'!M:M, ('Model output'!Z:Z=A4)*('Model output'!M:M&lt;&gt;"")), 1)), " ", LOWER(INDEX(_xlfn._xlws.FILTER('Model output'!M:M, ('Model output'!Z:Z=A4)*('Model output'!M:M&lt;&gt;"")), 1)))</f>
        <v xml:space="preserve"> </v>
      </c>
      <c r="S4" t="str" cm="1">
        <f t="array" ref="S4">IF(OR(ISNUMBER(SEARCH("ly",SUBSTITUTE(INDEX(_xlfn._xlws.FILTER('Model output'!N:N,('Model output'!Z:Z=A4)*('Model output'!N:N&lt;&gt;"")),1)," ",""),1)), ISNUMBER(SEARCH("pole",SUBSTITUTE(INDEX(_xlfn._xlws.FILTER('Model output'!N:N,('Model output'!Z:Z=A4)*('Model output'!N:N&lt;&gt;"")),1)," ",""),1))),"",SUBSTITUTE(INDEX(_xlfn._xlws.FILTER('Model output'!N:N,('Model output'!Z:Z=A4)*('Model output'!N:N&lt;&gt;"")),1)," ",""))</f>
        <v>30mm</v>
      </c>
      <c r="T4" t="str" cm="1">
        <f t="array" ref="T4">IF(LEFT(IF(RIGHT(SUBSTITUTE(FilterWithUnits(S4)&amp; ";" &amp;FilterStringsWithNumericAnd(S4) &amp; ";" &amp; FilterStringsWithX(S4), ";;", ";"),1)=";",LEFT(SUBSTITUTE(FilterWithUnits(S4)&amp; ";" &amp;FilterStringsWithNumericAnd(S4) &amp; ";" &amp; FilterStringsWithX(S4), ";;", ";"),LEN(SUBSTITUTE(FilterWithUnits(S4)&amp; ";" &amp;FilterStringsWithNumericAnd(S4) &amp; ";" &amp; FilterStringsWithX(S4), ";;", ";"))-1),SUBSTITUTE(FilterWithUnits(S4)&amp; ";" &amp;FilterStringsWithNumericAnd(S4) &amp; ";" &amp; FilterStringsWithX(S4), ";;", ";")),1)=";",RIGHT(IF(RIGHT(SUBSTITUTE(FilterWithUnits(S4)&amp; ";" &amp;FilterStringsWithNumericAnd(S4) &amp; ";" &amp; FilterStringsWithX(S4), ";;", ";"),1)=";",LEFT(SUBSTITUTE(FilterWithUnits(S4)&amp; ";" &amp;FilterStringsWithNumericAnd(S4) &amp; ";" &amp; FilterStringsWithX(S4), ";;", ";"),LEN(SUBSTITUTE(FilterWithUnits(S4)&amp; ";" &amp;FilterStringsWithNumericAnd(S4) &amp; ";" &amp; FilterStringsWithX(S4), ";;", ";"))-1),SUBSTITUTE(FilterWithUnits(S4)&amp; ";" &amp;FilterStringsWithNumericAnd(S4) &amp; ";" &amp; FilterStringsWithX(S4), ";;", ";")),LEN(IF(RIGHT(SUBSTITUTE(FilterWithUnits(S4)&amp; ";" &amp;FilterStringsWithNumericAnd(S4) &amp; ";" &amp; FilterStringsWithX(S4), ";;", ";"),1)=";",LEFT(SUBSTITUTE(FilterWithUnits(S4)&amp; ";" &amp;FilterStringsWithNumericAnd(S4) &amp; ";" &amp; FilterStringsWithX(S4), ";;", ";"),LEN(SUBSTITUTE(FilterWithUnits(S4)&amp; ";" &amp;FilterStringsWithNumericAnd(S4) &amp; ";" &amp; FilterStringsWithX(S4), ";;", ";"))-1),SUBSTITUTE(FilterWithUnits(S4)&amp; ";" &amp;FilterStringsWithNumericAnd(S4) &amp; ";" &amp; FilterStringsWithX(S4), ";;", ";")))-1),IF(RIGHT(SUBSTITUTE(FilterWithUnits(S4)&amp; ";" &amp;FilterStringsWithNumericAnd(S4) &amp; ";" &amp; FilterStringsWithX(S4), ";;", ";"),1)=";",LEFT(SUBSTITUTE(FilterWithUnits(S4)&amp; ";" &amp;FilterStringsWithNumericAnd(S4) &amp; ";" &amp; FilterStringsWithX(S4), ";;", ";"),LEN(SUBSTITUTE(FilterWithUnits(S4)&amp; ";" &amp;FilterStringsWithNumericAnd(S4) &amp; ";" &amp; FilterStringsWithX(S4), ";;", ";"))-1),SUBSTITUTE(FilterWithUnits(S4)&amp; ";" &amp;FilterStringsWithNumericAnd(S4) &amp; ";" &amp; FilterStringsWithX(S4), ";;", ";")))</f>
        <v>30mm</v>
      </c>
      <c r="U4" cm="1">
        <f t="array" ref="U4">IF(MaxSize((SplitDimensions(T4)))=0, "", MaxSize((SplitDimensions(T4))))</f>
        <v>3</v>
      </c>
      <c r="V4" s="17" t="str" cm="1">
        <f t="array" ref="V4">IF(ISERROR(INDEX(_xlfn._xlws.FILTER('Model output'!P:P,('Model output'!Z:Z=A4)*('Model output'!P:P&lt;&gt;"")),1)),"negative",IF(OR(ISNUMBER(SEARCH("foc",INDEX(_xlfn._xlws.FILTER('Model output'!P:P,('Model output'!Z:Z=A4)*('Model output'!P:P&lt;&gt;"")),1),1)),ISNUMBER(SEARCH("extensive",INDEX(_xlfn._xlws.FILTER('Model output'!P:P,('Model output'!Z:Z=A4)*('Model output'!P:P&lt;&gt;"")),1),1)),ISNUMBER(SEARCH("present",INDEX(_xlfn._xlws.FILTER('Model output'!P:P,('Model output'!Z:Z=A4)*('Model output'!P:P&lt;&gt;"")),1),1)),ISNUMBER(SEARCH("yes",INDEX(_xlfn._xlws.FILTER('Model output'!P:P,('Model output'!Z:Z=A4)*('Model output'!P:P&lt;&gt;"")),1),1))),"positive","negative"))</f>
        <v>negative</v>
      </c>
      <c r="X4" t="str" cm="1">
        <f t="array" ref="X4">IF(ISNUMBER(SEARCH("4",INDEX(_xlfn._xlws.FILTER('Model output'!P:P,('Model output'!Z:Z=A4)*('Model output'!P:P&lt;&gt;"")),1),1)),INDEX(_xlfn._xlws.FILTER('Model output'!P:P,('Model output'!Z:Z=A4)*('Model output'!P:P&lt;&gt;"")),1),"") &amp; _xlfn.TEXTJOIN("",TRUE,_xlfn._xlws.FILTER('Model output'!Q:Q,'Model output'!Z:Z=A4))</f>
        <v>Not mentioned</v>
      </c>
      <c r="Y4" t="str">
        <f t="shared" ref="Y4:Y37" si="11">IF(V4="negative","no",IF(OR(ISNUMBER(SEARCH("&gt; 4",X4,1)),ISNUMBER(SEARCH("&gt;4",X4,1)),ISNUMBER(SEARCH("4 or more",X4,1)),ISNUMBER(SEARCH("extensive",X4,1))),"extensive","minimal"))</f>
        <v>no</v>
      </c>
      <c r="Z4" t="str" cm="1">
        <f t="array" ref="Z4">IF(OR(ISNUMBER(SEARCH("focal",_xlfn.TEXTJOIN("; ",TRUE,_xlfn._xlws.FILTER('Model output'!R:R,'Model output'!Z:Z=A4)),1)),ISNUMBER(SEARCH("present",_xlfn.TEXTJOIN("; ",TRUE,_xlfn._xlws.FILTER('Model output'!R:R,'Model output'!Z:Z=A4)),1))),"positive",IF(_xlfn.TEXTJOIN("; ",TRUE,_xlfn._xlws.FILTER('Model output'!R:R,'Model output'!Z:Z=A4))="","negative",IF(OR(ISNUMBER(SEARCH("no",_xlfn.TEXTJOIN("; ",TRUE,_xlfn._xlws.FILTER('Model output'!R:R,'Model output'!Z:Z=A4)),1)),ISNUMBER(SEARCH("absent",_xlfn.TEXTJOIN("; ",TRUE,_xlfn._xlws.FILTER('Model output'!R:R,'Model output'!Z:Z=A4)),1))),"negative","positive")))</f>
        <v>positive</v>
      </c>
      <c r="AA4" s="17" t="str">
        <f t="shared" ref="AA4:AA37" si="12">IF(OR(ISNUMBER(SEARCH("soft tissue", AF4)), ISNUMBER(SEARCH("adipose tissue", AF4)), ISNUMBER(SEARCH("muscles", AF4)), ISNUMBER(SEARCH("microscopic", AF4)), ISNUMBER(SEARCH("minimal", AF4)), ISNUMBER(SEARCH("surrounding fat", AF4)), ISNUMBER(SEARCH("present", AF4)), ISNUMBER(SEARCH("yes", AF4))), "positive", "negative")</f>
        <v>negative</v>
      </c>
      <c r="AE4" s="17" t="str">
        <f t="shared" si="1"/>
        <v>negative</v>
      </c>
      <c r="AF4" t="str" cm="1">
        <f t="array" ref="AF4">_xlfn.TEXTJOIN("; ",TRUE,_xlfn._xlws.FILTER('Model output'!S:S,'Model output'!Z:Z=A4))</f>
        <v>Not identified; Not mentioned</v>
      </c>
      <c r="AG4" s="17" t="str" cm="1">
        <f t="array" ref="AG4">IF(OR(ISNUMBER(SEARCH("uninvolved",_xlfn.TEXTJOIN("; ",TRUE,_xlfn._xlws.FILTER('Model output'!V:V,'Model output'!Z:Z=A4)),1)),ISNUMBER(SEARCH("clear",_xlfn.TEXTJOIN("; ",TRUE,_xlfn._xlws.FILTER('Model output'!V:V,'Model output'!Z:Z=A4)),1))*ISNUMBER(SEARCH("not mentioned",_xlfn.TEXTJOIN("; ",TRUE,_xlfn._xlws.FILTER('Model output'!V:V,'Model output'!Z:Z=A4)),1))),"negative",IF(ISNUMBER(SEARCH("cannot be assessed",_xlfn.TEXTJOIN("; ",TRUE,_xlfn._xlws.FILTER('Model output'!V:V,'Model output'!Z:Z=A4)),1)),"unknown","negative"))</f>
        <v>negative</v>
      </c>
      <c r="AI4" s="45" t="str">
        <f t="shared" ref="AI4:AI37" si="13">IF(OR(ISNUMBER(SEARCH("non-invasive follicular",Q4,1)),ISNUMBER(SEARCH("non-invasive follicular",R4,1))),"NIFTP", IF(OR(K4="positive",AE4="positive",AND(OR(ISNUMBER(SEARCH("follicular", Q4)),ISNUMBER(SEARCH("FTC", Q4))),Y4="extensive"),AND(I4="positive",ISNUMBER(P4),P4&gt;3),AL4=1),"high",IF(OR(ISNUMBER(SEARCH("positive",AA4,1)),ISNUMBER(SEARCH("tall",R4,1)),ISNUMBER(SEARCH("hobnail",R4,1)),ISNUMBER(SEARCH("cribriform",R4,1)),ISNUMBER(SEARCH("diffuse",R4,1)),ISNUMBER(SEARCH("columnar",R4,1)),ISNUMBER(SEARCH("solid",R4,1)),ISNUMBER(SEARCH("tall",Q4,1)),ISNUMBER(SEARCH("hobnail",Q4,1)),ISNUMBER(SEARCH("cribriform",Q4,1)),ISNUMBER(SEARCH("diffuse",Q4,1)),ISNUMBER(SEARCH("columnar",Q4,1)),ISNUMBER(SEARCH("solid",Q4,1)),AND(OR(ISNUMBER(SEARCH("papillary carcinoma",Q4,1)),ISNUMBER(SEARCH("papillary microcarcinoma",Q4,1))),V4="positive"),,AND(AND(ISNUMBER(M4),M4&gt;=5),P4=""),AND(AND(ISNUMBER(M4),M4&gt;=5),AND(ISNUMBER(P4),P4&gt;=1)),J4="lateral"),"intermediate","low")))</f>
        <v>low</v>
      </c>
      <c r="AJ4" s="36" t="str">
        <f t="shared" si="2"/>
        <v>2</v>
      </c>
      <c r="AK4" s="36" t="str">
        <f t="shared" si="3"/>
        <v>x</v>
      </c>
      <c r="AL4" s="36">
        <f t="shared" si="4"/>
        <v>0</v>
      </c>
      <c r="AM4" s="36" t="str">
        <f t="shared" si="5"/>
        <v>I</v>
      </c>
      <c r="AN4" s="37" t="s">
        <v>166</v>
      </c>
      <c r="AO4" s="38" t="s">
        <v>423</v>
      </c>
      <c r="AP4" s="38" t="s">
        <v>202</v>
      </c>
      <c r="AQ4" s="38">
        <v>0</v>
      </c>
      <c r="AR4" s="38" t="s">
        <v>31</v>
      </c>
      <c r="AS4" s="37">
        <f t="shared" si="6"/>
        <v>1</v>
      </c>
      <c r="AT4" s="38">
        <f t="shared" si="7"/>
        <v>1</v>
      </c>
      <c r="AU4" s="38">
        <f t="shared" si="8"/>
        <v>1</v>
      </c>
      <c r="AV4" s="38">
        <f t="shared" si="9"/>
        <v>1</v>
      </c>
      <c r="AW4" s="39">
        <f t="shared" si="10"/>
        <v>1</v>
      </c>
    </row>
    <row r="5" spans="1:49">
      <c r="A5" s="13">
        <v>3</v>
      </c>
      <c r="B5" s="16">
        <f>_xlfn.MAXIFS('Model output'!B:B,'Model output'!Z:Z,'Classification result'!$A5)</f>
        <v>45373</v>
      </c>
      <c r="C5" s="16"/>
      <c r="D5" s="16"/>
      <c r="E5" s="17">
        <f>_xlfn.MAXIFS('Model output'!C:C,'Model output'!Z:Z,'Classification result'!$A5)</f>
        <v>52</v>
      </c>
      <c r="F5" s="17" t="str" cm="1">
        <f t="array" ref="F5">LEFT(IF(ISERROR(RIGHT(IF(INDEX(_xlfn._xlws.FILTER('Model output'!D:D,('Model output'!Z:Z=A5)),1)&lt;&gt;"",INDEX(_xlfn._xlws.FILTER('Model output'!D:D,('Model output'!Z:Z=A5)),1),""),LEN(IF(INDEX(_xlfn._xlws.FILTER('Model output'!D:D,('Model output'!Z:Z=A5)),1)&lt;&gt;"",INDEX(_xlfn._xlws.FILTER('Model output'!D:D,('Model output'!Z:Z=A5)),1),""))-FIND("T",IF(INDEX(_xlfn._xlws.FILTER('Model output'!D:D,('Model output'!Z:Z=A5)),1)&lt;&gt;"",INDEX(_xlfn._xlws.FILTER('Model output'!D:D,('Model output'!Z:Z=A5)),1),""),1))),"",(RIGHT(IF(INDEX(_xlfn._xlws.FILTER('Model output'!D:D,('Model output'!Z:Z=A5)),1)&lt;&gt;"",INDEX(_xlfn._xlws.FILTER('Model output'!D:D,('Model output'!Z:Z=A5)),1),""),LEN(IF(INDEX(_xlfn._xlws.FILTER('Model output'!D:D,('Model output'!Z:Z=A5)),1)&lt;&gt;"",INDEX(_xlfn._xlws.FILTER('Model output'!D:D,('Model output'!Z:Z=A5)),1),""))-FIND("T",IF(INDEX(_xlfn._xlws.FILTER('Model output'!D:D,('Model output'!Z:Z=A5)),1)&lt;&gt;"",INDEX(_xlfn._xlws.FILTER('Model output'!D:D,('Model output'!Z:Z=A5)),1)))))),2)</f>
        <v>1a</v>
      </c>
      <c r="G5" s="17" t="str" cm="1">
        <f t="array" ref="G5">IF(ISNUMBER(SEARCH("N",IF(ISNUMBER(SEARCH("present",IF(INDEX(_xlfn._xlws.FILTER('Model output'!E:E,('Model output'!Z:Z=A5)),1)="","",INDEX(_xlfn._xlws.FILTER('Model output'!E:E,('Model output'!Z:Z=A5)),1)),1)),"N1", IF(INDEX(_xlfn._xlws.FILTER('Model output'!E:E,('Model output'!Z:Z=A5)),1)="","",INDEX(_xlfn._xlws.FILTER('Model output'!E:E,('Model output'!Z:Z=A5)),1))),1)),RIGHT(IF(ISNUMBER(SEARCH("present",IF(INDEX(_xlfn._xlws.FILTER('Model output'!E:E,('Model output'!Z:Z=A5)),1)="","",INDEX(_xlfn._xlws.FILTER('Model output'!E:E,('Model output'!Z:Z=A5)),1)),1)),"N1", IF(INDEX(_xlfn._xlws.FILTER('Model output'!E:E,('Model output'!Z:Z=A5)),1)="","",INDEX(_xlfn._xlws.FILTER('Model output'!E:E,('Model output'!Z:Z=A5)),1))),LEN(IF(ISNUMBER(SEARCH("present",IF(INDEX(_xlfn._xlws.FILTER('Model output'!E:E,('Model output'!Z:Z=A5)),1)="","",INDEX(_xlfn._xlws.FILTER('Model output'!E:E,('Model output'!Z:Z=A5)),1)),1)),"N1", IF(INDEX(_xlfn._xlws.FILTER('Model output'!E:E,('Model output'!Z:Z=A5)),1)="","",INDEX(_xlfn._xlws.FILTER('Model output'!E:E,('Model output'!Z:Z=A5)),1))))-FIND("N",IF(ISNUMBER(SEARCH("present",IF(INDEX(_xlfn._xlws.FILTER('Model output'!E:E,('Model output'!Z:Z=A5)),1)="","",INDEX(_xlfn._xlws.FILTER('Model output'!E:E,('Model output'!Z:Z=A5)),1)),1)),"N1", IF(INDEX(_xlfn._xlws.FILTER('Model output'!E:E,('Model output'!Z:Z=A5)),1)="","",INDEX(_xlfn._xlws.FILTER('Model output'!E:E,('Model output'!Z:Z=A5)),1))),1)), "")</f>
        <v>1a</v>
      </c>
      <c r="H5" s="17" cm="1">
        <f t="array" ref="H5">IF(AND(SUBSTITUTE(_xlfn.TEXTJOIN("/", TRUE, _xlfn._xlws.FILTER('Model output'!F:F, 'Model output'!Z:Z=A5)),"M", "")="", K5="negative"),0,IF(K5="positive",1,0))</f>
        <v>0</v>
      </c>
      <c r="I5" t="str">
        <f t="shared" si="0"/>
        <v>positive</v>
      </c>
      <c r="J5" t="str" cm="1">
        <f t="array" ref="J5">IF(AND(M5&gt;0, _xlfn.TEXTJOIN("; ", TRUE, _xlfn._xlws.FILTER('Model output'!G:G, 'Model output'!Z:Z=A5)) &lt;&gt;"", OR(AND(ISNUMBER(SEARCH("level", _xlfn.TEXTJOIN("; ", TRUE, _xlfn._xlws.FILTER('Model output'!G:G, 'Model output'!Z:Z=A5)),1)),OR(ISNUMBER(SEARCH(" II", _xlfn.TEXTJOIN("; ", TRUE, _xlfn._xlws.FILTER('Model output'!G:G, 'Model output'!Z:Z=A5)),1)),ISNUMBER(SEARCH("2", _xlfn.TEXTJOIN("; ", TRUE, _xlfn._xlws.FILTER('Model output'!G:G, 'Model output'!Z:Z=A5)),1)),ISNUMBER(SEARCH("two", _xlfn.TEXTJOIN("; ", TRUE, _xlfn._xlws.FILTER('Model output'!G:G, 'Model output'!Z:Z=A5)),1)),ISNUMBER(SEARCH("III", _xlfn.TEXTJOIN("; ", TRUE, _xlfn._xlws.FILTER('Model output'!G:G, 'Model output'!Z:Z=A5)),1)),ISNUMBER(SEARCH("3", _xlfn.TEXTJOIN("; ", TRUE, _xlfn._xlws.FILTER('Model output'!G:G, 'Model output'!Z:Z=A5)),1)),ISNUMBER(SEARCH("three", _xlfn.TEXTJOIN("; ", TRUE, _xlfn._xlws.FILTER('Model output'!G:G, 'Model output'!Z:Z=A5)),1)),ISNUMBER(SEARCH("IV", _xlfn.TEXTJOIN("; ", TRUE, _xlfn._xlws.FILTER('Model output'!G:G, 'Model output'!Z:Z=A5)),1)),ISNUMBER(SEARCH("4", _xlfn.TEXTJOIN("; ", TRUE, _xlfn._xlws.FILTER('Model output'!G:G, 'Model output'!Z:Z=A5)),1)),ISNUMBER(SEARCH("five", _xlfn.TEXTJOIN("; ", TRUE, _xlfn._xlws.FILTER('Model output'!G:G, 'Model output'!Z:Z=A5)),1)),ISNUMBER(SEARCH("V ", _xlfn.TEXTJOIN("; ", TRUE, _xlfn._xlws.FILTER('Model output'!G:G, 'Model output'!Z:Z=A5)),1)),ISNUMBER(SEARCH("5", _xlfn.TEXTJOIN("; ", TRUE, _xlfn._xlws.FILTER('Model output'!G:G, 'Model output'!Z:Z=A5)),1)),ISNUMBER(SEARCH("five", _xlfn.TEXTJOIN("; ", TRUE, _xlfn._xlws.FILTER('Model output'!G:G, 'Model output'!Z:Z=A5)),1)),ISNUMBER(SEARCH(" lateral", _xlfn.TEXTJOIN("; ", TRUE, _xlfn._xlws.FILTER('Model output'!G:G, 'Model output'!Z:Z=A5)),1)))),ISNUMBER(SEARCH("cervical", _xlfn.TEXTJOIN("; ", TRUE, _xlfn._xlws.FILTER('Model output'!G:G, 'Model output'!Z:Z=A5)),1)),ISNUMBER(SEARCH("jugular", _xlfn.TEXTJOIN("; ", TRUE, _xlfn._xlws.FILTER('Model output'!G:G, 'Model output'!Z:Z=A5)),1)),ISNUMBER(SEARCH("left neck", _xlfn.TEXTJOIN("; ", TRUE, _xlfn._xlws.FILTER('Model output'!G:G, 'Model output'!Z:Z=A5)),1)),ISNUMBER(SEARCH("left anterior neck", _xlfn.TEXTJOIN("; ", TRUE, _xlfn._xlws.FILTER('Model output'!G:G, 'Model output'!Z:Z=A5)),1)),ISNUMBER(SEARCH("left posterior neck", _xlfn.TEXTJOIN("; ", TRUE, _xlfn._xlws.FILTER('Model output'!G:G, 'Model output'!Z:Z=A5)),1)),ISNUMBER(SEARCH("right neck", _xlfn.TEXTJOIN("; ", TRUE, _xlfn._xlws.FILTER('Model output'!G:G, 'Model output'!Z:Z=A5)),1)),ISNUMBER(SEARCH("right anterior neck", _xlfn.TEXTJOIN("; ", TRUE, _xlfn._xlws.FILTER('Model output'!G:G, 'Model output'!Z:Z=A5)),1)),ISNUMBER(SEARCH("right posterior neck", _xlfn.TEXTJOIN("; ", TRUE, _xlfn._xlws.FILTER('Model output'!G:G, 'Model output'!Z:Z=A5)),1)))),"lateral",IF(AND(M5=0, _xlfn.TEXTJOIN("; ", TRUE, _xlfn._xlws.FILTER('Model output'!G:G, 'Model output'!Z:Z=A5))=""),"", "central"))</f>
        <v>central</v>
      </c>
      <c r="K5" s="17" t="str" cm="1">
        <f t="array" ref="K5">IF(OR(ISNUMBER(SEARCH("lymph",_xlfn.TEXTJOIN("; ", TRUE, _xlfn._xlws.FILTER('Model output'!H:H, 'Model output'!Z:Z=A5)),1)), ISNUMBER(SEARCH("Not mentioned",_xlfn.TEXTJOIN("; ", TRUE, _xlfn._xlws.FILTER('Model output'!H:H, 'Model output'!Z:Z=A5)),1)),ISNUMBER(SEARCH("subcutaneous soft tissues",_xlfn.TEXTJOIN("; ", TRUE, _xlfn._xlws.FILTER('Model output'!H:H, 'Model output'!Z:Z=A5)),1)),ISNUMBER(SEARCH("larynx",_xlfn.TEXTJOIN("; ", TRUE, _xlfn._xlws.FILTER('Model output'!H:H, 'Model output'!Z:Z=A5)),1)),ISNUMBER(SEARCH("trachea",_xlfn.TEXTJOIN("; ", TRUE, _xlfn._xlws.FILTER('Model output'!H:H, 'Model output'!Z:Z=A5)),1)),ISNUMBER(SEARCH("esophagus",_xlfn.TEXTJOIN("; ", TRUE, _xlfn._xlws.FILTER('Model output'!H:H, 'Model output'!Z:Z=A5)),1)),ISNUMBER(SEARCH("recurrent laryngeal nerve",_xlfn.TEXTJOIN("; ", TRUE, _xlfn._xlws.FILTER('Model output'!H:H, 'Model output'!Z:Z=A5)),1)),ISNUMBER(SEARCH("strap muscle",_xlfn.TEXTJOIN("; ", TRUE, _xlfn._xlws.FILTER('Model output'!H:H, 'Model output'!Z:Z=A5)),1)),ISNUMBER(SEARCH("thyroid",_xlfn.TEXTJOIN("; ", TRUE, _xlfn._xlws.FILTER('Model output'!H:H, 'Model output'!Z:Z=A5)),1)),ISNUMBER(SEARCH("RLN",_xlfn.TEXTJOIN("; ", TRUE, _xlfn._xlws.FILTER('Model output'!H:H, 'Model output'!Z:Z=A5)),1)),_xlfn.TEXTJOIN("; ", TRUE, _xlfn._xlws.FILTER('Model output'!H:H, 'Model output'!Z:Z=A5))=""),"negative","positive")</f>
        <v>negative</v>
      </c>
      <c r="L5" s="17">
        <f>IF(IFERROR(INDEX('Model output'!I:I, MATCH(A5, 'Model output'!Z:Z, 0)), "") &lt; M5, "", IFERROR(INDEX('Model output'!I:I, MATCH(A5, 'Model output'!Z:Z, 0)), ""))</f>
        <v>5</v>
      </c>
      <c r="M5" s="17">
        <f>IFERROR(INDEX('Model output'!J:J, MATCH(A5, 'Model output'!Z:Z, 0)), "")</f>
        <v>1</v>
      </c>
      <c r="N5" s="18" t="str" cm="1">
        <f t="array" ref="N5">ReplaceTo(ReplaceAnd(SUBSTITUTE(SUBSTITUTE(_xlfn.TEXTJOIN("; ", TRUE, _xlfn._xlws.FILTER('Model output'!K:K, 'Model output'!Z:Z=A5)), " ", ""), ",", ";")))</f>
        <v>1mm</v>
      </c>
      <c r="O5" t="str" cm="1">
        <f t="array" ref="O5">IF(LEFT(IF(RIGHT(SUBSTITUTE(FilterWithUnits(N5)&amp; ";" &amp;FilterStringsWithNumericAnd(N5) &amp; ";" &amp; FilterStringsWithX(N5), ";;", ";"),1)=";",LEFT(SUBSTITUTE(FilterWithUnits(N5)&amp; ";" &amp;FilterStringsWithNumericAnd(N5) &amp; ";" &amp; FilterStringsWithX(N5), ";;", ";"),LEN(SUBSTITUTE(FilterWithUnits(N5)&amp; ";" &amp;FilterStringsWithNumericAnd(N5) &amp; ";" &amp; FilterStringsWithX(N5), ";;", ";"))-1),SUBSTITUTE(FilterWithUnits(N5)&amp; ";" &amp;FilterStringsWithNumericAnd(N5) &amp; ";" &amp; FilterStringsWithX(N5), ";;", ";")),1)=";",RIGHT(IF(RIGHT(SUBSTITUTE(FilterWithUnits(N5)&amp; ";" &amp;FilterStringsWithNumericAnd(N5) &amp; ";" &amp; FilterStringsWithX(N5), ";;", ";"),1)=";",LEFT(SUBSTITUTE(FilterWithUnits(N5)&amp; ";" &amp;FilterStringsWithNumericAnd(N5) &amp; ";" &amp; FilterStringsWithX(N5), ";;", ";"),LEN(SUBSTITUTE(FilterWithUnits(N5)&amp; ";" &amp;FilterStringsWithNumericAnd(N5) &amp; ";" &amp; FilterStringsWithX(N5), ";;", ";"))-1),SUBSTITUTE(FilterWithUnits(N5)&amp; ";" &amp;FilterStringsWithNumericAnd(N5) &amp; ";" &amp; FilterStringsWithX(N5), ";;", ";")),LEN(IF(RIGHT(SUBSTITUTE(FilterWithUnits(N5)&amp; ";" &amp;FilterStringsWithNumericAnd(N5) &amp; ";" &amp; FilterStringsWithX(N5), ";;", ";"),1)=";",LEFT(SUBSTITUTE(FilterWithUnits(N5)&amp; ";" &amp;FilterStringsWithNumericAnd(N5) &amp; ";" &amp; FilterStringsWithX(N5), ";;", ";"),LEN(SUBSTITUTE(FilterWithUnits(N5)&amp; ";" &amp;FilterStringsWithNumericAnd(N5) &amp; ";" &amp; FilterStringsWithX(N5), ";;", ";"))-1),SUBSTITUTE(FilterWithUnits(N5)&amp; ";" &amp;FilterStringsWithNumericAnd(N5) &amp; ";" &amp; FilterStringsWithX(N5), ";;", ";")))-1),IF(RIGHT(SUBSTITUTE(FilterWithUnits(N5)&amp; ";" &amp;FilterStringsWithNumericAnd(N5) &amp; ";" &amp; FilterStringsWithX(N5), ";;", ";"),1)=";",LEFT(SUBSTITUTE(FilterWithUnits(N5)&amp; ";" &amp;FilterStringsWithNumericAnd(N5) &amp; ";" &amp; FilterStringsWithX(N5), ";;", ";"),LEN(SUBSTITUTE(FilterWithUnits(N5)&amp; ";" &amp;FilterStringsWithNumericAnd(N5) &amp; ";" &amp; FilterStringsWithX(N5), ";;", ";"))-1),SUBSTITUTE(FilterWithUnits(N5)&amp; ";" &amp;FilterStringsWithNumericAnd(N5) &amp; ";" &amp; FilterStringsWithX(N5), ";;", ";")))</f>
        <v>1mm</v>
      </c>
      <c r="P5" cm="1">
        <f t="array" ref="P5">IF(MaxSize((SplitDimensions(O5)))=0, "", MaxSize((SplitDimensions(O5))))</f>
        <v>0.1</v>
      </c>
      <c r="Q5" t="str" cm="1">
        <f t="array" ref="Q5">IF(ISERROR(INDEX(_xlfn._xlws.FILTER('Model output'!L:L, ('Model output'!Z:Z=A5)*('Model output'!L:L&lt;&gt;"")), 1)), " ", LOWER(INDEX(_xlfn._xlws.FILTER('Model output'!L:L, ('Model output'!Z:Z=A5)*('Model output'!L:L&lt;&gt;"")), 1)))</f>
        <v>papillary carcinoma</v>
      </c>
      <c r="R5" t="str" cm="1">
        <f t="array" ref="R5">IF(ISERROR(INDEX(_xlfn._xlws.FILTER('Model output'!M:M, ('Model output'!Z:Z=A5)*('Model output'!M:M&lt;&gt;"")), 1)), " ", LOWER(INDEX(_xlfn._xlws.FILTER('Model output'!M:M, ('Model output'!Z:Z=A5)*('Model output'!M:M&lt;&gt;"")), 1)))</f>
        <v>infiltrative follicular subtype</v>
      </c>
      <c r="S5" t="str" cm="1">
        <f t="array" ref="S5">IF(OR(ISNUMBER(SEARCH("ly",SUBSTITUTE(INDEX(_xlfn._xlws.FILTER('Model output'!N:N,('Model output'!Z:Z=A5)*('Model output'!N:N&lt;&gt;"")),1)," ",""),1)), ISNUMBER(SEARCH("pole",SUBSTITUTE(INDEX(_xlfn._xlws.FILTER('Model output'!N:N,('Model output'!Z:Z=A5)*('Model output'!N:N&lt;&gt;"")),1)," ",""),1))),"",SUBSTITUTE(INDEX(_xlfn._xlws.FILTER('Model output'!N:N,('Model output'!Z:Z=A5)*('Model output'!N:N&lt;&gt;"")),1)," ",""))</f>
        <v>8mm&amp;2mm</v>
      </c>
      <c r="T5" t="str" cm="1">
        <f t="array" ref="T5">IF(LEFT(IF(RIGHT(SUBSTITUTE(FilterWithUnits(S5)&amp; ";" &amp;FilterStringsWithNumericAnd(S5) &amp; ";" &amp; FilterStringsWithX(S5), ";;", ";"),1)=";",LEFT(SUBSTITUTE(FilterWithUnits(S5)&amp; ";" &amp;FilterStringsWithNumericAnd(S5) &amp; ";" &amp; FilterStringsWithX(S5), ";;", ";"),LEN(SUBSTITUTE(FilterWithUnits(S5)&amp; ";" &amp;FilterStringsWithNumericAnd(S5) &amp; ";" &amp; FilterStringsWithX(S5), ";;", ";"))-1),SUBSTITUTE(FilterWithUnits(S5)&amp; ";" &amp;FilterStringsWithNumericAnd(S5) &amp; ";" &amp; FilterStringsWithX(S5), ";;", ";")),1)=";",RIGHT(IF(RIGHT(SUBSTITUTE(FilterWithUnits(S5)&amp; ";" &amp;FilterStringsWithNumericAnd(S5) &amp; ";" &amp; FilterStringsWithX(S5), ";;", ";"),1)=";",LEFT(SUBSTITUTE(FilterWithUnits(S5)&amp; ";" &amp;FilterStringsWithNumericAnd(S5) &amp; ";" &amp; FilterStringsWithX(S5), ";;", ";"),LEN(SUBSTITUTE(FilterWithUnits(S5)&amp; ";" &amp;FilterStringsWithNumericAnd(S5) &amp; ";" &amp; FilterStringsWithX(S5), ";;", ";"))-1),SUBSTITUTE(FilterWithUnits(S5)&amp; ";" &amp;FilterStringsWithNumericAnd(S5) &amp; ";" &amp; FilterStringsWithX(S5), ";;", ";")),LEN(IF(RIGHT(SUBSTITUTE(FilterWithUnits(S5)&amp; ";" &amp;FilterStringsWithNumericAnd(S5) &amp; ";" &amp; FilterStringsWithX(S5), ";;", ";"),1)=";",LEFT(SUBSTITUTE(FilterWithUnits(S5)&amp; ";" &amp;FilterStringsWithNumericAnd(S5) &amp; ";" &amp; FilterStringsWithX(S5), ";;", ";"),LEN(SUBSTITUTE(FilterWithUnits(S5)&amp; ";" &amp;FilterStringsWithNumericAnd(S5) &amp; ";" &amp; FilterStringsWithX(S5), ";;", ";"))-1),SUBSTITUTE(FilterWithUnits(S5)&amp; ";" &amp;FilterStringsWithNumericAnd(S5) &amp; ";" &amp; FilterStringsWithX(S5), ";;", ";")))-1),IF(RIGHT(SUBSTITUTE(FilterWithUnits(S5)&amp; ";" &amp;FilterStringsWithNumericAnd(S5) &amp; ";" &amp; FilterStringsWithX(S5), ";;", ";"),1)=";",LEFT(SUBSTITUTE(FilterWithUnits(S5)&amp; ";" &amp;FilterStringsWithNumericAnd(S5) &amp; ";" &amp; FilterStringsWithX(S5), ";;", ";"),LEN(SUBSTITUTE(FilterWithUnits(S5)&amp; ";" &amp;FilterStringsWithNumericAnd(S5) &amp; ";" &amp; FilterStringsWithX(S5), ";;", ";"))-1),SUBSTITUTE(FilterWithUnits(S5)&amp; ";" &amp;FilterStringsWithNumericAnd(S5) &amp; ";" &amp; FilterStringsWithX(S5), ";;", ";")))</f>
        <v>8mm</v>
      </c>
      <c r="U5" cm="1">
        <f t="array" ref="U5">IF(MaxSize((SplitDimensions(T5)))=0, "", MaxSize((SplitDimensions(T5))))</f>
        <v>0.8</v>
      </c>
      <c r="V5" s="17" t="str" cm="1">
        <f t="array" ref="V5">IF(ISERROR(INDEX(_xlfn._xlws.FILTER('Model output'!P:P,('Model output'!Z:Z=A5)*('Model output'!P:P&lt;&gt;"")),1)),"negative",IF(OR(ISNUMBER(SEARCH("foc",INDEX(_xlfn._xlws.FILTER('Model output'!P:P,('Model output'!Z:Z=A5)*('Model output'!P:P&lt;&gt;"")),1),1)),ISNUMBER(SEARCH("extensive",INDEX(_xlfn._xlws.FILTER('Model output'!P:P,('Model output'!Z:Z=A5)*('Model output'!P:P&lt;&gt;"")),1),1)),ISNUMBER(SEARCH("present",INDEX(_xlfn._xlws.FILTER('Model output'!P:P,('Model output'!Z:Z=A5)*('Model output'!P:P&lt;&gt;"")),1),1)),ISNUMBER(SEARCH("yes",INDEX(_xlfn._xlws.FILTER('Model output'!P:P,('Model output'!Z:Z=A5)*('Model output'!P:P&lt;&gt;"")),1),1))),"positive","negative"))</f>
        <v>negative</v>
      </c>
      <c r="X5" t="str" cm="1">
        <f t="array" ref="X5">IF(ISNUMBER(SEARCH("4",INDEX(_xlfn._xlws.FILTER('Model output'!P:P,('Model output'!Z:Z=A5)*('Model output'!P:P&lt;&gt;"")),1),1)),INDEX(_xlfn._xlws.FILTER('Model output'!P:P,('Model output'!Z:Z=A5)*('Model output'!P:P&lt;&gt;"")),1),"") &amp; _xlfn.TEXTJOIN("",TRUE,_xlfn._xlws.FILTER('Model output'!Q:Q,'Model output'!Z:Z=A5))</f>
        <v>Not mentioned</v>
      </c>
      <c r="Y5" t="str">
        <f t="shared" si="11"/>
        <v>no</v>
      </c>
      <c r="Z5" t="str" cm="1">
        <f t="array" ref="Z5">IF(OR(ISNUMBER(SEARCH("focal",_xlfn.TEXTJOIN("; ",TRUE,_xlfn._xlws.FILTER('Model output'!R:R,'Model output'!Z:Z=A5)),1)),ISNUMBER(SEARCH("present",_xlfn.TEXTJOIN("; ",TRUE,_xlfn._xlws.FILTER('Model output'!R:R,'Model output'!Z:Z=A5)),1))),"positive",IF(_xlfn.TEXTJOIN("; ",TRUE,_xlfn._xlws.FILTER('Model output'!R:R,'Model output'!Z:Z=A5))="","negative",IF(OR(ISNUMBER(SEARCH("no",_xlfn.TEXTJOIN("; ",TRUE,_xlfn._xlws.FILTER('Model output'!R:R,'Model output'!Z:Z=A5)),1)),ISNUMBER(SEARCH("absent",_xlfn.TEXTJOIN("; ",TRUE,_xlfn._xlws.FILTER('Model output'!R:R,'Model output'!Z:Z=A5)),1))),"negative","positive")))</f>
        <v>negative</v>
      </c>
      <c r="AA5" s="17" t="str">
        <f t="shared" si="12"/>
        <v>positive</v>
      </c>
      <c r="AE5" s="17" t="str">
        <f>IF(OR(ISNUMBER(SEARCH("subcutaneous soft tissues", AF5)),ISNUMBER(SEARCH("strap muscle", AF5)),AND(ISNUMBER(SEARCH("skeletal muscle", AF5)),NOT(ISNUMBER(SEARCH("no involvement of skeletal muscle", AF5)))), ISNUMBER(SEARCH("larynx", AF5)),ISNUMBER(SEARCH("trachea", AF5)),ISNUMBER(SEARCH("esophagus", AF5)), ISNUMBER(SEARCH("recurrent laryngeal nerve", AF5)), ISNUMBER(SEARCH("RLN", AF5))), "positive", "negative")</f>
        <v>negative</v>
      </c>
      <c r="AF5" t="str" cm="1">
        <f t="array" ref="AF5">_xlfn.TEXTJOIN("; ",TRUE,_xlfn._xlws.FILTER('Model output'!S:S,'Model output'!Z:Z=A5))</f>
        <v>Microscopic invasive of the surrounding fat at the 2 mm tumor nodule. No gross invasion was detected. No involvement of skeletal muscle bundles is detected.; Not mentioned</v>
      </c>
      <c r="AG5" s="17" t="str" cm="1">
        <f t="array" ref="AG5">IF(OR(ISNUMBER(SEARCH("uninvolved",_xlfn.TEXTJOIN("; ",TRUE,_xlfn._xlws.FILTER('Model output'!V:V,'Model output'!Z:Z=A5)),1)),ISNUMBER(SEARCH("clear",_xlfn.TEXTJOIN("; ",TRUE,_xlfn._xlws.FILTER('Model output'!V:V,'Model output'!Z:Z=A5)),1))*ISNUMBER(SEARCH("not mentioned",_xlfn.TEXTJOIN("; ",TRUE,_xlfn._xlws.FILTER('Model output'!V:V,'Model output'!Z:Z=A5)),1))),"negative",IF(ISNUMBER(SEARCH("cannot be assessed",_xlfn.TEXTJOIN("; ",TRUE,_xlfn._xlws.FILTER('Model output'!V:V,'Model output'!Z:Z=A5)),1)),"unknown","negative"))</f>
        <v>negative</v>
      </c>
      <c r="AI5" s="45" t="str">
        <f t="shared" si="13"/>
        <v>intermediate</v>
      </c>
      <c r="AJ5" s="36" t="str">
        <f t="shared" si="2"/>
        <v>1a</v>
      </c>
      <c r="AK5" s="36" t="str">
        <f t="shared" si="3"/>
        <v>1a</v>
      </c>
      <c r="AL5" s="36">
        <f t="shared" si="4"/>
        <v>0</v>
      </c>
      <c r="AM5" s="36" t="str">
        <f t="shared" si="5"/>
        <v>I</v>
      </c>
      <c r="AN5" s="37" t="s">
        <v>164</v>
      </c>
      <c r="AO5" s="38" t="s">
        <v>203</v>
      </c>
      <c r="AP5" s="38" t="s">
        <v>203</v>
      </c>
      <c r="AQ5" s="38">
        <v>0</v>
      </c>
      <c r="AR5" s="38" t="s">
        <v>31</v>
      </c>
      <c r="AS5" s="37">
        <f t="shared" si="6"/>
        <v>1</v>
      </c>
      <c r="AT5" s="38">
        <f t="shared" si="7"/>
        <v>1</v>
      </c>
      <c r="AU5" s="38">
        <f t="shared" si="8"/>
        <v>1</v>
      </c>
      <c r="AV5" s="38">
        <f t="shared" si="9"/>
        <v>1</v>
      </c>
      <c r="AW5" s="39">
        <f t="shared" si="10"/>
        <v>1</v>
      </c>
    </row>
    <row r="6" spans="1:49">
      <c r="A6" s="13">
        <v>4</v>
      </c>
      <c r="B6" s="16">
        <f>_xlfn.MAXIFS('Model output'!B:B,'Model output'!Z:Z,'Classification result'!$A6)</f>
        <v>45412</v>
      </c>
      <c r="C6" s="16"/>
      <c r="D6" s="16"/>
      <c r="E6" s="17">
        <f>_xlfn.MAXIFS('Model output'!C:C,'Model output'!Z:Z,'Classification result'!$A6)</f>
        <v>61</v>
      </c>
      <c r="F6" s="17" t="str" cm="1">
        <f t="array" ref="F6">LEFT(IF(ISERROR(RIGHT(IF(INDEX(_xlfn._xlws.FILTER('Model output'!D:D,('Model output'!Z:Z=A6)),1)&lt;&gt;"",INDEX(_xlfn._xlws.FILTER('Model output'!D:D,('Model output'!Z:Z=A6)),1),""),LEN(IF(INDEX(_xlfn._xlws.FILTER('Model output'!D:D,('Model output'!Z:Z=A6)),1)&lt;&gt;"",INDEX(_xlfn._xlws.FILTER('Model output'!D:D,('Model output'!Z:Z=A6)),1),""))-FIND("T",IF(INDEX(_xlfn._xlws.FILTER('Model output'!D:D,('Model output'!Z:Z=A6)),1)&lt;&gt;"",INDEX(_xlfn._xlws.FILTER('Model output'!D:D,('Model output'!Z:Z=A6)),1),""),1))),"",(RIGHT(IF(INDEX(_xlfn._xlws.FILTER('Model output'!D:D,('Model output'!Z:Z=A6)),1)&lt;&gt;"",INDEX(_xlfn._xlws.FILTER('Model output'!D:D,('Model output'!Z:Z=A6)),1),""),LEN(IF(INDEX(_xlfn._xlws.FILTER('Model output'!D:D,('Model output'!Z:Z=A6)),1)&lt;&gt;"",INDEX(_xlfn._xlws.FILTER('Model output'!D:D,('Model output'!Z:Z=A6)),1),""))-FIND("T",IF(INDEX(_xlfn._xlws.FILTER('Model output'!D:D,('Model output'!Z:Z=A6)),1)&lt;&gt;"",INDEX(_xlfn._xlws.FILTER('Model output'!D:D,('Model output'!Z:Z=A6)),1)))))),2)</f>
        <v>1</v>
      </c>
      <c r="G6" s="17" t="str" cm="1">
        <f t="array" ref="G6">IF(ISNUMBER(SEARCH("N",IF(ISNUMBER(SEARCH("present",IF(INDEX(_xlfn._xlws.FILTER('Model output'!E:E,('Model output'!Z:Z=A6)),1)="","",INDEX(_xlfn._xlws.FILTER('Model output'!E:E,('Model output'!Z:Z=A6)),1)),1)),"N1", IF(INDEX(_xlfn._xlws.FILTER('Model output'!E:E,('Model output'!Z:Z=A6)),1)="","",INDEX(_xlfn._xlws.FILTER('Model output'!E:E,('Model output'!Z:Z=A6)),1))),1)),RIGHT(IF(ISNUMBER(SEARCH("present",IF(INDEX(_xlfn._xlws.FILTER('Model output'!E:E,('Model output'!Z:Z=A6)),1)="","",INDEX(_xlfn._xlws.FILTER('Model output'!E:E,('Model output'!Z:Z=A6)),1)),1)),"N1", IF(INDEX(_xlfn._xlws.FILTER('Model output'!E:E,('Model output'!Z:Z=A6)),1)="","",INDEX(_xlfn._xlws.FILTER('Model output'!E:E,('Model output'!Z:Z=A6)),1))),LEN(IF(ISNUMBER(SEARCH("present",IF(INDEX(_xlfn._xlws.FILTER('Model output'!E:E,('Model output'!Z:Z=A6)),1)="","",INDEX(_xlfn._xlws.FILTER('Model output'!E:E,('Model output'!Z:Z=A6)),1)),1)),"N1", IF(INDEX(_xlfn._xlws.FILTER('Model output'!E:E,('Model output'!Z:Z=A6)),1)="","",INDEX(_xlfn._xlws.FILTER('Model output'!E:E,('Model output'!Z:Z=A6)),1))))-FIND("N",IF(ISNUMBER(SEARCH("present",IF(INDEX(_xlfn._xlws.FILTER('Model output'!E:E,('Model output'!Z:Z=A6)),1)="","",INDEX(_xlfn._xlws.FILTER('Model output'!E:E,('Model output'!Z:Z=A6)),1)),1)),"N1", IF(INDEX(_xlfn._xlws.FILTER('Model output'!E:E,('Model output'!Z:Z=A6)),1)="","",INDEX(_xlfn._xlws.FILTER('Model output'!E:E,('Model output'!Z:Z=A6)),1))),1)), "")</f>
        <v>1a</v>
      </c>
      <c r="H6" s="17" cm="1">
        <f t="array" ref="H6">IF(AND(SUBSTITUTE(_xlfn.TEXTJOIN("/", TRUE, _xlfn._xlws.FILTER('Model output'!F:F, 'Model output'!Z:Z=A6)),"M", "")="", K6="negative"),0,IF(K6="positive",1,0))</f>
        <v>0</v>
      </c>
      <c r="I6" t="str">
        <f t="shared" si="0"/>
        <v>positive</v>
      </c>
      <c r="J6" t="str" cm="1">
        <f t="array" ref="J6">IF(AND(M6&gt;0, _xlfn.TEXTJOIN("; ", TRUE, _xlfn._xlws.FILTER('Model output'!G:G, 'Model output'!Z:Z=A6)) &lt;&gt;"", OR(AND(ISNUMBER(SEARCH("level", _xlfn.TEXTJOIN("; ", TRUE, _xlfn._xlws.FILTER('Model output'!G:G, 'Model output'!Z:Z=A6)),1)),OR(ISNUMBER(SEARCH(" II", _xlfn.TEXTJOIN("; ", TRUE, _xlfn._xlws.FILTER('Model output'!G:G, 'Model output'!Z:Z=A6)),1)),ISNUMBER(SEARCH("2", _xlfn.TEXTJOIN("; ", TRUE, _xlfn._xlws.FILTER('Model output'!G:G, 'Model output'!Z:Z=A6)),1)),ISNUMBER(SEARCH("two", _xlfn.TEXTJOIN("; ", TRUE, _xlfn._xlws.FILTER('Model output'!G:G, 'Model output'!Z:Z=A6)),1)),ISNUMBER(SEARCH("III", _xlfn.TEXTJOIN("; ", TRUE, _xlfn._xlws.FILTER('Model output'!G:G, 'Model output'!Z:Z=A6)),1)),ISNUMBER(SEARCH("3", _xlfn.TEXTJOIN("; ", TRUE, _xlfn._xlws.FILTER('Model output'!G:G, 'Model output'!Z:Z=A6)),1)),ISNUMBER(SEARCH("three", _xlfn.TEXTJOIN("; ", TRUE, _xlfn._xlws.FILTER('Model output'!G:G, 'Model output'!Z:Z=A6)),1)),ISNUMBER(SEARCH("IV", _xlfn.TEXTJOIN("; ", TRUE, _xlfn._xlws.FILTER('Model output'!G:G, 'Model output'!Z:Z=A6)),1)),ISNUMBER(SEARCH("4", _xlfn.TEXTJOIN("; ", TRUE, _xlfn._xlws.FILTER('Model output'!G:G, 'Model output'!Z:Z=A6)),1)),ISNUMBER(SEARCH("five", _xlfn.TEXTJOIN("; ", TRUE, _xlfn._xlws.FILTER('Model output'!G:G, 'Model output'!Z:Z=A6)),1)),ISNUMBER(SEARCH("V ", _xlfn.TEXTJOIN("; ", TRUE, _xlfn._xlws.FILTER('Model output'!G:G, 'Model output'!Z:Z=A6)),1)),ISNUMBER(SEARCH("5", _xlfn.TEXTJOIN("; ", TRUE, _xlfn._xlws.FILTER('Model output'!G:G, 'Model output'!Z:Z=A6)),1)),ISNUMBER(SEARCH("five", _xlfn.TEXTJOIN("; ", TRUE, _xlfn._xlws.FILTER('Model output'!G:G, 'Model output'!Z:Z=A6)),1)),ISNUMBER(SEARCH(" lateral", _xlfn.TEXTJOIN("; ", TRUE, _xlfn._xlws.FILTER('Model output'!G:G, 'Model output'!Z:Z=A6)),1)))),ISNUMBER(SEARCH("cervical", _xlfn.TEXTJOIN("; ", TRUE, _xlfn._xlws.FILTER('Model output'!G:G, 'Model output'!Z:Z=A6)),1)),ISNUMBER(SEARCH("jugular", _xlfn.TEXTJOIN("; ", TRUE, _xlfn._xlws.FILTER('Model output'!G:G, 'Model output'!Z:Z=A6)),1)),ISNUMBER(SEARCH("left neck", _xlfn.TEXTJOIN("; ", TRUE, _xlfn._xlws.FILTER('Model output'!G:G, 'Model output'!Z:Z=A6)),1)),ISNUMBER(SEARCH("left anterior neck", _xlfn.TEXTJOIN("; ", TRUE, _xlfn._xlws.FILTER('Model output'!G:G, 'Model output'!Z:Z=A6)),1)),ISNUMBER(SEARCH("left posterior neck", _xlfn.TEXTJOIN("; ", TRUE, _xlfn._xlws.FILTER('Model output'!G:G, 'Model output'!Z:Z=A6)),1)),ISNUMBER(SEARCH("right neck", _xlfn.TEXTJOIN("; ", TRUE, _xlfn._xlws.FILTER('Model output'!G:G, 'Model output'!Z:Z=A6)),1)),ISNUMBER(SEARCH("right anterior neck", _xlfn.TEXTJOIN("; ", TRUE, _xlfn._xlws.FILTER('Model output'!G:G, 'Model output'!Z:Z=A6)),1)),ISNUMBER(SEARCH("right posterior neck", _xlfn.TEXTJOIN("; ", TRUE, _xlfn._xlws.FILTER('Model output'!G:G, 'Model output'!Z:Z=A6)),1)))),"lateral",IF(AND(M6=0, _xlfn.TEXTJOIN("; ", TRUE, _xlfn._xlws.FILTER('Model output'!G:G, 'Model output'!Z:Z=A6))=""),"", "central"))</f>
        <v>central</v>
      </c>
      <c r="K6" s="17" t="str" cm="1">
        <f t="array" ref="K6">IF(OR(ISNUMBER(SEARCH("lymph",_xlfn.TEXTJOIN("; ", TRUE, _xlfn._xlws.FILTER('Model output'!H:H, 'Model output'!Z:Z=A6)),1)), ISNUMBER(SEARCH("Not mentioned",_xlfn.TEXTJOIN("; ", TRUE, _xlfn._xlws.FILTER('Model output'!H:H, 'Model output'!Z:Z=A6)),1)),ISNUMBER(SEARCH("subcutaneous soft tissues",_xlfn.TEXTJOIN("; ", TRUE, _xlfn._xlws.FILTER('Model output'!H:H, 'Model output'!Z:Z=A6)),1)),ISNUMBER(SEARCH("larynx",_xlfn.TEXTJOIN("; ", TRUE, _xlfn._xlws.FILTER('Model output'!H:H, 'Model output'!Z:Z=A6)),1)),ISNUMBER(SEARCH("trachea",_xlfn.TEXTJOIN("; ", TRUE, _xlfn._xlws.FILTER('Model output'!H:H, 'Model output'!Z:Z=A6)),1)),ISNUMBER(SEARCH("esophagus",_xlfn.TEXTJOIN("; ", TRUE, _xlfn._xlws.FILTER('Model output'!H:H, 'Model output'!Z:Z=A6)),1)),ISNUMBER(SEARCH("recurrent laryngeal nerve",_xlfn.TEXTJOIN("; ", TRUE, _xlfn._xlws.FILTER('Model output'!H:H, 'Model output'!Z:Z=A6)),1)),ISNUMBER(SEARCH("strap muscle",_xlfn.TEXTJOIN("; ", TRUE, _xlfn._xlws.FILTER('Model output'!H:H, 'Model output'!Z:Z=A6)),1)),ISNUMBER(SEARCH("thyroid",_xlfn.TEXTJOIN("; ", TRUE, _xlfn._xlws.FILTER('Model output'!H:H, 'Model output'!Z:Z=A6)),1)),ISNUMBER(SEARCH("RLN",_xlfn.TEXTJOIN("; ", TRUE, _xlfn._xlws.FILTER('Model output'!H:H, 'Model output'!Z:Z=A6)),1)),_xlfn.TEXTJOIN("; ", TRUE, _xlfn._xlws.FILTER('Model output'!H:H, 'Model output'!Z:Z=A6))=""),"negative","positive")</f>
        <v>negative</v>
      </c>
      <c r="L6" s="17">
        <f>IF(IFERROR(INDEX('Model output'!I:I, MATCH(A6, 'Model output'!Z:Z, 0)), "") &lt; M6, "", IFERROR(INDEX('Model output'!I:I, MATCH(A6, 'Model output'!Z:Z, 0)), ""))</f>
        <v>6</v>
      </c>
      <c r="M6" s="17">
        <f>IFERROR(INDEX('Model output'!J:J, MATCH(A6, 'Model output'!Z:Z, 0)), "")</f>
        <v>3</v>
      </c>
      <c r="N6" s="18" t="str" cm="1">
        <f t="array" ref="N6">ReplaceTo(ReplaceAnd(SUBSTITUTE(SUBSTITUTE(_xlfn.TEXTJOIN("; ", TRUE, _xlfn._xlws.FILTER('Model output'!K:K, 'Model output'!Z:Z=A6)), " ", ""), ",", ";")))</f>
        <v>2cm</v>
      </c>
      <c r="O6" t="str" cm="1">
        <f t="array" ref="O6">IF(LEFT(IF(RIGHT(SUBSTITUTE(FilterWithUnits(N6)&amp; ";" &amp;FilterStringsWithNumericAnd(N6) &amp; ";" &amp; FilterStringsWithX(N6), ";;", ";"),1)=";",LEFT(SUBSTITUTE(FilterWithUnits(N6)&amp; ";" &amp;FilterStringsWithNumericAnd(N6) &amp; ";" &amp; FilterStringsWithX(N6), ";;", ";"),LEN(SUBSTITUTE(FilterWithUnits(N6)&amp; ";" &amp;FilterStringsWithNumericAnd(N6) &amp; ";" &amp; FilterStringsWithX(N6), ";;", ";"))-1),SUBSTITUTE(FilterWithUnits(N6)&amp; ";" &amp;FilterStringsWithNumericAnd(N6) &amp; ";" &amp; FilterStringsWithX(N6), ";;", ";")),1)=";",RIGHT(IF(RIGHT(SUBSTITUTE(FilterWithUnits(N6)&amp; ";" &amp;FilterStringsWithNumericAnd(N6) &amp; ";" &amp; FilterStringsWithX(N6), ";;", ";"),1)=";",LEFT(SUBSTITUTE(FilterWithUnits(N6)&amp; ";" &amp;FilterStringsWithNumericAnd(N6) &amp; ";" &amp; FilterStringsWithX(N6), ";;", ";"),LEN(SUBSTITUTE(FilterWithUnits(N6)&amp; ";" &amp;FilterStringsWithNumericAnd(N6) &amp; ";" &amp; FilterStringsWithX(N6), ";;", ";"))-1),SUBSTITUTE(FilterWithUnits(N6)&amp; ";" &amp;FilterStringsWithNumericAnd(N6) &amp; ";" &amp; FilterStringsWithX(N6), ";;", ";")),LEN(IF(RIGHT(SUBSTITUTE(FilterWithUnits(N6)&amp; ";" &amp;FilterStringsWithNumericAnd(N6) &amp; ";" &amp; FilterStringsWithX(N6), ";;", ";"),1)=";",LEFT(SUBSTITUTE(FilterWithUnits(N6)&amp; ";" &amp;FilterStringsWithNumericAnd(N6) &amp; ";" &amp; FilterStringsWithX(N6), ";;", ";"),LEN(SUBSTITUTE(FilterWithUnits(N6)&amp; ";" &amp;FilterStringsWithNumericAnd(N6) &amp; ";" &amp; FilterStringsWithX(N6), ";;", ";"))-1),SUBSTITUTE(FilterWithUnits(N6)&amp; ";" &amp;FilterStringsWithNumericAnd(N6) &amp; ";" &amp; FilterStringsWithX(N6), ";;", ";")))-1),IF(RIGHT(SUBSTITUTE(FilterWithUnits(N6)&amp; ";" &amp;FilterStringsWithNumericAnd(N6) &amp; ";" &amp; FilterStringsWithX(N6), ";;", ";"),1)=";",LEFT(SUBSTITUTE(FilterWithUnits(N6)&amp; ";" &amp;FilterStringsWithNumericAnd(N6) &amp; ";" &amp; FilterStringsWithX(N6), ";;", ";"),LEN(SUBSTITUTE(FilterWithUnits(N6)&amp; ";" &amp;FilterStringsWithNumericAnd(N6) &amp; ";" &amp; FilterStringsWithX(N6), ";;", ";"))-1),SUBSTITUTE(FilterWithUnits(N6)&amp; ";" &amp;FilterStringsWithNumericAnd(N6) &amp; ";" &amp; FilterStringsWithX(N6), ";;", ";")))</f>
        <v>2cm</v>
      </c>
      <c r="P6" cm="1">
        <f t="array" ref="P6">IF(MaxSize((SplitDimensions(O6)))=0, "", MaxSize((SplitDimensions(O6))))</f>
        <v>2</v>
      </c>
      <c r="Q6" t="str" cm="1">
        <f t="array" ref="Q6">IF(ISERROR(INDEX(_xlfn._xlws.FILTER('Model output'!L:L, ('Model output'!Z:Z=A6)*('Model output'!L:L&lt;&gt;"")), 1)), " ", LOWER(INDEX(_xlfn._xlws.FILTER('Model output'!L:L, ('Model output'!Z:Z=A6)*('Model output'!L:L&lt;&gt;"")), 1)))</f>
        <v>papillary carcinoma, classic subtype</v>
      </c>
      <c r="R6" t="str" cm="1">
        <f t="array" ref="R6">IF(ISERROR(INDEX(_xlfn._xlws.FILTER('Model output'!M:M, ('Model output'!Z:Z=A6)*('Model output'!M:M&lt;&gt;"")), 1)), " ", LOWER(INDEX(_xlfn._xlws.FILTER('Model output'!M:M, ('Model output'!Z:Z=A6)*('Model output'!M:M&lt;&gt;"")), 1)))</f>
        <v xml:space="preserve"> </v>
      </c>
      <c r="S6" t="str" cm="1">
        <f t="array" ref="S6">IF(OR(ISNUMBER(SEARCH("ly",SUBSTITUTE(INDEX(_xlfn._xlws.FILTER('Model output'!N:N,('Model output'!Z:Z=A6)*('Model output'!N:N&lt;&gt;"")),1)," ",""),1)), ISNUMBER(SEARCH("pole",SUBSTITUTE(INDEX(_xlfn._xlws.FILTER('Model output'!N:N,('Model output'!Z:Z=A6)*('Model output'!N:N&lt;&gt;"")),1)," ",""),1))),"",SUBSTITUTE(INDEX(_xlfn._xlws.FILTER('Model output'!N:N,('Model output'!Z:Z=A6)*('Model output'!N:N&lt;&gt;"")),1)," ",""))</f>
        <v>15mm</v>
      </c>
      <c r="T6" t="str" cm="1">
        <f t="array" ref="T6">IF(LEFT(IF(RIGHT(SUBSTITUTE(FilterWithUnits(S6)&amp; ";" &amp;FilterStringsWithNumericAnd(S6) &amp; ";" &amp; FilterStringsWithX(S6), ";;", ";"),1)=";",LEFT(SUBSTITUTE(FilterWithUnits(S6)&amp; ";" &amp;FilterStringsWithNumericAnd(S6) &amp; ";" &amp; FilterStringsWithX(S6), ";;", ";"),LEN(SUBSTITUTE(FilterWithUnits(S6)&amp; ";" &amp;FilterStringsWithNumericAnd(S6) &amp; ";" &amp; FilterStringsWithX(S6), ";;", ";"))-1),SUBSTITUTE(FilterWithUnits(S6)&amp; ";" &amp;FilterStringsWithNumericAnd(S6) &amp; ";" &amp; FilterStringsWithX(S6), ";;", ";")),1)=";",RIGHT(IF(RIGHT(SUBSTITUTE(FilterWithUnits(S6)&amp; ";" &amp;FilterStringsWithNumericAnd(S6) &amp; ";" &amp; FilterStringsWithX(S6), ";;", ";"),1)=";",LEFT(SUBSTITUTE(FilterWithUnits(S6)&amp; ";" &amp;FilterStringsWithNumericAnd(S6) &amp; ";" &amp; FilterStringsWithX(S6), ";;", ";"),LEN(SUBSTITUTE(FilterWithUnits(S6)&amp; ";" &amp;FilterStringsWithNumericAnd(S6) &amp; ";" &amp; FilterStringsWithX(S6), ";;", ";"))-1),SUBSTITUTE(FilterWithUnits(S6)&amp; ";" &amp;FilterStringsWithNumericAnd(S6) &amp; ";" &amp; FilterStringsWithX(S6), ";;", ";")),LEN(IF(RIGHT(SUBSTITUTE(FilterWithUnits(S6)&amp; ";" &amp;FilterStringsWithNumericAnd(S6) &amp; ";" &amp; FilterStringsWithX(S6), ";;", ";"),1)=";",LEFT(SUBSTITUTE(FilterWithUnits(S6)&amp; ";" &amp;FilterStringsWithNumericAnd(S6) &amp; ";" &amp; FilterStringsWithX(S6), ";;", ";"),LEN(SUBSTITUTE(FilterWithUnits(S6)&amp; ";" &amp;FilterStringsWithNumericAnd(S6) &amp; ";" &amp; FilterStringsWithX(S6), ";;", ";"))-1),SUBSTITUTE(FilterWithUnits(S6)&amp; ";" &amp;FilterStringsWithNumericAnd(S6) &amp; ";" &amp; FilterStringsWithX(S6), ";;", ";")))-1),IF(RIGHT(SUBSTITUTE(FilterWithUnits(S6)&amp; ";" &amp;FilterStringsWithNumericAnd(S6) &amp; ";" &amp; FilterStringsWithX(S6), ";;", ";"),1)=";",LEFT(SUBSTITUTE(FilterWithUnits(S6)&amp; ";" &amp;FilterStringsWithNumericAnd(S6) &amp; ";" &amp; FilterStringsWithX(S6), ";;", ";"),LEN(SUBSTITUTE(FilterWithUnits(S6)&amp; ";" &amp;FilterStringsWithNumericAnd(S6) &amp; ";" &amp; FilterStringsWithX(S6), ";;", ";"))-1),SUBSTITUTE(FilterWithUnits(S6)&amp; ";" &amp;FilterStringsWithNumericAnd(S6) &amp; ";" &amp; FilterStringsWithX(S6), ";;", ";")))</f>
        <v>15mm</v>
      </c>
      <c r="U6" cm="1">
        <f t="array" ref="U6">IF(MaxSize((SplitDimensions(T6)))=0, "", MaxSize((SplitDimensions(T6))))</f>
        <v>1.5</v>
      </c>
      <c r="V6" s="17" t="str" cm="1">
        <f t="array" ref="V6">IF(ISERROR(INDEX(_xlfn._xlws.FILTER('Model output'!P:P,('Model output'!Z:Z=A6)*('Model output'!P:P&lt;&gt;"")),1)),"negative",IF(OR(ISNUMBER(SEARCH("foc",INDEX(_xlfn._xlws.FILTER('Model output'!P:P,('Model output'!Z:Z=A6)*('Model output'!P:P&lt;&gt;"")),1),1)),ISNUMBER(SEARCH("extensive",INDEX(_xlfn._xlws.FILTER('Model output'!P:P,('Model output'!Z:Z=A6)*('Model output'!P:P&lt;&gt;"")),1),1)),ISNUMBER(SEARCH("present",INDEX(_xlfn._xlws.FILTER('Model output'!P:P,('Model output'!Z:Z=A6)*('Model output'!P:P&lt;&gt;"")),1),1)),ISNUMBER(SEARCH("yes",INDEX(_xlfn._xlws.FILTER('Model output'!P:P,('Model output'!Z:Z=A6)*('Model output'!P:P&lt;&gt;"")),1),1))),"positive","negative"))</f>
        <v>positive</v>
      </c>
      <c r="X6" t="str" cm="1">
        <f t="array" ref="X6">IF(ISNUMBER(SEARCH("4",INDEX(_xlfn._xlws.FILTER('Model output'!P:P,('Model output'!Z:Z=A6)*('Model output'!P:P&lt;&gt;"")),1),1)),INDEX(_xlfn._xlws.FILTER('Model output'!P:P,('Model output'!Z:Z=A6)*('Model output'!P:P&lt;&gt;"")),1),"") &amp; _xlfn.TEXTJOIN("",TRUE,_xlfn._xlws.FILTER('Model output'!Q:Q,'Model output'!Z:Z=A6))</f>
        <v>Not identifiedNot mentioned</v>
      </c>
      <c r="Y6" t="str">
        <f t="shared" si="11"/>
        <v>minimal</v>
      </c>
      <c r="Z6" t="str" cm="1">
        <f t="array" ref="Z6">IF(OR(ISNUMBER(SEARCH("focal",_xlfn.TEXTJOIN("; ",TRUE,_xlfn._xlws.FILTER('Model output'!R:R,'Model output'!Z:Z=A6)),1)),ISNUMBER(SEARCH("present",_xlfn.TEXTJOIN("; ",TRUE,_xlfn._xlws.FILTER('Model output'!R:R,'Model output'!Z:Z=A6)),1))),"positive",IF(_xlfn.TEXTJOIN("; ",TRUE,_xlfn._xlws.FILTER('Model output'!R:R,'Model output'!Z:Z=A6))="","negative",IF(OR(ISNUMBER(SEARCH("no",_xlfn.TEXTJOIN("; ",TRUE,_xlfn._xlws.FILTER('Model output'!R:R,'Model output'!Z:Z=A6)),1)),ISNUMBER(SEARCH("absent",_xlfn.TEXTJOIN("; ",TRUE,_xlfn._xlws.FILTER('Model output'!R:R,'Model output'!Z:Z=A6)),1))),"negative","positive")))</f>
        <v>negative</v>
      </c>
      <c r="AA6" s="17" t="str">
        <f t="shared" si="12"/>
        <v>positive</v>
      </c>
      <c r="AE6" s="17" t="str">
        <f t="shared" ref="AE6:AE37" si="14">IF(OR(ISNUMBER(SEARCH("subcutaneous soft tissues", AF6)),ISNUMBER(SEARCH("strap muscle", AF6)),AND(ISNUMBER(SEARCH("skeletal muscle", AF6)),NOT(ISNUMBER(SEARCH("no involvement of skeletal muscle", AF6)))), ISNUMBER(SEARCH("larynx", AF6)),ISNUMBER(SEARCH("trachea", AF6)),ISNUMBER(SEARCH("esophagus", AF6)), ISNUMBER(SEARCH("recurrent laryngeal nerve", AF6)), ISNUMBER(SEARCH("RLN", AF6))), "positive", "negative")</f>
        <v>negative</v>
      </c>
      <c r="AF6" t="str" cm="1">
        <f t="array" ref="AF6">_xlfn.TEXTJOIN("; ",TRUE,_xlfn._xlws.FILTER('Model output'!S:S,'Model output'!Z:Z=A6))</f>
        <v>fatty soft tissue at isthmus; Not mentioned</v>
      </c>
      <c r="AG6" s="17" t="str" cm="1">
        <f t="array" ref="AG6">IF(OR(ISNUMBER(SEARCH("uninvolved",_xlfn.TEXTJOIN("; ",TRUE,_xlfn._xlws.FILTER('Model output'!V:V,'Model output'!Z:Z=A6)),1)),ISNUMBER(SEARCH("clear",_xlfn.TEXTJOIN("; ",TRUE,_xlfn._xlws.FILTER('Model output'!V:V,'Model output'!Z:Z=A6)),1))*ISNUMBER(SEARCH("not mentioned",_xlfn.TEXTJOIN("; ",TRUE,_xlfn._xlws.FILTER('Model output'!V:V,'Model output'!Z:Z=A6)),1))),"negative",IF(ISNUMBER(SEARCH("cannot be assessed",_xlfn.TEXTJOIN("; ",TRUE,_xlfn._xlws.FILTER('Model output'!V:V,'Model output'!Z:Z=A6)),1)),"unknown","negative"))</f>
        <v>negative</v>
      </c>
      <c r="AI6" s="45" t="str">
        <f t="shared" si="13"/>
        <v>intermediate</v>
      </c>
      <c r="AJ6" s="36" t="str">
        <f t="shared" si="2"/>
        <v>1b</v>
      </c>
      <c r="AK6" s="36" t="str">
        <f t="shared" si="3"/>
        <v>1a</v>
      </c>
      <c r="AL6" s="36">
        <f t="shared" si="4"/>
        <v>0</v>
      </c>
      <c r="AM6" s="36" t="str">
        <f t="shared" si="5"/>
        <v>II</v>
      </c>
      <c r="AN6" s="37" t="s">
        <v>164</v>
      </c>
      <c r="AO6" s="36" t="s">
        <v>201</v>
      </c>
      <c r="AP6" s="38" t="s">
        <v>203</v>
      </c>
      <c r="AQ6" s="38">
        <v>0</v>
      </c>
      <c r="AR6" s="38" t="s">
        <v>44</v>
      </c>
      <c r="AS6" s="37">
        <f t="shared" si="6"/>
        <v>1</v>
      </c>
      <c r="AT6" s="38">
        <f t="shared" si="7"/>
        <v>1</v>
      </c>
      <c r="AU6" s="38">
        <f t="shared" si="8"/>
        <v>1</v>
      </c>
      <c r="AV6" s="38">
        <f t="shared" si="9"/>
        <v>1</v>
      </c>
      <c r="AW6" s="39">
        <f t="shared" si="10"/>
        <v>1</v>
      </c>
    </row>
    <row r="7" spans="1:49">
      <c r="A7" s="13">
        <v>5</v>
      </c>
      <c r="B7" s="16">
        <f>_xlfn.MAXIFS('Model output'!B:B,'Model output'!Z:Z,'Classification result'!$A7)</f>
        <v>45411</v>
      </c>
      <c r="C7" s="16"/>
      <c r="D7" s="16"/>
      <c r="E7" s="17">
        <f>_xlfn.MAXIFS('Model output'!C:C,'Model output'!Z:Z,'Classification result'!$A7)</f>
        <v>34</v>
      </c>
      <c r="F7" s="17" t="str" cm="1">
        <f t="array" ref="F7">LEFT(IF(ISERROR(RIGHT(IF(INDEX(_xlfn._xlws.FILTER('Model output'!D:D,('Model output'!Z:Z=A7)),1)&lt;&gt;"",INDEX(_xlfn._xlws.FILTER('Model output'!D:D,('Model output'!Z:Z=A7)),1),""),LEN(IF(INDEX(_xlfn._xlws.FILTER('Model output'!D:D,('Model output'!Z:Z=A7)),1)&lt;&gt;"",INDEX(_xlfn._xlws.FILTER('Model output'!D:D,('Model output'!Z:Z=A7)),1),""))-FIND("T",IF(INDEX(_xlfn._xlws.FILTER('Model output'!D:D,('Model output'!Z:Z=A7)),1)&lt;&gt;"",INDEX(_xlfn._xlws.FILTER('Model output'!D:D,('Model output'!Z:Z=A7)),1),""),1))),"",(RIGHT(IF(INDEX(_xlfn._xlws.FILTER('Model output'!D:D,('Model output'!Z:Z=A7)),1)&lt;&gt;"",INDEX(_xlfn._xlws.FILTER('Model output'!D:D,('Model output'!Z:Z=A7)),1),""),LEN(IF(INDEX(_xlfn._xlws.FILTER('Model output'!D:D,('Model output'!Z:Z=A7)),1)&lt;&gt;"",INDEX(_xlfn._xlws.FILTER('Model output'!D:D,('Model output'!Z:Z=A7)),1),""))-FIND("T",IF(INDEX(_xlfn._xlws.FILTER('Model output'!D:D,('Model output'!Z:Z=A7)),1)&lt;&gt;"",INDEX(_xlfn._xlws.FILTER('Model output'!D:D,('Model output'!Z:Z=A7)),1)))))),2)</f>
        <v>3b</v>
      </c>
      <c r="G7" s="17" t="str" cm="1">
        <f t="array" ref="G7">IF(ISNUMBER(SEARCH("N",IF(ISNUMBER(SEARCH("present",IF(INDEX(_xlfn._xlws.FILTER('Model output'!E:E,('Model output'!Z:Z=A7)),1)="","",INDEX(_xlfn._xlws.FILTER('Model output'!E:E,('Model output'!Z:Z=A7)),1)),1)),"N1", IF(INDEX(_xlfn._xlws.FILTER('Model output'!E:E,('Model output'!Z:Z=A7)),1)="","",INDEX(_xlfn._xlws.FILTER('Model output'!E:E,('Model output'!Z:Z=A7)),1))),1)),RIGHT(IF(ISNUMBER(SEARCH("present",IF(INDEX(_xlfn._xlws.FILTER('Model output'!E:E,('Model output'!Z:Z=A7)),1)="","",INDEX(_xlfn._xlws.FILTER('Model output'!E:E,('Model output'!Z:Z=A7)),1)),1)),"N1", IF(INDEX(_xlfn._xlws.FILTER('Model output'!E:E,('Model output'!Z:Z=A7)),1)="","",INDEX(_xlfn._xlws.FILTER('Model output'!E:E,('Model output'!Z:Z=A7)),1))),LEN(IF(ISNUMBER(SEARCH("present",IF(INDEX(_xlfn._xlws.FILTER('Model output'!E:E,('Model output'!Z:Z=A7)),1)="","",INDEX(_xlfn._xlws.FILTER('Model output'!E:E,('Model output'!Z:Z=A7)),1)),1)),"N1", IF(INDEX(_xlfn._xlws.FILTER('Model output'!E:E,('Model output'!Z:Z=A7)),1)="","",INDEX(_xlfn._xlws.FILTER('Model output'!E:E,('Model output'!Z:Z=A7)),1))))-FIND("N",IF(ISNUMBER(SEARCH("present",IF(INDEX(_xlfn._xlws.FILTER('Model output'!E:E,('Model output'!Z:Z=A7)),1)="","",INDEX(_xlfn._xlws.FILTER('Model output'!E:E,('Model output'!Z:Z=A7)),1)),1)),"N1", IF(INDEX(_xlfn._xlws.FILTER('Model output'!E:E,('Model output'!Z:Z=A7)),1)="","",INDEX(_xlfn._xlws.FILTER('Model output'!E:E,('Model output'!Z:Z=A7)),1))),1)), "")</f>
        <v>1a</v>
      </c>
      <c r="H7" s="17" cm="1">
        <f t="array" ref="H7">IF(AND(SUBSTITUTE(_xlfn.TEXTJOIN("/", TRUE, _xlfn._xlws.FILTER('Model output'!F:F, 'Model output'!Z:Z=A7)),"M", "")="", K7="negative"),0,IF(K7="positive",1,0))</f>
        <v>0</v>
      </c>
      <c r="I7" t="str">
        <f t="shared" si="0"/>
        <v>positive</v>
      </c>
      <c r="J7" t="str" cm="1">
        <f t="array" ref="J7">IF(AND(M7&gt;0, _xlfn.TEXTJOIN("; ", TRUE, _xlfn._xlws.FILTER('Model output'!G:G, 'Model output'!Z:Z=A7)) &lt;&gt;"", OR(AND(ISNUMBER(SEARCH("level", _xlfn.TEXTJOIN("; ", TRUE, _xlfn._xlws.FILTER('Model output'!G:G, 'Model output'!Z:Z=A7)),1)),OR(ISNUMBER(SEARCH(" II", _xlfn.TEXTJOIN("; ", TRUE, _xlfn._xlws.FILTER('Model output'!G:G, 'Model output'!Z:Z=A7)),1)),ISNUMBER(SEARCH("2", _xlfn.TEXTJOIN("; ", TRUE, _xlfn._xlws.FILTER('Model output'!G:G, 'Model output'!Z:Z=A7)),1)),ISNUMBER(SEARCH("two", _xlfn.TEXTJOIN("; ", TRUE, _xlfn._xlws.FILTER('Model output'!G:G, 'Model output'!Z:Z=A7)),1)),ISNUMBER(SEARCH("III", _xlfn.TEXTJOIN("; ", TRUE, _xlfn._xlws.FILTER('Model output'!G:G, 'Model output'!Z:Z=A7)),1)),ISNUMBER(SEARCH("3", _xlfn.TEXTJOIN("; ", TRUE, _xlfn._xlws.FILTER('Model output'!G:G, 'Model output'!Z:Z=A7)),1)),ISNUMBER(SEARCH("three", _xlfn.TEXTJOIN("; ", TRUE, _xlfn._xlws.FILTER('Model output'!G:G, 'Model output'!Z:Z=A7)),1)),ISNUMBER(SEARCH("IV", _xlfn.TEXTJOIN("; ", TRUE, _xlfn._xlws.FILTER('Model output'!G:G, 'Model output'!Z:Z=A7)),1)),ISNUMBER(SEARCH("4", _xlfn.TEXTJOIN("; ", TRUE, _xlfn._xlws.FILTER('Model output'!G:G, 'Model output'!Z:Z=A7)),1)),ISNUMBER(SEARCH("five", _xlfn.TEXTJOIN("; ", TRUE, _xlfn._xlws.FILTER('Model output'!G:G, 'Model output'!Z:Z=A7)),1)),ISNUMBER(SEARCH("V ", _xlfn.TEXTJOIN("; ", TRUE, _xlfn._xlws.FILTER('Model output'!G:G, 'Model output'!Z:Z=A7)),1)),ISNUMBER(SEARCH("5", _xlfn.TEXTJOIN("; ", TRUE, _xlfn._xlws.FILTER('Model output'!G:G, 'Model output'!Z:Z=A7)),1)),ISNUMBER(SEARCH("five", _xlfn.TEXTJOIN("; ", TRUE, _xlfn._xlws.FILTER('Model output'!G:G, 'Model output'!Z:Z=A7)),1)),ISNUMBER(SEARCH(" lateral", _xlfn.TEXTJOIN("; ", TRUE, _xlfn._xlws.FILTER('Model output'!G:G, 'Model output'!Z:Z=A7)),1)))),ISNUMBER(SEARCH("cervical", _xlfn.TEXTJOIN("; ", TRUE, _xlfn._xlws.FILTER('Model output'!G:G, 'Model output'!Z:Z=A7)),1)),ISNUMBER(SEARCH("jugular", _xlfn.TEXTJOIN("; ", TRUE, _xlfn._xlws.FILTER('Model output'!G:G, 'Model output'!Z:Z=A7)),1)),ISNUMBER(SEARCH("left neck", _xlfn.TEXTJOIN("; ", TRUE, _xlfn._xlws.FILTER('Model output'!G:G, 'Model output'!Z:Z=A7)),1)),ISNUMBER(SEARCH("left anterior neck", _xlfn.TEXTJOIN("; ", TRUE, _xlfn._xlws.FILTER('Model output'!G:G, 'Model output'!Z:Z=A7)),1)),ISNUMBER(SEARCH("left posterior neck", _xlfn.TEXTJOIN("; ", TRUE, _xlfn._xlws.FILTER('Model output'!G:G, 'Model output'!Z:Z=A7)),1)),ISNUMBER(SEARCH("right neck", _xlfn.TEXTJOIN("; ", TRUE, _xlfn._xlws.FILTER('Model output'!G:G, 'Model output'!Z:Z=A7)),1)),ISNUMBER(SEARCH("right anterior neck", _xlfn.TEXTJOIN("; ", TRUE, _xlfn._xlws.FILTER('Model output'!G:G, 'Model output'!Z:Z=A7)),1)),ISNUMBER(SEARCH("right posterior neck", _xlfn.TEXTJOIN("; ", TRUE, _xlfn._xlws.FILTER('Model output'!G:G, 'Model output'!Z:Z=A7)),1)))),"lateral",IF(AND(M7=0, _xlfn.TEXTJOIN("; ", TRUE, _xlfn._xlws.FILTER('Model output'!G:G, 'Model output'!Z:Z=A7))=""),"", "central"))</f>
        <v>central</v>
      </c>
      <c r="K7" s="17" t="str" cm="1">
        <f t="array" ref="K7">IF(OR(ISNUMBER(SEARCH("lymph",_xlfn.TEXTJOIN("; ", TRUE, _xlfn._xlws.FILTER('Model output'!H:H, 'Model output'!Z:Z=A7)),1)), ISNUMBER(SEARCH("Not mentioned",_xlfn.TEXTJOIN("; ", TRUE, _xlfn._xlws.FILTER('Model output'!H:H, 'Model output'!Z:Z=A7)),1)),ISNUMBER(SEARCH("subcutaneous soft tissues",_xlfn.TEXTJOIN("; ", TRUE, _xlfn._xlws.FILTER('Model output'!H:H, 'Model output'!Z:Z=A7)),1)),ISNUMBER(SEARCH("larynx",_xlfn.TEXTJOIN("; ", TRUE, _xlfn._xlws.FILTER('Model output'!H:H, 'Model output'!Z:Z=A7)),1)),ISNUMBER(SEARCH("trachea",_xlfn.TEXTJOIN("; ", TRUE, _xlfn._xlws.FILTER('Model output'!H:H, 'Model output'!Z:Z=A7)),1)),ISNUMBER(SEARCH("esophagus",_xlfn.TEXTJOIN("; ", TRUE, _xlfn._xlws.FILTER('Model output'!H:H, 'Model output'!Z:Z=A7)),1)),ISNUMBER(SEARCH("recurrent laryngeal nerve",_xlfn.TEXTJOIN("; ", TRUE, _xlfn._xlws.FILTER('Model output'!H:H, 'Model output'!Z:Z=A7)),1)),ISNUMBER(SEARCH("strap muscle",_xlfn.TEXTJOIN("; ", TRUE, _xlfn._xlws.FILTER('Model output'!H:H, 'Model output'!Z:Z=A7)),1)),ISNUMBER(SEARCH("thyroid",_xlfn.TEXTJOIN("; ", TRUE, _xlfn._xlws.FILTER('Model output'!H:H, 'Model output'!Z:Z=A7)),1)),ISNUMBER(SEARCH("RLN",_xlfn.TEXTJOIN("; ", TRUE, _xlfn._xlws.FILTER('Model output'!H:H, 'Model output'!Z:Z=A7)),1)),_xlfn.TEXTJOIN("; ", TRUE, _xlfn._xlws.FILTER('Model output'!H:H, 'Model output'!Z:Z=A7))=""),"negative","positive")</f>
        <v>negative</v>
      </c>
      <c r="L7" s="17">
        <f>IF(IFERROR(INDEX('Model output'!I:I, MATCH(A7, 'Model output'!Z:Z, 0)), "") &lt; M7, "", IFERROR(INDEX('Model output'!I:I, MATCH(A7, 'Model output'!Z:Z, 0)), ""))</f>
        <v>5</v>
      </c>
      <c r="M7" s="17">
        <f>IFERROR(INDEX('Model output'!J:J, MATCH(A7, 'Model output'!Z:Z, 0)), "")</f>
        <v>1</v>
      </c>
      <c r="N7" s="18" t="str" cm="1">
        <f t="array" ref="N7">ReplaceTo(ReplaceAnd(SUBSTITUTE(SUBSTITUTE(_xlfn.TEXTJOIN("; ", TRUE, _xlfn._xlws.FILTER('Model output'!K:K, 'Model output'!Z:Z=A7)), " ", ""), ",", ";")))</f>
        <v>0.6mm;0.6mm;Notmentioned</v>
      </c>
      <c r="O7" t="str" cm="1">
        <f t="array" ref="O7">IF(LEFT(IF(RIGHT(SUBSTITUTE(FilterWithUnits(N7)&amp; ";" &amp;FilterStringsWithNumericAnd(N7) &amp; ";" &amp; FilterStringsWithX(N7), ";;", ";"),1)=";",LEFT(SUBSTITUTE(FilterWithUnits(N7)&amp; ";" &amp;FilterStringsWithNumericAnd(N7) &amp; ";" &amp; FilterStringsWithX(N7), ";;", ";"),LEN(SUBSTITUTE(FilterWithUnits(N7)&amp; ";" &amp;FilterStringsWithNumericAnd(N7) &amp; ";" &amp; FilterStringsWithX(N7), ";;", ";"))-1),SUBSTITUTE(FilterWithUnits(N7)&amp; ";" &amp;FilterStringsWithNumericAnd(N7) &amp; ";" &amp; FilterStringsWithX(N7), ";;", ";")),1)=";",RIGHT(IF(RIGHT(SUBSTITUTE(FilterWithUnits(N7)&amp; ";" &amp;FilterStringsWithNumericAnd(N7) &amp; ";" &amp; FilterStringsWithX(N7), ";;", ";"),1)=";",LEFT(SUBSTITUTE(FilterWithUnits(N7)&amp; ";" &amp;FilterStringsWithNumericAnd(N7) &amp; ";" &amp; FilterStringsWithX(N7), ";;", ";"),LEN(SUBSTITUTE(FilterWithUnits(N7)&amp; ";" &amp;FilterStringsWithNumericAnd(N7) &amp; ";" &amp; FilterStringsWithX(N7), ";;", ";"))-1),SUBSTITUTE(FilterWithUnits(N7)&amp; ";" &amp;FilterStringsWithNumericAnd(N7) &amp; ";" &amp; FilterStringsWithX(N7), ";;", ";")),LEN(IF(RIGHT(SUBSTITUTE(FilterWithUnits(N7)&amp; ";" &amp;FilterStringsWithNumericAnd(N7) &amp; ";" &amp; FilterStringsWithX(N7), ";;", ";"),1)=";",LEFT(SUBSTITUTE(FilterWithUnits(N7)&amp; ";" &amp;FilterStringsWithNumericAnd(N7) &amp; ";" &amp; FilterStringsWithX(N7), ";;", ";"),LEN(SUBSTITUTE(FilterWithUnits(N7)&amp; ";" &amp;FilterStringsWithNumericAnd(N7) &amp; ";" &amp; FilterStringsWithX(N7), ";;", ";"))-1),SUBSTITUTE(FilterWithUnits(N7)&amp; ";" &amp;FilterStringsWithNumericAnd(N7) &amp; ";" &amp; FilterStringsWithX(N7), ";;", ";")))-1),IF(RIGHT(SUBSTITUTE(FilterWithUnits(N7)&amp; ";" &amp;FilterStringsWithNumericAnd(N7) &amp; ";" &amp; FilterStringsWithX(N7), ";;", ";"),1)=";",LEFT(SUBSTITUTE(FilterWithUnits(N7)&amp; ";" &amp;FilterStringsWithNumericAnd(N7) &amp; ";" &amp; FilterStringsWithX(N7), ";;", ";"),LEN(SUBSTITUTE(FilterWithUnits(N7)&amp; ";" &amp;FilterStringsWithNumericAnd(N7) &amp; ";" &amp; FilterStringsWithX(N7), ";;", ";"))-1),SUBSTITUTE(FilterWithUnits(N7)&amp; ";" &amp;FilterStringsWithNumericAnd(N7) &amp; ";" &amp; FilterStringsWithX(N7), ";;", ";")))</f>
        <v>0.6mm;0.6mm</v>
      </c>
      <c r="P7" cm="1">
        <f t="array" ref="P7">IF(MaxSize((SplitDimensions(O7)))=0, "", MaxSize((SplitDimensions(O7))))</f>
        <v>0.06</v>
      </c>
      <c r="Q7" t="str" cm="1">
        <f t="array" ref="Q7">IF(ISERROR(INDEX(_xlfn._xlws.FILTER('Model output'!L:L, ('Model output'!Z:Z=A7)*('Model output'!L:L&lt;&gt;"")), 1)), " ", LOWER(INDEX(_xlfn._xlws.FILTER('Model output'!L:L, ('Model output'!Z:Z=A7)*('Model output'!L:L&lt;&gt;"")), 1)))</f>
        <v>papillary carcinoma, oncocytic classic subtype</v>
      </c>
      <c r="R7" t="str" cm="1">
        <f t="array" ref="R7">IF(ISERROR(INDEX(_xlfn._xlws.FILTER('Model output'!M:M, ('Model output'!Z:Z=A7)*('Model output'!M:M&lt;&gt;"")), 1)), " ", LOWER(INDEX(_xlfn._xlws.FILTER('Model output'!M:M, ('Model output'!Z:Z=A7)*('Model output'!M:M&lt;&gt;"")), 1)))</f>
        <v>not mentioned</v>
      </c>
      <c r="S7" t="str" cm="1">
        <f t="array" ref="S7">IF(OR(ISNUMBER(SEARCH("ly",SUBSTITUTE(INDEX(_xlfn._xlws.FILTER('Model output'!N:N,('Model output'!Z:Z=A7)*('Model output'!N:N&lt;&gt;"")),1)," ",""),1)), ISNUMBER(SEARCH("pole",SUBSTITUTE(INDEX(_xlfn._xlws.FILTER('Model output'!N:N,('Model output'!Z:Z=A7)*('Model output'!N:N&lt;&gt;"")),1)," ",""),1))),"",SUBSTITUTE(INDEX(_xlfn._xlws.FILTER('Model output'!N:N,('Model output'!Z:Z=A7)*('Model output'!N:N&lt;&gt;"")),1)," ",""))</f>
        <v/>
      </c>
      <c r="T7" t="str" cm="1">
        <f t="array" ref="T7">IF(LEFT(IF(RIGHT(SUBSTITUTE(FilterWithUnits(S7)&amp; ";" &amp;FilterStringsWithNumericAnd(S7) &amp; ";" &amp; FilterStringsWithX(S7), ";;", ";"),1)=";",LEFT(SUBSTITUTE(FilterWithUnits(S7)&amp; ";" &amp;FilterStringsWithNumericAnd(S7) &amp; ";" &amp; FilterStringsWithX(S7), ";;", ";"),LEN(SUBSTITUTE(FilterWithUnits(S7)&amp; ";" &amp;FilterStringsWithNumericAnd(S7) &amp; ";" &amp; FilterStringsWithX(S7), ";;", ";"))-1),SUBSTITUTE(FilterWithUnits(S7)&amp; ";" &amp;FilterStringsWithNumericAnd(S7) &amp; ";" &amp; FilterStringsWithX(S7), ";;", ";")),1)=";",RIGHT(IF(RIGHT(SUBSTITUTE(FilterWithUnits(S7)&amp; ";" &amp;FilterStringsWithNumericAnd(S7) &amp; ";" &amp; FilterStringsWithX(S7), ";;", ";"),1)=";",LEFT(SUBSTITUTE(FilterWithUnits(S7)&amp; ";" &amp;FilterStringsWithNumericAnd(S7) &amp; ";" &amp; FilterStringsWithX(S7), ";;", ";"),LEN(SUBSTITUTE(FilterWithUnits(S7)&amp; ";" &amp;FilterStringsWithNumericAnd(S7) &amp; ";" &amp; FilterStringsWithX(S7), ";;", ";"))-1),SUBSTITUTE(FilterWithUnits(S7)&amp; ";" &amp;FilterStringsWithNumericAnd(S7) &amp; ";" &amp; FilterStringsWithX(S7), ";;", ";")),LEN(IF(RIGHT(SUBSTITUTE(FilterWithUnits(S7)&amp; ";" &amp;FilterStringsWithNumericAnd(S7) &amp; ";" &amp; FilterStringsWithX(S7), ";;", ";"),1)=";",LEFT(SUBSTITUTE(FilterWithUnits(S7)&amp; ";" &amp;FilterStringsWithNumericAnd(S7) &amp; ";" &amp; FilterStringsWithX(S7), ";;", ";"),LEN(SUBSTITUTE(FilterWithUnits(S7)&amp; ";" &amp;FilterStringsWithNumericAnd(S7) &amp; ";" &amp; FilterStringsWithX(S7), ";;", ";"))-1),SUBSTITUTE(FilterWithUnits(S7)&amp; ";" &amp;FilterStringsWithNumericAnd(S7) &amp; ";" &amp; FilterStringsWithX(S7), ";;", ";")))-1),IF(RIGHT(SUBSTITUTE(FilterWithUnits(S7)&amp; ";" &amp;FilterStringsWithNumericAnd(S7) &amp; ";" &amp; FilterStringsWithX(S7), ";;", ";"),1)=";",LEFT(SUBSTITUTE(FilterWithUnits(S7)&amp; ";" &amp;FilterStringsWithNumericAnd(S7) &amp; ";" &amp; FilterStringsWithX(S7), ";;", ";"),LEN(SUBSTITUTE(FilterWithUnits(S7)&amp; ";" &amp;FilterStringsWithNumericAnd(S7) &amp; ";" &amp; FilterStringsWithX(S7), ";;", ";"))-1),SUBSTITUTE(FilterWithUnits(S7)&amp; ";" &amp;FilterStringsWithNumericAnd(S7) &amp; ";" &amp; FilterStringsWithX(S7), ";;", ";")))</f>
        <v/>
      </c>
      <c r="U7" t="str" cm="1">
        <f t="array" ref="U7">IF(MaxSize((SplitDimensions(T7)))=0, "", MaxSize((SplitDimensions(T7))))</f>
        <v/>
      </c>
      <c r="V7" s="17" t="str" cm="1">
        <f t="array" ref="V7">IF(ISERROR(INDEX(_xlfn._xlws.FILTER('Model output'!P:P,('Model output'!Z:Z=A7)*('Model output'!P:P&lt;&gt;"")),1)),"negative",IF(OR(ISNUMBER(SEARCH("foc",INDEX(_xlfn._xlws.FILTER('Model output'!P:P,('Model output'!Z:Z=A7)*('Model output'!P:P&lt;&gt;"")),1),1)),ISNUMBER(SEARCH("extensive",INDEX(_xlfn._xlws.FILTER('Model output'!P:P,('Model output'!Z:Z=A7)*('Model output'!P:P&lt;&gt;"")),1),1)),ISNUMBER(SEARCH("present",INDEX(_xlfn._xlws.FILTER('Model output'!P:P,('Model output'!Z:Z=A7)*('Model output'!P:P&lt;&gt;"")),1),1)),ISNUMBER(SEARCH("yes",INDEX(_xlfn._xlws.FILTER('Model output'!P:P,('Model output'!Z:Z=A7)*('Model output'!P:P&lt;&gt;"")),1),1))),"positive","negative"))</f>
        <v>positive</v>
      </c>
      <c r="X7" t="str" cm="1">
        <f t="array" ref="X7">IF(ISNUMBER(SEARCH("4",INDEX(_xlfn._xlws.FILTER('Model output'!P:P,('Model output'!Z:Z=A7)*('Model output'!P:P&lt;&gt;"")),1),1)),INDEX(_xlfn._xlws.FILTER('Model output'!P:P,('Model output'!Z:Z=A7)*('Model output'!P:P&lt;&gt;"")),1),"") &amp; _xlfn.TEXTJOIN("",TRUE,_xlfn._xlws.FILTER('Model output'!Q:Q,'Model output'!Z:Z=A7))</f>
        <v>Extrathyroidal extension to overlying strap muscle</v>
      </c>
      <c r="Y7" t="str">
        <f t="shared" si="11"/>
        <v>minimal</v>
      </c>
      <c r="Z7" t="str" cm="1">
        <f t="array" ref="Z7">IF(OR(ISNUMBER(SEARCH("focal",_xlfn.TEXTJOIN("; ",TRUE,_xlfn._xlws.FILTER('Model output'!R:R,'Model output'!Z:Z=A7)),1)),ISNUMBER(SEARCH("present",_xlfn.TEXTJOIN("; ",TRUE,_xlfn._xlws.FILTER('Model output'!R:R,'Model output'!Z:Z=A7)),1))),"positive",IF(_xlfn.TEXTJOIN("; ",TRUE,_xlfn._xlws.FILTER('Model output'!R:R,'Model output'!Z:Z=A7))="","negative",IF(OR(ISNUMBER(SEARCH("no",_xlfn.TEXTJOIN("; ",TRUE,_xlfn._xlws.FILTER('Model output'!R:R,'Model output'!Z:Z=A7)),1)),ISNUMBER(SEARCH("absent",_xlfn.TEXTJOIN("; ",TRUE,_xlfn._xlws.FILTER('Model output'!R:R,'Model output'!Z:Z=A7)),1))),"negative","positive")))</f>
        <v>negative</v>
      </c>
      <c r="AA7" s="17" t="str">
        <f t="shared" si="12"/>
        <v>positive</v>
      </c>
      <c r="AE7" s="17" t="str">
        <f t="shared" si="14"/>
        <v>positive</v>
      </c>
      <c r="AF7" t="str" cm="1">
        <f t="array" ref="AF7">_xlfn.TEXTJOIN("; ",TRUE,_xlfn._xlws.FILTER('Model output'!S:S,'Model output'!Z:Z=A7))</f>
        <v>Invading soft tissue and strap muscles (Please refer to operation record for gross extrathyroidal extension); Overlying strap muscle</v>
      </c>
      <c r="AG7" s="17" t="str" cm="1">
        <f t="array" ref="AG7">IF(OR(ISNUMBER(SEARCH("uninvolved",_xlfn.TEXTJOIN("; ",TRUE,_xlfn._xlws.FILTER('Model output'!V:V,'Model output'!Z:Z=A7)),1)),ISNUMBER(SEARCH("clear",_xlfn.TEXTJOIN("; ",TRUE,_xlfn._xlws.FILTER('Model output'!V:V,'Model output'!Z:Z=A7)),1))*ISNUMBER(SEARCH("not mentioned",_xlfn.TEXTJOIN("; ",TRUE,_xlfn._xlws.FILTER('Model output'!V:V,'Model output'!Z:Z=A7)),1))),"negative",IF(ISNUMBER(SEARCH("cannot be assessed",_xlfn.TEXTJOIN("; ",TRUE,_xlfn._xlws.FILTER('Model output'!V:V,'Model output'!Z:Z=A7)),1)),"unknown","negative"))</f>
        <v>negative</v>
      </c>
      <c r="AI7" s="45" t="str">
        <f t="shared" si="13"/>
        <v>high</v>
      </c>
      <c r="AJ7" s="36" t="str">
        <f t="shared" si="2"/>
        <v>4a</v>
      </c>
      <c r="AK7" s="36" t="str">
        <f t="shared" si="3"/>
        <v>1a</v>
      </c>
      <c r="AL7" s="36">
        <f t="shared" si="4"/>
        <v>0</v>
      </c>
      <c r="AM7" s="36" t="str">
        <f t="shared" si="5"/>
        <v>I</v>
      </c>
      <c r="AN7" s="37" t="s">
        <v>165</v>
      </c>
      <c r="AO7" s="38" t="s">
        <v>204</v>
      </c>
      <c r="AP7" s="38" t="s">
        <v>203</v>
      </c>
      <c r="AQ7" s="38">
        <v>0</v>
      </c>
      <c r="AR7" s="38" t="s">
        <v>31</v>
      </c>
      <c r="AS7" s="37">
        <f t="shared" si="6"/>
        <v>1</v>
      </c>
      <c r="AT7" s="38">
        <f t="shared" si="7"/>
        <v>0</v>
      </c>
      <c r="AU7" s="38">
        <f t="shared" si="8"/>
        <v>1</v>
      </c>
      <c r="AV7" s="38">
        <f t="shared" si="9"/>
        <v>1</v>
      </c>
      <c r="AW7" s="39">
        <f t="shared" si="10"/>
        <v>1</v>
      </c>
    </row>
    <row r="8" spans="1:49">
      <c r="A8" s="13">
        <v>6</v>
      </c>
      <c r="B8" s="16">
        <f>_xlfn.MAXIFS('Model output'!B:B,'Model output'!Z:Z,'Classification result'!$A8)</f>
        <v>45387</v>
      </c>
      <c r="C8" s="16"/>
      <c r="D8" s="16"/>
      <c r="E8" s="17">
        <f>_xlfn.MAXIFS('Model output'!C:C,'Model output'!Z:Z,'Classification result'!$A8)</f>
        <v>66</v>
      </c>
      <c r="F8" s="17" t="str" cm="1">
        <f t="array" ref="F8">LEFT(IF(ISERROR(RIGHT(IF(INDEX(_xlfn._xlws.FILTER('Model output'!D:D,('Model output'!Z:Z=A8)),1)&lt;&gt;"",INDEX(_xlfn._xlws.FILTER('Model output'!D:D,('Model output'!Z:Z=A8)),1),""),LEN(IF(INDEX(_xlfn._xlws.FILTER('Model output'!D:D,('Model output'!Z:Z=A8)),1)&lt;&gt;"",INDEX(_xlfn._xlws.FILTER('Model output'!D:D,('Model output'!Z:Z=A8)),1),""))-FIND("T",IF(INDEX(_xlfn._xlws.FILTER('Model output'!D:D,('Model output'!Z:Z=A8)),1)&lt;&gt;"",INDEX(_xlfn._xlws.FILTER('Model output'!D:D,('Model output'!Z:Z=A8)),1),""),1))),"",(RIGHT(IF(INDEX(_xlfn._xlws.FILTER('Model output'!D:D,('Model output'!Z:Z=A8)),1)&lt;&gt;"",INDEX(_xlfn._xlws.FILTER('Model output'!D:D,('Model output'!Z:Z=A8)),1),""),LEN(IF(INDEX(_xlfn._xlws.FILTER('Model output'!D:D,('Model output'!Z:Z=A8)),1)&lt;&gt;"",INDEX(_xlfn._xlws.FILTER('Model output'!D:D,('Model output'!Z:Z=A8)),1),""))-FIND("T",IF(INDEX(_xlfn._xlws.FILTER('Model output'!D:D,('Model output'!Z:Z=A8)),1)&lt;&gt;"",INDEX(_xlfn._xlws.FILTER('Model output'!D:D,('Model output'!Z:Z=A8)),1)))))),2)</f>
        <v/>
      </c>
      <c r="G8" s="17" t="str" cm="1">
        <f t="array" ref="G8">IF(ISNUMBER(SEARCH("N",IF(ISNUMBER(SEARCH("present",IF(INDEX(_xlfn._xlws.FILTER('Model output'!E:E,('Model output'!Z:Z=A8)),1)="","",INDEX(_xlfn._xlws.FILTER('Model output'!E:E,('Model output'!Z:Z=A8)),1)),1)),"N1", IF(INDEX(_xlfn._xlws.FILTER('Model output'!E:E,('Model output'!Z:Z=A8)),1)="","",INDEX(_xlfn._xlws.FILTER('Model output'!E:E,('Model output'!Z:Z=A8)),1))),1)),RIGHT(IF(ISNUMBER(SEARCH("present",IF(INDEX(_xlfn._xlws.FILTER('Model output'!E:E,('Model output'!Z:Z=A8)),1)="","",INDEX(_xlfn._xlws.FILTER('Model output'!E:E,('Model output'!Z:Z=A8)),1)),1)),"N1", IF(INDEX(_xlfn._xlws.FILTER('Model output'!E:E,('Model output'!Z:Z=A8)),1)="","",INDEX(_xlfn._xlws.FILTER('Model output'!E:E,('Model output'!Z:Z=A8)),1))),LEN(IF(ISNUMBER(SEARCH("present",IF(INDEX(_xlfn._xlws.FILTER('Model output'!E:E,('Model output'!Z:Z=A8)),1)="","",INDEX(_xlfn._xlws.FILTER('Model output'!E:E,('Model output'!Z:Z=A8)),1)),1)),"N1", IF(INDEX(_xlfn._xlws.FILTER('Model output'!E:E,('Model output'!Z:Z=A8)),1)="","",INDEX(_xlfn._xlws.FILTER('Model output'!E:E,('Model output'!Z:Z=A8)),1))))-FIND("N",IF(ISNUMBER(SEARCH("present",IF(INDEX(_xlfn._xlws.FILTER('Model output'!E:E,('Model output'!Z:Z=A8)),1)="","",INDEX(_xlfn._xlws.FILTER('Model output'!E:E,('Model output'!Z:Z=A8)),1)),1)),"N1", IF(INDEX(_xlfn._xlws.FILTER('Model output'!E:E,('Model output'!Z:Z=A8)),1)="","",INDEX(_xlfn._xlws.FILTER('Model output'!E:E,('Model output'!Z:Z=A8)),1))),1)), "")</f>
        <v/>
      </c>
      <c r="H8" s="17" cm="1">
        <f t="array" ref="H8">IF(AND(SUBSTITUTE(_xlfn.TEXTJOIN("/", TRUE, _xlfn._xlws.FILTER('Model output'!F:F, 'Model output'!Z:Z=A8)),"M", "")="", K8="negative"),0,IF(K8="positive",1,0))</f>
        <v>0</v>
      </c>
      <c r="I8" t="str">
        <f t="shared" si="0"/>
        <v>positive</v>
      </c>
      <c r="J8" t="str" cm="1">
        <f t="array" ref="J8">IF(AND(M8&gt;0, _xlfn.TEXTJOIN("; ", TRUE, _xlfn._xlws.FILTER('Model output'!G:G, 'Model output'!Z:Z=A8)) &lt;&gt;"", OR(AND(ISNUMBER(SEARCH("level", _xlfn.TEXTJOIN("; ", TRUE, _xlfn._xlws.FILTER('Model output'!G:G, 'Model output'!Z:Z=A8)),1)),OR(ISNUMBER(SEARCH(" II", _xlfn.TEXTJOIN("; ", TRUE, _xlfn._xlws.FILTER('Model output'!G:G, 'Model output'!Z:Z=A8)),1)),ISNUMBER(SEARCH("2", _xlfn.TEXTJOIN("; ", TRUE, _xlfn._xlws.FILTER('Model output'!G:G, 'Model output'!Z:Z=A8)),1)),ISNUMBER(SEARCH("two", _xlfn.TEXTJOIN("; ", TRUE, _xlfn._xlws.FILTER('Model output'!G:G, 'Model output'!Z:Z=A8)),1)),ISNUMBER(SEARCH("III", _xlfn.TEXTJOIN("; ", TRUE, _xlfn._xlws.FILTER('Model output'!G:G, 'Model output'!Z:Z=A8)),1)),ISNUMBER(SEARCH("3", _xlfn.TEXTJOIN("; ", TRUE, _xlfn._xlws.FILTER('Model output'!G:G, 'Model output'!Z:Z=A8)),1)),ISNUMBER(SEARCH("three", _xlfn.TEXTJOIN("; ", TRUE, _xlfn._xlws.FILTER('Model output'!G:G, 'Model output'!Z:Z=A8)),1)),ISNUMBER(SEARCH("IV", _xlfn.TEXTJOIN("; ", TRUE, _xlfn._xlws.FILTER('Model output'!G:G, 'Model output'!Z:Z=A8)),1)),ISNUMBER(SEARCH("4", _xlfn.TEXTJOIN("; ", TRUE, _xlfn._xlws.FILTER('Model output'!G:G, 'Model output'!Z:Z=A8)),1)),ISNUMBER(SEARCH("five", _xlfn.TEXTJOIN("; ", TRUE, _xlfn._xlws.FILTER('Model output'!G:G, 'Model output'!Z:Z=A8)),1)),ISNUMBER(SEARCH("V ", _xlfn.TEXTJOIN("; ", TRUE, _xlfn._xlws.FILTER('Model output'!G:G, 'Model output'!Z:Z=A8)),1)),ISNUMBER(SEARCH("5", _xlfn.TEXTJOIN("; ", TRUE, _xlfn._xlws.FILTER('Model output'!G:G, 'Model output'!Z:Z=A8)),1)),ISNUMBER(SEARCH("five", _xlfn.TEXTJOIN("; ", TRUE, _xlfn._xlws.FILTER('Model output'!G:G, 'Model output'!Z:Z=A8)),1)),ISNUMBER(SEARCH(" lateral", _xlfn.TEXTJOIN("; ", TRUE, _xlfn._xlws.FILTER('Model output'!G:G, 'Model output'!Z:Z=A8)),1)))),ISNUMBER(SEARCH("cervical", _xlfn.TEXTJOIN("; ", TRUE, _xlfn._xlws.FILTER('Model output'!G:G, 'Model output'!Z:Z=A8)),1)),ISNUMBER(SEARCH("jugular", _xlfn.TEXTJOIN("; ", TRUE, _xlfn._xlws.FILTER('Model output'!G:G, 'Model output'!Z:Z=A8)),1)),ISNUMBER(SEARCH("left neck", _xlfn.TEXTJOIN("; ", TRUE, _xlfn._xlws.FILTER('Model output'!G:G, 'Model output'!Z:Z=A8)),1)),ISNUMBER(SEARCH("left anterior neck", _xlfn.TEXTJOIN("; ", TRUE, _xlfn._xlws.FILTER('Model output'!G:G, 'Model output'!Z:Z=A8)),1)),ISNUMBER(SEARCH("left posterior neck", _xlfn.TEXTJOIN("; ", TRUE, _xlfn._xlws.FILTER('Model output'!G:G, 'Model output'!Z:Z=A8)),1)),ISNUMBER(SEARCH("right neck", _xlfn.TEXTJOIN("; ", TRUE, _xlfn._xlws.FILTER('Model output'!G:G, 'Model output'!Z:Z=A8)),1)),ISNUMBER(SEARCH("right anterior neck", _xlfn.TEXTJOIN("; ", TRUE, _xlfn._xlws.FILTER('Model output'!G:G, 'Model output'!Z:Z=A8)),1)),ISNUMBER(SEARCH("right posterior neck", _xlfn.TEXTJOIN("; ", TRUE, _xlfn._xlws.FILTER('Model output'!G:G, 'Model output'!Z:Z=A8)),1)))),"lateral",IF(AND(M8=0, _xlfn.TEXTJOIN("; ", TRUE, _xlfn._xlws.FILTER('Model output'!G:G, 'Model output'!Z:Z=A8))=""),"", "central"))</f>
        <v>central</v>
      </c>
      <c r="K8" s="17" t="str" cm="1">
        <f t="array" ref="K8">IF(OR(ISNUMBER(SEARCH("lymph",_xlfn.TEXTJOIN("; ", TRUE, _xlfn._xlws.FILTER('Model output'!H:H, 'Model output'!Z:Z=A8)),1)), ISNUMBER(SEARCH("Not mentioned",_xlfn.TEXTJOIN("; ", TRUE, _xlfn._xlws.FILTER('Model output'!H:H, 'Model output'!Z:Z=A8)),1)),ISNUMBER(SEARCH("subcutaneous soft tissues",_xlfn.TEXTJOIN("; ", TRUE, _xlfn._xlws.FILTER('Model output'!H:H, 'Model output'!Z:Z=A8)),1)),ISNUMBER(SEARCH("larynx",_xlfn.TEXTJOIN("; ", TRUE, _xlfn._xlws.FILTER('Model output'!H:H, 'Model output'!Z:Z=A8)),1)),ISNUMBER(SEARCH("trachea",_xlfn.TEXTJOIN("; ", TRUE, _xlfn._xlws.FILTER('Model output'!H:H, 'Model output'!Z:Z=A8)),1)),ISNUMBER(SEARCH("esophagus",_xlfn.TEXTJOIN("; ", TRUE, _xlfn._xlws.FILTER('Model output'!H:H, 'Model output'!Z:Z=A8)),1)),ISNUMBER(SEARCH("recurrent laryngeal nerve",_xlfn.TEXTJOIN("; ", TRUE, _xlfn._xlws.FILTER('Model output'!H:H, 'Model output'!Z:Z=A8)),1)),ISNUMBER(SEARCH("strap muscle",_xlfn.TEXTJOIN("; ", TRUE, _xlfn._xlws.FILTER('Model output'!H:H, 'Model output'!Z:Z=A8)),1)),ISNUMBER(SEARCH("thyroid",_xlfn.TEXTJOIN("; ", TRUE, _xlfn._xlws.FILTER('Model output'!H:H, 'Model output'!Z:Z=A8)),1)),ISNUMBER(SEARCH("RLN",_xlfn.TEXTJOIN("; ", TRUE, _xlfn._xlws.FILTER('Model output'!H:H, 'Model output'!Z:Z=A8)),1)),_xlfn.TEXTJOIN("; ", TRUE, _xlfn._xlws.FILTER('Model output'!H:H, 'Model output'!Z:Z=A8))=""),"negative","positive")</f>
        <v>negative</v>
      </c>
      <c r="L8" s="17">
        <f>IF(IFERROR(INDEX('Model output'!I:I, MATCH(A8, 'Model output'!Z:Z, 0)), "") &lt; M8, "", IFERROR(INDEX('Model output'!I:I, MATCH(A8, 'Model output'!Z:Z, 0)), ""))</f>
        <v>5</v>
      </c>
      <c r="M8" s="17">
        <f>IFERROR(INDEX('Model output'!J:J, MATCH(A8, 'Model output'!Z:Z, 0)), "")</f>
        <v>1</v>
      </c>
      <c r="N8" s="18" t="str" cm="1">
        <f t="array" ref="N8">ReplaceTo(ReplaceAnd(SUBSTITUTE(SUBSTITUTE(_xlfn.TEXTJOIN("; ", TRUE, _xlfn._xlws.FILTER('Model output'!K:K, 'Model output'!Z:Z=A8)), " ", ""), ",", ";")))</f>
        <v>2cm</v>
      </c>
      <c r="O8" t="str" cm="1">
        <f t="array" ref="O8">IF(LEFT(IF(RIGHT(SUBSTITUTE(FilterWithUnits(N8)&amp; ";" &amp;FilterStringsWithNumericAnd(N8) &amp; ";" &amp; FilterStringsWithX(N8), ";;", ";"),1)=";",LEFT(SUBSTITUTE(FilterWithUnits(N8)&amp; ";" &amp;FilterStringsWithNumericAnd(N8) &amp; ";" &amp; FilterStringsWithX(N8), ";;", ";"),LEN(SUBSTITUTE(FilterWithUnits(N8)&amp; ";" &amp;FilterStringsWithNumericAnd(N8) &amp; ";" &amp; FilterStringsWithX(N8), ";;", ";"))-1),SUBSTITUTE(FilterWithUnits(N8)&amp; ";" &amp;FilterStringsWithNumericAnd(N8) &amp; ";" &amp; FilterStringsWithX(N8), ";;", ";")),1)=";",RIGHT(IF(RIGHT(SUBSTITUTE(FilterWithUnits(N8)&amp; ";" &amp;FilterStringsWithNumericAnd(N8) &amp; ";" &amp; FilterStringsWithX(N8), ";;", ";"),1)=";",LEFT(SUBSTITUTE(FilterWithUnits(N8)&amp; ";" &amp;FilterStringsWithNumericAnd(N8) &amp; ";" &amp; FilterStringsWithX(N8), ";;", ";"),LEN(SUBSTITUTE(FilterWithUnits(N8)&amp; ";" &amp;FilterStringsWithNumericAnd(N8) &amp; ";" &amp; FilterStringsWithX(N8), ";;", ";"))-1),SUBSTITUTE(FilterWithUnits(N8)&amp; ";" &amp;FilterStringsWithNumericAnd(N8) &amp; ";" &amp; FilterStringsWithX(N8), ";;", ";")),LEN(IF(RIGHT(SUBSTITUTE(FilterWithUnits(N8)&amp; ";" &amp;FilterStringsWithNumericAnd(N8) &amp; ";" &amp; FilterStringsWithX(N8), ";;", ";"),1)=";",LEFT(SUBSTITUTE(FilterWithUnits(N8)&amp; ";" &amp;FilterStringsWithNumericAnd(N8) &amp; ";" &amp; FilterStringsWithX(N8), ";;", ";"),LEN(SUBSTITUTE(FilterWithUnits(N8)&amp; ";" &amp;FilterStringsWithNumericAnd(N8) &amp; ";" &amp; FilterStringsWithX(N8), ";;", ";"))-1),SUBSTITUTE(FilterWithUnits(N8)&amp; ";" &amp;FilterStringsWithNumericAnd(N8) &amp; ";" &amp; FilterStringsWithX(N8), ";;", ";")))-1),IF(RIGHT(SUBSTITUTE(FilterWithUnits(N8)&amp; ";" &amp;FilterStringsWithNumericAnd(N8) &amp; ";" &amp; FilterStringsWithX(N8), ";;", ";"),1)=";",LEFT(SUBSTITUTE(FilterWithUnits(N8)&amp; ";" &amp;FilterStringsWithNumericAnd(N8) &amp; ";" &amp; FilterStringsWithX(N8), ";;", ";"),LEN(SUBSTITUTE(FilterWithUnits(N8)&amp; ";" &amp;FilterStringsWithNumericAnd(N8) &amp; ";" &amp; FilterStringsWithX(N8), ";;", ";"))-1),SUBSTITUTE(FilterWithUnits(N8)&amp; ";" &amp;FilterStringsWithNumericAnd(N8) &amp; ";" &amp; FilterStringsWithX(N8), ";;", ";")))</f>
        <v>2cm</v>
      </c>
      <c r="P8" cm="1">
        <f t="array" ref="P8">IF(MaxSize((SplitDimensions(O8)))=0, "", MaxSize((SplitDimensions(O8))))</f>
        <v>2</v>
      </c>
      <c r="Q8" t="str" cm="1">
        <f t="array" ref="Q8">IF(ISERROR(INDEX(_xlfn._xlws.FILTER('Model output'!L:L, ('Model output'!Z:Z=A8)*('Model output'!L:L&lt;&gt;"")), 1)), " ", LOWER(INDEX(_xlfn._xlws.FILTER('Model output'!L:L, ('Model output'!Z:Z=A8)*('Model output'!L:L&lt;&gt;"")), 1)))</f>
        <v>follicular</v>
      </c>
      <c r="R8" t="str" cm="1">
        <f t="array" ref="R8">IF(ISERROR(INDEX(_xlfn._xlws.FILTER('Model output'!M:M, ('Model output'!Z:Z=A8)*('Model output'!M:M&lt;&gt;"")), 1)), " ", LOWER(INDEX(_xlfn._xlws.FILTER('Model output'!M:M, ('Model output'!Z:Z=A8)*('Model output'!M:M&lt;&gt;"")), 1)))</f>
        <v>minimally invasive</v>
      </c>
      <c r="S8" t="str" cm="1">
        <f t="array" ref="S8">IF(OR(ISNUMBER(SEARCH("ly",SUBSTITUTE(INDEX(_xlfn._xlws.FILTER('Model output'!N:N,('Model output'!Z:Z=A8)*('Model output'!N:N&lt;&gt;"")),1)," ",""),1)), ISNUMBER(SEARCH("pole",SUBSTITUTE(INDEX(_xlfn._xlws.FILTER('Model output'!N:N,('Model output'!Z:Z=A8)*('Model output'!N:N&lt;&gt;"")),1)," ",""),1))),"",SUBSTITUTE(INDEX(_xlfn._xlws.FILTER('Model output'!N:N,('Model output'!Z:Z=A8)*('Model output'!N:N&lt;&gt;"")),1)," ",""))</f>
        <v>4cm</v>
      </c>
      <c r="T8" t="str" cm="1">
        <f t="array" ref="T8">IF(LEFT(IF(RIGHT(SUBSTITUTE(FilterWithUnits(S8)&amp; ";" &amp;FilterStringsWithNumericAnd(S8) &amp; ";" &amp; FilterStringsWithX(S8), ";;", ";"),1)=";",LEFT(SUBSTITUTE(FilterWithUnits(S8)&amp; ";" &amp;FilterStringsWithNumericAnd(S8) &amp; ";" &amp; FilterStringsWithX(S8), ";;", ";"),LEN(SUBSTITUTE(FilterWithUnits(S8)&amp; ";" &amp;FilterStringsWithNumericAnd(S8) &amp; ";" &amp; FilterStringsWithX(S8), ";;", ";"))-1),SUBSTITUTE(FilterWithUnits(S8)&amp; ";" &amp;FilterStringsWithNumericAnd(S8) &amp; ";" &amp; FilterStringsWithX(S8), ";;", ";")),1)=";",RIGHT(IF(RIGHT(SUBSTITUTE(FilterWithUnits(S8)&amp; ";" &amp;FilterStringsWithNumericAnd(S8) &amp; ";" &amp; FilterStringsWithX(S8), ";;", ";"),1)=";",LEFT(SUBSTITUTE(FilterWithUnits(S8)&amp; ";" &amp;FilterStringsWithNumericAnd(S8) &amp; ";" &amp; FilterStringsWithX(S8), ";;", ";"),LEN(SUBSTITUTE(FilterWithUnits(S8)&amp; ";" &amp;FilterStringsWithNumericAnd(S8) &amp; ";" &amp; FilterStringsWithX(S8), ";;", ";"))-1),SUBSTITUTE(FilterWithUnits(S8)&amp; ";" &amp;FilterStringsWithNumericAnd(S8) &amp; ";" &amp; FilterStringsWithX(S8), ";;", ";")),LEN(IF(RIGHT(SUBSTITUTE(FilterWithUnits(S8)&amp; ";" &amp;FilterStringsWithNumericAnd(S8) &amp; ";" &amp; FilterStringsWithX(S8), ";;", ";"),1)=";",LEFT(SUBSTITUTE(FilterWithUnits(S8)&amp; ";" &amp;FilterStringsWithNumericAnd(S8) &amp; ";" &amp; FilterStringsWithX(S8), ";;", ";"),LEN(SUBSTITUTE(FilterWithUnits(S8)&amp; ";" &amp;FilterStringsWithNumericAnd(S8) &amp; ";" &amp; FilterStringsWithX(S8), ";;", ";"))-1),SUBSTITUTE(FilterWithUnits(S8)&amp; ";" &amp;FilterStringsWithNumericAnd(S8) &amp; ";" &amp; FilterStringsWithX(S8), ";;", ";")))-1),IF(RIGHT(SUBSTITUTE(FilterWithUnits(S8)&amp; ";" &amp;FilterStringsWithNumericAnd(S8) &amp; ";" &amp; FilterStringsWithX(S8), ";;", ";"),1)=";",LEFT(SUBSTITUTE(FilterWithUnits(S8)&amp; ";" &amp;FilterStringsWithNumericAnd(S8) &amp; ";" &amp; FilterStringsWithX(S8), ";;", ";"),LEN(SUBSTITUTE(FilterWithUnits(S8)&amp; ";" &amp;FilterStringsWithNumericAnd(S8) &amp; ";" &amp; FilterStringsWithX(S8), ";;", ";"))-1),SUBSTITUTE(FilterWithUnits(S8)&amp; ";" &amp;FilterStringsWithNumericAnd(S8) &amp; ";" &amp; FilterStringsWithX(S8), ";;", ";")))</f>
        <v>4cm</v>
      </c>
      <c r="U8" cm="1">
        <f t="array" ref="U8">IF(MaxSize((SplitDimensions(T8)))=0, "", MaxSize((SplitDimensions(T8))))</f>
        <v>4</v>
      </c>
      <c r="V8" s="17" t="str" cm="1">
        <f t="array" ref="V8">IF(ISERROR(INDEX(_xlfn._xlws.FILTER('Model output'!P:P,('Model output'!Z:Z=A8)*('Model output'!P:P&lt;&gt;"")),1)),"negative",IF(OR(ISNUMBER(SEARCH("foc",INDEX(_xlfn._xlws.FILTER('Model output'!P:P,('Model output'!Z:Z=A8)*('Model output'!P:P&lt;&gt;"")),1),1)),ISNUMBER(SEARCH("extensive",INDEX(_xlfn._xlws.FILTER('Model output'!P:P,('Model output'!Z:Z=A8)*('Model output'!P:P&lt;&gt;"")),1),1)),ISNUMBER(SEARCH("present",INDEX(_xlfn._xlws.FILTER('Model output'!P:P,('Model output'!Z:Z=A8)*('Model output'!P:P&lt;&gt;"")),1),1)),ISNUMBER(SEARCH("yes",INDEX(_xlfn._xlws.FILTER('Model output'!P:P,('Model output'!Z:Z=A8)*('Model output'!P:P&lt;&gt;"")),1),1))),"positive","negative"))</f>
        <v>negative</v>
      </c>
      <c r="X8" t="str" cm="1">
        <f t="array" ref="X8">IF(ISNUMBER(SEARCH("4",INDEX(_xlfn._xlws.FILTER('Model output'!P:P,('Model output'!Z:Z=A8)*('Model output'!P:P&lt;&gt;"")),1),1)),INDEX(_xlfn._xlws.FILTER('Model output'!P:P,('Model output'!Z:Z=A8)*('Model output'!P:P&lt;&gt;"")),1),"") &amp; _xlfn.TEXTJOIN("",TRUE,_xlfn._xlws.FILTER('Model output'!Q:Q,'Model output'!Z:Z=A8))</f>
        <v>Not mentioned</v>
      </c>
      <c r="Y8" t="str">
        <f t="shared" si="11"/>
        <v>no</v>
      </c>
      <c r="Z8" t="str" cm="1">
        <f t="array" ref="Z8">IF(OR(ISNUMBER(SEARCH("focal",_xlfn.TEXTJOIN("; ",TRUE,_xlfn._xlws.FILTER('Model output'!R:R,'Model output'!Z:Z=A8)),1)),ISNUMBER(SEARCH("present",_xlfn.TEXTJOIN("; ",TRUE,_xlfn._xlws.FILTER('Model output'!R:R,'Model output'!Z:Z=A8)),1))),"positive",IF(_xlfn.TEXTJOIN("; ",TRUE,_xlfn._xlws.FILTER('Model output'!R:R,'Model output'!Z:Z=A8))="","negative",IF(OR(ISNUMBER(SEARCH("no",_xlfn.TEXTJOIN("; ",TRUE,_xlfn._xlws.FILTER('Model output'!R:R,'Model output'!Z:Z=A8)),1)),ISNUMBER(SEARCH("absent",_xlfn.TEXTJOIN("; ",TRUE,_xlfn._xlws.FILTER('Model output'!R:R,'Model output'!Z:Z=A8)),1))),"negative","positive")))</f>
        <v>negative</v>
      </c>
      <c r="AA8" s="17" t="str">
        <f t="shared" si="12"/>
        <v>negative</v>
      </c>
      <c r="AE8" s="17" t="str">
        <f t="shared" si="14"/>
        <v>negative</v>
      </c>
      <c r="AF8" t="str" cm="1">
        <f t="array" ref="AF8">_xlfn.TEXTJOIN("; ",TRUE,_xlfn._xlws.FILTER('Model output'!S:S,'Model output'!Z:Z=A8))</f>
        <v>Not mentioned</v>
      </c>
      <c r="AG8" s="17" t="str" cm="1">
        <f t="array" ref="AG8">IF(OR(ISNUMBER(SEARCH("uninvolved",_xlfn.TEXTJOIN("; ",TRUE,_xlfn._xlws.FILTER('Model output'!V:V,'Model output'!Z:Z=A8)),1)),ISNUMBER(SEARCH("clear",_xlfn.TEXTJOIN("; ",TRUE,_xlfn._xlws.FILTER('Model output'!V:V,'Model output'!Z:Z=A8)),1))*ISNUMBER(SEARCH("not mentioned",_xlfn.TEXTJOIN("; ",TRUE,_xlfn._xlws.FILTER('Model output'!V:V,'Model output'!Z:Z=A8)),1))),"negative",IF(ISNUMBER(SEARCH("cannot be assessed",_xlfn.TEXTJOIN("; ",TRUE,_xlfn._xlws.FILTER('Model output'!V:V,'Model output'!Z:Z=A8)),1)),"unknown","negative"))</f>
        <v>negative</v>
      </c>
      <c r="AI8" s="45" t="str">
        <f t="shared" si="13"/>
        <v>low</v>
      </c>
      <c r="AJ8" s="36" t="str">
        <f t="shared" si="2"/>
        <v>2</v>
      </c>
      <c r="AK8" s="36" t="str">
        <f t="shared" si="3"/>
        <v>1a</v>
      </c>
      <c r="AL8" s="36">
        <f t="shared" si="4"/>
        <v>0</v>
      </c>
      <c r="AM8" s="36" t="str">
        <f t="shared" si="5"/>
        <v>II</v>
      </c>
      <c r="AN8" s="37" t="s">
        <v>166</v>
      </c>
      <c r="AO8" s="36" t="s">
        <v>202</v>
      </c>
      <c r="AP8" s="38" t="s">
        <v>202</v>
      </c>
      <c r="AQ8" s="38">
        <v>0</v>
      </c>
      <c r="AR8" s="38" t="s">
        <v>31</v>
      </c>
      <c r="AS8" s="37">
        <f t="shared" si="6"/>
        <v>1</v>
      </c>
      <c r="AT8" s="38">
        <f t="shared" si="7"/>
        <v>0</v>
      </c>
      <c r="AU8" s="38">
        <f t="shared" si="8"/>
        <v>0</v>
      </c>
      <c r="AV8" s="38">
        <f t="shared" si="9"/>
        <v>1</v>
      </c>
      <c r="AW8" s="39">
        <f t="shared" si="10"/>
        <v>0</v>
      </c>
    </row>
    <row r="9" spans="1:49">
      <c r="A9" s="13">
        <v>7</v>
      </c>
      <c r="B9" s="16">
        <f>_xlfn.MAXIFS('Model output'!B:B,'Model output'!Z:Z,'Classification result'!$A9)</f>
        <v>45429</v>
      </c>
      <c r="C9" s="16"/>
      <c r="D9" s="16"/>
      <c r="E9" s="17">
        <f>_xlfn.MAXIFS('Model output'!C:C,'Model output'!Z:Z,'Classification result'!$A9)</f>
        <v>67</v>
      </c>
      <c r="F9" s="17" t="str" cm="1">
        <f t="array" ref="F9">LEFT(IF(ISERROR(RIGHT(IF(INDEX(_xlfn._xlws.FILTER('Model output'!D:D,('Model output'!Z:Z=A9)),1)&lt;&gt;"",INDEX(_xlfn._xlws.FILTER('Model output'!D:D,('Model output'!Z:Z=A9)),1),""),LEN(IF(INDEX(_xlfn._xlws.FILTER('Model output'!D:D,('Model output'!Z:Z=A9)),1)&lt;&gt;"",INDEX(_xlfn._xlws.FILTER('Model output'!D:D,('Model output'!Z:Z=A9)),1),""))-FIND("T",IF(INDEX(_xlfn._xlws.FILTER('Model output'!D:D,('Model output'!Z:Z=A9)),1)&lt;&gt;"",INDEX(_xlfn._xlws.FILTER('Model output'!D:D,('Model output'!Z:Z=A9)),1),""),1))),"",(RIGHT(IF(INDEX(_xlfn._xlws.FILTER('Model output'!D:D,('Model output'!Z:Z=A9)),1)&lt;&gt;"",INDEX(_xlfn._xlws.FILTER('Model output'!D:D,('Model output'!Z:Z=A9)),1),""),LEN(IF(INDEX(_xlfn._xlws.FILTER('Model output'!D:D,('Model output'!Z:Z=A9)),1)&lt;&gt;"",INDEX(_xlfn._xlws.FILTER('Model output'!D:D,('Model output'!Z:Z=A9)),1),""))-FIND("T",IF(INDEX(_xlfn._xlws.FILTER('Model output'!D:D,('Model output'!Z:Z=A9)),1)&lt;&gt;"",INDEX(_xlfn._xlws.FILTER('Model output'!D:D,('Model output'!Z:Z=A9)),1)))))),2)</f>
        <v>1a</v>
      </c>
      <c r="G9" s="17" t="str" cm="1">
        <f t="array" ref="G9">IF(ISNUMBER(SEARCH("N",IF(ISNUMBER(SEARCH("present",IF(INDEX(_xlfn._xlws.FILTER('Model output'!E:E,('Model output'!Z:Z=A9)),1)="","",INDEX(_xlfn._xlws.FILTER('Model output'!E:E,('Model output'!Z:Z=A9)),1)),1)),"N1", IF(INDEX(_xlfn._xlws.FILTER('Model output'!E:E,('Model output'!Z:Z=A9)),1)="","",INDEX(_xlfn._xlws.FILTER('Model output'!E:E,('Model output'!Z:Z=A9)),1))),1)),RIGHT(IF(ISNUMBER(SEARCH("present",IF(INDEX(_xlfn._xlws.FILTER('Model output'!E:E,('Model output'!Z:Z=A9)),1)="","",INDEX(_xlfn._xlws.FILTER('Model output'!E:E,('Model output'!Z:Z=A9)),1)),1)),"N1", IF(INDEX(_xlfn._xlws.FILTER('Model output'!E:E,('Model output'!Z:Z=A9)),1)="","",INDEX(_xlfn._xlws.FILTER('Model output'!E:E,('Model output'!Z:Z=A9)),1))),LEN(IF(ISNUMBER(SEARCH("present",IF(INDEX(_xlfn._xlws.FILTER('Model output'!E:E,('Model output'!Z:Z=A9)),1)="","",INDEX(_xlfn._xlws.FILTER('Model output'!E:E,('Model output'!Z:Z=A9)),1)),1)),"N1", IF(INDEX(_xlfn._xlws.FILTER('Model output'!E:E,('Model output'!Z:Z=A9)),1)="","",INDEX(_xlfn._xlws.FILTER('Model output'!E:E,('Model output'!Z:Z=A9)),1))))-FIND("N",IF(ISNUMBER(SEARCH("present",IF(INDEX(_xlfn._xlws.FILTER('Model output'!E:E,('Model output'!Z:Z=A9)),1)="","",INDEX(_xlfn._xlws.FILTER('Model output'!E:E,('Model output'!Z:Z=A9)),1)),1)),"N1", IF(INDEX(_xlfn._xlws.FILTER('Model output'!E:E,('Model output'!Z:Z=A9)),1)="","",INDEX(_xlfn._xlws.FILTER('Model output'!E:E,('Model output'!Z:Z=A9)),1))),1)), "")</f>
        <v/>
      </c>
      <c r="H9" s="17" cm="1">
        <f t="array" ref="H9">IF(AND(SUBSTITUTE(_xlfn.TEXTJOIN("/", TRUE, _xlfn._xlws.FILTER('Model output'!F:F, 'Model output'!Z:Z=A9)),"M", "")="", K9="negative"),0,IF(K9="positive",1,0))</f>
        <v>0</v>
      </c>
      <c r="I9" t="str">
        <f t="shared" si="0"/>
        <v/>
      </c>
      <c r="J9" t="str" cm="1">
        <f t="array" ref="J9">IF(AND(M9&gt;0, _xlfn.TEXTJOIN("; ", TRUE, _xlfn._xlws.FILTER('Model output'!G:G, 'Model output'!Z:Z=A9)) &lt;&gt;"", OR(AND(ISNUMBER(SEARCH("level", _xlfn.TEXTJOIN("; ", TRUE, _xlfn._xlws.FILTER('Model output'!G:G, 'Model output'!Z:Z=A9)),1)),OR(ISNUMBER(SEARCH(" II", _xlfn.TEXTJOIN("; ", TRUE, _xlfn._xlws.FILTER('Model output'!G:G, 'Model output'!Z:Z=A9)),1)),ISNUMBER(SEARCH("2", _xlfn.TEXTJOIN("; ", TRUE, _xlfn._xlws.FILTER('Model output'!G:G, 'Model output'!Z:Z=A9)),1)),ISNUMBER(SEARCH("two", _xlfn.TEXTJOIN("; ", TRUE, _xlfn._xlws.FILTER('Model output'!G:G, 'Model output'!Z:Z=A9)),1)),ISNUMBER(SEARCH("III", _xlfn.TEXTJOIN("; ", TRUE, _xlfn._xlws.FILTER('Model output'!G:G, 'Model output'!Z:Z=A9)),1)),ISNUMBER(SEARCH("3", _xlfn.TEXTJOIN("; ", TRUE, _xlfn._xlws.FILTER('Model output'!G:G, 'Model output'!Z:Z=A9)),1)),ISNUMBER(SEARCH("three", _xlfn.TEXTJOIN("; ", TRUE, _xlfn._xlws.FILTER('Model output'!G:G, 'Model output'!Z:Z=A9)),1)),ISNUMBER(SEARCH("IV", _xlfn.TEXTJOIN("; ", TRUE, _xlfn._xlws.FILTER('Model output'!G:G, 'Model output'!Z:Z=A9)),1)),ISNUMBER(SEARCH("4", _xlfn.TEXTJOIN("; ", TRUE, _xlfn._xlws.FILTER('Model output'!G:G, 'Model output'!Z:Z=A9)),1)),ISNUMBER(SEARCH("five", _xlfn.TEXTJOIN("; ", TRUE, _xlfn._xlws.FILTER('Model output'!G:G, 'Model output'!Z:Z=A9)),1)),ISNUMBER(SEARCH("V ", _xlfn.TEXTJOIN("; ", TRUE, _xlfn._xlws.FILTER('Model output'!G:G, 'Model output'!Z:Z=A9)),1)),ISNUMBER(SEARCH("5", _xlfn.TEXTJOIN("; ", TRUE, _xlfn._xlws.FILTER('Model output'!G:G, 'Model output'!Z:Z=A9)),1)),ISNUMBER(SEARCH("five", _xlfn.TEXTJOIN("; ", TRUE, _xlfn._xlws.FILTER('Model output'!G:G, 'Model output'!Z:Z=A9)),1)),ISNUMBER(SEARCH(" lateral", _xlfn.TEXTJOIN("; ", TRUE, _xlfn._xlws.FILTER('Model output'!G:G, 'Model output'!Z:Z=A9)),1)))),ISNUMBER(SEARCH("cervical", _xlfn.TEXTJOIN("; ", TRUE, _xlfn._xlws.FILTER('Model output'!G:G, 'Model output'!Z:Z=A9)),1)),ISNUMBER(SEARCH("jugular", _xlfn.TEXTJOIN("; ", TRUE, _xlfn._xlws.FILTER('Model output'!G:G, 'Model output'!Z:Z=A9)),1)),ISNUMBER(SEARCH("left neck", _xlfn.TEXTJOIN("; ", TRUE, _xlfn._xlws.FILTER('Model output'!G:G, 'Model output'!Z:Z=A9)),1)),ISNUMBER(SEARCH("left anterior neck", _xlfn.TEXTJOIN("; ", TRUE, _xlfn._xlws.FILTER('Model output'!G:G, 'Model output'!Z:Z=A9)),1)),ISNUMBER(SEARCH("left posterior neck", _xlfn.TEXTJOIN("; ", TRUE, _xlfn._xlws.FILTER('Model output'!G:G, 'Model output'!Z:Z=A9)),1)),ISNUMBER(SEARCH("right neck", _xlfn.TEXTJOIN("; ", TRUE, _xlfn._xlws.FILTER('Model output'!G:G, 'Model output'!Z:Z=A9)),1)),ISNUMBER(SEARCH("right anterior neck", _xlfn.TEXTJOIN("; ", TRUE, _xlfn._xlws.FILTER('Model output'!G:G, 'Model output'!Z:Z=A9)),1)),ISNUMBER(SEARCH("right posterior neck", _xlfn.TEXTJOIN("; ", TRUE, _xlfn._xlws.FILTER('Model output'!G:G, 'Model output'!Z:Z=A9)),1)))),"lateral",IF(AND(M9=0, _xlfn.TEXTJOIN("; ", TRUE, _xlfn._xlws.FILTER('Model output'!G:G, 'Model output'!Z:Z=A9))=""),"", "central"))</f>
        <v/>
      </c>
      <c r="K9" s="17" t="str" cm="1">
        <f t="array" ref="K9">IF(OR(ISNUMBER(SEARCH("lymph",_xlfn.TEXTJOIN("; ", TRUE, _xlfn._xlws.FILTER('Model output'!H:H, 'Model output'!Z:Z=A9)),1)), ISNUMBER(SEARCH("Not mentioned",_xlfn.TEXTJOIN("; ", TRUE, _xlfn._xlws.FILTER('Model output'!H:H, 'Model output'!Z:Z=A9)),1)),ISNUMBER(SEARCH("subcutaneous soft tissues",_xlfn.TEXTJOIN("; ", TRUE, _xlfn._xlws.FILTER('Model output'!H:H, 'Model output'!Z:Z=A9)),1)),ISNUMBER(SEARCH("larynx",_xlfn.TEXTJOIN("; ", TRUE, _xlfn._xlws.FILTER('Model output'!H:H, 'Model output'!Z:Z=A9)),1)),ISNUMBER(SEARCH("trachea",_xlfn.TEXTJOIN("; ", TRUE, _xlfn._xlws.FILTER('Model output'!H:H, 'Model output'!Z:Z=A9)),1)),ISNUMBER(SEARCH("esophagus",_xlfn.TEXTJOIN("; ", TRUE, _xlfn._xlws.FILTER('Model output'!H:H, 'Model output'!Z:Z=A9)),1)),ISNUMBER(SEARCH("recurrent laryngeal nerve",_xlfn.TEXTJOIN("; ", TRUE, _xlfn._xlws.FILTER('Model output'!H:H, 'Model output'!Z:Z=A9)),1)),ISNUMBER(SEARCH("strap muscle",_xlfn.TEXTJOIN("; ", TRUE, _xlfn._xlws.FILTER('Model output'!H:H, 'Model output'!Z:Z=A9)),1)),ISNUMBER(SEARCH("thyroid",_xlfn.TEXTJOIN("; ", TRUE, _xlfn._xlws.FILTER('Model output'!H:H, 'Model output'!Z:Z=A9)),1)),ISNUMBER(SEARCH("RLN",_xlfn.TEXTJOIN("; ", TRUE, _xlfn._xlws.FILTER('Model output'!H:H, 'Model output'!Z:Z=A9)),1)),_xlfn.TEXTJOIN("; ", TRUE, _xlfn._xlws.FILTER('Model output'!H:H, 'Model output'!Z:Z=A9))=""),"negative","positive")</f>
        <v>negative</v>
      </c>
      <c r="L9" s="17">
        <f>IF(IFERROR(INDEX('Model output'!I:I, MATCH(A9, 'Model output'!Z:Z, 0)), "") &lt; M9, "", IFERROR(INDEX('Model output'!I:I, MATCH(A9, 'Model output'!Z:Z, 0)), ""))</f>
        <v>13</v>
      </c>
      <c r="M9" s="17">
        <f>IFERROR(INDEX('Model output'!J:J, MATCH(A9, 'Model output'!Z:Z, 0)), "")</f>
        <v>0</v>
      </c>
      <c r="N9" s="18" t="str" cm="1">
        <f t="array" ref="N9">ReplaceTo(ReplaceAnd(SUBSTITUTE(SUBSTITUTE(_xlfn.TEXTJOIN("; ", TRUE, _xlfn._xlws.FILTER('Model output'!K:K, 'Model output'!Z:Z=A9)), " ", ""), ",", ";")))</f>
        <v/>
      </c>
      <c r="O9" t="str" cm="1">
        <f t="array" ref="O9">IF(LEFT(IF(RIGHT(SUBSTITUTE(FilterWithUnits(N9)&amp; ";" &amp;FilterStringsWithNumericAnd(N9) &amp; ";" &amp; FilterStringsWithX(N9), ";;", ";"),1)=";",LEFT(SUBSTITUTE(FilterWithUnits(N9)&amp; ";" &amp;FilterStringsWithNumericAnd(N9) &amp; ";" &amp; FilterStringsWithX(N9), ";;", ";"),LEN(SUBSTITUTE(FilterWithUnits(N9)&amp; ";" &amp;FilterStringsWithNumericAnd(N9) &amp; ";" &amp; FilterStringsWithX(N9), ";;", ";"))-1),SUBSTITUTE(FilterWithUnits(N9)&amp; ";" &amp;FilterStringsWithNumericAnd(N9) &amp; ";" &amp; FilterStringsWithX(N9), ";;", ";")),1)=";",RIGHT(IF(RIGHT(SUBSTITUTE(FilterWithUnits(N9)&amp; ";" &amp;FilterStringsWithNumericAnd(N9) &amp; ";" &amp; FilterStringsWithX(N9), ";;", ";"),1)=";",LEFT(SUBSTITUTE(FilterWithUnits(N9)&amp; ";" &amp;FilterStringsWithNumericAnd(N9) &amp; ";" &amp; FilterStringsWithX(N9), ";;", ";"),LEN(SUBSTITUTE(FilterWithUnits(N9)&amp; ";" &amp;FilterStringsWithNumericAnd(N9) &amp; ";" &amp; FilterStringsWithX(N9), ";;", ";"))-1),SUBSTITUTE(FilterWithUnits(N9)&amp; ";" &amp;FilterStringsWithNumericAnd(N9) &amp; ";" &amp; FilterStringsWithX(N9), ";;", ";")),LEN(IF(RIGHT(SUBSTITUTE(FilterWithUnits(N9)&amp; ";" &amp;FilterStringsWithNumericAnd(N9) &amp; ";" &amp; FilterStringsWithX(N9), ";;", ";"),1)=";",LEFT(SUBSTITUTE(FilterWithUnits(N9)&amp; ";" &amp;FilterStringsWithNumericAnd(N9) &amp; ";" &amp; FilterStringsWithX(N9), ";;", ";"),LEN(SUBSTITUTE(FilterWithUnits(N9)&amp; ";" &amp;FilterStringsWithNumericAnd(N9) &amp; ";" &amp; FilterStringsWithX(N9), ";;", ";"))-1),SUBSTITUTE(FilterWithUnits(N9)&amp; ";" &amp;FilterStringsWithNumericAnd(N9) &amp; ";" &amp; FilterStringsWithX(N9), ";;", ";")))-1),IF(RIGHT(SUBSTITUTE(FilterWithUnits(N9)&amp; ";" &amp;FilterStringsWithNumericAnd(N9) &amp; ";" &amp; FilterStringsWithX(N9), ";;", ";"),1)=";",LEFT(SUBSTITUTE(FilterWithUnits(N9)&amp; ";" &amp;FilterStringsWithNumericAnd(N9) &amp; ";" &amp; FilterStringsWithX(N9), ";;", ";"),LEN(SUBSTITUTE(FilterWithUnits(N9)&amp; ";" &amp;FilterStringsWithNumericAnd(N9) &amp; ";" &amp; FilterStringsWithX(N9), ";;", ";"))-1),SUBSTITUTE(FilterWithUnits(N9)&amp; ";" &amp;FilterStringsWithNumericAnd(N9) &amp; ";" &amp; FilterStringsWithX(N9), ";;", ";")))</f>
        <v/>
      </c>
      <c r="P9" t="str" cm="1">
        <f t="array" ref="P9">IF(MaxSize((SplitDimensions(O9)))=0, "", MaxSize((SplitDimensions(O9))))</f>
        <v/>
      </c>
      <c r="Q9" t="str" cm="1">
        <f t="array" ref="Q9">IF(ISERROR(INDEX(_xlfn._xlws.FILTER('Model output'!L:L, ('Model output'!Z:Z=A9)*('Model output'!L:L&lt;&gt;"")), 1)), " ", LOWER(INDEX(_xlfn._xlws.FILTER('Model output'!L:L, ('Model output'!Z:Z=A9)*('Model output'!L:L&lt;&gt;"")), 1)))</f>
        <v>papillary carcinoma</v>
      </c>
      <c r="R9" t="str" cm="1">
        <f t="array" ref="R9">IF(ISERROR(INDEX(_xlfn._xlws.FILTER('Model output'!M:M, ('Model output'!Z:Z=A9)*('Model output'!M:M&lt;&gt;"")), 1)), " ", LOWER(INDEX(_xlfn._xlws.FILTER('Model output'!M:M, ('Model output'!Z:Z=A9)*('Model output'!M:M&lt;&gt;"")), 1)))</f>
        <v>infiltrative follicular subtype</v>
      </c>
      <c r="S9" t="str" cm="1">
        <f t="array" ref="S9">IF(OR(ISNUMBER(SEARCH("ly",SUBSTITUTE(INDEX(_xlfn._xlws.FILTER('Model output'!N:N,('Model output'!Z:Z=A9)*('Model output'!N:N&lt;&gt;"")),1)," ",""),1)), ISNUMBER(SEARCH("pole",SUBSTITUTE(INDEX(_xlfn._xlws.FILTER('Model output'!N:N,('Model output'!Z:Z=A9)*('Model output'!N:N&lt;&gt;"")),1)," ",""),1))),"",SUBSTITUTE(INDEX(_xlfn._xlws.FILTER('Model output'!N:N,('Model output'!Z:Z=A9)*('Model output'!N:N&lt;&gt;"")),1)," ",""))</f>
        <v>4mm</v>
      </c>
      <c r="T9" t="str" cm="1">
        <f t="array" ref="T9">IF(LEFT(IF(RIGHT(SUBSTITUTE(FilterWithUnits(S9)&amp; ";" &amp;FilterStringsWithNumericAnd(S9) &amp; ";" &amp; FilterStringsWithX(S9), ";;", ";"),1)=";",LEFT(SUBSTITUTE(FilterWithUnits(S9)&amp; ";" &amp;FilterStringsWithNumericAnd(S9) &amp; ";" &amp; FilterStringsWithX(S9), ";;", ";"),LEN(SUBSTITUTE(FilterWithUnits(S9)&amp; ";" &amp;FilterStringsWithNumericAnd(S9) &amp; ";" &amp; FilterStringsWithX(S9), ";;", ";"))-1),SUBSTITUTE(FilterWithUnits(S9)&amp; ";" &amp;FilterStringsWithNumericAnd(S9) &amp; ";" &amp; FilterStringsWithX(S9), ";;", ";")),1)=";",RIGHT(IF(RIGHT(SUBSTITUTE(FilterWithUnits(S9)&amp; ";" &amp;FilterStringsWithNumericAnd(S9) &amp; ";" &amp; FilterStringsWithX(S9), ";;", ";"),1)=";",LEFT(SUBSTITUTE(FilterWithUnits(S9)&amp; ";" &amp;FilterStringsWithNumericAnd(S9) &amp; ";" &amp; FilterStringsWithX(S9), ";;", ";"),LEN(SUBSTITUTE(FilterWithUnits(S9)&amp; ";" &amp;FilterStringsWithNumericAnd(S9) &amp; ";" &amp; FilterStringsWithX(S9), ";;", ";"))-1),SUBSTITUTE(FilterWithUnits(S9)&amp; ";" &amp;FilterStringsWithNumericAnd(S9) &amp; ";" &amp; FilterStringsWithX(S9), ";;", ";")),LEN(IF(RIGHT(SUBSTITUTE(FilterWithUnits(S9)&amp; ";" &amp;FilterStringsWithNumericAnd(S9) &amp; ";" &amp; FilterStringsWithX(S9), ";;", ";"),1)=";",LEFT(SUBSTITUTE(FilterWithUnits(S9)&amp; ";" &amp;FilterStringsWithNumericAnd(S9) &amp; ";" &amp; FilterStringsWithX(S9), ";;", ";"),LEN(SUBSTITUTE(FilterWithUnits(S9)&amp; ";" &amp;FilterStringsWithNumericAnd(S9) &amp; ";" &amp; FilterStringsWithX(S9), ";;", ";"))-1),SUBSTITUTE(FilterWithUnits(S9)&amp; ";" &amp;FilterStringsWithNumericAnd(S9) &amp; ";" &amp; FilterStringsWithX(S9), ";;", ";")))-1),IF(RIGHT(SUBSTITUTE(FilterWithUnits(S9)&amp; ";" &amp;FilterStringsWithNumericAnd(S9) &amp; ";" &amp; FilterStringsWithX(S9), ";;", ";"),1)=";",LEFT(SUBSTITUTE(FilterWithUnits(S9)&amp; ";" &amp;FilterStringsWithNumericAnd(S9) &amp; ";" &amp; FilterStringsWithX(S9), ";;", ";"),LEN(SUBSTITUTE(FilterWithUnits(S9)&amp; ";" &amp;FilterStringsWithNumericAnd(S9) &amp; ";" &amp; FilterStringsWithX(S9), ";;", ";"))-1),SUBSTITUTE(FilterWithUnits(S9)&amp; ";" &amp;FilterStringsWithNumericAnd(S9) &amp; ";" &amp; FilterStringsWithX(S9), ";;", ";")))</f>
        <v>4mm</v>
      </c>
      <c r="U9" cm="1">
        <f t="array" ref="U9">IF(MaxSize((SplitDimensions(T9)))=0, "", MaxSize((SplitDimensions(T9))))</f>
        <v>0.4</v>
      </c>
      <c r="V9" s="17" t="str" cm="1">
        <f t="array" ref="V9">IF(ISERROR(INDEX(_xlfn._xlws.FILTER('Model output'!P:P,('Model output'!Z:Z=A9)*('Model output'!P:P&lt;&gt;"")),1)),"negative",IF(OR(ISNUMBER(SEARCH("foc",INDEX(_xlfn._xlws.FILTER('Model output'!P:P,('Model output'!Z:Z=A9)*('Model output'!P:P&lt;&gt;"")),1),1)),ISNUMBER(SEARCH("extensive",INDEX(_xlfn._xlws.FILTER('Model output'!P:P,('Model output'!Z:Z=A9)*('Model output'!P:P&lt;&gt;"")),1),1)),ISNUMBER(SEARCH("present",INDEX(_xlfn._xlws.FILTER('Model output'!P:P,('Model output'!Z:Z=A9)*('Model output'!P:P&lt;&gt;"")),1),1)),ISNUMBER(SEARCH("yes",INDEX(_xlfn._xlws.FILTER('Model output'!P:P,('Model output'!Z:Z=A9)*('Model output'!P:P&lt;&gt;"")),1),1))),"positive","negative"))</f>
        <v>negative</v>
      </c>
      <c r="X9" t="str" cm="1">
        <f t="array" ref="X9">IF(ISNUMBER(SEARCH("4",INDEX(_xlfn._xlws.FILTER('Model output'!P:P,('Model output'!Z:Z=A9)*('Model output'!P:P&lt;&gt;"")),1),1)),INDEX(_xlfn._xlws.FILTER('Model output'!P:P,('Model output'!Z:Z=A9)*('Model output'!P:P&lt;&gt;"")),1),"") &amp; _xlfn.TEXTJOIN("",TRUE,_xlfn._xlws.FILTER('Model output'!Q:Q,'Model output'!Z:Z=A9))</f>
        <v>Not mentioned</v>
      </c>
      <c r="Y9" t="str">
        <f t="shared" si="11"/>
        <v>no</v>
      </c>
      <c r="Z9" t="str" cm="1">
        <f t="array" ref="Z9">IF(OR(ISNUMBER(SEARCH("focal",_xlfn.TEXTJOIN("; ",TRUE,_xlfn._xlws.FILTER('Model output'!R:R,'Model output'!Z:Z=A9)),1)),ISNUMBER(SEARCH("present",_xlfn.TEXTJOIN("; ",TRUE,_xlfn._xlws.FILTER('Model output'!R:R,'Model output'!Z:Z=A9)),1))),"positive",IF(_xlfn.TEXTJOIN("; ",TRUE,_xlfn._xlws.FILTER('Model output'!R:R,'Model output'!Z:Z=A9))="","negative",IF(OR(ISNUMBER(SEARCH("no",_xlfn.TEXTJOIN("; ",TRUE,_xlfn._xlws.FILTER('Model output'!R:R,'Model output'!Z:Z=A9)),1)),ISNUMBER(SEARCH("absent",_xlfn.TEXTJOIN("; ",TRUE,_xlfn._xlws.FILTER('Model output'!R:R,'Model output'!Z:Z=A9)),1))),"negative","positive")))</f>
        <v>negative</v>
      </c>
      <c r="AA9" s="17" t="str">
        <f t="shared" si="12"/>
        <v>negative</v>
      </c>
      <c r="AE9" s="17" t="str">
        <f t="shared" si="14"/>
        <v>negative</v>
      </c>
      <c r="AF9" t="str" cm="1">
        <f t="array" ref="AF9">_xlfn.TEXTJOIN("; ",TRUE,_xlfn._xlws.FILTER('Model output'!S:S,'Model output'!Z:Z=A9))</f>
        <v>Not identified; Not mentioned</v>
      </c>
      <c r="AG9" s="17" t="str" cm="1">
        <f t="array" ref="AG9">IF(OR(ISNUMBER(SEARCH("uninvolved",_xlfn.TEXTJOIN("; ",TRUE,_xlfn._xlws.FILTER('Model output'!V:V,'Model output'!Z:Z=A9)),1)),ISNUMBER(SEARCH("clear",_xlfn.TEXTJOIN("; ",TRUE,_xlfn._xlws.FILTER('Model output'!V:V,'Model output'!Z:Z=A9)),1))*ISNUMBER(SEARCH("not mentioned",_xlfn.TEXTJOIN("; ",TRUE,_xlfn._xlws.FILTER('Model output'!V:V,'Model output'!Z:Z=A9)),1))),"negative",IF(ISNUMBER(SEARCH("cannot be assessed",_xlfn.TEXTJOIN("; ",TRUE,_xlfn._xlws.FILTER('Model output'!V:V,'Model output'!Z:Z=A9)),1)),"unknown","negative"))</f>
        <v>negative</v>
      </c>
      <c r="AI9" s="45" t="str">
        <f t="shared" si="13"/>
        <v>low</v>
      </c>
      <c r="AJ9" s="36" t="str">
        <f t="shared" si="2"/>
        <v>1a</v>
      </c>
      <c r="AK9" s="36">
        <f t="shared" si="3"/>
        <v>0</v>
      </c>
      <c r="AL9" s="36">
        <f t="shared" si="4"/>
        <v>0</v>
      </c>
      <c r="AM9" s="36" t="str">
        <f t="shared" si="5"/>
        <v>I</v>
      </c>
      <c r="AN9" s="37" t="s">
        <v>166</v>
      </c>
      <c r="AO9" s="38" t="s">
        <v>203</v>
      </c>
      <c r="AP9" s="38" t="s">
        <v>202</v>
      </c>
      <c r="AQ9" s="38">
        <v>0</v>
      </c>
      <c r="AR9" s="38" t="s">
        <v>31</v>
      </c>
      <c r="AS9" s="37">
        <f t="shared" si="6"/>
        <v>1</v>
      </c>
      <c r="AT9" s="38">
        <f t="shared" si="7"/>
        <v>1</v>
      </c>
      <c r="AU9" s="38">
        <f t="shared" si="8"/>
        <v>1</v>
      </c>
      <c r="AV9" s="38">
        <f t="shared" si="9"/>
        <v>1</v>
      </c>
      <c r="AW9" s="39">
        <f t="shared" si="10"/>
        <v>1</v>
      </c>
    </row>
    <row r="10" spans="1:49">
      <c r="A10" s="13">
        <v>8</v>
      </c>
      <c r="B10" s="16">
        <f>_xlfn.MAXIFS('Model output'!B:B,'Model output'!Z:Z,'Classification result'!$A10)</f>
        <v>45443</v>
      </c>
      <c r="C10" s="16"/>
      <c r="D10" s="16"/>
      <c r="E10" s="17">
        <f>_xlfn.MAXIFS('Model output'!C:C,'Model output'!Z:Z,'Classification result'!$A10)</f>
        <v>78</v>
      </c>
      <c r="F10" s="17" t="str" cm="1">
        <f t="array" ref="F10">LEFT(IF(ISERROR(RIGHT(IF(INDEX(_xlfn._xlws.FILTER('Model output'!D:D,('Model output'!Z:Z=A10)),1)&lt;&gt;"",INDEX(_xlfn._xlws.FILTER('Model output'!D:D,('Model output'!Z:Z=A10)),1),""),LEN(IF(INDEX(_xlfn._xlws.FILTER('Model output'!D:D,('Model output'!Z:Z=A10)),1)&lt;&gt;"",INDEX(_xlfn._xlws.FILTER('Model output'!D:D,('Model output'!Z:Z=A10)),1),""))-FIND("T",IF(INDEX(_xlfn._xlws.FILTER('Model output'!D:D,('Model output'!Z:Z=A10)),1)&lt;&gt;"",INDEX(_xlfn._xlws.FILTER('Model output'!D:D,('Model output'!Z:Z=A10)),1),""),1))),"",(RIGHT(IF(INDEX(_xlfn._xlws.FILTER('Model output'!D:D,('Model output'!Z:Z=A10)),1)&lt;&gt;"",INDEX(_xlfn._xlws.FILTER('Model output'!D:D,('Model output'!Z:Z=A10)),1),""),LEN(IF(INDEX(_xlfn._xlws.FILTER('Model output'!D:D,('Model output'!Z:Z=A10)),1)&lt;&gt;"",INDEX(_xlfn._xlws.FILTER('Model output'!D:D,('Model output'!Z:Z=A10)),1),""))-FIND("T",IF(INDEX(_xlfn._xlws.FILTER('Model output'!D:D,('Model output'!Z:Z=A10)),1)&lt;&gt;"",INDEX(_xlfn._xlws.FILTER('Model output'!D:D,('Model output'!Z:Z=A10)),1)))))),2)</f>
        <v>1b</v>
      </c>
      <c r="G10" s="17" t="str" cm="1">
        <f t="array" ref="G10">IF(ISNUMBER(SEARCH("N",IF(ISNUMBER(SEARCH("present",IF(INDEX(_xlfn._xlws.FILTER('Model output'!E:E,('Model output'!Z:Z=A10)),1)="","",INDEX(_xlfn._xlws.FILTER('Model output'!E:E,('Model output'!Z:Z=A10)),1)),1)),"N1", IF(INDEX(_xlfn._xlws.FILTER('Model output'!E:E,('Model output'!Z:Z=A10)),1)="","",INDEX(_xlfn._xlws.FILTER('Model output'!E:E,('Model output'!Z:Z=A10)),1))),1)),RIGHT(IF(ISNUMBER(SEARCH("present",IF(INDEX(_xlfn._xlws.FILTER('Model output'!E:E,('Model output'!Z:Z=A10)),1)="","",INDEX(_xlfn._xlws.FILTER('Model output'!E:E,('Model output'!Z:Z=A10)),1)),1)),"N1", IF(INDEX(_xlfn._xlws.FILTER('Model output'!E:E,('Model output'!Z:Z=A10)),1)="","",INDEX(_xlfn._xlws.FILTER('Model output'!E:E,('Model output'!Z:Z=A10)),1))),LEN(IF(ISNUMBER(SEARCH("present",IF(INDEX(_xlfn._xlws.FILTER('Model output'!E:E,('Model output'!Z:Z=A10)),1)="","",INDEX(_xlfn._xlws.FILTER('Model output'!E:E,('Model output'!Z:Z=A10)),1)),1)),"N1", IF(INDEX(_xlfn._xlws.FILTER('Model output'!E:E,('Model output'!Z:Z=A10)),1)="","",INDEX(_xlfn._xlws.FILTER('Model output'!E:E,('Model output'!Z:Z=A10)),1))))-FIND("N",IF(ISNUMBER(SEARCH("present",IF(INDEX(_xlfn._xlws.FILTER('Model output'!E:E,('Model output'!Z:Z=A10)),1)="","",INDEX(_xlfn._xlws.FILTER('Model output'!E:E,('Model output'!Z:Z=A10)),1)),1)),"N1", IF(INDEX(_xlfn._xlws.FILTER('Model output'!E:E,('Model output'!Z:Z=A10)),1)="","",INDEX(_xlfn._xlws.FILTER('Model output'!E:E,('Model output'!Z:Z=A10)),1))),1)), "")</f>
        <v/>
      </c>
      <c r="H10" s="17" cm="1">
        <f t="array" ref="H10">IF(AND(SUBSTITUTE(_xlfn.TEXTJOIN("/", TRUE, _xlfn._xlws.FILTER('Model output'!F:F, 'Model output'!Z:Z=A10)),"M", "")="", K10="negative"),0,IF(K10="positive",1,0))</f>
        <v>0</v>
      </c>
      <c r="I10" t="str">
        <f t="shared" si="0"/>
        <v/>
      </c>
      <c r="J10" t="str" cm="1">
        <f t="array" ref="J10">IF(AND(M10&gt;0, _xlfn.TEXTJOIN("; ", TRUE, _xlfn._xlws.FILTER('Model output'!G:G, 'Model output'!Z:Z=A10)) &lt;&gt;"", OR(AND(ISNUMBER(SEARCH("level", _xlfn.TEXTJOIN("; ", TRUE, _xlfn._xlws.FILTER('Model output'!G:G, 'Model output'!Z:Z=A10)),1)),OR(ISNUMBER(SEARCH(" II", _xlfn.TEXTJOIN("; ", TRUE, _xlfn._xlws.FILTER('Model output'!G:G, 'Model output'!Z:Z=A10)),1)),ISNUMBER(SEARCH("2", _xlfn.TEXTJOIN("; ", TRUE, _xlfn._xlws.FILTER('Model output'!G:G, 'Model output'!Z:Z=A10)),1)),ISNUMBER(SEARCH("two", _xlfn.TEXTJOIN("; ", TRUE, _xlfn._xlws.FILTER('Model output'!G:G, 'Model output'!Z:Z=A10)),1)),ISNUMBER(SEARCH("III", _xlfn.TEXTJOIN("; ", TRUE, _xlfn._xlws.FILTER('Model output'!G:G, 'Model output'!Z:Z=A10)),1)),ISNUMBER(SEARCH("3", _xlfn.TEXTJOIN("; ", TRUE, _xlfn._xlws.FILTER('Model output'!G:G, 'Model output'!Z:Z=A10)),1)),ISNUMBER(SEARCH("three", _xlfn.TEXTJOIN("; ", TRUE, _xlfn._xlws.FILTER('Model output'!G:G, 'Model output'!Z:Z=A10)),1)),ISNUMBER(SEARCH("IV", _xlfn.TEXTJOIN("; ", TRUE, _xlfn._xlws.FILTER('Model output'!G:G, 'Model output'!Z:Z=A10)),1)),ISNUMBER(SEARCH("4", _xlfn.TEXTJOIN("; ", TRUE, _xlfn._xlws.FILTER('Model output'!G:G, 'Model output'!Z:Z=A10)),1)),ISNUMBER(SEARCH("five", _xlfn.TEXTJOIN("; ", TRUE, _xlfn._xlws.FILTER('Model output'!G:G, 'Model output'!Z:Z=A10)),1)),ISNUMBER(SEARCH("V ", _xlfn.TEXTJOIN("; ", TRUE, _xlfn._xlws.FILTER('Model output'!G:G, 'Model output'!Z:Z=A10)),1)),ISNUMBER(SEARCH("5", _xlfn.TEXTJOIN("; ", TRUE, _xlfn._xlws.FILTER('Model output'!G:G, 'Model output'!Z:Z=A10)),1)),ISNUMBER(SEARCH("five", _xlfn.TEXTJOIN("; ", TRUE, _xlfn._xlws.FILTER('Model output'!G:G, 'Model output'!Z:Z=A10)),1)),ISNUMBER(SEARCH(" lateral", _xlfn.TEXTJOIN("; ", TRUE, _xlfn._xlws.FILTER('Model output'!G:G, 'Model output'!Z:Z=A10)),1)))),ISNUMBER(SEARCH("cervical", _xlfn.TEXTJOIN("; ", TRUE, _xlfn._xlws.FILTER('Model output'!G:G, 'Model output'!Z:Z=A10)),1)),ISNUMBER(SEARCH("jugular", _xlfn.TEXTJOIN("; ", TRUE, _xlfn._xlws.FILTER('Model output'!G:G, 'Model output'!Z:Z=A10)),1)),ISNUMBER(SEARCH("left neck", _xlfn.TEXTJOIN("; ", TRUE, _xlfn._xlws.FILTER('Model output'!G:G, 'Model output'!Z:Z=A10)),1)),ISNUMBER(SEARCH("left anterior neck", _xlfn.TEXTJOIN("; ", TRUE, _xlfn._xlws.FILTER('Model output'!G:G, 'Model output'!Z:Z=A10)),1)),ISNUMBER(SEARCH("left posterior neck", _xlfn.TEXTJOIN("; ", TRUE, _xlfn._xlws.FILTER('Model output'!G:G, 'Model output'!Z:Z=A10)),1)),ISNUMBER(SEARCH("right neck", _xlfn.TEXTJOIN("; ", TRUE, _xlfn._xlws.FILTER('Model output'!G:G, 'Model output'!Z:Z=A10)),1)),ISNUMBER(SEARCH("right anterior neck", _xlfn.TEXTJOIN("; ", TRUE, _xlfn._xlws.FILTER('Model output'!G:G, 'Model output'!Z:Z=A10)),1)),ISNUMBER(SEARCH("right posterior neck", _xlfn.TEXTJOIN("; ", TRUE, _xlfn._xlws.FILTER('Model output'!G:G, 'Model output'!Z:Z=A10)),1)))),"lateral",IF(AND(M10=0, _xlfn.TEXTJOIN("; ", TRUE, _xlfn._xlws.FILTER('Model output'!G:G, 'Model output'!Z:Z=A10))=""),"", "central"))</f>
        <v/>
      </c>
      <c r="K10" s="17" t="str" cm="1">
        <f t="array" ref="K10">IF(OR(ISNUMBER(SEARCH("lymph",_xlfn.TEXTJOIN("; ", TRUE, _xlfn._xlws.FILTER('Model output'!H:H, 'Model output'!Z:Z=A10)),1)), ISNUMBER(SEARCH("Not mentioned",_xlfn.TEXTJOIN("; ", TRUE, _xlfn._xlws.FILTER('Model output'!H:H, 'Model output'!Z:Z=A10)),1)),ISNUMBER(SEARCH("subcutaneous soft tissues",_xlfn.TEXTJOIN("; ", TRUE, _xlfn._xlws.FILTER('Model output'!H:H, 'Model output'!Z:Z=A10)),1)),ISNUMBER(SEARCH("larynx",_xlfn.TEXTJOIN("; ", TRUE, _xlfn._xlws.FILTER('Model output'!H:H, 'Model output'!Z:Z=A10)),1)),ISNUMBER(SEARCH("trachea",_xlfn.TEXTJOIN("; ", TRUE, _xlfn._xlws.FILTER('Model output'!H:H, 'Model output'!Z:Z=A10)),1)),ISNUMBER(SEARCH("esophagus",_xlfn.TEXTJOIN("; ", TRUE, _xlfn._xlws.FILTER('Model output'!H:H, 'Model output'!Z:Z=A10)),1)),ISNUMBER(SEARCH("recurrent laryngeal nerve",_xlfn.TEXTJOIN("; ", TRUE, _xlfn._xlws.FILTER('Model output'!H:H, 'Model output'!Z:Z=A10)),1)),ISNUMBER(SEARCH("strap muscle",_xlfn.TEXTJOIN("; ", TRUE, _xlfn._xlws.FILTER('Model output'!H:H, 'Model output'!Z:Z=A10)),1)),ISNUMBER(SEARCH("thyroid",_xlfn.TEXTJOIN("; ", TRUE, _xlfn._xlws.FILTER('Model output'!H:H, 'Model output'!Z:Z=A10)),1)),ISNUMBER(SEARCH("RLN",_xlfn.TEXTJOIN("; ", TRUE, _xlfn._xlws.FILTER('Model output'!H:H, 'Model output'!Z:Z=A10)),1)),_xlfn.TEXTJOIN("; ", TRUE, _xlfn._xlws.FILTER('Model output'!H:H, 'Model output'!Z:Z=A10))=""),"negative","positive")</f>
        <v>negative</v>
      </c>
      <c r="L10" s="17">
        <f>IF(IFERROR(INDEX('Model output'!I:I, MATCH(A10, 'Model output'!Z:Z, 0)), "") &lt; M10, "", IFERROR(INDEX('Model output'!I:I, MATCH(A10, 'Model output'!Z:Z, 0)), ""))</f>
        <v>0</v>
      </c>
      <c r="M10" s="17">
        <f>IFERROR(INDEX('Model output'!J:J, MATCH(A10, 'Model output'!Z:Z, 0)), "")</f>
        <v>0</v>
      </c>
      <c r="N10" s="18" t="str" cm="1">
        <f t="array" ref="N10">ReplaceTo(ReplaceAnd(SUBSTITUTE(SUBSTITUTE(_xlfn.TEXTJOIN("; ", TRUE, _xlfn._xlws.FILTER('Model output'!K:K, 'Model output'!Z:Z=A10)), " ", ""), ",", ";")))</f>
        <v/>
      </c>
      <c r="O10" t="str" cm="1">
        <f t="array" ref="O10">IF(LEFT(IF(RIGHT(SUBSTITUTE(FilterWithUnits(N10)&amp; ";" &amp;FilterStringsWithNumericAnd(N10) &amp; ";" &amp; FilterStringsWithX(N10), ";;", ";"),1)=";",LEFT(SUBSTITUTE(FilterWithUnits(N10)&amp; ";" &amp;FilterStringsWithNumericAnd(N10) &amp; ";" &amp; FilterStringsWithX(N10), ";;", ";"),LEN(SUBSTITUTE(FilterWithUnits(N10)&amp; ";" &amp;FilterStringsWithNumericAnd(N10) &amp; ";" &amp; FilterStringsWithX(N10), ";;", ";"))-1),SUBSTITUTE(FilterWithUnits(N10)&amp; ";" &amp;FilterStringsWithNumericAnd(N10) &amp; ";" &amp; FilterStringsWithX(N10), ";;", ";")),1)=";",RIGHT(IF(RIGHT(SUBSTITUTE(FilterWithUnits(N10)&amp; ";" &amp;FilterStringsWithNumericAnd(N10) &amp; ";" &amp; FilterStringsWithX(N10), ";;", ";"),1)=";",LEFT(SUBSTITUTE(FilterWithUnits(N10)&amp; ";" &amp;FilterStringsWithNumericAnd(N10) &amp; ";" &amp; FilterStringsWithX(N10), ";;", ";"),LEN(SUBSTITUTE(FilterWithUnits(N10)&amp; ";" &amp;FilterStringsWithNumericAnd(N10) &amp; ";" &amp; FilterStringsWithX(N10), ";;", ";"))-1),SUBSTITUTE(FilterWithUnits(N10)&amp; ";" &amp;FilterStringsWithNumericAnd(N10) &amp; ";" &amp; FilterStringsWithX(N10), ";;", ";")),LEN(IF(RIGHT(SUBSTITUTE(FilterWithUnits(N10)&amp; ";" &amp;FilterStringsWithNumericAnd(N10) &amp; ";" &amp; FilterStringsWithX(N10), ";;", ";"),1)=";",LEFT(SUBSTITUTE(FilterWithUnits(N10)&amp; ";" &amp;FilterStringsWithNumericAnd(N10) &amp; ";" &amp; FilterStringsWithX(N10), ";;", ";"),LEN(SUBSTITUTE(FilterWithUnits(N10)&amp; ";" &amp;FilterStringsWithNumericAnd(N10) &amp; ";" &amp; FilterStringsWithX(N10), ";;", ";"))-1),SUBSTITUTE(FilterWithUnits(N10)&amp; ";" &amp;FilterStringsWithNumericAnd(N10) &amp; ";" &amp; FilterStringsWithX(N10), ";;", ";")))-1),IF(RIGHT(SUBSTITUTE(FilterWithUnits(N10)&amp; ";" &amp;FilterStringsWithNumericAnd(N10) &amp; ";" &amp; FilterStringsWithX(N10), ";;", ";"),1)=";",LEFT(SUBSTITUTE(FilterWithUnits(N10)&amp; ";" &amp;FilterStringsWithNumericAnd(N10) &amp; ";" &amp; FilterStringsWithX(N10), ";;", ";"),LEN(SUBSTITUTE(FilterWithUnits(N10)&amp; ";" &amp;FilterStringsWithNumericAnd(N10) &amp; ";" &amp; FilterStringsWithX(N10), ";;", ";"))-1),SUBSTITUTE(FilterWithUnits(N10)&amp; ";" &amp;FilterStringsWithNumericAnd(N10) &amp; ";" &amp; FilterStringsWithX(N10), ";;", ";")))</f>
        <v/>
      </c>
      <c r="P10" t="str" cm="1">
        <f t="array" ref="P10">IF(MaxSize((SplitDimensions(O10)))=0, "", MaxSize((SplitDimensions(O10))))</f>
        <v/>
      </c>
      <c r="Q10" t="str" cm="1">
        <f t="array" ref="Q10">IF(ISERROR(INDEX(_xlfn._xlws.FILTER('Model output'!L:L, ('Model output'!Z:Z=A10)*('Model output'!L:L&lt;&gt;"")), 1)), " ", LOWER(INDEX(_xlfn._xlws.FILTER('Model output'!L:L, ('Model output'!Z:Z=A10)*('Model output'!L:L&lt;&gt;"")), 1)))</f>
        <v>papillary carcinoma</v>
      </c>
      <c r="R10" t="str" cm="1">
        <f t="array" ref="R10">IF(ISERROR(INDEX(_xlfn._xlws.FILTER('Model output'!M:M, ('Model output'!Z:Z=A10)*('Model output'!M:M&lt;&gt;"")), 1)), " ", LOWER(INDEX(_xlfn._xlws.FILTER('Model output'!M:M, ('Model output'!Z:Z=A10)*('Model output'!M:M&lt;&gt;"")), 1)))</f>
        <v>classic</v>
      </c>
      <c r="S10" t="str" cm="1">
        <f t="array" ref="S10">IF(OR(ISNUMBER(SEARCH("ly",SUBSTITUTE(INDEX(_xlfn._xlws.FILTER('Model output'!N:N,('Model output'!Z:Z=A10)*('Model output'!N:N&lt;&gt;"")),1)," ",""),1)), ISNUMBER(SEARCH("pole",SUBSTITUTE(INDEX(_xlfn._xlws.FILTER('Model output'!N:N,('Model output'!Z:Z=A10)*('Model output'!N:N&lt;&gt;"")),1)," ",""),1))),"",SUBSTITUTE(INDEX(_xlfn._xlws.FILTER('Model output'!N:N,('Model output'!Z:Z=A10)*('Model output'!N:N&lt;&gt;"")),1)," ",""))</f>
        <v>11.5mm</v>
      </c>
      <c r="T10" t="str" cm="1">
        <f t="array" ref="T10">IF(LEFT(IF(RIGHT(SUBSTITUTE(FilterWithUnits(S10)&amp; ";" &amp;FilterStringsWithNumericAnd(S10) &amp; ";" &amp; FilterStringsWithX(S10), ";;", ";"),1)=";",LEFT(SUBSTITUTE(FilterWithUnits(S10)&amp; ";" &amp;FilterStringsWithNumericAnd(S10) &amp; ";" &amp; FilterStringsWithX(S10), ";;", ";"),LEN(SUBSTITUTE(FilterWithUnits(S10)&amp; ";" &amp;FilterStringsWithNumericAnd(S10) &amp; ";" &amp; FilterStringsWithX(S10), ";;", ";"))-1),SUBSTITUTE(FilterWithUnits(S10)&amp; ";" &amp;FilterStringsWithNumericAnd(S10) &amp; ";" &amp; FilterStringsWithX(S10), ";;", ";")),1)=";",RIGHT(IF(RIGHT(SUBSTITUTE(FilterWithUnits(S10)&amp; ";" &amp;FilterStringsWithNumericAnd(S10) &amp; ";" &amp; FilterStringsWithX(S10), ";;", ";"),1)=";",LEFT(SUBSTITUTE(FilterWithUnits(S10)&amp; ";" &amp;FilterStringsWithNumericAnd(S10) &amp; ";" &amp; FilterStringsWithX(S10), ";;", ";"),LEN(SUBSTITUTE(FilterWithUnits(S10)&amp; ";" &amp;FilterStringsWithNumericAnd(S10) &amp; ";" &amp; FilterStringsWithX(S10), ";;", ";"))-1),SUBSTITUTE(FilterWithUnits(S10)&amp; ";" &amp;FilterStringsWithNumericAnd(S10) &amp; ";" &amp; FilterStringsWithX(S10), ";;", ";")),LEN(IF(RIGHT(SUBSTITUTE(FilterWithUnits(S10)&amp; ";" &amp;FilterStringsWithNumericAnd(S10) &amp; ";" &amp; FilterStringsWithX(S10), ";;", ";"),1)=";",LEFT(SUBSTITUTE(FilterWithUnits(S10)&amp; ";" &amp;FilterStringsWithNumericAnd(S10) &amp; ";" &amp; FilterStringsWithX(S10), ";;", ";"),LEN(SUBSTITUTE(FilterWithUnits(S10)&amp; ";" &amp;FilterStringsWithNumericAnd(S10) &amp; ";" &amp; FilterStringsWithX(S10), ";;", ";"))-1),SUBSTITUTE(FilterWithUnits(S10)&amp; ";" &amp;FilterStringsWithNumericAnd(S10) &amp; ";" &amp; FilterStringsWithX(S10), ";;", ";")))-1),IF(RIGHT(SUBSTITUTE(FilterWithUnits(S10)&amp; ";" &amp;FilterStringsWithNumericAnd(S10) &amp; ";" &amp; FilterStringsWithX(S10), ";;", ";"),1)=";",LEFT(SUBSTITUTE(FilterWithUnits(S10)&amp; ";" &amp;FilterStringsWithNumericAnd(S10) &amp; ";" &amp; FilterStringsWithX(S10), ";;", ";"),LEN(SUBSTITUTE(FilterWithUnits(S10)&amp; ";" &amp;FilterStringsWithNumericAnd(S10) &amp; ";" &amp; FilterStringsWithX(S10), ";;", ";"))-1),SUBSTITUTE(FilterWithUnits(S10)&amp; ";" &amp;FilterStringsWithNumericAnd(S10) &amp; ";" &amp; FilterStringsWithX(S10), ";;", ";")))</f>
        <v>11.5mm</v>
      </c>
      <c r="U10" cm="1">
        <f t="array" ref="U10">IF(MaxSize((SplitDimensions(T10)))=0, "", MaxSize((SplitDimensions(T10))))</f>
        <v>1.1499999999999999</v>
      </c>
      <c r="V10" s="17" t="str" cm="1">
        <f t="array" ref="V10">IF(ISERROR(INDEX(_xlfn._xlws.FILTER('Model output'!P:P,('Model output'!Z:Z=A10)*('Model output'!P:P&lt;&gt;"")),1)),"negative",IF(OR(ISNUMBER(SEARCH("foc",INDEX(_xlfn._xlws.FILTER('Model output'!P:P,('Model output'!Z:Z=A10)*('Model output'!P:P&lt;&gt;"")),1),1)),ISNUMBER(SEARCH("extensive",INDEX(_xlfn._xlws.FILTER('Model output'!P:P,('Model output'!Z:Z=A10)*('Model output'!P:P&lt;&gt;"")),1),1)),ISNUMBER(SEARCH("present",INDEX(_xlfn._xlws.FILTER('Model output'!P:P,('Model output'!Z:Z=A10)*('Model output'!P:P&lt;&gt;"")),1),1)),ISNUMBER(SEARCH("yes",INDEX(_xlfn._xlws.FILTER('Model output'!P:P,('Model output'!Z:Z=A10)*('Model output'!P:P&lt;&gt;"")),1),1))),"positive","negative"))</f>
        <v>negative</v>
      </c>
      <c r="X10" t="str" cm="1">
        <f t="array" ref="X10">IF(ISNUMBER(SEARCH("4",INDEX(_xlfn._xlws.FILTER('Model output'!P:P,('Model output'!Z:Z=A10)*('Model output'!P:P&lt;&gt;"")),1),1)),INDEX(_xlfn._xlws.FILTER('Model output'!P:P,('Model output'!Z:Z=A10)*('Model output'!P:P&lt;&gt;"")),1),"") &amp; _xlfn.TEXTJOIN("",TRUE,_xlfn._xlws.FILTER('Model output'!Q:Q,'Model output'!Z:Z=A10))</f>
        <v/>
      </c>
      <c r="Y10" t="str">
        <f t="shared" si="11"/>
        <v>no</v>
      </c>
      <c r="Z10" t="str" cm="1">
        <f t="array" ref="Z10">IF(OR(ISNUMBER(SEARCH("focal",_xlfn.TEXTJOIN("; ",TRUE,_xlfn._xlws.FILTER('Model output'!R:R,'Model output'!Z:Z=A10)),1)),ISNUMBER(SEARCH("present",_xlfn.TEXTJOIN("; ",TRUE,_xlfn._xlws.FILTER('Model output'!R:R,'Model output'!Z:Z=A10)),1))),"positive",IF(_xlfn.TEXTJOIN("; ",TRUE,_xlfn._xlws.FILTER('Model output'!R:R,'Model output'!Z:Z=A10))="","negative",IF(OR(ISNUMBER(SEARCH("no",_xlfn.TEXTJOIN("; ",TRUE,_xlfn._xlws.FILTER('Model output'!R:R,'Model output'!Z:Z=A10)),1)),ISNUMBER(SEARCH("absent",_xlfn.TEXTJOIN("; ",TRUE,_xlfn._xlws.FILTER('Model output'!R:R,'Model output'!Z:Z=A10)),1))),"negative","positive")))</f>
        <v>negative</v>
      </c>
      <c r="AA10" s="17" t="str">
        <f t="shared" si="12"/>
        <v>negative</v>
      </c>
      <c r="AE10" s="17" t="str">
        <f t="shared" si="14"/>
        <v>negative</v>
      </c>
      <c r="AF10" t="str" cm="1">
        <f t="array" ref="AF10">_xlfn.TEXTJOIN("; ",TRUE,_xlfn._xlws.FILTER('Model output'!S:S,'Model output'!Z:Z=A10))</f>
        <v>Not identified</v>
      </c>
      <c r="AG10" s="17" t="str" cm="1">
        <f t="array" ref="AG10">IF(OR(ISNUMBER(SEARCH("uninvolved",_xlfn.TEXTJOIN("; ",TRUE,_xlfn._xlws.FILTER('Model output'!V:V,'Model output'!Z:Z=A10)),1)),ISNUMBER(SEARCH("clear",_xlfn.TEXTJOIN("; ",TRUE,_xlfn._xlws.FILTER('Model output'!V:V,'Model output'!Z:Z=A10)),1))*ISNUMBER(SEARCH("not mentioned",_xlfn.TEXTJOIN("; ",TRUE,_xlfn._xlws.FILTER('Model output'!V:V,'Model output'!Z:Z=A10)),1))),"negative",IF(ISNUMBER(SEARCH("cannot be assessed",_xlfn.TEXTJOIN("; ",TRUE,_xlfn._xlws.FILTER('Model output'!V:V,'Model output'!Z:Z=A10)),1)),"unknown","negative"))</f>
        <v>negative</v>
      </c>
      <c r="AI10" s="45" t="str">
        <f t="shared" si="13"/>
        <v>low</v>
      </c>
      <c r="AJ10" s="36" t="str">
        <f t="shared" si="2"/>
        <v>1b</v>
      </c>
      <c r="AK10" s="36" t="str">
        <f t="shared" si="3"/>
        <v>x</v>
      </c>
      <c r="AL10" s="36">
        <f t="shared" si="4"/>
        <v>0</v>
      </c>
      <c r="AM10" s="36" t="str">
        <f t="shared" si="5"/>
        <v>I</v>
      </c>
      <c r="AN10" s="37" t="s">
        <v>166</v>
      </c>
      <c r="AO10" s="38" t="s">
        <v>201</v>
      </c>
      <c r="AP10" s="38" t="s">
        <v>202</v>
      </c>
      <c r="AQ10" s="38">
        <v>0</v>
      </c>
      <c r="AR10" s="38" t="s">
        <v>31</v>
      </c>
      <c r="AS10" s="37">
        <f t="shared" si="6"/>
        <v>1</v>
      </c>
      <c r="AT10" s="38">
        <f t="shared" si="7"/>
        <v>1</v>
      </c>
      <c r="AU10" s="38">
        <f t="shared" si="8"/>
        <v>1</v>
      </c>
      <c r="AV10" s="38">
        <f t="shared" si="9"/>
        <v>1</v>
      </c>
      <c r="AW10" s="39">
        <f t="shared" si="10"/>
        <v>1</v>
      </c>
    </row>
    <row r="11" spans="1:49">
      <c r="A11" s="13">
        <v>9</v>
      </c>
      <c r="B11" s="16">
        <f>_xlfn.MAXIFS('Model output'!B:B,'Model output'!Z:Z,'Classification result'!$A11)</f>
        <v>45331</v>
      </c>
      <c r="C11" s="16"/>
      <c r="D11" s="16"/>
      <c r="E11" s="17">
        <f>_xlfn.MAXIFS('Model output'!C:C,'Model output'!Z:Z,'Classification result'!$A11)</f>
        <v>55</v>
      </c>
      <c r="F11" s="17" t="str" cm="1">
        <f t="array" ref="F11">LEFT(IF(ISERROR(RIGHT(IF(INDEX(_xlfn._xlws.FILTER('Model output'!D:D,('Model output'!Z:Z=A11)),1)&lt;&gt;"",INDEX(_xlfn._xlws.FILTER('Model output'!D:D,('Model output'!Z:Z=A11)),1),""),LEN(IF(INDEX(_xlfn._xlws.FILTER('Model output'!D:D,('Model output'!Z:Z=A11)),1)&lt;&gt;"",INDEX(_xlfn._xlws.FILTER('Model output'!D:D,('Model output'!Z:Z=A11)),1),""))-FIND("T",IF(INDEX(_xlfn._xlws.FILTER('Model output'!D:D,('Model output'!Z:Z=A11)),1)&lt;&gt;"",INDEX(_xlfn._xlws.FILTER('Model output'!D:D,('Model output'!Z:Z=A11)),1),""),1))),"",(RIGHT(IF(INDEX(_xlfn._xlws.FILTER('Model output'!D:D,('Model output'!Z:Z=A11)),1)&lt;&gt;"",INDEX(_xlfn._xlws.FILTER('Model output'!D:D,('Model output'!Z:Z=A11)),1),""),LEN(IF(INDEX(_xlfn._xlws.FILTER('Model output'!D:D,('Model output'!Z:Z=A11)),1)&lt;&gt;"",INDEX(_xlfn._xlws.FILTER('Model output'!D:D,('Model output'!Z:Z=A11)),1),""))-FIND("T",IF(INDEX(_xlfn._xlws.FILTER('Model output'!D:D,('Model output'!Z:Z=A11)),1)&lt;&gt;"",INDEX(_xlfn._xlws.FILTER('Model output'!D:D,('Model output'!Z:Z=A11)),1)))))),2)</f>
        <v>2</v>
      </c>
      <c r="G11" s="17" t="str" cm="1">
        <f t="array" ref="G11">IF(ISNUMBER(SEARCH("N",IF(ISNUMBER(SEARCH("present",IF(INDEX(_xlfn._xlws.FILTER('Model output'!E:E,('Model output'!Z:Z=A11)),1)="","",INDEX(_xlfn._xlws.FILTER('Model output'!E:E,('Model output'!Z:Z=A11)),1)),1)),"N1", IF(INDEX(_xlfn._xlws.FILTER('Model output'!E:E,('Model output'!Z:Z=A11)),1)="","",INDEX(_xlfn._xlws.FILTER('Model output'!E:E,('Model output'!Z:Z=A11)),1))),1)),RIGHT(IF(ISNUMBER(SEARCH("present",IF(INDEX(_xlfn._xlws.FILTER('Model output'!E:E,('Model output'!Z:Z=A11)),1)="","",INDEX(_xlfn._xlws.FILTER('Model output'!E:E,('Model output'!Z:Z=A11)),1)),1)),"N1", IF(INDEX(_xlfn._xlws.FILTER('Model output'!E:E,('Model output'!Z:Z=A11)),1)="","",INDEX(_xlfn._xlws.FILTER('Model output'!E:E,('Model output'!Z:Z=A11)),1))),LEN(IF(ISNUMBER(SEARCH("present",IF(INDEX(_xlfn._xlws.FILTER('Model output'!E:E,('Model output'!Z:Z=A11)),1)="","",INDEX(_xlfn._xlws.FILTER('Model output'!E:E,('Model output'!Z:Z=A11)),1)),1)),"N1", IF(INDEX(_xlfn._xlws.FILTER('Model output'!E:E,('Model output'!Z:Z=A11)),1)="","",INDEX(_xlfn._xlws.FILTER('Model output'!E:E,('Model output'!Z:Z=A11)),1))))-FIND("N",IF(ISNUMBER(SEARCH("present",IF(INDEX(_xlfn._xlws.FILTER('Model output'!E:E,('Model output'!Z:Z=A11)),1)="","",INDEX(_xlfn._xlws.FILTER('Model output'!E:E,('Model output'!Z:Z=A11)),1)),1)),"N1", IF(INDEX(_xlfn._xlws.FILTER('Model output'!E:E,('Model output'!Z:Z=A11)),1)="","",INDEX(_xlfn._xlws.FILTER('Model output'!E:E,('Model output'!Z:Z=A11)),1))),1)), "")</f>
        <v/>
      </c>
      <c r="H11" s="17" cm="1">
        <f t="array" ref="H11">IF(AND(SUBSTITUTE(_xlfn.TEXTJOIN("/", TRUE, _xlfn._xlws.FILTER('Model output'!F:F, 'Model output'!Z:Z=A11)),"M", "")="", K11="negative"),0,IF(K11="positive",1,0))</f>
        <v>0</v>
      </c>
      <c r="I11" t="str">
        <f t="shared" si="0"/>
        <v>positive</v>
      </c>
      <c r="J11" t="str" cm="1">
        <f t="array" ref="J11">IF(AND(M11&gt;0, _xlfn.TEXTJOIN("; ", TRUE, _xlfn._xlws.FILTER('Model output'!G:G, 'Model output'!Z:Z=A11)) &lt;&gt;"", OR(AND(ISNUMBER(SEARCH("level", _xlfn.TEXTJOIN("; ", TRUE, _xlfn._xlws.FILTER('Model output'!G:G, 'Model output'!Z:Z=A11)),1)),OR(ISNUMBER(SEARCH(" II", _xlfn.TEXTJOIN("; ", TRUE, _xlfn._xlws.FILTER('Model output'!G:G, 'Model output'!Z:Z=A11)),1)),ISNUMBER(SEARCH("2", _xlfn.TEXTJOIN("; ", TRUE, _xlfn._xlws.FILTER('Model output'!G:G, 'Model output'!Z:Z=A11)),1)),ISNUMBER(SEARCH("two", _xlfn.TEXTJOIN("; ", TRUE, _xlfn._xlws.FILTER('Model output'!G:G, 'Model output'!Z:Z=A11)),1)),ISNUMBER(SEARCH("III", _xlfn.TEXTJOIN("; ", TRUE, _xlfn._xlws.FILTER('Model output'!G:G, 'Model output'!Z:Z=A11)),1)),ISNUMBER(SEARCH("3", _xlfn.TEXTJOIN("; ", TRUE, _xlfn._xlws.FILTER('Model output'!G:G, 'Model output'!Z:Z=A11)),1)),ISNUMBER(SEARCH("three", _xlfn.TEXTJOIN("; ", TRUE, _xlfn._xlws.FILTER('Model output'!G:G, 'Model output'!Z:Z=A11)),1)),ISNUMBER(SEARCH("IV", _xlfn.TEXTJOIN("; ", TRUE, _xlfn._xlws.FILTER('Model output'!G:G, 'Model output'!Z:Z=A11)),1)),ISNUMBER(SEARCH("4", _xlfn.TEXTJOIN("; ", TRUE, _xlfn._xlws.FILTER('Model output'!G:G, 'Model output'!Z:Z=A11)),1)),ISNUMBER(SEARCH("five", _xlfn.TEXTJOIN("; ", TRUE, _xlfn._xlws.FILTER('Model output'!G:G, 'Model output'!Z:Z=A11)),1)),ISNUMBER(SEARCH("V ", _xlfn.TEXTJOIN("; ", TRUE, _xlfn._xlws.FILTER('Model output'!G:G, 'Model output'!Z:Z=A11)),1)),ISNUMBER(SEARCH("5", _xlfn.TEXTJOIN("; ", TRUE, _xlfn._xlws.FILTER('Model output'!G:G, 'Model output'!Z:Z=A11)),1)),ISNUMBER(SEARCH("five", _xlfn.TEXTJOIN("; ", TRUE, _xlfn._xlws.FILTER('Model output'!G:G, 'Model output'!Z:Z=A11)),1)),ISNUMBER(SEARCH(" lateral", _xlfn.TEXTJOIN("; ", TRUE, _xlfn._xlws.FILTER('Model output'!G:G, 'Model output'!Z:Z=A11)),1)))),ISNUMBER(SEARCH("cervical", _xlfn.TEXTJOIN("; ", TRUE, _xlfn._xlws.FILTER('Model output'!G:G, 'Model output'!Z:Z=A11)),1)),ISNUMBER(SEARCH("jugular", _xlfn.TEXTJOIN("; ", TRUE, _xlfn._xlws.FILTER('Model output'!G:G, 'Model output'!Z:Z=A11)),1)),ISNUMBER(SEARCH("left neck", _xlfn.TEXTJOIN("; ", TRUE, _xlfn._xlws.FILTER('Model output'!G:G, 'Model output'!Z:Z=A11)),1)),ISNUMBER(SEARCH("left anterior neck", _xlfn.TEXTJOIN("; ", TRUE, _xlfn._xlws.FILTER('Model output'!G:G, 'Model output'!Z:Z=A11)),1)),ISNUMBER(SEARCH("left posterior neck", _xlfn.TEXTJOIN("; ", TRUE, _xlfn._xlws.FILTER('Model output'!G:G, 'Model output'!Z:Z=A11)),1)),ISNUMBER(SEARCH("right neck", _xlfn.TEXTJOIN("; ", TRUE, _xlfn._xlws.FILTER('Model output'!G:G, 'Model output'!Z:Z=A11)),1)),ISNUMBER(SEARCH("right anterior neck", _xlfn.TEXTJOIN("; ", TRUE, _xlfn._xlws.FILTER('Model output'!G:G, 'Model output'!Z:Z=A11)),1)),ISNUMBER(SEARCH("right posterior neck", _xlfn.TEXTJOIN("; ", TRUE, _xlfn._xlws.FILTER('Model output'!G:G, 'Model output'!Z:Z=A11)),1)))),"lateral",IF(AND(M11=0, _xlfn.TEXTJOIN("; ", TRUE, _xlfn._xlws.FILTER('Model output'!G:G, 'Model output'!Z:Z=A11))=""),"", "central"))</f>
        <v>central</v>
      </c>
      <c r="K11" s="17" t="str" cm="1">
        <f t="array" ref="K11">IF(OR(ISNUMBER(SEARCH("lymph",_xlfn.TEXTJOIN("; ", TRUE, _xlfn._xlws.FILTER('Model output'!H:H, 'Model output'!Z:Z=A11)),1)), ISNUMBER(SEARCH("Not mentioned",_xlfn.TEXTJOIN("; ", TRUE, _xlfn._xlws.FILTER('Model output'!H:H, 'Model output'!Z:Z=A11)),1)),ISNUMBER(SEARCH("subcutaneous soft tissues",_xlfn.TEXTJOIN("; ", TRUE, _xlfn._xlws.FILTER('Model output'!H:H, 'Model output'!Z:Z=A11)),1)),ISNUMBER(SEARCH("larynx",_xlfn.TEXTJOIN("; ", TRUE, _xlfn._xlws.FILTER('Model output'!H:H, 'Model output'!Z:Z=A11)),1)),ISNUMBER(SEARCH("trachea",_xlfn.TEXTJOIN("; ", TRUE, _xlfn._xlws.FILTER('Model output'!H:H, 'Model output'!Z:Z=A11)),1)),ISNUMBER(SEARCH("esophagus",_xlfn.TEXTJOIN("; ", TRUE, _xlfn._xlws.FILTER('Model output'!H:H, 'Model output'!Z:Z=A11)),1)),ISNUMBER(SEARCH("recurrent laryngeal nerve",_xlfn.TEXTJOIN("; ", TRUE, _xlfn._xlws.FILTER('Model output'!H:H, 'Model output'!Z:Z=A11)),1)),ISNUMBER(SEARCH("strap muscle",_xlfn.TEXTJOIN("; ", TRUE, _xlfn._xlws.FILTER('Model output'!H:H, 'Model output'!Z:Z=A11)),1)),ISNUMBER(SEARCH("thyroid",_xlfn.TEXTJOIN("; ", TRUE, _xlfn._xlws.FILTER('Model output'!H:H, 'Model output'!Z:Z=A11)),1)),ISNUMBER(SEARCH("RLN",_xlfn.TEXTJOIN("; ", TRUE, _xlfn._xlws.FILTER('Model output'!H:H, 'Model output'!Z:Z=A11)),1)),_xlfn.TEXTJOIN("; ", TRUE, _xlfn._xlws.FILTER('Model output'!H:H, 'Model output'!Z:Z=A11))=""),"negative","positive")</f>
        <v>negative</v>
      </c>
      <c r="L11" s="17">
        <f>IF(IFERROR(INDEX('Model output'!I:I, MATCH(A11, 'Model output'!Z:Z, 0)), "") &lt; M11, "", IFERROR(INDEX('Model output'!I:I, MATCH(A11, 'Model output'!Z:Z, 0)), ""))</f>
        <v>8</v>
      </c>
      <c r="M11" s="17">
        <f>IFERROR(INDEX('Model output'!J:J, MATCH(A11, 'Model output'!Z:Z, 0)), "")</f>
        <v>4</v>
      </c>
      <c r="N11" s="18" t="str" cm="1">
        <f t="array" ref="N11">ReplaceTo(ReplaceAnd(SUBSTITUTE(SUBSTITUTE(_xlfn.TEXTJOIN("; ", TRUE, _xlfn._xlws.FILTER('Model output'!K:K, 'Model output'!Z:Z=A11)), " ", ""), ",", ";")))</f>
        <v>1.5cm</v>
      </c>
      <c r="O11" t="str" cm="1">
        <f t="array" ref="O11">IF(LEFT(IF(RIGHT(SUBSTITUTE(FilterWithUnits(N11)&amp; ";" &amp;FilterStringsWithNumericAnd(N11) &amp; ";" &amp; FilterStringsWithX(N11), ";;", ";"),1)=";",LEFT(SUBSTITUTE(FilterWithUnits(N11)&amp; ";" &amp;FilterStringsWithNumericAnd(N11) &amp; ";" &amp; FilterStringsWithX(N11), ";;", ";"),LEN(SUBSTITUTE(FilterWithUnits(N11)&amp; ";" &amp;FilterStringsWithNumericAnd(N11) &amp; ";" &amp; FilterStringsWithX(N11), ";;", ";"))-1),SUBSTITUTE(FilterWithUnits(N11)&amp; ";" &amp;FilterStringsWithNumericAnd(N11) &amp; ";" &amp; FilterStringsWithX(N11), ";;", ";")),1)=";",RIGHT(IF(RIGHT(SUBSTITUTE(FilterWithUnits(N11)&amp; ";" &amp;FilterStringsWithNumericAnd(N11) &amp; ";" &amp; FilterStringsWithX(N11), ";;", ";"),1)=";",LEFT(SUBSTITUTE(FilterWithUnits(N11)&amp; ";" &amp;FilterStringsWithNumericAnd(N11) &amp; ";" &amp; FilterStringsWithX(N11), ";;", ";"),LEN(SUBSTITUTE(FilterWithUnits(N11)&amp; ";" &amp;FilterStringsWithNumericAnd(N11) &amp; ";" &amp; FilterStringsWithX(N11), ";;", ";"))-1),SUBSTITUTE(FilterWithUnits(N11)&amp; ";" &amp;FilterStringsWithNumericAnd(N11) &amp; ";" &amp; FilterStringsWithX(N11), ";;", ";")),LEN(IF(RIGHT(SUBSTITUTE(FilterWithUnits(N11)&amp; ";" &amp;FilterStringsWithNumericAnd(N11) &amp; ";" &amp; FilterStringsWithX(N11), ";;", ";"),1)=";",LEFT(SUBSTITUTE(FilterWithUnits(N11)&amp; ";" &amp;FilterStringsWithNumericAnd(N11) &amp; ";" &amp; FilterStringsWithX(N11), ";;", ";"),LEN(SUBSTITUTE(FilterWithUnits(N11)&amp; ";" &amp;FilterStringsWithNumericAnd(N11) &amp; ";" &amp; FilterStringsWithX(N11), ";;", ";"))-1),SUBSTITUTE(FilterWithUnits(N11)&amp; ";" &amp;FilterStringsWithNumericAnd(N11) &amp; ";" &amp; FilterStringsWithX(N11), ";;", ";")))-1),IF(RIGHT(SUBSTITUTE(FilterWithUnits(N11)&amp; ";" &amp;FilterStringsWithNumericAnd(N11) &amp; ";" &amp; FilterStringsWithX(N11), ";;", ";"),1)=";",LEFT(SUBSTITUTE(FilterWithUnits(N11)&amp; ";" &amp;FilterStringsWithNumericAnd(N11) &amp; ";" &amp; FilterStringsWithX(N11), ";;", ";"),LEN(SUBSTITUTE(FilterWithUnits(N11)&amp; ";" &amp;FilterStringsWithNumericAnd(N11) &amp; ";" &amp; FilterStringsWithX(N11), ";;", ";"))-1),SUBSTITUTE(FilterWithUnits(N11)&amp; ";" &amp;FilterStringsWithNumericAnd(N11) &amp; ";" &amp; FilterStringsWithX(N11), ";;", ";")))</f>
        <v>1.5cm</v>
      </c>
      <c r="P11" cm="1">
        <f t="array" ref="P11">IF(MaxSize((SplitDimensions(O11)))=0, "", MaxSize((SplitDimensions(O11))))</f>
        <v>1.5</v>
      </c>
      <c r="Q11" t="str" cm="1">
        <f t="array" ref="Q11">IF(ISERROR(INDEX(_xlfn._xlws.FILTER('Model output'!L:L, ('Model output'!Z:Z=A11)*('Model output'!L:L&lt;&gt;"")), 1)), " ", LOWER(INDEX(_xlfn._xlws.FILTER('Model output'!L:L, ('Model output'!Z:Z=A11)*('Model output'!L:L&lt;&gt;"")), 1)))</f>
        <v>papillary carcinoma, encapsulated classic subtype</v>
      </c>
      <c r="R11" t="str" cm="1">
        <f t="array" ref="R11">IF(ISERROR(INDEX(_xlfn._xlws.FILTER('Model output'!M:M, ('Model output'!Z:Z=A11)*('Model output'!M:M&lt;&gt;"")), 1)), " ", LOWER(INDEX(_xlfn._xlws.FILTER('Model output'!M:M, ('Model output'!Z:Z=A11)*('Model output'!M:M&lt;&gt;"")), 1)))</f>
        <v>encapsulated classic</v>
      </c>
      <c r="S11" t="str" cm="1">
        <f t="array" ref="S11">IF(OR(ISNUMBER(SEARCH("ly",SUBSTITUTE(INDEX(_xlfn._xlws.FILTER('Model output'!N:N,('Model output'!Z:Z=A11)*('Model output'!N:N&lt;&gt;"")),1)," ",""),1)), ISNUMBER(SEARCH("pole",SUBSTITUTE(INDEX(_xlfn._xlws.FILTER('Model output'!N:N,('Model output'!Z:Z=A11)*('Model output'!N:N&lt;&gt;"")),1)," ",""),1))),"",SUBSTITUTE(INDEX(_xlfn._xlws.FILTER('Model output'!N:N,('Model output'!Z:Z=A11)*('Model output'!N:N&lt;&gt;"")),1)," ",""))</f>
        <v/>
      </c>
      <c r="T11" t="str" cm="1">
        <f t="array" ref="T11">IF(LEFT(IF(RIGHT(SUBSTITUTE(FilterWithUnits(S11)&amp; ";" &amp;FilterStringsWithNumericAnd(S11) &amp; ";" &amp; FilterStringsWithX(S11), ";;", ";"),1)=";",LEFT(SUBSTITUTE(FilterWithUnits(S11)&amp; ";" &amp;FilterStringsWithNumericAnd(S11) &amp; ";" &amp; FilterStringsWithX(S11), ";;", ";"),LEN(SUBSTITUTE(FilterWithUnits(S11)&amp; ";" &amp;FilterStringsWithNumericAnd(S11) &amp; ";" &amp; FilterStringsWithX(S11), ";;", ";"))-1),SUBSTITUTE(FilterWithUnits(S11)&amp; ";" &amp;FilterStringsWithNumericAnd(S11) &amp; ";" &amp; FilterStringsWithX(S11), ";;", ";")),1)=";",RIGHT(IF(RIGHT(SUBSTITUTE(FilterWithUnits(S11)&amp; ";" &amp;FilterStringsWithNumericAnd(S11) &amp; ";" &amp; FilterStringsWithX(S11), ";;", ";"),1)=";",LEFT(SUBSTITUTE(FilterWithUnits(S11)&amp; ";" &amp;FilterStringsWithNumericAnd(S11) &amp; ";" &amp; FilterStringsWithX(S11), ";;", ";"),LEN(SUBSTITUTE(FilterWithUnits(S11)&amp; ";" &amp;FilterStringsWithNumericAnd(S11) &amp; ";" &amp; FilterStringsWithX(S11), ";;", ";"))-1),SUBSTITUTE(FilterWithUnits(S11)&amp; ";" &amp;FilterStringsWithNumericAnd(S11) &amp; ";" &amp; FilterStringsWithX(S11), ";;", ";")),LEN(IF(RIGHT(SUBSTITUTE(FilterWithUnits(S11)&amp; ";" &amp;FilterStringsWithNumericAnd(S11) &amp; ";" &amp; FilterStringsWithX(S11), ";;", ";"),1)=";",LEFT(SUBSTITUTE(FilterWithUnits(S11)&amp; ";" &amp;FilterStringsWithNumericAnd(S11) &amp; ";" &amp; FilterStringsWithX(S11), ";;", ";"),LEN(SUBSTITUTE(FilterWithUnits(S11)&amp; ";" &amp;FilterStringsWithNumericAnd(S11) &amp; ";" &amp; FilterStringsWithX(S11), ";;", ";"))-1),SUBSTITUTE(FilterWithUnits(S11)&amp; ";" &amp;FilterStringsWithNumericAnd(S11) &amp; ";" &amp; FilterStringsWithX(S11), ";;", ";")))-1),IF(RIGHT(SUBSTITUTE(FilterWithUnits(S11)&amp; ";" &amp;FilterStringsWithNumericAnd(S11) &amp; ";" &amp; FilterStringsWithX(S11), ";;", ";"),1)=";",LEFT(SUBSTITUTE(FilterWithUnits(S11)&amp; ";" &amp;FilterStringsWithNumericAnd(S11) &amp; ";" &amp; FilterStringsWithX(S11), ";;", ";"),LEN(SUBSTITUTE(FilterWithUnits(S11)&amp; ";" &amp;FilterStringsWithNumericAnd(S11) &amp; ";" &amp; FilterStringsWithX(S11), ";;", ";"))-1),SUBSTITUTE(FilterWithUnits(S11)&amp; ";" &amp;FilterStringsWithNumericAnd(S11) &amp; ";" &amp; FilterStringsWithX(S11), ";;", ";")))</f>
        <v/>
      </c>
      <c r="U11" t="str" cm="1">
        <f t="array" ref="U11">IF(MaxSize((SplitDimensions(T11)))=0, "", MaxSize((SplitDimensions(T11))))</f>
        <v/>
      </c>
      <c r="V11" s="17" t="str" cm="1">
        <f t="array" ref="V11">IF(ISERROR(INDEX(_xlfn._xlws.FILTER('Model output'!P:P,('Model output'!Z:Z=A11)*('Model output'!P:P&lt;&gt;"")),1)),"negative",IF(OR(ISNUMBER(SEARCH("foc",INDEX(_xlfn._xlws.FILTER('Model output'!P:P,('Model output'!Z:Z=A11)*('Model output'!P:P&lt;&gt;"")),1),1)),ISNUMBER(SEARCH("extensive",INDEX(_xlfn._xlws.FILTER('Model output'!P:P,('Model output'!Z:Z=A11)*('Model output'!P:P&lt;&gt;"")),1),1)),ISNUMBER(SEARCH("present",INDEX(_xlfn._xlws.FILTER('Model output'!P:P,('Model output'!Z:Z=A11)*('Model output'!P:P&lt;&gt;"")),1),1)),ISNUMBER(SEARCH("yes",INDEX(_xlfn._xlws.FILTER('Model output'!P:P,('Model output'!Z:Z=A11)*('Model output'!P:P&lt;&gt;"")),1),1))),"positive","negative"))</f>
        <v>negative</v>
      </c>
      <c r="X11" t="str" cm="1">
        <f t="array" ref="X11">IF(ISNUMBER(SEARCH("4",INDEX(_xlfn._xlws.FILTER('Model output'!P:P,('Model output'!Z:Z=A11)*('Model output'!P:P&lt;&gt;"")),1),1)),INDEX(_xlfn._xlws.FILTER('Model output'!P:P,('Model output'!Z:Z=A11)*('Model output'!P:P&lt;&gt;"")),1),"") &amp; _xlfn.TEXTJOIN("",TRUE,_xlfn._xlws.FILTER('Model output'!Q:Q,'Model output'!Z:Z=A11))</f>
        <v>Not mentioned</v>
      </c>
      <c r="Y11" t="str">
        <f t="shared" si="11"/>
        <v>no</v>
      </c>
      <c r="Z11" t="str" cm="1">
        <f t="array" ref="Z11">IF(OR(ISNUMBER(SEARCH("focal",_xlfn.TEXTJOIN("; ",TRUE,_xlfn._xlws.FILTER('Model output'!R:R,'Model output'!Z:Z=A11)),1)),ISNUMBER(SEARCH("present",_xlfn.TEXTJOIN("; ",TRUE,_xlfn._xlws.FILTER('Model output'!R:R,'Model output'!Z:Z=A11)),1))),"positive",IF(_xlfn.TEXTJOIN("; ",TRUE,_xlfn._xlws.FILTER('Model output'!R:R,'Model output'!Z:Z=A11))="","negative",IF(OR(ISNUMBER(SEARCH("no",_xlfn.TEXTJOIN("; ",TRUE,_xlfn._xlws.FILTER('Model output'!R:R,'Model output'!Z:Z=A11)),1)),ISNUMBER(SEARCH("absent",_xlfn.TEXTJOIN("; ",TRUE,_xlfn._xlws.FILTER('Model output'!R:R,'Model output'!Z:Z=A11)),1))),"negative","positive")))</f>
        <v>negative</v>
      </c>
      <c r="AA11" s="17" t="str">
        <f t="shared" si="12"/>
        <v>negative</v>
      </c>
      <c r="AE11" s="17" t="str">
        <f t="shared" si="14"/>
        <v>negative</v>
      </c>
      <c r="AF11" t="str" cm="1">
        <f t="array" ref="AF11">_xlfn.TEXTJOIN("; ",TRUE,_xlfn._xlws.FILTER('Model output'!S:S,'Model output'!Z:Z=A11))</f>
        <v>Not identified; Not mentioned</v>
      </c>
      <c r="AG11" s="17" t="str" cm="1">
        <f t="array" ref="AG11">IF(OR(ISNUMBER(SEARCH("uninvolved",_xlfn.TEXTJOIN("; ",TRUE,_xlfn._xlws.FILTER('Model output'!V:V,'Model output'!Z:Z=A11)),1)),ISNUMBER(SEARCH("clear",_xlfn.TEXTJOIN("; ",TRUE,_xlfn._xlws.FILTER('Model output'!V:V,'Model output'!Z:Z=A11)),1))*ISNUMBER(SEARCH("not mentioned",_xlfn.TEXTJOIN("; ",TRUE,_xlfn._xlws.FILTER('Model output'!V:V,'Model output'!Z:Z=A11)),1))),"negative",IF(ISNUMBER(SEARCH("cannot be assessed",_xlfn.TEXTJOIN("; ",TRUE,_xlfn._xlws.FILTER('Model output'!V:V,'Model output'!Z:Z=A11)),1)),"unknown","negative"))</f>
        <v>negative</v>
      </c>
      <c r="AI11" s="45" t="str">
        <f t="shared" si="13"/>
        <v>low</v>
      </c>
      <c r="AJ11" s="36" t="str">
        <f t="shared" si="2"/>
        <v>1a</v>
      </c>
      <c r="AK11" s="36" t="str">
        <f t="shared" si="3"/>
        <v>1a</v>
      </c>
      <c r="AL11" s="36">
        <f t="shared" si="4"/>
        <v>0</v>
      </c>
      <c r="AM11" s="36" t="str">
        <f t="shared" si="5"/>
        <v>II</v>
      </c>
      <c r="AN11" s="37" t="s">
        <v>164</v>
      </c>
      <c r="AO11" s="38" t="s">
        <v>423</v>
      </c>
      <c r="AP11" s="38" t="s">
        <v>203</v>
      </c>
      <c r="AQ11" s="38">
        <v>0</v>
      </c>
      <c r="AR11" s="38" t="s">
        <v>44</v>
      </c>
      <c r="AS11" s="37">
        <f t="shared" si="6"/>
        <v>0</v>
      </c>
      <c r="AT11" s="38">
        <f t="shared" si="7"/>
        <v>0</v>
      </c>
      <c r="AU11" s="38">
        <f t="shared" si="8"/>
        <v>1</v>
      </c>
      <c r="AV11" s="38">
        <f t="shared" si="9"/>
        <v>1</v>
      </c>
      <c r="AW11" s="39">
        <f t="shared" si="10"/>
        <v>1</v>
      </c>
    </row>
    <row r="12" spans="1:49">
      <c r="A12" s="13">
        <v>10</v>
      </c>
      <c r="B12" s="16">
        <f>_xlfn.MAXIFS('Model output'!B:B,'Model output'!Z:Z,'Classification result'!$A12)</f>
        <v>45436</v>
      </c>
      <c r="C12" s="16"/>
      <c r="D12" s="16"/>
      <c r="E12" s="17">
        <f>_xlfn.MAXIFS('Model output'!C:C,'Model output'!Z:Z,'Classification result'!$A12)</f>
        <v>24</v>
      </c>
      <c r="F12" s="17" t="str" cm="1">
        <f t="array" ref="F12">LEFT(IF(ISERROR(RIGHT(IF(INDEX(_xlfn._xlws.FILTER('Model output'!D:D,('Model output'!Z:Z=A12)),1)&lt;&gt;"",INDEX(_xlfn._xlws.FILTER('Model output'!D:D,('Model output'!Z:Z=A12)),1),""),LEN(IF(INDEX(_xlfn._xlws.FILTER('Model output'!D:D,('Model output'!Z:Z=A12)),1)&lt;&gt;"",INDEX(_xlfn._xlws.FILTER('Model output'!D:D,('Model output'!Z:Z=A12)),1),""))-FIND("T",IF(INDEX(_xlfn._xlws.FILTER('Model output'!D:D,('Model output'!Z:Z=A12)),1)&lt;&gt;"",INDEX(_xlfn._xlws.FILTER('Model output'!D:D,('Model output'!Z:Z=A12)),1),""),1))),"",(RIGHT(IF(INDEX(_xlfn._xlws.FILTER('Model output'!D:D,('Model output'!Z:Z=A12)),1)&lt;&gt;"",INDEX(_xlfn._xlws.FILTER('Model output'!D:D,('Model output'!Z:Z=A12)),1),""),LEN(IF(INDEX(_xlfn._xlws.FILTER('Model output'!D:D,('Model output'!Z:Z=A12)),1)&lt;&gt;"",INDEX(_xlfn._xlws.FILTER('Model output'!D:D,('Model output'!Z:Z=A12)),1),""))-FIND("T",IF(INDEX(_xlfn._xlws.FILTER('Model output'!D:D,('Model output'!Z:Z=A12)),1)&lt;&gt;"",INDEX(_xlfn._xlws.FILTER('Model output'!D:D,('Model output'!Z:Z=A12)),1)))))),2)</f>
        <v>1b</v>
      </c>
      <c r="G12" s="17" t="str" cm="1">
        <f t="array" ref="G12">IF(ISNUMBER(SEARCH("N",IF(ISNUMBER(SEARCH("present",IF(INDEX(_xlfn._xlws.FILTER('Model output'!E:E,('Model output'!Z:Z=A12)),1)="","",INDEX(_xlfn._xlws.FILTER('Model output'!E:E,('Model output'!Z:Z=A12)),1)),1)),"N1", IF(INDEX(_xlfn._xlws.FILTER('Model output'!E:E,('Model output'!Z:Z=A12)),1)="","",INDEX(_xlfn._xlws.FILTER('Model output'!E:E,('Model output'!Z:Z=A12)),1))),1)),RIGHT(IF(ISNUMBER(SEARCH("present",IF(INDEX(_xlfn._xlws.FILTER('Model output'!E:E,('Model output'!Z:Z=A12)),1)="","",INDEX(_xlfn._xlws.FILTER('Model output'!E:E,('Model output'!Z:Z=A12)),1)),1)),"N1", IF(INDEX(_xlfn._xlws.FILTER('Model output'!E:E,('Model output'!Z:Z=A12)),1)="","",INDEX(_xlfn._xlws.FILTER('Model output'!E:E,('Model output'!Z:Z=A12)),1))),LEN(IF(ISNUMBER(SEARCH("present",IF(INDEX(_xlfn._xlws.FILTER('Model output'!E:E,('Model output'!Z:Z=A12)),1)="","",INDEX(_xlfn._xlws.FILTER('Model output'!E:E,('Model output'!Z:Z=A12)),1)),1)),"N1", IF(INDEX(_xlfn._xlws.FILTER('Model output'!E:E,('Model output'!Z:Z=A12)),1)="","",INDEX(_xlfn._xlws.FILTER('Model output'!E:E,('Model output'!Z:Z=A12)),1))))-FIND("N",IF(ISNUMBER(SEARCH("present",IF(INDEX(_xlfn._xlws.FILTER('Model output'!E:E,('Model output'!Z:Z=A12)),1)="","",INDEX(_xlfn._xlws.FILTER('Model output'!E:E,('Model output'!Z:Z=A12)),1)),1)),"N1", IF(INDEX(_xlfn._xlws.FILTER('Model output'!E:E,('Model output'!Z:Z=A12)),1)="","",INDEX(_xlfn._xlws.FILTER('Model output'!E:E,('Model output'!Z:Z=A12)),1))),1)), "")</f>
        <v/>
      </c>
      <c r="H12" s="17" cm="1">
        <f t="array" ref="H12">IF(AND(SUBSTITUTE(_xlfn.TEXTJOIN("/", TRUE, _xlfn._xlws.FILTER('Model output'!F:F, 'Model output'!Z:Z=A12)),"M", "")="", K12="negative"),0,IF(K12="positive",1,0))</f>
        <v>0</v>
      </c>
      <c r="I12" t="str">
        <f t="shared" si="0"/>
        <v>positive</v>
      </c>
      <c r="J12" t="str" cm="1">
        <f t="array" ref="J12">IF(AND(M12&gt;0, _xlfn.TEXTJOIN("; ", TRUE, _xlfn._xlws.FILTER('Model output'!G:G, 'Model output'!Z:Z=A12)) &lt;&gt;"", OR(AND(ISNUMBER(SEARCH("level", _xlfn.TEXTJOIN("; ", TRUE, _xlfn._xlws.FILTER('Model output'!G:G, 'Model output'!Z:Z=A12)),1)),OR(ISNUMBER(SEARCH(" II", _xlfn.TEXTJOIN("; ", TRUE, _xlfn._xlws.FILTER('Model output'!G:G, 'Model output'!Z:Z=A12)),1)),ISNUMBER(SEARCH("2", _xlfn.TEXTJOIN("; ", TRUE, _xlfn._xlws.FILTER('Model output'!G:G, 'Model output'!Z:Z=A12)),1)),ISNUMBER(SEARCH("two", _xlfn.TEXTJOIN("; ", TRUE, _xlfn._xlws.FILTER('Model output'!G:G, 'Model output'!Z:Z=A12)),1)),ISNUMBER(SEARCH("III", _xlfn.TEXTJOIN("; ", TRUE, _xlfn._xlws.FILTER('Model output'!G:G, 'Model output'!Z:Z=A12)),1)),ISNUMBER(SEARCH("3", _xlfn.TEXTJOIN("; ", TRUE, _xlfn._xlws.FILTER('Model output'!G:G, 'Model output'!Z:Z=A12)),1)),ISNUMBER(SEARCH("three", _xlfn.TEXTJOIN("; ", TRUE, _xlfn._xlws.FILTER('Model output'!G:G, 'Model output'!Z:Z=A12)),1)),ISNUMBER(SEARCH("IV", _xlfn.TEXTJOIN("; ", TRUE, _xlfn._xlws.FILTER('Model output'!G:G, 'Model output'!Z:Z=A12)),1)),ISNUMBER(SEARCH("4", _xlfn.TEXTJOIN("; ", TRUE, _xlfn._xlws.FILTER('Model output'!G:G, 'Model output'!Z:Z=A12)),1)),ISNUMBER(SEARCH("five", _xlfn.TEXTJOIN("; ", TRUE, _xlfn._xlws.FILTER('Model output'!G:G, 'Model output'!Z:Z=A12)),1)),ISNUMBER(SEARCH("V ", _xlfn.TEXTJOIN("; ", TRUE, _xlfn._xlws.FILTER('Model output'!G:G, 'Model output'!Z:Z=A12)),1)),ISNUMBER(SEARCH("5", _xlfn.TEXTJOIN("; ", TRUE, _xlfn._xlws.FILTER('Model output'!G:G, 'Model output'!Z:Z=A12)),1)),ISNUMBER(SEARCH("five", _xlfn.TEXTJOIN("; ", TRUE, _xlfn._xlws.FILTER('Model output'!G:G, 'Model output'!Z:Z=A12)),1)),ISNUMBER(SEARCH(" lateral", _xlfn.TEXTJOIN("; ", TRUE, _xlfn._xlws.FILTER('Model output'!G:G, 'Model output'!Z:Z=A12)),1)))),ISNUMBER(SEARCH("cervical", _xlfn.TEXTJOIN("; ", TRUE, _xlfn._xlws.FILTER('Model output'!G:G, 'Model output'!Z:Z=A12)),1)),ISNUMBER(SEARCH("jugular", _xlfn.TEXTJOIN("; ", TRUE, _xlfn._xlws.FILTER('Model output'!G:G, 'Model output'!Z:Z=A12)),1)),ISNUMBER(SEARCH("left neck", _xlfn.TEXTJOIN("; ", TRUE, _xlfn._xlws.FILTER('Model output'!G:G, 'Model output'!Z:Z=A12)),1)),ISNUMBER(SEARCH("left anterior neck", _xlfn.TEXTJOIN("; ", TRUE, _xlfn._xlws.FILTER('Model output'!G:G, 'Model output'!Z:Z=A12)),1)),ISNUMBER(SEARCH("left posterior neck", _xlfn.TEXTJOIN("; ", TRUE, _xlfn._xlws.FILTER('Model output'!G:G, 'Model output'!Z:Z=A12)),1)),ISNUMBER(SEARCH("right neck", _xlfn.TEXTJOIN("; ", TRUE, _xlfn._xlws.FILTER('Model output'!G:G, 'Model output'!Z:Z=A12)),1)),ISNUMBER(SEARCH("right anterior neck", _xlfn.TEXTJOIN("; ", TRUE, _xlfn._xlws.FILTER('Model output'!G:G, 'Model output'!Z:Z=A12)),1)),ISNUMBER(SEARCH("right posterior neck", _xlfn.TEXTJOIN("; ", TRUE, _xlfn._xlws.FILTER('Model output'!G:G, 'Model output'!Z:Z=A12)),1)))),"lateral",IF(AND(M12=0, _xlfn.TEXTJOIN("; ", TRUE, _xlfn._xlws.FILTER('Model output'!G:G, 'Model output'!Z:Z=A12))=""),"", "central"))</f>
        <v>central</v>
      </c>
      <c r="K12" s="17" t="str" cm="1">
        <f t="array" ref="K12">IF(OR(ISNUMBER(SEARCH("lymph",_xlfn.TEXTJOIN("; ", TRUE, _xlfn._xlws.FILTER('Model output'!H:H, 'Model output'!Z:Z=A12)),1)), ISNUMBER(SEARCH("Not mentioned",_xlfn.TEXTJOIN("; ", TRUE, _xlfn._xlws.FILTER('Model output'!H:H, 'Model output'!Z:Z=A12)),1)),ISNUMBER(SEARCH("subcutaneous soft tissues",_xlfn.TEXTJOIN("; ", TRUE, _xlfn._xlws.FILTER('Model output'!H:H, 'Model output'!Z:Z=A12)),1)),ISNUMBER(SEARCH("larynx",_xlfn.TEXTJOIN("; ", TRUE, _xlfn._xlws.FILTER('Model output'!H:H, 'Model output'!Z:Z=A12)),1)),ISNUMBER(SEARCH("trachea",_xlfn.TEXTJOIN("; ", TRUE, _xlfn._xlws.FILTER('Model output'!H:H, 'Model output'!Z:Z=A12)),1)),ISNUMBER(SEARCH("esophagus",_xlfn.TEXTJOIN("; ", TRUE, _xlfn._xlws.FILTER('Model output'!H:H, 'Model output'!Z:Z=A12)),1)),ISNUMBER(SEARCH("recurrent laryngeal nerve",_xlfn.TEXTJOIN("; ", TRUE, _xlfn._xlws.FILTER('Model output'!H:H, 'Model output'!Z:Z=A12)),1)),ISNUMBER(SEARCH("strap muscle",_xlfn.TEXTJOIN("; ", TRUE, _xlfn._xlws.FILTER('Model output'!H:H, 'Model output'!Z:Z=A12)),1)),ISNUMBER(SEARCH("thyroid",_xlfn.TEXTJOIN("; ", TRUE, _xlfn._xlws.FILTER('Model output'!H:H, 'Model output'!Z:Z=A12)),1)),ISNUMBER(SEARCH("RLN",_xlfn.TEXTJOIN("; ", TRUE, _xlfn._xlws.FILTER('Model output'!H:H, 'Model output'!Z:Z=A12)),1)),_xlfn.TEXTJOIN("; ", TRUE, _xlfn._xlws.FILTER('Model output'!H:H, 'Model output'!Z:Z=A12))=""),"negative","positive")</f>
        <v>negative</v>
      </c>
      <c r="L12" s="17">
        <f>IF(IFERROR(INDEX('Model output'!I:I, MATCH(A12, 'Model output'!Z:Z, 0)), "") &lt; M12, "", IFERROR(INDEX('Model output'!I:I, MATCH(A12, 'Model output'!Z:Z, 0)), ""))</f>
        <v>1</v>
      </c>
      <c r="M12" s="17">
        <f>IFERROR(INDEX('Model output'!J:J, MATCH(A12, 'Model output'!Z:Z, 0)), "")</f>
        <v>1</v>
      </c>
      <c r="N12" s="18" t="str" cm="1">
        <f t="array" ref="N12">ReplaceTo(ReplaceAnd(SUBSTITUTE(SUBSTITUTE(_xlfn.TEXTJOIN("; ", TRUE, _xlfn._xlws.FILTER('Model output'!K:K, 'Model output'!Z:Z=A12)), " ", ""), ",", ";")))</f>
        <v/>
      </c>
      <c r="O12" t="str" cm="1">
        <f t="array" ref="O12">IF(LEFT(IF(RIGHT(SUBSTITUTE(FilterWithUnits(N12)&amp; ";" &amp;FilterStringsWithNumericAnd(N12) &amp; ";" &amp; FilterStringsWithX(N12), ";;", ";"),1)=";",LEFT(SUBSTITUTE(FilterWithUnits(N12)&amp; ";" &amp;FilterStringsWithNumericAnd(N12) &amp; ";" &amp; FilterStringsWithX(N12), ";;", ";"),LEN(SUBSTITUTE(FilterWithUnits(N12)&amp; ";" &amp;FilterStringsWithNumericAnd(N12) &amp; ";" &amp; FilterStringsWithX(N12), ";;", ";"))-1),SUBSTITUTE(FilterWithUnits(N12)&amp; ";" &amp;FilterStringsWithNumericAnd(N12) &amp; ";" &amp; FilterStringsWithX(N12), ";;", ";")),1)=";",RIGHT(IF(RIGHT(SUBSTITUTE(FilterWithUnits(N12)&amp; ";" &amp;FilterStringsWithNumericAnd(N12) &amp; ";" &amp; FilterStringsWithX(N12), ";;", ";"),1)=";",LEFT(SUBSTITUTE(FilterWithUnits(N12)&amp; ";" &amp;FilterStringsWithNumericAnd(N12) &amp; ";" &amp; FilterStringsWithX(N12), ";;", ";"),LEN(SUBSTITUTE(FilterWithUnits(N12)&amp; ";" &amp;FilterStringsWithNumericAnd(N12) &amp; ";" &amp; FilterStringsWithX(N12), ";;", ";"))-1),SUBSTITUTE(FilterWithUnits(N12)&amp; ";" &amp;FilterStringsWithNumericAnd(N12) &amp; ";" &amp; FilterStringsWithX(N12), ";;", ";")),LEN(IF(RIGHT(SUBSTITUTE(FilterWithUnits(N12)&amp; ";" &amp;FilterStringsWithNumericAnd(N12) &amp; ";" &amp; FilterStringsWithX(N12), ";;", ";"),1)=";",LEFT(SUBSTITUTE(FilterWithUnits(N12)&amp; ";" &amp;FilterStringsWithNumericAnd(N12) &amp; ";" &amp; FilterStringsWithX(N12), ";;", ";"),LEN(SUBSTITUTE(FilterWithUnits(N12)&amp; ";" &amp;FilterStringsWithNumericAnd(N12) &amp; ";" &amp; FilterStringsWithX(N12), ";;", ";"))-1),SUBSTITUTE(FilterWithUnits(N12)&amp; ";" &amp;FilterStringsWithNumericAnd(N12) &amp; ";" &amp; FilterStringsWithX(N12), ";;", ";")))-1),IF(RIGHT(SUBSTITUTE(FilterWithUnits(N12)&amp; ";" &amp;FilterStringsWithNumericAnd(N12) &amp; ";" &amp; FilterStringsWithX(N12), ";;", ";"),1)=";",LEFT(SUBSTITUTE(FilterWithUnits(N12)&amp; ";" &amp;FilterStringsWithNumericAnd(N12) &amp; ";" &amp; FilterStringsWithX(N12), ";;", ";"),LEN(SUBSTITUTE(FilterWithUnits(N12)&amp; ";" &amp;FilterStringsWithNumericAnd(N12) &amp; ";" &amp; FilterStringsWithX(N12), ";;", ";"))-1),SUBSTITUTE(FilterWithUnits(N12)&amp; ";" &amp;FilterStringsWithNumericAnd(N12) &amp; ";" &amp; FilterStringsWithX(N12), ";;", ";")))</f>
        <v/>
      </c>
      <c r="P12" t="str" cm="1">
        <f t="array" ref="P12">IF(MaxSize((SplitDimensions(O12)))=0, "", MaxSize((SplitDimensions(O12))))</f>
        <v/>
      </c>
      <c r="Q12" t="str" cm="1">
        <f t="array" ref="Q12">IF(ISERROR(INDEX(_xlfn._xlws.FILTER('Model output'!L:L, ('Model output'!Z:Z=A12)*('Model output'!L:L&lt;&gt;"")), 1)), " ", LOWER(INDEX(_xlfn._xlws.FILTER('Model output'!L:L, ('Model output'!Z:Z=A12)*('Model output'!L:L&lt;&gt;"")), 1)))</f>
        <v>papillary carcinoma, classic subtype</v>
      </c>
      <c r="R12" t="str" cm="1">
        <f t="array" ref="R12">IF(ISERROR(INDEX(_xlfn._xlws.FILTER('Model output'!M:M, ('Model output'!Z:Z=A12)*('Model output'!M:M&lt;&gt;"")), 1)), " ", LOWER(INDEX(_xlfn._xlws.FILTER('Model output'!M:M, ('Model output'!Z:Z=A12)*('Model output'!M:M&lt;&gt;"")), 1)))</f>
        <v xml:space="preserve"> </v>
      </c>
      <c r="S12" t="str" cm="1">
        <f t="array" ref="S12">IF(OR(ISNUMBER(SEARCH("ly",SUBSTITUTE(INDEX(_xlfn._xlws.FILTER('Model output'!N:N,('Model output'!Z:Z=A12)*('Model output'!N:N&lt;&gt;"")),1)," ",""),1)), ISNUMBER(SEARCH("pole",SUBSTITUTE(INDEX(_xlfn._xlws.FILTER('Model output'!N:N,('Model output'!Z:Z=A12)*('Model output'!N:N&lt;&gt;"")),1)," ",""),1))),"",SUBSTITUTE(INDEX(_xlfn._xlws.FILTER('Model output'!N:N,('Model output'!Z:Z=A12)*('Model output'!N:N&lt;&gt;"")),1)," ",""))</f>
        <v>1.5x0.5x0.8cm</v>
      </c>
      <c r="T12" t="str" cm="1">
        <f t="array" ref="T12">IF(LEFT(IF(RIGHT(SUBSTITUTE(FilterWithUnits(S12)&amp; ";" &amp;FilterStringsWithNumericAnd(S12) &amp; ";" &amp; FilterStringsWithX(S12), ";;", ";"),1)=";",LEFT(SUBSTITUTE(FilterWithUnits(S12)&amp; ";" &amp;FilterStringsWithNumericAnd(S12) &amp; ";" &amp; FilterStringsWithX(S12), ";;", ";"),LEN(SUBSTITUTE(FilterWithUnits(S12)&amp; ";" &amp;FilterStringsWithNumericAnd(S12) &amp; ";" &amp; FilterStringsWithX(S12), ";;", ";"))-1),SUBSTITUTE(FilterWithUnits(S12)&amp; ";" &amp;FilterStringsWithNumericAnd(S12) &amp; ";" &amp; FilterStringsWithX(S12), ";;", ";")),1)=";",RIGHT(IF(RIGHT(SUBSTITUTE(FilterWithUnits(S12)&amp; ";" &amp;FilterStringsWithNumericAnd(S12) &amp; ";" &amp; FilterStringsWithX(S12), ";;", ";"),1)=";",LEFT(SUBSTITUTE(FilterWithUnits(S12)&amp; ";" &amp;FilterStringsWithNumericAnd(S12) &amp; ";" &amp; FilterStringsWithX(S12), ";;", ";"),LEN(SUBSTITUTE(FilterWithUnits(S12)&amp; ";" &amp;FilterStringsWithNumericAnd(S12) &amp; ";" &amp; FilterStringsWithX(S12), ";;", ";"))-1),SUBSTITUTE(FilterWithUnits(S12)&amp; ";" &amp;FilterStringsWithNumericAnd(S12) &amp; ";" &amp; FilterStringsWithX(S12), ";;", ";")),LEN(IF(RIGHT(SUBSTITUTE(FilterWithUnits(S12)&amp; ";" &amp;FilterStringsWithNumericAnd(S12) &amp; ";" &amp; FilterStringsWithX(S12), ";;", ";"),1)=";",LEFT(SUBSTITUTE(FilterWithUnits(S12)&amp; ";" &amp;FilterStringsWithNumericAnd(S12) &amp; ";" &amp; FilterStringsWithX(S12), ";;", ";"),LEN(SUBSTITUTE(FilterWithUnits(S12)&amp; ";" &amp;FilterStringsWithNumericAnd(S12) &amp; ";" &amp; FilterStringsWithX(S12), ";;", ";"))-1),SUBSTITUTE(FilterWithUnits(S12)&amp; ";" &amp;FilterStringsWithNumericAnd(S12) &amp; ";" &amp; FilterStringsWithX(S12), ";;", ";")))-1),IF(RIGHT(SUBSTITUTE(FilterWithUnits(S12)&amp; ";" &amp;FilterStringsWithNumericAnd(S12) &amp; ";" &amp; FilterStringsWithX(S12), ";;", ";"),1)=";",LEFT(SUBSTITUTE(FilterWithUnits(S12)&amp; ";" &amp;FilterStringsWithNumericAnd(S12) &amp; ";" &amp; FilterStringsWithX(S12), ";;", ";"),LEN(SUBSTITUTE(FilterWithUnits(S12)&amp; ";" &amp;FilterStringsWithNumericAnd(S12) &amp; ";" &amp; FilterStringsWithX(S12), ";;", ";"))-1),SUBSTITUTE(FilterWithUnits(S12)&amp; ";" &amp;FilterStringsWithNumericAnd(S12) &amp; ";" &amp; FilterStringsWithX(S12), ";;", ";")))</f>
        <v>1.5x0.5x0.8cm</v>
      </c>
      <c r="U12" cm="1">
        <f t="array" ref="U12">IF(MaxSize((SplitDimensions(T12)))=0, "", MaxSize((SplitDimensions(T12))))</f>
        <v>1.5</v>
      </c>
      <c r="V12" s="17" t="str" cm="1">
        <f t="array" ref="V12">IF(ISERROR(INDEX(_xlfn._xlws.FILTER('Model output'!P:P,('Model output'!Z:Z=A12)*('Model output'!P:P&lt;&gt;"")),1)),"negative",IF(OR(ISNUMBER(SEARCH("foc",INDEX(_xlfn._xlws.FILTER('Model output'!P:P,('Model output'!Z:Z=A12)*('Model output'!P:P&lt;&gt;"")),1),1)),ISNUMBER(SEARCH("extensive",INDEX(_xlfn._xlws.FILTER('Model output'!P:P,('Model output'!Z:Z=A12)*('Model output'!P:P&lt;&gt;"")),1),1)),ISNUMBER(SEARCH("present",INDEX(_xlfn._xlws.FILTER('Model output'!P:P,('Model output'!Z:Z=A12)*('Model output'!P:P&lt;&gt;"")),1),1)),ISNUMBER(SEARCH("yes",INDEX(_xlfn._xlws.FILTER('Model output'!P:P,('Model output'!Z:Z=A12)*('Model output'!P:P&lt;&gt;"")),1),1))),"positive","negative"))</f>
        <v>negative</v>
      </c>
      <c r="X12" t="str" cm="1">
        <f t="array" ref="X12">IF(ISNUMBER(SEARCH("4",INDEX(_xlfn._xlws.FILTER('Model output'!P:P,('Model output'!Z:Z=A12)*('Model output'!P:P&lt;&gt;"")),1),1)),INDEX(_xlfn._xlws.FILTER('Model output'!P:P,('Model output'!Z:Z=A12)*('Model output'!P:P&lt;&gt;"")),1),"") &amp; _xlfn.TEXTJOIN("",TRUE,_xlfn._xlws.FILTER('Model output'!Q:Q,'Model output'!Z:Z=A12))</f>
        <v>Not mentioned</v>
      </c>
      <c r="Y12" t="str">
        <f t="shared" si="11"/>
        <v>no</v>
      </c>
      <c r="Z12" t="str" cm="1">
        <f t="array" ref="Z12">IF(OR(ISNUMBER(SEARCH("focal",_xlfn.TEXTJOIN("; ",TRUE,_xlfn._xlws.FILTER('Model output'!R:R,'Model output'!Z:Z=A12)),1)),ISNUMBER(SEARCH("present",_xlfn.TEXTJOIN("; ",TRUE,_xlfn._xlws.FILTER('Model output'!R:R,'Model output'!Z:Z=A12)),1))),"positive",IF(_xlfn.TEXTJOIN("; ",TRUE,_xlfn._xlws.FILTER('Model output'!R:R,'Model output'!Z:Z=A12))="","negative",IF(OR(ISNUMBER(SEARCH("no",_xlfn.TEXTJOIN("; ",TRUE,_xlfn._xlws.FILTER('Model output'!R:R,'Model output'!Z:Z=A12)),1)),ISNUMBER(SEARCH("absent",_xlfn.TEXTJOIN("; ",TRUE,_xlfn._xlws.FILTER('Model output'!R:R,'Model output'!Z:Z=A12)),1))),"negative","positive")))</f>
        <v>negative</v>
      </c>
      <c r="AA12" s="17" t="str">
        <f t="shared" si="12"/>
        <v>negative</v>
      </c>
      <c r="AE12" s="17" t="str">
        <f t="shared" si="14"/>
        <v>negative</v>
      </c>
      <c r="AF12" t="str" cm="1">
        <f t="array" ref="AF12">_xlfn.TEXTJOIN("; ",TRUE,_xlfn._xlws.FILTER('Model output'!S:S,'Model output'!Z:Z=A12))</f>
        <v>Not identified; Not mentioned</v>
      </c>
      <c r="AG12" s="17" t="str" cm="1">
        <f t="array" ref="AG12">IF(OR(ISNUMBER(SEARCH("uninvolved",_xlfn.TEXTJOIN("; ",TRUE,_xlfn._xlws.FILTER('Model output'!V:V,'Model output'!Z:Z=A12)),1)),ISNUMBER(SEARCH("clear",_xlfn.TEXTJOIN("; ",TRUE,_xlfn._xlws.FILTER('Model output'!V:V,'Model output'!Z:Z=A12)),1))*ISNUMBER(SEARCH("not mentioned",_xlfn.TEXTJOIN("; ",TRUE,_xlfn._xlws.FILTER('Model output'!V:V,'Model output'!Z:Z=A12)),1))),"negative",IF(ISNUMBER(SEARCH("cannot be assessed",_xlfn.TEXTJOIN("; ",TRUE,_xlfn._xlws.FILTER('Model output'!V:V,'Model output'!Z:Z=A12)),1)),"unknown","negative"))</f>
        <v>negative</v>
      </c>
      <c r="AI12" s="45" t="str">
        <f t="shared" si="13"/>
        <v>low</v>
      </c>
      <c r="AJ12" s="36" t="str">
        <f t="shared" si="2"/>
        <v>1b</v>
      </c>
      <c r="AK12" s="36" t="str">
        <f t="shared" si="3"/>
        <v>1a</v>
      </c>
      <c r="AL12" s="36">
        <f t="shared" si="4"/>
        <v>0</v>
      </c>
      <c r="AM12" s="36" t="str">
        <f t="shared" si="5"/>
        <v>I</v>
      </c>
      <c r="AN12" s="37" t="s">
        <v>166</v>
      </c>
      <c r="AO12" s="38" t="s">
        <v>201</v>
      </c>
      <c r="AP12" s="38" t="s">
        <v>203</v>
      </c>
      <c r="AQ12" s="38">
        <v>0</v>
      </c>
      <c r="AR12" s="38" t="s">
        <v>31</v>
      </c>
      <c r="AS12" s="37">
        <f t="shared" si="6"/>
        <v>1</v>
      </c>
      <c r="AT12" s="38">
        <f t="shared" si="7"/>
        <v>1</v>
      </c>
      <c r="AU12" s="38">
        <f t="shared" si="8"/>
        <v>1</v>
      </c>
      <c r="AV12" s="38">
        <f t="shared" si="9"/>
        <v>1</v>
      </c>
      <c r="AW12" s="39">
        <f t="shared" si="10"/>
        <v>1</v>
      </c>
    </row>
    <row r="13" spans="1:49">
      <c r="A13" s="13">
        <v>11</v>
      </c>
      <c r="B13" s="16">
        <f>_xlfn.MAXIFS('Model output'!B:B,'Model output'!Z:Z,'Classification result'!$A13)</f>
        <v>45443</v>
      </c>
      <c r="C13" s="16"/>
      <c r="D13" s="16"/>
      <c r="E13" s="17">
        <f>_xlfn.MAXIFS('Model output'!C:C,'Model output'!Z:Z,'Classification result'!$A13)</f>
        <v>70</v>
      </c>
      <c r="F13" s="17" t="str" cm="1">
        <f t="array" ref="F13">LEFT(IF(ISERROR(RIGHT(IF(INDEX(_xlfn._xlws.FILTER('Model output'!D:D,('Model output'!Z:Z=A13)),1)&lt;&gt;"",INDEX(_xlfn._xlws.FILTER('Model output'!D:D,('Model output'!Z:Z=A13)),1),""),LEN(IF(INDEX(_xlfn._xlws.FILTER('Model output'!D:D,('Model output'!Z:Z=A13)),1)&lt;&gt;"",INDEX(_xlfn._xlws.FILTER('Model output'!D:D,('Model output'!Z:Z=A13)),1),""))-FIND("T",IF(INDEX(_xlfn._xlws.FILTER('Model output'!D:D,('Model output'!Z:Z=A13)),1)&lt;&gt;"",INDEX(_xlfn._xlws.FILTER('Model output'!D:D,('Model output'!Z:Z=A13)),1),""),1))),"",(RIGHT(IF(INDEX(_xlfn._xlws.FILTER('Model output'!D:D,('Model output'!Z:Z=A13)),1)&lt;&gt;"",INDEX(_xlfn._xlws.FILTER('Model output'!D:D,('Model output'!Z:Z=A13)),1),""),LEN(IF(INDEX(_xlfn._xlws.FILTER('Model output'!D:D,('Model output'!Z:Z=A13)),1)&lt;&gt;"",INDEX(_xlfn._xlws.FILTER('Model output'!D:D,('Model output'!Z:Z=A13)),1),""))-FIND("T",IF(INDEX(_xlfn._xlws.FILTER('Model output'!D:D,('Model output'!Z:Z=A13)),1)&lt;&gt;"",INDEX(_xlfn._xlws.FILTER('Model output'!D:D,('Model output'!Z:Z=A13)),1)))))),2)</f>
        <v>3a</v>
      </c>
      <c r="G13" s="17" t="str" cm="1">
        <f t="array" ref="G13">IF(ISNUMBER(SEARCH("N",IF(ISNUMBER(SEARCH("present",IF(INDEX(_xlfn._xlws.FILTER('Model output'!E:E,('Model output'!Z:Z=A13)),1)="","",INDEX(_xlfn._xlws.FILTER('Model output'!E:E,('Model output'!Z:Z=A13)),1)),1)),"N1", IF(INDEX(_xlfn._xlws.FILTER('Model output'!E:E,('Model output'!Z:Z=A13)),1)="","",INDEX(_xlfn._xlws.FILTER('Model output'!E:E,('Model output'!Z:Z=A13)),1))),1)),RIGHT(IF(ISNUMBER(SEARCH("present",IF(INDEX(_xlfn._xlws.FILTER('Model output'!E:E,('Model output'!Z:Z=A13)),1)="","",INDEX(_xlfn._xlws.FILTER('Model output'!E:E,('Model output'!Z:Z=A13)),1)),1)),"N1", IF(INDEX(_xlfn._xlws.FILTER('Model output'!E:E,('Model output'!Z:Z=A13)),1)="","",INDEX(_xlfn._xlws.FILTER('Model output'!E:E,('Model output'!Z:Z=A13)),1))),LEN(IF(ISNUMBER(SEARCH("present",IF(INDEX(_xlfn._xlws.FILTER('Model output'!E:E,('Model output'!Z:Z=A13)),1)="","",INDEX(_xlfn._xlws.FILTER('Model output'!E:E,('Model output'!Z:Z=A13)),1)),1)),"N1", IF(INDEX(_xlfn._xlws.FILTER('Model output'!E:E,('Model output'!Z:Z=A13)),1)="","",INDEX(_xlfn._xlws.FILTER('Model output'!E:E,('Model output'!Z:Z=A13)),1))))-FIND("N",IF(ISNUMBER(SEARCH("present",IF(INDEX(_xlfn._xlws.FILTER('Model output'!E:E,('Model output'!Z:Z=A13)),1)="","",INDEX(_xlfn._xlws.FILTER('Model output'!E:E,('Model output'!Z:Z=A13)),1)),1)),"N1", IF(INDEX(_xlfn._xlws.FILTER('Model output'!E:E,('Model output'!Z:Z=A13)),1)="","",INDEX(_xlfn._xlws.FILTER('Model output'!E:E,('Model output'!Z:Z=A13)),1))),1)), "")</f>
        <v/>
      </c>
      <c r="H13" s="17" cm="1">
        <f t="array" ref="H13">IF(AND(SUBSTITUTE(_xlfn.TEXTJOIN("/", TRUE, _xlfn._xlws.FILTER('Model output'!F:F, 'Model output'!Z:Z=A13)),"M", "")="", K13="negative"),0,IF(K13="positive",1,0))</f>
        <v>0</v>
      </c>
      <c r="I13" t="str">
        <f t="shared" si="0"/>
        <v/>
      </c>
      <c r="J13" t="str" cm="1">
        <f t="array" ref="J13">IF(AND(M13&gt;0, _xlfn.TEXTJOIN("; ", TRUE, _xlfn._xlws.FILTER('Model output'!G:G, 'Model output'!Z:Z=A13)) &lt;&gt;"", OR(AND(ISNUMBER(SEARCH("level", _xlfn.TEXTJOIN("; ", TRUE, _xlfn._xlws.FILTER('Model output'!G:G, 'Model output'!Z:Z=A13)),1)),OR(ISNUMBER(SEARCH(" II", _xlfn.TEXTJOIN("; ", TRUE, _xlfn._xlws.FILTER('Model output'!G:G, 'Model output'!Z:Z=A13)),1)),ISNUMBER(SEARCH("2", _xlfn.TEXTJOIN("; ", TRUE, _xlfn._xlws.FILTER('Model output'!G:G, 'Model output'!Z:Z=A13)),1)),ISNUMBER(SEARCH("two", _xlfn.TEXTJOIN("; ", TRUE, _xlfn._xlws.FILTER('Model output'!G:G, 'Model output'!Z:Z=A13)),1)),ISNUMBER(SEARCH("III", _xlfn.TEXTJOIN("; ", TRUE, _xlfn._xlws.FILTER('Model output'!G:G, 'Model output'!Z:Z=A13)),1)),ISNUMBER(SEARCH("3", _xlfn.TEXTJOIN("; ", TRUE, _xlfn._xlws.FILTER('Model output'!G:G, 'Model output'!Z:Z=A13)),1)),ISNUMBER(SEARCH("three", _xlfn.TEXTJOIN("; ", TRUE, _xlfn._xlws.FILTER('Model output'!G:G, 'Model output'!Z:Z=A13)),1)),ISNUMBER(SEARCH("IV", _xlfn.TEXTJOIN("; ", TRUE, _xlfn._xlws.FILTER('Model output'!G:G, 'Model output'!Z:Z=A13)),1)),ISNUMBER(SEARCH("4", _xlfn.TEXTJOIN("; ", TRUE, _xlfn._xlws.FILTER('Model output'!G:G, 'Model output'!Z:Z=A13)),1)),ISNUMBER(SEARCH("five", _xlfn.TEXTJOIN("; ", TRUE, _xlfn._xlws.FILTER('Model output'!G:G, 'Model output'!Z:Z=A13)),1)),ISNUMBER(SEARCH("V ", _xlfn.TEXTJOIN("; ", TRUE, _xlfn._xlws.FILTER('Model output'!G:G, 'Model output'!Z:Z=A13)),1)),ISNUMBER(SEARCH("5", _xlfn.TEXTJOIN("; ", TRUE, _xlfn._xlws.FILTER('Model output'!G:G, 'Model output'!Z:Z=A13)),1)),ISNUMBER(SEARCH("five", _xlfn.TEXTJOIN("; ", TRUE, _xlfn._xlws.FILTER('Model output'!G:G, 'Model output'!Z:Z=A13)),1)),ISNUMBER(SEARCH(" lateral", _xlfn.TEXTJOIN("; ", TRUE, _xlfn._xlws.FILTER('Model output'!G:G, 'Model output'!Z:Z=A13)),1)))),ISNUMBER(SEARCH("cervical", _xlfn.TEXTJOIN("; ", TRUE, _xlfn._xlws.FILTER('Model output'!G:G, 'Model output'!Z:Z=A13)),1)),ISNUMBER(SEARCH("jugular", _xlfn.TEXTJOIN("; ", TRUE, _xlfn._xlws.FILTER('Model output'!G:G, 'Model output'!Z:Z=A13)),1)),ISNUMBER(SEARCH("left neck", _xlfn.TEXTJOIN("; ", TRUE, _xlfn._xlws.FILTER('Model output'!G:G, 'Model output'!Z:Z=A13)),1)),ISNUMBER(SEARCH("left anterior neck", _xlfn.TEXTJOIN("; ", TRUE, _xlfn._xlws.FILTER('Model output'!G:G, 'Model output'!Z:Z=A13)),1)),ISNUMBER(SEARCH("left posterior neck", _xlfn.TEXTJOIN("; ", TRUE, _xlfn._xlws.FILTER('Model output'!G:G, 'Model output'!Z:Z=A13)),1)),ISNUMBER(SEARCH("right neck", _xlfn.TEXTJOIN("; ", TRUE, _xlfn._xlws.FILTER('Model output'!G:G, 'Model output'!Z:Z=A13)),1)),ISNUMBER(SEARCH("right anterior neck", _xlfn.TEXTJOIN("; ", TRUE, _xlfn._xlws.FILTER('Model output'!G:G, 'Model output'!Z:Z=A13)),1)),ISNUMBER(SEARCH("right posterior neck", _xlfn.TEXTJOIN("; ", TRUE, _xlfn._xlws.FILTER('Model output'!G:G, 'Model output'!Z:Z=A13)),1)))),"lateral",IF(AND(M13=0, _xlfn.TEXTJOIN("; ", TRUE, _xlfn._xlws.FILTER('Model output'!G:G, 'Model output'!Z:Z=A13))=""),"", "central"))</f>
        <v/>
      </c>
      <c r="K13" s="17" t="str" cm="1">
        <f t="array" ref="K13">IF(OR(ISNUMBER(SEARCH("lymph",_xlfn.TEXTJOIN("; ", TRUE, _xlfn._xlws.FILTER('Model output'!H:H, 'Model output'!Z:Z=A13)),1)), ISNUMBER(SEARCH("Not mentioned",_xlfn.TEXTJOIN("; ", TRUE, _xlfn._xlws.FILTER('Model output'!H:H, 'Model output'!Z:Z=A13)),1)),ISNUMBER(SEARCH("subcutaneous soft tissues",_xlfn.TEXTJOIN("; ", TRUE, _xlfn._xlws.FILTER('Model output'!H:H, 'Model output'!Z:Z=A13)),1)),ISNUMBER(SEARCH("larynx",_xlfn.TEXTJOIN("; ", TRUE, _xlfn._xlws.FILTER('Model output'!H:H, 'Model output'!Z:Z=A13)),1)),ISNUMBER(SEARCH("trachea",_xlfn.TEXTJOIN("; ", TRUE, _xlfn._xlws.FILTER('Model output'!H:H, 'Model output'!Z:Z=A13)),1)),ISNUMBER(SEARCH("esophagus",_xlfn.TEXTJOIN("; ", TRUE, _xlfn._xlws.FILTER('Model output'!H:H, 'Model output'!Z:Z=A13)),1)),ISNUMBER(SEARCH("recurrent laryngeal nerve",_xlfn.TEXTJOIN("; ", TRUE, _xlfn._xlws.FILTER('Model output'!H:H, 'Model output'!Z:Z=A13)),1)),ISNUMBER(SEARCH("strap muscle",_xlfn.TEXTJOIN("; ", TRUE, _xlfn._xlws.FILTER('Model output'!H:H, 'Model output'!Z:Z=A13)),1)),ISNUMBER(SEARCH("thyroid",_xlfn.TEXTJOIN("; ", TRUE, _xlfn._xlws.FILTER('Model output'!H:H, 'Model output'!Z:Z=A13)),1)),ISNUMBER(SEARCH("RLN",_xlfn.TEXTJOIN("; ", TRUE, _xlfn._xlws.FILTER('Model output'!H:H, 'Model output'!Z:Z=A13)),1)),_xlfn.TEXTJOIN("; ", TRUE, _xlfn._xlws.FILTER('Model output'!H:H, 'Model output'!Z:Z=A13))=""),"negative","positive")</f>
        <v>negative</v>
      </c>
      <c r="L13" s="17">
        <f>IF(IFERROR(INDEX('Model output'!I:I, MATCH(A13, 'Model output'!Z:Z, 0)), "") &lt; M13, "", IFERROR(INDEX('Model output'!I:I, MATCH(A13, 'Model output'!Z:Z, 0)), ""))</f>
        <v>13</v>
      </c>
      <c r="M13" s="17">
        <f>IFERROR(INDEX('Model output'!J:J, MATCH(A13, 'Model output'!Z:Z, 0)), "")</f>
        <v>0</v>
      </c>
      <c r="N13" s="18" t="str" cm="1">
        <f t="array" ref="N13">ReplaceTo(ReplaceAnd(SUBSTITUTE(SUBSTITUTE(_xlfn.TEXTJOIN("; ", TRUE, _xlfn._xlws.FILTER('Model output'!K:K, 'Model output'!Z:Z=A13)), " ", ""), ",", ";")))</f>
        <v/>
      </c>
      <c r="O13" t="str" cm="1">
        <f t="array" ref="O13">IF(LEFT(IF(RIGHT(SUBSTITUTE(FilterWithUnits(N13)&amp; ";" &amp;FilterStringsWithNumericAnd(N13) &amp; ";" &amp; FilterStringsWithX(N13), ";;", ";"),1)=";",LEFT(SUBSTITUTE(FilterWithUnits(N13)&amp; ";" &amp;FilterStringsWithNumericAnd(N13) &amp; ";" &amp; FilterStringsWithX(N13), ";;", ";"),LEN(SUBSTITUTE(FilterWithUnits(N13)&amp; ";" &amp;FilterStringsWithNumericAnd(N13) &amp; ";" &amp; FilterStringsWithX(N13), ";;", ";"))-1),SUBSTITUTE(FilterWithUnits(N13)&amp; ";" &amp;FilterStringsWithNumericAnd(N13) &amp; ";" &amp; FilterStringsWithX(N13), ";;", ";")),1)=";",RIGHT(IF(RIGHT(SUBSTITUTE(FilterWithUnits(N13)&amp; ";" &amp;FilterStringsWithNumericAnd(N13) &amp; ";" &amp; FilterStringsWithX(N13), ";;", ";"),1)=";",LEFT(SUBSTITUTE(FilterWithUnits(N13)&amp; ";" &amp;FilterStringsWithNumericAnd(N13) &amp; ";" &amp; FilterStringsWithX(N13), ";;", ";"),LEN(SUBSTITUTE(FilterWithUnits(N13)&amp; ";" &amp;FilterStringsWithNumericAnd(N13) &amp; ";" &amp; FilterStringsWithX(N13), ";;", ";"))-1),SUBSTITUTE(FilterWithUnits(N13)&amp; ";" &amp;FilterStringsWithNumericAnd(N13) &amp; ";" &amp; FilterStringsWithX(N13), ";;", ";")),LEN(IF(RIGHT(SUBSTITUTE(FilterWithUnits(N13)&amp; ";" &amp;FilterStringsWithNumericAnd(N13) &amp; ";" &amp; FilterStringsWithX(N13), ";;", ";"),1)=";",LEFT(SUBSTITUTE(FilterWithUnits(N13)&amp; ";" &amp;FilterStringsWithNumericAnd(N13) &amp; ";" &amp; FilterStringsWithX(N13), ";;", ";"),LEN(SUBSTITUTE(FilterWithUnits(N13)&amp; ";" &amp;FilterStringsWithNumericAnd(N13) &amp; ";" &amp; FilterStringsWithX(N13), ";;", ";"))-1),SUBSTITUTE(FilterWithUnits(N13)&amp; ";" &amp;FilterStringsWithNumericAnd(N13) &amp; ";" &amp; FilterStringsWithX(N13), ";;", ";")))-1),IF(RIGHT(SUBSTITUTE(FilterWithUnits(N13)&amp; ";" &amp;FilterStringsWithNumericAnd(N13) &amp; ";" &amp; FilterStringsWithX(N13), ";;", ";"),1)=";",LEFT(SUBSTITUTE(FilterWithUnits(N13)&amp; ";" &amp;FilterStringsWithNumericAnd(N13) &amp; ";" &amp; FilterStringsWithX(N13), ";;", ";"),LEN(SUBSTITUTE(FilterWithUnits(N13)&amp; ";" &amp;FilterStringsWithNumericAnd(N13) &amp; ";" &amp; FilterStringsWithX(N13), ";;", ";"))-1),SUBSTITUTE(FilterWithUnits(N13)&amp; ";" &amp;FilterStringsWithNumericAnd(N13) &amp; ";" &amp; FilterStringsWithX(N13), ";;", ";")))</f>
        <v/>
      </c>
      <c r="P13" t="str" cm="1">
        <f t="array" ref="P13">IF(MaxSize((SplitDimensions(O13)))=0, "", MaxSize((SplitDimensions(O13))))</f>
        <v/>
      </c>
      <c r="Q13" t="str" cm="1">
        <f t="array" ref="Q13">IF(ISERROR(INDEX(_xlfn._xlws.FILTER('Model output'!L:L, ('Model output'!Z:Z=A13)*('Model output'!L:L&lt;&gt;"")), 1)), " ", LOWER(INDEX(_xlfn._xlws.FILTER('Model output'!L:L, ('Model output'!Z:Z=A13)*('Model output'!L:L&lt;&gt;"")), 1)))</f>
        <v>minimally invasive follicular carcinoma</v>
      </c>
      <c r="R13" t="str" cm="1">
        <f t="array" ref="R13">IF(ISERROR(INDEX(_xlfn._xlws.FILTER('Model output'!M:M, ('Model output'!Z:Z=A13)*('Model output'!M:M&lt;&gt;"")), 1)), " ", LOWER(INDEX(_xlfn._xlws.FILTER('Model output'!M:M, ('Model output'!Z:Z=A13)*('Model output'!M:M&lt;&gt;"")), 1)))</f>
        <v xml:space="preserve"> </v>
      </c>
      <c r="S13" t="str" cm="1">
        <f t="array" ref="S13">IF(OR(ISNUMBER(SEARCH("ly",SUBSTITUTE(INDEX(_xlfn._xlws.FILTER('Model output'!N:N,('Model output'!Z:Z=A13)*('Model output'!N:N&lt;&gt;"")),1)," ",""),1)), ISNUMBER(SEARCH("pole",SUBSTITUTE(INDEX(_xlfn._xlws.FILTER('Model output'!N:N,('Model output'!Z:Z=A13)*('Model output'!N:N&lt;&gt;"")),1)," ",""),1))),"",SUBSTITUTE(INDEX(_xlfn._xlws.FILTER('Model output'!N:N,('Model output'!Z:Z=A13)*('Model output'!N:N&lt;&gt;"")),1)," ",""))</f>
        <v/>
      </c>
      <c r="T13" t="str" cm="1">
        <f t="array" ref="T13">IF(LEFT(IF(RIGHT(SUBSTITUTE(FilterWithUnits(S13)&amp; ";" &amp;FilterStringsWithNumericAnd(S13) &amp; ";" &amp; FilterStringsWithX(S13), ";;", ";"),1)=";",LEFT(SUBSTITUTE(FilterWithUnits(S13)&amp; ";" &amp;FilterStringsWithNumericAnd(S13) &amp; ";" &amp; FilterStringsWithX(S13), ";;", ";"),LEN(SUBSTITUTE(FilterWithUnits(S13)&amp; ";" &amp;FilterStringsWithNumericAnd(S13) &amp; ";" &amp; FilterStringsWithX(S13), ";;", ";"))-1),SUBSTITUTE(FilterWithUnits(S13)&amp; ";" &amp;FilterStringsWithNumericAnd(S13) &amp; ";" &amp; FilterStringsWithX(S13), ";;", ";")),1)=";",RIGHT(IF(RIGHT(SUBSTITUTE(FilterWithUnits(S13)&amp; ";" &amp;FilterStringsWithNumericAnd(S13) &amp; ";" &amp; FilterStringsWithX(S13), ";;", ";"),1)=";",LEFT(SUBSTITUTE(FilterWithUnits(S13)&amp; ";" &amp;FilterStringsWithNumericAnd(S13) &amp; ";" &amp; FilterStringsWithX(S13), ";;", ";"),LEN(SUBSTITUTE(FilterWithUnits(S13)&amp; ";" &amp;FilterStringsWithNumericAnd(S13) &amp; ";" &amp; FilterStringsWithX(S13), ";;", ";"))-1),SUBSTITUTE(FilterWithUnits(S13)&amp; ";" &amp;FilterStringsWithNumericAnd(S13) &amp; ";" &amp; FilterStringsWithX(S13), ";;", ";")),LEN(IF(RIGHT(SUBSTITUTE(FilterWithUnits(S13)&amp; ";" &amp;FilterStringsWithNumericAnd(S13) &amp; ";" &amp; FilterStringsWithX(S13), ";;", ";"),1)=";",LEFT(SUBSTITUTE(FilterWithUnits(S13)&amp; ";" &amp;FilterStringsWithNumericAnd(S13) &amp; ";" &amp; FilterStringsWithX(S13), ";;", ";"),LEN(SUBSTITUTE(FilterWithUnits(S13)&amp; ";" &amp;FilterStringsWithNumericAnd(S13) &amp; ";" &amp; FilterStringsWithX(S13), ";;", ";"))-1),SUBSTITUTE(FilterWithUnits(S13)&amp; ";" &amp;FilterStringsWithNumericAnd(S13) &amp; ";" &amp; FilterStringsWithX(S13), ";;", ";")))-1),IF(RIGHT(SUBSTITUTE(FilterWithUnits(S13)&amp; ";" &amp;FilterStringsWithNumericAnd(S13) &amp; ";" &amp; FilterStringsWithX(S13), ";;", ";"),1)=";",LEFT(SUBSTITUTE(FilterWithUnits(S13)&amp; ";" &amp;FilterStringsWithNumericAnd(S13) &amp; ";" &amp; FilterStringsWithX(S13), ";;", ";"),LEN(SUBSTITUTE(FilterWithUnits(S13)&amp; ";" &amp;FilterStringsWithNumericAnd(S13) &amp; ";" &amp; FilterStringsWithX(S13), ";;", ";"))-1),SUBSTITUTE(FilterWithUnits(S13)&amp; ";" &amp;FilterStringsWithNumericAnd(S13) &amp; ";" &amp; FilterStringsWithX(S13), ";;", ";")))</f>
        <v/>
      </c>
      <c r="U13" t="str" cm="1">
        <f t="array" ref="U13">IF(MaxSize((SplitDimensions(T13)))=0, "", MaxSize((SplitDimensions(T13))))</f>
        <v/>
      </c>
      <c r="V13" s="17" t="str" cm="1">
        <f t="array" ref="V13">IF(ISERROR(INDEX(_xlfn._xlws.FILTER('Model output'!P:P,('Model output'!Z:Z=A13)*('Model output'!P:P&lt;&gt;"")),1)),"negative",IF(OR(ISNUMBER(SEARCH("foc",INDEX(_xlfn._xlws.FILTER('Model output'!P:P,('Model output'!Z:Z=A13)*('Model output'!P:P&lt;&gt;"")),1),1)),ISNUMBER(SEARCH("extensive",INDEX(_xlfn._xlws.FILTER('Model output'!P:P,('Model output'!Z:Z=A13)*('Model output'!P:P&lt;&gt;"")),1),1)),ISNUMBER(SEARCH("present",INDEX(_xlfn._xlws.FILTER('Model output'!P:P,('Model output'!Z:Z=A13)*('Model output'!P:P&lt;&gt;"")),1),1)),ISNUMBER(SEARCH("yes",INDEX(_xlfn._xlws.FILTER('Model output'!P:P,('Model output'!Z:Z=A13)*('Model output'!P:P&lt;&gt;"")),1),1))),"positive","negative"))</f>
        <v>negative</v>
      </c>
      <c r="X13" t="str" cm="1">
        <f t="array" ref="X13">IF(ISNUMBER(SEARCH("4",INDEX(_xlfn._xlws.FILTER('Model output'!P:P,('Model output'!Z:Z=A13)*('Model output'!P:P&lt;&gt;"")),1),1)),INDEX(_xlfn._xlws.FILTER('Model output'!P:P,('Model output'!Z:Z=A13)*('Model output'!P:P&lt;&gt;"")),1),"") &amp; _xlfn.TEXTJOIN("",TRUE,_xlfn._xlws.FILTER('Model output'!Q:Q,'Model output'!Z:Z=A13))</f>
        <v/>
      </c>
      <c r="Y13" t="str">
        <f t="shared" si="11"/>
        <v>no</v>
      </c>
      <c r="Z13" t="str" cm="1">
        <f t="array" ref="Z13">IF(OR(ISNUMBER(SEARCH("focal",_xlfn.TEXTJOIN("; ",TRUE,_xlfn._xlws.FILTER('Model output'!R:R,'Model output'!Z:Z=A13)),1)),ISNUMBER(SEARCH("present",_xlfn.TEXTJOIN("; ",TRUE,_xlfn._xlws.FILTER('Model output'!R:R,'Model output'!Z:Z=A13)),1))),"positive",IF(_xlfn.TEXTJOIN("; ",TRUE,_xlfn._xlws.FILTER('Model output'!R:R,'Model output'!Z:Z=A13))="","negative",IF(OR(ISNUMBER(SEARCH("no",_xlfn.TEXTJOIN("; ",TRUE,_xlfn._xlws.FILTER('Model output'!R:R,'Model output'!Z:Z=A13)),1)),ISNUMBER(SEARCH("absent",_xlfn.TEXTJOIN("; ",TRUE,_xlfn._xlws.FILTER('Model output'!R:R,'Model output'!Z:Z=A13)),1))),"negative","positive")))</f>
        <v>positive</v>
      </c>
      <c r="AA13" s="17" t="str">
        <f t="shared" si="12"/>
        <v>negative</v>
      </c>
      <c r="AE13" s="17" t="str">
        <f t="shared" si="14"/>
        <v>negative</v>
      </c>
      <c r="AF13" t="str" cm="1">
        <f t="array" ref="AF13">_xlfn.TEXTJOIN("; ",TRUE,_xlfn._xlws.FILTER('Model output'!S:S,'Model output'!Z:Z=A13))</f>
        <v>Not identified</v>
      </c>
      <c r="AG13" s="17" t="str" cm="1">
        <f t="array" ref="AG13">IF(OR(ISNUMBER(SEARCH("uninvolved",_xlfn.TEXTJOIN("; ",TRUE,_xlfn._xlws.FILTER('Model output'!V:V,'Model output'!Z:Z=A13)),1)),ISNUMBER(SEARCH("clear",_xlfn.TEXTJOIN("; ",TRUE,_xlfn._xlws.FILTER('Model output'!V:V,'Model output'!Z:Z=A13)),1))*ISNUMBER(SEARCH("not mentioned",_xlfn.TEXTJOIN("; ",TRUE,_xlfn._xlws.FILTER('Model output'!V:V,'Model output'!Z:Z=A13)),1))),"negative",IF(ISNUMBER(SEARCH("cannot be assessed",_xlfn.TEXTJOIN("; ",TRUE,_xlfn._xlws.FILTER('Model output'!V:V,'Model output'!Z:Z=A13)),1)),"unknown","negative"))</f>
        <v>negative</v>
      </c>
      <c r="AI13" s="45" t="str">
        <f t="shared" si="13"/>
        <v>low</v>
      </c>
      <c r="AJ13" s="36" t="str">
        <f t="shared" si="2"/>
        <v>3a</v>
      </c>
      <c r="AK13" s="36">
        <f t="shared" si="3"/>
        <v>0</v>
      </c>
      <c r="AL13" s="36">
        <f t="shared" si="4"/>
        <v>0</v>
      </c>
      <c r="AM13" s="36" t="str">
        <f t="shared" si="5"/>
        <v>II</v>
      </c>
      <c r="AN13" s="37" t="s">
        <v>166</v>
      </c>
      <c r="AO13" s="38" t="s">
        <v>205</v>
      </c>
      <c r="AP13" s="38" t="s">
        <v>202</v>
      </c>
      <c r="AQ13" s="38">
        <v>0</v>
      </c>
      <c r="AR13" s="38" t="s">
        <v>44</v>
      </c>
      <c r="AS13" s="37">
        <f t="shared" si="6"/>
        <v>1</v>
      </c>
      <c r="AT13" s="38">
        <f t="shared" si="7"/>
        <v>1</v>
      </c>
      <c r="AU13" s="38">
        <f t="shared" si="8"/>
        <v>1</v>
      </c>
      <c r="AV13" s="38">
        <f t="shared" si="9"/>
        <v>1</v>
      </c>
      <c r="AW13" s="39">
        <f t="shared" si="10"/>
        <v>1</v>
      </c>
    </row>
    <row r="14" spans="1:49">
      <c r="A14" s="13">
        <v>12</v>
      </c>
      <c r="B14" s="16">
        <f>_xlfn.MAXIFS('Model output'!B:B,'Model output'!Z:Z,'Classification result'!$A14)</f>
        <v>45415</v>
      </c>
      <c r="C14" s="16"/>
      <c r="D14" s="16"/>
      <c r="E14" s="17">
        <f>_xlfn.MAXIFS('Model output'!C:C,'Model output'!Z:Z,'Classification result'!$A14)</f>
        <v>67</v>
      </c>
      <c r="F14" s="17" t="str" cm="1">
        <f t="array" ref="F14">LEFT(IF(ISERROR(RIGHT(IF(INDEX(_xlfn._xlws.FILTER('Model output'!D:D,('Model output'!Z:Z=A14)),1)&lt;&gt;"",INDEX(_xlfn._xlws.FILTER('Model output'!D:D,('Model output'!Z:Z=A14)),1),""),LEN(IF(INDEX(_xlfn._xlws.FILTER('Model output'!D:D,('Model output'!Z:Z=A14)),1)&lt;&gt;"",INDEX(_xlfn._xlws.FILTER('Model output'!D:D,('Model output'!Z:Z=A14)),1),""))-FIND("T",IF(INDEX(_xlfn._xlws.FILTER('Model output'!D:D,('Model output'!Z:Z=A14)),1)&lt;&gt;"",INDEX(_xlfn._xlws.FILTER('Model output'!D:D,('Model output'!Z:Z=A14)),1),""),1))),"",(RIGHT(IF(INDEX(_xlfn._xlws.FILTER('Model output'!D:D,('Model output'!Z:Z=A14)),1)&lt;&gt;"",INDEX(_xlfn._xlws.FILTER('Model output'!D:D,('Model output'!Z:Z=A14)),1),""),LEN(IF(INDEX(_xlfn._xlws.FILTER('Model output'!D:D,('Model output'!Z:Z=A14)),1)&lt;&gt;"",INDEX(_xlfn._xlws.FILTER('Model output'!D:D,('Model output'!Z:Z=A14)),1),""))-FIND("T",IF(INDEX(_xlfn._xlws.FILTER('Model output'!D:D,('Model output'!Z:Z=A14)),1)&lt;&gt;"",INDEX(_xlfn._xlws.FILTER('Model output'!D:D,('Model output'!Z:Z=A14)),1)))))),2)</f>
        <v>3a</v>
      </c>
      <c r="G14" s="17" t="str" cm="1">
        <f t="array" ref="G14">IF(ISNUMBER(SEARCH("N",IF(ISNUMBER(SEARCH("present",IF(INDEX(_xlfn._xlws.FILTER('Model output'!E:E,('Model output'!Z:Z=A14)),1)="","",INDEX(_xlfn._xlws.FILTER('Model output'!E:E,('Model output'!Z:Z=A14)),1)),1)),"N1", IF(INDEX(_xlfn._xlws.FILTER('Model output'!E:E,('Model output'!Z:Z=A14)),1)="","",INDEX(_xlfn._xlws.FILTER('Model output'!E:E,('Model output'!Z:Z=A14)),1))),1)),RIGHT(IF(ISNUMBER(SEARCH("present",IF(INDEX(_xlfn._xlws.FILTER('Model output'!E:E,('Model output'!Z:Z=A14)),1)="","",INDEX(_xlfn._xlws.FILTER('Model output'!E:E,('Model output'!Z:Z=A14)),1)),1)),"N1", IF(INDEX(_xlfn._xlws.FILTER('Model output'!E:E,('Model output'!Z:Z=A14)),1)="","",INDEX(_xlfn._xlws.FILTER('Model output'!E:E,('Model output'!Z:Z=A14)),1))),LEN(IF(ISNUMBER(SEARCH("present",IF(INDEX(_xlfn._xlws.FILTER('Model output'!E:E,('Model output'!Z:Z=A14)),1)="","",INDEX(_xlfn._xlws.FILTER('Model output'!E:E,('Model output'!Z:Z=A14)),1)),1)),"N1", IF(INDEX(_xlfn._xlws.FILTER('Model output'!E:E,('Model output'!Z:Z=A14)),1)="","",INDEX(_xlfn._xlws.FILTER('Model output'!E:E,('Model output'!Z:Z=A14)),1))))-FIND("N",IF(ISNUMBER(SEARCH("present",IF(INDEX(_xlfn._xlws.FILTER('Model output'!E:E,('Model output'!Z:Z=A14)),1)="","",INDEX(_xlfn._xlws.FILTER('Model output'!E:E,('Model output'!Z:Z=A14)),1)),1)),"N1", IF(INDEX(_xlfn._xlws.FILTER('Model output'!E:E,('Model output'!Z:Z=A14)),1)="","",INDEX(_xlfn._xlws.FILTER('Model output'!E:E,('Model output'!Z:Z=A14)),1))),1)), "")</f>
        <v/>
      </c>
      <c r="H14" s="17" cm="1">
        <f t="array" ref="H14">IF(AND(SUBSTITUTE(_xlfn.TEXTJOIN("/", TRUE, _xlfn._xlws.FILTER('Model output'!F:F, 'Model output'!Z:Z=A14)),"M", "")="", K14="negative"),0,IF(K14="positive",1,0))</f>
        <v>0</v>
      </c>
      <c r="I14" t="str">
        <f t="shared" si="0"/>
        <v>positive</v>
      </c>
      <c r="J14" t="str" cm="1">
        <f t="array" ref="J14">IF(AND(M14&gt;0, _xlfn.TEXTJOIN("; ", TRUE, _xlfn._xlws.FILTER('Model output'!G:G, 'Model output'!Z:Z=A14)) &lt;&gt;"", OR(AND(ISNUMBER(SEARCH("level", _xlfn.TEXTJOIN("; ", TRUE, _xlfn._xlws.FILTER('Model output'!G:G, 'Model output'!Z:Z=A14)),1)),OR(ISNUMBER(SEARCH(" II", _xlfn.TEXTJOIN("; ", TRUE, _xlfn._xlws.FILTER('Model output'!G:G, 'Model output'!Z:Z=A14)),1)),ISNUMBER(SEARCH("2", _xlfn.TEXTJOIN("; ", TRUE, _xlfn._xlws.FILTER('Model output'!G:G, 'Model output'!Z:Z=A14)),1)),ISNUMBER(SEARCH("two", _xlfn.TEXTJOIN("; ", TRUE, _xlfn._xlws.FILTER('Model output'!G:G, 'Model output'!Z:Z=A14)),1)),ISNUMBER(SEARCH("III", _xlfn.TEXTJOIN("; ", TRUE, _xlfn._xlws.FILTER('Model output'!G:G, 'Model output'!Z:Z=A14)),1)),ISNUMBER(SEARCH("3", _xlfn.TEXTJOIN("; ", TRUE, _xlfn._xlws.FILTER('Model output'!G:G, 'Model output'!Z:Z=A14)),1)),ISNUMBER(SEARCH("three", _xlfn.TEXTJOIN("; ", TRUE, _xlfn._xlws.FILTER('Model output'!G:G, 'Model output'!Z:Z=A14)),1)),ISNUMBER(SEARCH("IV", _xlfn.TEXTJOIN("; ", TRUE, _xlfn._xlws.FILTER('Model output'!G:G, 'Model output'!Z:Z=A14)),1)),ISNUMBER(SEARCH("4", _xlfn.TEXTJOIN("; ", TRUE, _xlfn._xlws.FILTER('Model output'!G:G, 'Model output'!Z:Z=A14)),1)),ISNUMBER(SEARCH("five", _xlfn.TEXTJOIN("; ", TRUE, _xlfn._xlws.FILTER('Model output'!G:G, 'Model output'!Z:Z=A14)),1)),ISNUMBER(SEARCH("V ", _xlfn.TEXTJOIN("; ", TRUE, _xlfn._xlws.FILTER('Model output'!G:G, 'Model output'!Z:Z=A14)),1)),ISNUMBER(SEARCH("5", _xlfn.TEXTJOIN("; ", TRUE, _xlfn._xlws.FILTER('Model output'!G:G, 'Model output'!Z:Z=A14)),1)),ISNUMBER(SEARCH("five", _xlfn.TEXTJOIN("; ", TRUE, _xlfn._xlws.FILTER('Model output'!G:G, 'Model output'!Z:Z=A14)),1)),ISNUMBER(SEARCH(" lateral", _xlfn.TEXTJOIN("; ", TRUE, _xlfn._xlws.FILTER('Model output'!G:G, 'Model output'!Z:Z=A14)),1)))),ISNUMBER(SEARCH("cervical", _xlfn.TEXTJOIN("; ", TRUE, _xlfn._xlws.FILTER('Model output'!G:G, 'Model output'!Z:Z=A14)),1)),ISNUMBER(SEARCH("jugular", _xlfn.TEXTJOIN("; ", TRUE, _xlfn._xlws.FILTER('Model output'!G:G, 'Model output'!Z:Z=A14)),1)),ISNUMBER(SEARCH("left neck", _xlfn.TEXTJOIN("; ", TRUE, _xlfn._xlws.FILTER('Model output'!G:G, 'Model output'!Z:Z=A14)),1)),ISNUMBER(SEARCH("left anterior neck", _xlfn.TEXTJOIN("; ", TRUE, _xlfn._xlws.FILTER('Model output'!G:G, 'Model output'!Z:Z=A14)),1)),ISNUMBER(SEARCH("left posterior neck", _xlfn.TEXTJOIN("; ", TRUE, _xlfn._xlws.FILTER('Model output'!G:G, 'Model output'!Z:Z=A14)),1)),ISNUMBER(SEARCH("right neck", _xlfn.TEXTJOIN("; ", TRUE, _xlfn._xlws.FILTER('Model output'!G:G, 'Model output'!Z:Z=A14)),1)),ISNUMBER(SEARCH("right anterior neck", _xlfn.TEXTJOIN("; ", TRUE, _xlfn._xlws.FILTER('Model output'!G:G, 'Model output'!Z:Z=A14)),1)),ISNUMBER(SEARCH("right posterior neck", _xlfn.TEXTJOIN("; ", TRUE, _xlfn._xlws.FILTER('Model output'!G:G, 'Model output'!Z:Z=A14)),1)))),"lateral",IF(AND(M14=0, _xlfn.TEXTJOIN("; ", TRUE, _xlfn._xlws.FILTER('Model output'!G:G, 'Model output'!Z:Z=A14))=""),"", "central"))</f>
        <v>central</v>
      </c>
      <c r="K14" s="17" t="str" cm="1">
        <f t="array" ref="K14">IF(OR(ISNUMBER(SEARCH("lymph",_xlfn.TEXTJOIN("; ", TRUE, _xlfn._xlws.FILTER('Model output'!H:H, 'Model output'!Z:Z=A14)),1)), ISNUMBER(SEARCH("Not mentioned",_xlfn.TEXTJOIN("; ", TRUE, _xlfn._xlws.FILTER('Model output'!H:H, 'Model output'!Z:Z=A14)),1)),ISNUMBER(SEARCH("subcutaneous soft tissues",_xlfn.TEXTJOIN("; ", TRUE, _xlfn._xlws.FILTER('Model output'!H:H, 'Model output'!Z:Z=A14)),1)),ISNUMBER(SEARCH("larynx",_xlfn.TEXTJOIN("; ", TRUE, _xlfn._xlws.FILTER('Model output'!H:H, 'Model output'!Z:Z=A14)),1)),ISNUMBER(SEARCH("trachea",_xlfn.TEXTJOIN("; ", TRUE, _xlfn._xlws.FILTER('Model output'!H:H, 'Model output'!Z:Z=A14)),1)),ISNUMBER(SEARCH("esophagus",_xlfn.TEXTJOIN("; ", TRUE, _xlfn._xlws.FILTER('Model output'!H:H, 'Model output'!Z:Z=A14)),1)),ISNUMBER(SEARCH("recurrent laryngeal nerve",_xlfn.TEXTJOIN("; ", TRUE, _xlfn._xlws.FILTER('Model output'!H:H, 'Model output'!Z:Z=A14)),1)),ISNUMBER(SEARCH("strap muscle",_xlfn.TEXTJOIN("; ", TRUE, _xlfn._xlws.FILTER('Model output'!H:H, 'Model output'!Z:Z=A14)),1)),ISNUMBER(SEARCH("thyroid",_xlfn.TEXTJOIN("; ", TRUE, _xlfn._xlws.FILTER('Model output'!H:H, 'Model output'!Z:Z=A14)),1)),ISNUMBER(SEARCH("RLN",_xlfn.TEXTJOIN("; ", TRUE, _xlfn._xlws.FILTER('Model output'!H:H, 'Model output'!Z:Z=A14)),1)),_xlfn.TEXTJOIN("; ", TRUE, _xlfn._xlws.FILTER('Model output'!H:H, 'Model output'!Z:Z=A14))=""),"negative","positive")</f>
        <v>negative</v>
      </c>
      <c r="L14" s="17">
        <f>IF(IFERROR(INDEX('Model output'!I:I, MATCH(A14, 'Model output'!Z:Z, 0)), "") &lt; M14, "", IFERROR(INDEX('Model output'!I:I, MATCH(A14, 'Model output'!Z:Z, 0)), ""))</f>
        <v>22</v>
      </c>
      <c r="M14" s="17">
        <f>IFERROR(INDEX('Model output'!J:J, MATCH(A14, 'Model output'!Z:Z, 0)), "")</f>
        <v>1</v>
      </c>
      <c r="N14" s="18" t="str" cm="1">
        <f t="array" ref="N14">ReplaceTo(ReplaceAnd(SUBSTITUTE(SUBSTITUTE(_xlfn.TEXTJOIN("; ", TRUE, _xlfn._xlws.FILTER('Model output'!K:K, 'Model output'!Z:Z=A14)), " ", ""), ",", ";")))</f>
        <v>50mm</v>
      </c>
      <c r="O14" t="str" cm="1">
        <f t="array" ref="O14">IF(LEFT(IF(RIGHT(SUBSTITUTE(FilterWithUnits(N14)&amp; ";" &amp;FilterStringsWithNumericAnd(N14) &amp; ";" &amp; FilterStringsWithX(N14), ";;", ";"),1)=";",LEFT(SUBSTITUTE(FilterWithUnits(N14)&amp; ";" &amp;FilterStringsWithNumericAnd(N14) &amp; ";" &amp; FilterStringsWithX(N14), ";;", ";"),LEN(SUBSTITUTE(FilterWithUnits(N14)&amp; ";" &amp;FilterStringsWithNumericAnd(N14) &amp; ";" &amp; FilterStringsWithX(N14), ";;", ";"))-1),SUBSTITUTE(FilterWithUnits(N14)&amp; ";" &amp;FilterStringsWithNumericAnd(N14) &amp; ";" &amp; FilterStringsWithX(N14), ";;", ";")),1)=";",RIGHT(IF(RIGHT(SUBSTITUTE(FilterWithUnits(N14)&amp; ";" &amp;FilterStringsWithNumericAnd(N14) &amp; ";" &amp; FilterStringsWithX(N14), ";;", ";"),1)=";",LEFT(SUBSTITUTE(FilterWithUnits(N14)&amp; ";" &amp;FilterStringsWithNumericAnd(N14) &amp; ";" &amp; FilterStringsWithX(N14), ";;", ";"),LEN(SUBSTITUTE(FilterWithUnits(N14)&amp; ";" &amp;FilterStringsWithNumericAnd(N14) &amp; ";" &amp; FilterStringsWithX(N14), ";;", ";"))-1),SUBSTITUTE(FilterWithUnits(N14)&amp; ";" &amp;FilterStringsWithNumericAnd(N14) &amp; ";" &amp; FilterStringsWithX(N14), ";;", ";")),LEN(IF(RIGHT(SUBSTITUTE(FilterWithUnits(N14)&amp; ";" &amp;FilterStringsWithNumericAnd(N14) &amp; ";" &amp; FilterStringsWithX(N14), ";;", ";"),1)=";",LEFT(SUBSTITUTE(FilterWithUnits(N14)&amp; ";" &amp;FilterStringsWithNumericAnd(N14) &amp; ";" &amp; FilterStringsWithX(N14), ";;", ";"),LEN(SUBSTITUTE(FilterWithUnits(N14)&amp; ";" &amp;FilterStringsWithNumericAnd(N14) &amp; ";" &amp; FilterStringsWithX(N14), ";;", ";"))-1),SUBSTITUTE(FilterWithUnits(N14)&amp; ";" &amp;FilterStringsWithNumericAnd(N14) &amp; ";" &amp; FilterStringsWithX(N14), ";;", ";")))-1),IF(RIGHT(SUBSTITUTE(FilterWithUnits(N14)&amp; ";" &amp;FilterStringsWithNumericAnd(N14) &amp; ";" &amp; FilterStringsWithX(N14), ";;", ";"),1)=";",LEFT(SUBSTITUTE(FilterWithUnits(N14)&amp; ";" &amp;FilterStringsWithNumericAnd(N14) &amp; ";" &amp; FilterStringsWithX(N14), ";;", ";"),LEN(SUBSTITUTE(FilterWithUnits(N14)&amp; ";" &amp;FilterStringsWithNumericAnd(N14) &amp; ";" &amp; FilterStringsWithX(N14), ";;", ";"))-1),SUBSTITUTE(FilterWithUnits(N14)&amp; ";" &amp;FilterStringsWithNumericAnd(N14) &amp; ";" &amp; FilterStringsWithX(N14), ";;", ";")))</f>
        <v>50mm</v>
      </c>
      <c r="P14" cm="1">
        <f t="array" ref="P14">IF(MaxSize((SplitDimensions(O14)))=0, "", MaxSize((SplitDimensions(O14))))</f>
        <v>5</v>
      </c>
      <c r="Q14" t="str" cm="1">
        <f t="array" ref="Q14">IF(ISERROR(INDEX(_xlfn._xlws.FILTER('Model output'!L:L, ('Model output'!Z:Z=A14)*('Model output'!L:L&lt;&gt;"")), 1)), " ", LOWER(INDEX(_xlfn._xlws.FILTER('Model output'!L:L, ('Model output'!Z:Z=A14)*('Model output'!L:L&lt;&gt;"")), 1)))</f>
        <v>minimally invasive follicular carcinoma</v>
      </c>
      <c r="R14" t="str" cm="1">
        <f t="array" ref="R14">IF(ISERROR(INDEX(_xlfn._xlws.FILTER('Model output'!M:M, ('Model output'!Z:Z=A14)*('Model output'!M:M&lt;&gt;"")), 1)), " ", LOWER(INDEX(_xlfn._xlws.FILTER('Model output'!M:M, ('Model output'!Z:Z=A14)*('Model output'!M:M&lt;&gt;"")), 1)))</f>
        <v xml:space="preserve"> </v>
      </c>
      <c r="S14" t="str" cm="1">
        <f t="array" ref="S14">IF(OR(ISNUMBER(SEARCH("ly",SUBSTITUTE(INDEX(_xlfn._xlws.FILTER('Model output'!N:N,('Model output'!Z:Z=A14)*('Model output'!N:N&lt;&gt;"")),1)," ",""),1)), ISNUMBER(SEARCH("pole",SUBSTITUTE(INDEX(_xlfn._xlws.FILTER('Model output'!N:N,('Model output'!Z:Z=A14)*('Model output'!N:N&lt;&gt;"")),1)," ",""),1))),"",SUBSTITUTE(INDEX(_xlfn._xlws.FILTER('Model output'!N:N,('Model output'!Z:Z=A14)*('Model output'!N:N&lt;&gt;"")),1)," ",""))</f>
        <v>50mm</v>
      </c>
      <c r="T14" t="str" cm="1">
        <f t="array" ref="T14">IF(LEFT(IF(RIGHT(SUBSTITUTE(FilterWithUnits(S14)&amp; ";" &amp;FilterStringsWithNumericAnd(S14) &amp; ";" &amp; FilterStringsWithX(S14), ";;", ";"),1)=";",LEFT(SUBSTITUTE(FilterWithUnits(S14)&amp; ";" &amp;FilterStringsWithNumericAnd(S14) &amp; ";" &amp; FilterStringsWithX(S14), ";;", ";"),LEN(SUBSTITUTE(FilterWithUnits(S14)&amp; ";" &amp;FilterStringsWithNumericAnd(S14) &amp; ";" &amp; FilterStringsWithX(S14), ";;", ";"))-1),SUBSTITUTE(FilterWithUnits(S14)&amp; ";" &amp;FilterStringsWithNumericAnd(S14) &amp; ";" &amp; FilterStringsWithX(S14), ";;", ";")),1)=";",RIGHT(IF(RIGHT(SUBSTITUTE(FilterWithUnits(S14)&amp; ";" &amp;FilterStringsWithNumericAnd(S14) &amp; ";" &amp; FilterStringsWithX(S14), ";;", ";"),1)=";",LEFT(SUBSTITUTE(FilterWithUnits(S14)&amp; ";" &amp;FilterStringsWithNumericAnd(S14) &amp; ";" &amp; FilterStringsWithX(S14), ";;", ";"),LEN(SUBSTITUTE(FilterWithUnits(S14)&amp; ";" &amp;FilterStringsWithNumericAnd(S14) &amp; ";" &amp; FilterStringsWithX(S14), ";;", ";"))-1),SUBSTITUTE(FilterWithUnits(S14)&amp; ";" &amp;FilterStringsWithNumericAnd(S14) &amp; ";" &amp; FilterStringsWithX(S14), ";;", ";")),LEN(IF(RIGHT(SUBSTITUTE(FilterWithUnits(S14)&amp; ";" &amp;FilterStringsWithNumericAnd(S14) &amp; ";" &amp; FilterStringsWithX(S14), ";;", ";"),1)=";",LEFT(SUBSTITUTE(FilterWithUnits(S14)&amp; ";" &amp;FilterStringsWithNumericAnd(S14) &amp; ";" &amp; FilterStringsWithX(S14), ";;", ";"),LEN(SUBSTITUTE(FilterWithUnits(S14)&amp; ";" &amp;FilterStringsWithNumericAnd(S14) &amp; ";" &amp; FilterStringsWithX(S14), ";;", ";"))-1),SUBSTITUTE(FilterWithUnits(S14)&amp; ";" &amp;FilterStringsWithNumericAnd(S14) &amp; ";" &amp; FilterStringsWithX(S14), ";;", ";")))-1),IF(RIGHT(SUBSTITUTE(FilterWithUnits(S14)&amp; ";" &amp;FilterStringsWithNumericAnd(S14) &amp; ";" &amp; FilterStringsWithX(S14), ";;", ";"),1)=";",LEFT(SUBSTITUTE(FilterWithUnits(S14)&amp; ";" &amp;FilterStringsWithNumericAnd(S14) &amp; ";" &amp; FilterStringsWithX(S14), ";;", ";"),LEN(SUBSTITUTE(FilterWithUnits(S14)&amp; ";" &amp;FilterStringsWithNumericAnd(S14) &amp; ";" &amp; FilterStringsWithX(S14), ";;", ";"))-1),SUBSTITUTE(FilterWithUnits(S14)&amp; ";" &amp;FilterStringsWithNumericAnd(S14) &amp; ";" &amp; FilterStringsWithX(S14), ";;", ";")))</f>
        <v>50mm</v>
      </c>
      <c r="U14" cm="1">
        <f t="array" ref="U14">IF(MaxSize((SplitDimensions(T14)))=0, "", MaxSize((SplitDimensions(T14))))</f>
        <v>5</v>
      </c>
      <c r="V14" s="17" t="str" cm="1">
        <f t="array" ref="V14">IF(ISERROR(INDEX(_xlfn._xlws.FILTER('Model output'!P:P,('Model output'!Z:Z=A14)*('Model output'!P:P&lt;&gt;"")),1)),"negative",IF(OR(ISNUMBER(SEARCH("foc",INDEX(_xlfn._xlws.FILTER('Model output'!P:P,('Model output'!Z:Z=A14)*('Model output'!P:P&lt;&gt;"")),1),1)),ISNUMBER(SEARCH("extensive",INDEX(_xlfn._xlws.FILTER('Model output'!P:P,('Model output'!Z:Z=A14)*('Model output'!P:P&lt;&gt;"")),1),1)),ISNUMBER(SEARCH("present",INDEX(_xlfn._xlws.FILTER('Model output'!P:P,('Model output'!Z:Z=A14)*('Model output'!P:P&lt;&gt;"")),1),1)),ISNUMBER(SEARCH("yes",INDEX(_xlfn._xlws.FILTER('Model output'!P:P,('Model output'!Z:Z=A14)*('Model output'!P:P&lt;&gt;"")),1),1))),"positive","negative"))</f>
        <v>positive</v>
      </c>
      <c r="X14" t="str" cm="1">
        <f t="array" ref="X14">IF(ISNUMBER(SEARCH("4",INDEX(_xlfn._xlws.FILTER('Model output'!P:P,('Model output'!Z:Z=A14)*('Model output'!P:P&lt;&gt;"")),1),1)),INDEX(_xlfn._xlws.FILTER('Model output'!P:P,('Model output'!Z:Z=A14)*('Model output'!P:P&lt;&gt;"")),1),"") &amp; _xlfn.TEXTJOIN("",TRUE,_xlfn._xlws.FILTER('Model output'!Q:Q,'Model output'!Z:Z=A14))</f>
        <v>Focal (&lt; 4 vessels)Not mentioned</v>
      </c>
      <c r="Y14" t="str">
        <f t="shared" si="11"/>
        <v>minimal</v>
      </c>
      <c r="Z14" t="str" cm="1">
        <f t="array" ref="Z14">IF(OR(ISNUMBER(SEARCH("focal",_xlfn.TEXTJOIN("; ",TRUE,_xlfn._xlws.FILTER('Model output'!R:R,'Model output'!Z:Z=A14)),1)),ISNUMBER(SEARCH("present",_xlfn.TEXTJOIN("; ",TRUE,_xlfn._xlws.FILTER('Model output'!R:R,'Model output'!Z:Z=A14)),1))),"positive",IF(_xlfn.TEXTJOIN("; ",TRUE,_xlfn._xlws.FILTER('Model output'!R:R,'Model output'!Z:Z=A14))="","negative",IF(OR(ISNUMBER(SEARCH("no",_xlfn.TEXTJOIN("; ",TRUE,_xlfn._xlws.FILTER('Model output'!R:R,'Model output'!Z:Z=A14)),1)),ISNUMBER(SEARCH("absent",_xlfn.TEXTJOIN("; ",TRUE,_xlfn._xlws.FILTER('Model output'!R:R,'Model output'!Z:Z=A14)),1))),"negative","positive")))</f>
        <v>negative</v>
      </c>
      <c r="AA14" s="17" t="str">
        <f t="shared" si="12"/>
        <v>negative</v>
      </c>
      <c r="AE14" s="17" t="str">
        <f t="shared" si="14"/>
        <v>negative</v>
      </c>
      <c r="AF14" t="str" cm="1">
        <f t="array" ref="AF14">_xlfn.TEXTJOIN("; ",TRUE,_xlfn._xlws.FILTER('Model output'!S:S,'Model output'!Z:Z=A14))</f>
        <v>Not mentioned</v>
      </c>
      <c r="AG14" s="17" t="str" cm="1">
        <f t="array" ref="AG14">IF(OR(ISNUMBER(SEARCH("uninvolved",_xlfn.TEXTJOIN("; ",TRUE,_xlfn._xlws.FILTER('Model output'!V:V,'Model output'!Z:Z=A14)),1)),ISNUMBER(SEARCH("clear",_xlfn.TEXTJOIN("; ",TRUE,_xlfn._xlws.FILTER('Model output'!V:V,'Model output'!Z:Z=A14)),1))*ISNUMBER(SEARCH("not mentioned",_xlfn.TEXTJOIN("; ",TRUE,_xlfn._xlws.FILTER('Model output'!V:V,'Model output'!Z:Z=A14)),1))),"negative",IF(ISNUMBER(SEARCH("cannot be assessed",_xlfn.TEXTJOIN("; ",TRUE,_xlfn._xlws.FILTER('Model output'!V:V,'Model output'!Z:Z=A14)),1)),"unknown","negative"))</f>
        <v>negative</v>
      </c>
      <c r="AI14" s="45" t="str">
        <f t="shared" si="13"/>
        <v>high</v>
      </c>
      <c r="AJ14" s="36" t="str">
        <f t="shared" si="2"/>
        <v>3a</v>
      </c>
      <c r="AK14" s="36" t="str">
        <f t="shared" si="3"/>
        <v>1a</v>
      </c>
      <c r="AL14" s="36">
        <f t="shared" si="4"/>
        <v>0</v>
      </c>
      <c r="AM14" s="36" t="str">
        <f t="shared" si="5"/>
        <v>II</v>
      </c>
      <c r="AN14" s="37" t="s">
        <v>164</v>
      </c>
      <c r="AO14" s="38" t="s">
        <v>205</v>
      </c>
      <c r="AP14" s="38" t="s">
        <v>202</v>
      </c>
      <c r="AQ14" s="38">
        <v>0</v>
      </c>
      <c r="AR14" s="38" t="s">
        <v>44</v>
      </c>
      <c r="AS14" s="37">
        <f t="shared" si="6"/>
        <v>0</v>
      </c>
      <c r="AT14" s="38">
        <f t="shared" si="7"/>
        <v>1</v>
      </c>
      <c r="AU14" s="38">
        <f t="shared" si="8"/>
        <v>0</v>
      </c>
      <c r="AV14" s="38">
        <f t="shared" si="9"/>
        <v>1</v>
      </c>
      <c r="AW14" s="39">
        <f t="shared" si="10"/>
        <v>1</v>
      </c>
    </row>
    <row r="15" spans="1:49">
      <c r="A15" s="13">
        <v>13</v>
      </c>
      <c r="B15" s="16">
        <f>_xlfn.MAXIFS('Model output'!B:B,'Model output'!Z:Z,'Classification result'!$A15)</f>
        <v>45420</v>
      </c>
      <c r="C15" s="16"/>
      <c r="D15" s="16"/>
      <c r="E15" s="17">
        <f>_xlfn.MAXIFS('Model output'!C:C,'Model output'!Z:Z,'Classification result'!$A15)</f>
        <v>66</v>
      </c>
      <c r="F15" s="17" t="str" cm="1">
        <f t="array" ref="F15">LEFT(IF(ISERROR(RIGHT(IF(INDEX(_xlfn._xlws.FILTER('Model output'!D:D,('Model output'!Z:Z=A15)),1)&lt;&gt;"",INDEX(_xlfn._xlws.FILTER('Model output'!D:D,('Model output'!Z:Z=A15)),1),""),LEN(IF(INDEX(_xlfn._xlws.FILTER('Model output'!D:D,('Model output'!Z:Z=A15)),1)&lt;&gt;"",INDEX(_xlfn._xlws.FILTER('Model output'!D:D,('Model output'!Z:Z=A15)),1),""))-FIND("T",IF(INDEX(_xlfn._xlws.FILTER('Model output'!D:D,('Model output'!Z:Z=A15)),1)&lt;&gt;"",INDEX(_xlfn._xlws.FILTER('Model output'!D:D,('Model output'!Z:Z=A15)),1),""),1))),"",(RIGHT(IF(INDEX(_xlfn._xlws.FILTER('Model output'!D:D,('Model output'!Z:Z=A15)),1)&lt;&gt;"",INDEX(_xlfn._xlws.FILTER('Model output'!D:D,('Model output'!Z:Z=A15)),1),""),LEN(IF(INDEX(_xlfn._xlws.FILTER('Model output'!D:D,('Model output'!Z:Z=A15)),1)&lt;&gt;"",INDEX(_xlfn._xlws.FILTER('Model output'!D:D,('Model output'!Z:Z=A15)),1),""))-FIND("T",IF(INDEX(_xlfn._xlws.FILTER('Model output'!D:D,('Model output'!Z:Z=A15)),1)&lt;&gt;"",INDEX(_xlfn._xlws.FILTER('Model output'!D:D,('Model output'!Z:Z=A15)),1)))))),2)</f>
        <v/>
      </c>
      <c r="G15" s="17" t="str" cm="1">
        <f t="array" ref="G15">IF(ISNUMBER(SEARCH("N",IF(ISNUMBER(SEARCH("present",IF(INDEX(_xlfn._xlws.FILTER('Model output'!E:E,('Model output'!Z:Z=A15)),1)="","",INDEX(_xlfn._xlws.FILTER('Model output'!E:E,('Model output'!Z:Z=A15)),1)),1)),"N1", IF(INDEX(_xlfn._xlws.FILTER('Model output'!E:E,('Model output'!Z:Z=A15)),1)="","",INDEX(_xlfn._xlws.FILTER('Model output'!E:E,('Model output'!Z:Z=A15)),1))),1)),RIGHT(IF(ISNUMBER(SEARCH("present",IF(INDEX(_xlfn._xlws.FILTER('Model output'!E:E,('Model output'!Z:Z=A15)),1)="","",INDEX(_xlfn._xlws.FILTER('Model output'!E:E,('Model output'!Z:Z=A15)),1)),1)),"N1", IF(INDEX(_xlfn._xlws.FILTER('Model output'!E:E,('Model output'!Z:Z=A15)),1)="","",INDEX(_xlfn._xlws.FILTER('Model output'!E:E,('Model output'!Z:Z=A15)),1))),LEN(IF(ISNUMBER(SEARCH("present",IF(INDEX(_xlfn._xlws.FILTER('Model output'!E:E,('Model output'!Z:Z=A15)),1)="","",INDEX(_xlfn._xlws.FILTER('Model output'!E:E,('Model output'!Z:Z=A15)),1)),1)),"N1", IF(INDEX(_xlfn._xlws.FILTER('Model output'!E:E,('Model output'!Z:Z=A15)),1)="","",INDEX(_xlfn._xlws.FILTER('Model output'!E:E,('Model output'!Z:Z=A15)),1))))-FIND("N",IF(ISNUMBER(SEARCH("present",IF(INDEX(_xlfn._xlws.FILTER('Model output'!E:E,('Model output'!Z:Z=A15)),1)="","",INDEX(_xlfn._xlws.FILTER('Model output'!E:E,('Model output'!Z:Z=A15)),1)),1)),"N1", IF(INDEX(_xlfn._xlws.FILTER('Model output'!E:E,('Model output'!Z:Z=A15)),1)="","",INDEX(_xlfn._xlws.FILTER('Model output'!E:E,('Model output'!Z:Z=A15)),1))),1)), "")</f>
        <v>1b</v>
      </c>
      <c r="H15" s="17" cm="1">
        <f t="array" ref="H15">IF(AND(SUBSTITUTE(_xlfn.TEXTJOIN("/", TRUE, _xlfn._xlws.FILTER('Model output'!F:F, 'Model output'!Z:Z=A15)),"M", "")="", K15="negative"),0,IF(K15="positive",1,0))</f>
        <v>0</v>
      </c>
      <c r="I15" t="str">
        <f t="shared" si="0"/>
        <v>positive</v>
      </c>
      <c r="J15" t="str" cm="1">
        <f t="array" ref="J15">IF(AND(M15&gt;0, _xlfn.TEXTJOIN("; ", TRUE, _xlfn._xlws.FILTER('Model output'!G:G, 'Model output'!Z:Z=A15)) &lt;&gt;"", OR(AND(ISNUMBER(SEARCH("level", _xlfn.TEXTJOIN("; ", TRUE, _xlfn._xlws.FILTER('Model output'!G:G, 'Model output'!Z:Z=A15)),1)),OR(ISNUMBER(SEARCH(" II", _xlfn.TEXTJOIN("; ", TRUE, _xlfn._xlws.FILTER('Model output'!G:G, 'Model output'!Z:Z=A15)),1)),ISNUMBER(SEARCH("2", _xlfn.TEXTJOIN("; ", TRUE, _xlfn._xlws.FILTER('Model output'!G:G, 'Model output'!Z:Z=A15)),1)),ISNUMBER(SEARCH("two", _xlfn.TEXTJOIN("; ", TRUE, _xlfn._xlws.FILTER('Model output'!G:G, 'Model output'!Z:Z=A15)),1)),ISNUMBER(SEARCH("III", _xlfn.TEXTJOIN("; ", TRUE, _xlfn._xlws.FILTER('Model output'!G:G, 'Model output'!Z:Z=A15)),1)),ISNUMBER(SEARCH("3", _xlfn.TEXTJOIN("; ", TRUE, _xlfn._xlws.FILTER('Model output'!G:G, 'Model output'!Z:Z=A15)),1)),ISNUMBER(SEARCH("three", _xlfn.TEXTJOIN("; ", TRUE, _xlfn._xlws.FILTER('Model output'!G:G, 'Model output'!Z:Z=A15)),1)),ISNUMBER(SEARCH("IV", _xlfn.TEXTJOIN("; ", TRUE, _xlfn._xlws.FILTER('Model output'!G:G, 'Model output'!Z:Z=A15)),1)),ISNUMBER(SEARCH("4", _xlfn.TEXTJOIN("; ", TRUE, _xlfn._xlws.FILTER('Model output'!G:G, 'Model output'!Z:Z=A15)),1)),ISNUMBER(SEARCH("five", _xlfn.TEXTJOIN("; ", TRUE, _xlfn._xlws.FILTER('Model output'!G:G, 'Model output'!Z:Z=A15)),1)),ISNUMBER(SEARCH("V ", _xlfn.TEXTJOIN("; ", TRUE, _xlfn._xlws.FILTER('Model output'!G:G, 'Model output'!Z:Z=A15)),1)),ISNUMBER(SEARCH("5", _xlfn.TEXTJOIN("; ", TRUE, _xlfn._xlws.FILTER('Model output'!G:G, 'Model output'!Z:Z=A15)),1)),ISNUMBER(SEARCH("five", _xlfn.TEXTJOIN("; ", TRUE, _xlfn._xlws.FILTER('Model output'!G:G, 'Model output'!Z:Z=A15)),1)),ISNUMBER(SEARCH(" lateral", _xlfn.TEXTJOIN("; ", TRUE, _xlfn._xlws.FILTER('Model output'!G:G, 'Model output'!Z:Z=A15)),1)))),ISNUMBER(SEARCH("cervical", _xlfn.TEXTJOIN("; ", TRUE, _xlfn._xlws.FILTER('Model output'!G:G, 'Model output'!Z:Z=A15)),1)),ISNUMBER(SEARCH("jugular", _xlfn.TEXTJOIN("; ", TRUE, _xlfn._xlws.FILTER('Model output'!G:G, 'Model output'!Z:Z=A15)),1)),ISNUMBER(SEARCH("left neck", _xlfn.TEXTJOIN("; ", TRUE, _xlfn._xlws.FILTER('Model output'!G:G, 'Model output'!Z:Z=A15)),1)),ISNUMBER(SEARCH("left anterior neck", _xlfn.TEXTJOIN("; ", TRUE, _xlfn._xlws.FILTER('Model output'!G:G, 'Model output'!Z:Z=A15)),1)),ISNUMBER(SEARCH("left posterior neck", _xlfn.TEXTJOIN("; ", TRUE, _xlfn._xlws.FILTER('Model output'!G:G, 'Model output'!Z:Z=A15)),1)),ISNUMBER(SEARCH("right neck", _xlfn.TEXTJOIN("; ", TRUE, _xlfn._xlws.FILTER('Model output'!G:G, 'Model output'!Z:Z=A15)),1)),ISNUMBER(SEARCH("right anterior neck", _xlfn.TEXTJOIN("; ", TRUE, _xlfn._xlws.FILTER('Model output'!G:G, 'Model output'!Z:Z=A15)),1)),ISNUMBER(SEARCH("right posterior neck", _xlfn.TEXTJOIN("; ", TRUE, _xlfn._xlws.FILTER('Model output'!G:G, 'Model output'!Z:Z=A15)),1)))),"lateral",IF(AND(M15=0, _xlfn.TEXTJOIN("; ", TRUE, _xlfn._xlws.FILTER('Model output'!G:G, 'Model output'!Z:Z=A15))=""),"", "central"))</f>
        <v>lateral</v>
      </c>
      <c r="K15" s="17" t="str" cm="1">
        <f t="array" ref="K15">IF(OR(ISNUMBER(SEARCH("lymph",_xlfn.TEXTJOIN("; ", TRUE, _xlfn._xlws.FILTER('Model output'!H:H, 'Model output'!Z:Z=A15)),1)), ISNUMBER(SEARCH("Not mentioned",_xlfn.TEXTJOIN("; ", TRUE, _xlfn._xlws.FILTER('Model output'!H:H, 'Model output'!Z:Z=A15)),1)),ISNUMBER(SEARCH("subcutaneous soft tissues",_xlfn.TEXTJOIN("; ", TRUE, _xlfn._xlws.FILTER('Model output'!H:H, 'Model output'!Z:Z=A15)),1)),ISNUMBER(SEARCH("larynx",_xlfn.TEXTJOIN("; ", TRUE, _xlfn._xlws.FILTER('Model output'!H:H, 'Model output'!Z:Z=A15)),1)),ISNUMBER(SEARCH("trachea",_xlfn.TEXTJOIN("; ", TRUE, _xlfn._xlws.FILTER('Model output'!H:H, 'Model output'!Z:Z=A15)),1)),ISNUMBER(SEARCH("esophagus",_xlfn.TEXTJOIN("; ", TRUE, _xlfn._xlws.FILTER('Model output'!H:H, 'Model output'!Z:Z=A15)),1)),ISNUMBER(SEARCH("recurrent laryngeal nerve",_xlfn.TEXTJOIN("; ", TRUE, _xlfn._xlws.FILTER('Model output'!H:H, 'Model output'!Z:Z=A15)),1)),ISNUMBER(SEARCH("strap muscle",_xlfn.TEXTJOIN("; ", TRUE, _xlfn._xlws.FILTER('Model output'!H:H, 'Model output'!Z:Z=A15)),1)),ISNUMBER(SEARCH("thyroid",_xlfn.TEXTJOIN("; ", TRUE, _xlfn._xlws.FILTER('Model output'!H:H, 'Model output'!Z:Z=A15)),1)),ISNUMBER(SEARCH("RLN",_xlfn.TEXTJOIN("; ", TRUE, _xlfn._xlws.FILTER('Model output'!H:H, 'Model output'!Z:Z=A15)),1)),_xlfn.TEXTJOIN("; ", TRUE, _xlfn._xlws.FILTER('Model output'!H:H, 'Model output'!Z:Z=A15))=""),"negative","positive")</f>
        <v>negative</v>
      </c>
      <c r="L15" s="17">
        <f>IF(IFERROR(INDEX('Model output'!I:I, MATCH(A15, 'Model output'!Z:Z, 0)), "") &lt; M15, "", IFERROR(INDEX('Model output'!I:I, MATCH(A15, 'Model output'!Z:Z, 0)), ""))</f>
        <v>19</v>
      </c>
      <c r="M15" s="17">
        <f>IFERROR(INDEX('Model output'!J:J, MATCH(A15, 'Model output'!Z:Z, 0)), "")</f>
        <v>2</v>
      </c>
      <c r="N15" s="18" t="str" cm="1">
        <f t="array" ref="N15">ReplaceTo(ReplaceAnd(SUBSTITUTE(SUBSTITUTE(_xlfn.TEXTJOIN("; ", TRUE, _xlfn._xlws.FILTER('Model output'!K:K, 'Model output'!Z:Z=A15)), " ", ""), ",", ";")))</f>
        <v>4x3x2.1cm;4cm</v>
      </c>
      <c r="O15" t="str" cm="1">
        <f t="array" ref="O15">IF(LEFT(IF(RIGHT(SUBSTITUTE(FilterWithUnits(N15)&amp; ";" &amp;FilterStringsWithNumericAnd(N15) &amp; ";" &amp; FilterStringsWithX(N15), ";;", ";"),1)=";",LEFT(SUBSTITUTE(FilterWithUnits(N15)&amp; ";" &amp;FilterStringsWithNumericAnd(N15) &amp; ";" &amp; FilterStringsWithX(N15), ";;", ";"),LEN(SUBSTITUTE(FilterWithUnits(N15)&amp; ";" &amp;FilterStringsWithNumericAnd(N15) &amp; ";" &amp; FilterStringsWithX(N15), ";;", ";"))-1),SUBSTITUTE(FilterWithUnits(N15)&amp; ";" &amp;FilterStringsWithNumericAnd(N15) &amp; ";" &amp; FilterStringsWithX(N15), ";;", ";")),1)=";",RIGHT(IF(RIGHT(SUBSTITUTE(FilterWithUnits(N15)&amp; ";" &amp;FilterStringsWithNumericAnd(N15) &amp; ";" &amp; FilterStringsWithX(N15), ";;", ";"),1)=";",LEFT(SUBSTITUTE(FilterWithUnits(N15)&amp; ";" &amp;FilterStringsWithNumericAnd(N15) &amp; ";" &amp; FilterStringsWithX(N15), ";;", ";"),LEN(SUBSTITUTE(FilterWithUnits(N15)&amp; ";" &amp;FilterStringsWithNumericAnd(N15) &amp; ";" &amp; FilterStringsWithX(N15), ";;", ";"))-1),SUBSTITUTE(FilterWithUnits(N15)&amp; ";" &amp;FilterStringsWithNumericAnd(N15) &amp; ";" &amp; FilterStringsWithX(N15), ";;", ";")),LEN(IF(RIGHT(SUBSTITUTE(FilterWithUnits(N15)&amp; ";" &amp;FilterStringsWithNumericAnd(N15) &amp; ";" &amp; FilterStringsWithX(N15), ";;", ";"),1)=";",LEFT(SUBSTITUTE(FilterWithUnits(N15)&amp; ";" &amp;FilterStringsWithNumericAnd(N15) &amp; ";" &amp; FilterStringsWithX(N15), ";;", ";"),LEN(SUBSTITUTE(FilterWithUnits(N15)&amp; ";" &amp;FilterStringsWithNumericAnd(N15) &amp; ";" &amp; FilterStringsWithX(N15), ";;", ";"))-1),SUBSTITUTE(FilterWithUnits(N15)&amp; ";" &amp;FilterStringsWithNumericAnd(N15) &amp; ";" &amp; FilterStringsWithX(N15), ";;", ";")))-1),IF(RIGHT(SUBSTITUTE(FilterWithUnits(N15)&amp; ";" &amp;FilterStringsWithNumericAnd(N15) &amp; ";" &amp; FilterStringsWithX(N15), ";;", ";"),1)=";",LEFT(SUBSTITUTE(FilterWithUnits(N15)&amp; ";" &amp;FilterStringsWithNumericAnd(N15) &amp; ";" &amp; FilterStringsWithX(N15), ";;", ";"),LEN(SUBSTITUTE(FilterWithUnits(N15)&amp; ";" &amp;FilterStringsWithNumericAnd(N15) &amp; ";" &amp; FilterStringsWithX(N15), ";;", ";"))-1),SUBSTITUTE(FilterWithUnits(N15)&amp; ";" &amp;FilterStringsWithNumericAnd(N15) &amp; ";" &amp; FilterStringsWithX(N15), ";;", ";")))</f>
        <v>4cm;4x3x2.1cm</v>
      </c>
      <c r="P15" cm="1">
        <f t="array" ref="P15">IF(MaxSize((SplitDimensions(O15)))=0, "", MaxSize((SplitDimensions(O15))))</f>
        <v>4</v>
      </c>
      <c r="Q15" t="str" cm="1">
        <f t="array" ref="Q15">IF(ISERROR(INDEX(_xlfn._xlws.FILTER('Model output'!L:L, ('Model output'!Z:Z=A15)*('Model output'!L:L&lt;&gt;"")), 1)), " ", LOWER(INDEX(_xlfn._xlws.FILTER('Model output'!L:L, ('Model output'!Z:Z=A15)*('Model output'!L:L&lt;&gt;"")), 1)))</f>
        <v>papillary carcinoma, classic subtype</v>
      </c>
      <c r="R15" t="str" cm="1">
        <f t="array" ref="R15">IF(ISERROR(INDEX(_xlfn._xlws.FILTER('Model output'!M:M, ('Model output'!Z:Z=A15)*('Model output'!M:M&lt;&gt;"")), 1)), " ", LOWER(INDEX(_xlfn._xlws.FILTER('Model output'!M:M, ('Model output'!Z:Z=A15)*('Model output'!M:M&lt;&gt;"")), 1)))</f>
        <v>not mentioned in the provided clinical note</v>
      </c>
      <c r="S15" t="str" cm="1">
        <f t="array" ref="S15">IF(OR(ISNUMBER(SEARCH("ly",SUBSTITUTE(INDEX(_xlfn._xlws.FILTER('Model output'!N:N,('Model output'!Z:Z=A15)*('Model output'!N:N&lt;&gt;"")),1)," ",""),1)), ISNUMBER(SEARCH("pole",SUBSTITUTE(INDEX(_xlfn._xlws.FILTER('Model output'!N:N,('Model output'!Z:Z=A15)*('Model output'!N:N&lt;&gt;"")),1)," ",""),1))),"",SUBSTITUTE(INDEX(_xlfn._xlws.FILTER('Model output'!N:N,('Model output'!Z:Z=A15)*('Model output'!N:N&lt;&gt;"")),1)," ",""))</f>
        <v>63mm(macroscopic)</v>
      </c>
      <c r="T15" t="str" cm="1">
        <f t="array" ref="T15">IF(LEFT(IF(RIGHT(SUBSTITUTE(FilterWithUnits(S15)&amp; ";" &amp;FilterStringsWithNumericAnd(S15) &amp; ";" &amp; FilterStringsWithX(S15), ";;", ";"),1)=";",LEFT(SUBSTITUTE(FilterWithUnits(S15)&amp; ";" &amp;FilterStringsWithNumericAnd(S15) &amp; ";" &amp; FilterStringsWithX(S15), ";;", ";"),LEN(SUBSTITUTE(FilterWithUnits(S15)&amp; ";" &amp;FilterStringsWithNumericAnd(S15) &amp; ";" &amp; FilterStringsWithX(S15), ";;", ";"))-1),SUBSTITUTE(FilterWithUnits(S15)&amp; ";" &amp;FilterStringsWithNumericAnd(S15) &amp; ";" &amp; FilterStringsWithX(S15), ";;", ";")),1)=";",RIGHT(IF(RIGHT(SUBSTITUTE(FilterWithUnits(S15)&amp; ";" &amp;FilterStringsWithNumericAnd(S15) &amp; ";" &amp; FilterStringsWithX(S15), ";;", ";"),1)=";",LEFT(SUBSTITUTE(FilterWithUnits(S15)&amp; ";" &amp;FilterStringsWithNumericAnd(S15) &amp; ";" &amp; FilterStringsWithX(S15), ";;", ";"),LEN(SUBSTITUTE(FilterWithUnits(S15)&amp; ";" &amp;FilterStringsWithNumericAnd(S15) &amp; ";" &amp; FilterStringsWithX(S15), ";;", ";"))-1),SUBSTITUTE(FilterWithUnits(S15)&amp; ";" &amp;FilterStringsWithNumericAnd(S15) &amp; ";" &amp; FilterStringsWithX(S15), ";;", ";")),LEN(IF(RIGHT(SUBSTITUTE(FilterWithUnits(S15)&amp; ";" &amp;FilterStringsWithNumericAnd(S15) &amp; ";" &amp; FilterStringsWithX(S15), ";;", ";"),1)=";",LEFT(SUBSTITUTE(FilterWithUnits(S15)&amp; ";" &amp;FilterStringsWithNumericAnd(S15) &amp; ";" &amp; FilterStringsWithX(S15), ";;", ";"),LEN(SUBSTITUTE(FilterWithUnits(S15)&amp; ";" &amp;FilterStringsWithNumericAnd(S15) &amp; ";" &amp; FilterStringsWithX(S15), ";;", ";"))-1),SUBSTITUTE(FilterWithUnits(S15)&amp; ";" &amp;FilterStringsWithNumericAnd(S15) &amp; ";" &amp; FilterStringsWithX(S15), ";;", ";")))-1),IF(RIGHT(SUBSTITUTE(FilterWithUnits(S15)&amp; ";" &amp;FilterStringsWithNumericAnd(S15) &amp; ";" &amp; FilterStringsWithX(S15), ";;", ";"),1)=";",LEFT(SUBSTITUTE(FilterWithUnits(S15)&amp; ";" &amp;FilterStringsWithNumericAnd(S15) &amp; ";" &amp; FilterStringsWithX(S15), ";;", ";"),LEN(SUBSTITUTE(FilterWithUnits(S15)&amp; ";" &amp;FilterStringsWithNumericAnd(S15) &amp; ";" &amp; FilterStringsWithX(S15), ";;", ";"))-1),SUBSTITUTE(FilterWithUnits(S15)&amp; ";" &amp;FilterStringsWithNumericAnd(S15) &amp; ";" &amp; FilterStringsWithX(S15), ";;", ";")))</f>
        <v>63mm</v>
      </c>
      <c r="U15" cm="1">
        <f t="array" ref="U15">IF(MaxSize((SplitDimensions(T15)))=0, "", MaxSize((SplitDimensions(T15))))</f>
        <v>6.3</v>
      </c>
      <c r="V15" s="17" t="str" cm="1">
        <f t="array" ref="V15">IF(ISERROR(INDEX(_xlfn._xlws.FILTER('Model output'!P:P,('Model output'!Z:Z=A15)*('Model output'!P:P&lt;&gt;"")),1)),"negative",IF(OR(ISNUMBER(SEARCH("foc",INDEX(_xlfn._xlws.FILTER('Model output'!P:P,('Model output'!Z:Z=A15)*('Model output'!P:P&lt;&gt;"")),1),1)),ISNUMBER(SEARCH("extensive",INDEX(_xlfn._xlws.FILTER('Model output'!P:P,('Model output'!Z:Z=A15)*('Model output'!P:P&lt;&gt;"")),1),1)),ISNUMBER(SEARCH("present",INDEX(_xlfn._xlws.FILTER('Model output'!P:P,('Model output'!Z:Z=A15)*('Model output'!P:P&lt;&gt;"")),1),1)),ISNUMBER(SEARCH("yes",INDEX(_xlfn._xlws.FILTER('Model output'!P:P,('Model output'!Z:Z=A15)*('Model output'!P:P&lt;&gt;"")),1),1))),"positive","negative"))</f>
        <v>positive</v>
      </c>
      <c r="X15" t="str" cm="1">
        <f t="array" ref="X15">IF(ISNUMBER(SEARCH("4",INDEX(_xlfn._xlws.FILTER('Model output'!P:P,('Model output'!Z:Z=A15)*('Model output'!P:P&lt;&gt;"")),1),1)),INDEX(_xlfn._xlws.FILTER('Model output'!P:P,('Model output'!Z:Z=A15)*('Model output'!P:P&lt;&gt;"")),1),"") &amp; _xlfn.TEXTJOIN("",TRUE,_xlfn._xlws.FILTER('Model output'!Q:Q,'Model output'!Z:Z=A15))</f>
        <v>Extrathyroidal tumour invasion into the surrounding skeletal muscleGross ETE to surrounding muscles, posteriorly adherent to trachea and esophagus at cricoid level</v>
      </c>
      <c r="Y15" t="str">
        <f t="shared" si="11"/>
        <v>minimal</v>
      </c>
      <c r="Z15" t="str" cm="1">
        <f t="array" ref="Z15">IF(OR(ISNUMBER(SEARCH("focal",_xlfn.TEXTJOIN("; ",TRUE,_xlfn._xlws.FILTER('Model output'!R:R,'Model output'!Z:Z=A15)),1)),ISNUMBER(SEARCH("present",_xlfn.TEXTJOIN("; ",TRUE,_xlfn._xlws.FILTER('Model output'!R:R,'Model output'!Z:Z=A15)),1))),"positive",IF(_xlfn.TEXTJOIN("; ",TRUE,_xlfn._xlws.FILTER('Model output'!R:R,'Model output'!Z:Z=A15))="","negative",IF(OR(ISNUMBER(SEARCH("no",_xlfn.TEXTJOIN("; ",TRUE,_xlfn._xlws.FILTER('Model output'!R:R,'Model output'!Z:Z=A15)),1)),ISNUMBER(SEARCH("absent",_xlfn.TEXTJOIN("; ",TRUE,_xlfn._xlws.FILTER('Model output'!R:R,'Model output'!Z:Z=A15)),1))),"negative","positive")))</f>
        <v>positive</v>
      </c>
      <c r="AA15" s="17" t="str">
        <f t="shared" si="12"/>
        <v>positive</v>
      </c>
      <c r="AE15" s="17" t="str">
        <f t="shared" si="14"/>
        <v>positive</v>
      </c>
      <c r="AF15" t="str" cm="1">
        <f t="array" ref="AF15">_xlfn.TEXTJOIN("; ",TRUE,_xlfn._xlws.FILTER('Model output'!S:S,'Model output'!Z:Z=A15))</f>
        <v>gross ETE to surrounding muscles, posteriorly adherent to trachea and esophagus at cricoid level; Perithyroidal fibradipose tissue, surrounding muscles, posteriorly adherent to trachea and esophagus at cricoid level</v>
      </c>
      <c r="AG15" s="17" t="str" cm="1">
        <f t="array" ref="AG15">IF(OR(ISNUMBER(SEARCH("uninvolved",_xlfn.TEXTJOIN("; ",TRUE,_xlfn._xlws.FILTER('Model output'!V:V,'Model output'!Z:Z=A15)),1)),ISNUMBER(SEARCH("clear",_xlfn.TEXTJOIN("; ",TRUE,_xlfn._xlws.FILTER('Model output'!V:V,'Model output'!Z:Z=A15)),1))*ISNUMBER(SEARCH("not mentioned",_xlfn.TEXTJOIN("; ",TRUE,_xlfn._xlws.FILTER('Model output'!V:V,'Model output'!Z:Z=A15)),1))),"negative",IF(ISNUMBER(SEARCH("cannot be assessed",_xlfn.TEXTJOIN("; ",TRUE,_xlfn._xlws.FILTER('Model output'!V:V,'Model output'!Z:Z=A15)),1)),"unknown","negative"))</f>
        <v>negative</v>
      </c>
      <c r="AI15" s="45" t="str">
        <f t="shared" si="13"/>
        <v>high</v>
      </c>
      <c r="AJ15" s="36" t="str">
        <f t="shared" si="2"/>
        <v>4a</v>
      </c>
      <c r="AK15" s="36" t="str">
        <f t="shared" si="3"/>
        <v>1b</v>
      </c>
      <c r="AL15" s="36">
        <f t="shared" si="4"/>
        <v>0</v>
      </c>
      <c r="AM15" s="36" t="str">
        <f t="shared" si="5"/>
        <v>III</v>
      </c>
      <c r="AN15" s="37" t="s">
        <v>165</v>
      </c>
      <c r="AO15" s="38" t="s">
        <v>206</v>
      </c>
      <c r="AP15" s="38" t="s">
        <v>201</v>
      </c>
      <c r="AQ15" s="38">
        <v>0</v>
      </c>
      <c r="AR15" s="38" t="s">
        <v>69</v>
      </c>
      <c r="AS15" s="37">
        <f t="shared" si="6"/>
        <v>1</v>
      </c>
      <c r="AT15" s="38">
        <f t="shared" si="7"/>
        <v>1</v>
      </c>
      <c r="AU15" s="38">
        <f t="shared" si="8"/>
        <v>1</v>
      </c>
      <c r="AV15" s="38">
        <f t="shared" si="9"/>
        <v>1</v>
      </c>
      <c r="AW15" s="39">
        <f t="shared" si="10"/>
        <v>1</v>
      </c>
    </row>
    <row r="16" spans="1:49">
      <c r="A16" s="13">
        <v>14</v>
      </c>
      <c r="B16" s="16">
        <f>_xlfn.MAXIFS('Model output'!B:B,'Model output'!Z:Z,'Classification result'!$A16)</f>
        <v>45394</v>
      </c>
      <c r="C16" s="16"/>
      <c r="D16" s="16"/>
      <c r="E16" s="17">
        <f>_xlfn.MAXIFS('Model output'!C:C,'Model output'!Z:Z,'Classification result'!$A16)</f>
        <v>51</v>
      </c>
      <c r="F16" s="17" t="str" cm="1">
        <f t="array" ref="F16">LEFT(IF(ISERROR(RIGHT(IF(INDEX(_xlfn._xlws.FILTER('Model output'!D:D,('Model output'!Z:Z=A16)),1)&lt;&gt;"",INDEX(_xlfn._xlws.FILTER('Model output'!D:D,('Model output'!Z:Z=A16)),1),""),LEN(IF(INDEX(_xlfn._xlws.FILTER('Model output'!D:D,('Model output'!Z:Z=A16)),1)&lt;&gt;"",INDEX(_xlfn._xlws.FILTER('Model output'!D:D,('Model output'!Z:Z=A16)),1),""))-FIND("T",IF(INDEX(_xlfn._xlws.FILTER('Model output'!D:D,('Model output'!Z:Z=A16)),1)&lt;&gt;"",INDEX(_xlfn._xlws.FILTER('Model output'!D:D,('Model output'!Z:Z=A16)),1),""),1))),"",(RIGHT(IF(INDEX(_xlfn._xlws.FILTER('Model output'!D:D,('Model output'!Z:Z=A16)),1)&lt;&gt;"",INDEX(_xlfn._xlws.FILTER('Model output'!D:D,('Model output'!Z:Z=A16)),1),""),LEN(IF(INDEX(_xlfn._xlws.FILTER('Model output'!D:D,('Model output'!Z:Z=A16)),1)&lt;&gt;"",INDEX(_xlfn._xlws.FILTER('Model output'!D:D,('Model output'!Z:Z=A16)),1),""))-FIND("T",IF(INDEX(_xlfn._xlws.FILTER('Model output'!D:D,('Model output'!Z:Z=A16)),1)&lt;&gt;"",INDEX(_xlfn._xlws.FILTER('Model output'!D:D,('Model output'!Z:Z=A16)),1)))))),2)</f>
        <v>3b</v>
      </c>
      <c r="G16" s="17" t="str" cm="1">
        <f t="array" ref="G16">IF(ISNUMBER(SEARCH("N",IF(ISNUMBER(SEARCH("present",IF(INDEX(_xlfn._xlws.FILTER('Model output'!E:E,('Model output'!Z:Z=A16)),1)="","",INDEX(_xlfn._xlws.FILTER('Model output'!E:E,('Model output'!Z:Z=A16)),1)),1)),"N1", IF(INDEX(_xlfn._xlws.FILTER('Model output'!E:E,('Model output'!Z:Z=A16)),1)="","",INDEX(_xlfn._xlws.FILTER('Model output'!E:E,('Model output'!Z:Z=A16)),1))),1)),RIGHT(IF(ISNUMBER(SEARCH("present",IF(INDEX(_xlfn._xlws.FILTER('Model output'!E:E,('Model output'!Z:Z=A16)),1)="","",INDEX(_xlfn._xlws.FILTER('Model output'!E:E,('Model output'!Z:Z=A16)),1)),1)),"N1", IF(INDEX(_xlfn._xlws.FILTER('Model output'!E:E,('Model output'!Z:Z=A16)),1)="","",INDEX(_xlfn._xlws.FILTER('Model output'!E:E,('Model output'!Z:Z=A16)),1))),LEN(IF(ISNUMBER(SEARCH("present",IF(INDEX(_xlfn._xlws.FILTER('Model output'!E:E,('Model output'!Z:Z=A16)),1)="","",INDEX(_xlfn._xlws.FILTER('Model output'!E:E,('Model output'!Z:Z=A16)),1)),1)),"N1", IF(INDEX(_xlfn._xlws.FILTER('Model output'!E:E,('Model output'!Z:Z=A16)),1)="","",INDEX(_xlfn._xlws.FILTER('Model output'!E:E,('Model output'!Z:Z=A16)),1))))-FIND("N",IF(ISNUMBER(SEARCH("present",IF(INDEX(_xlfn._xlws.FILTER('Model output'!E:E,('Model output'!Z:Z=A16)),1)="","",INDEX(_xlfn._xlws.FILTER('Model output'!E:E,('Model output'!Z:Z=A16)),1)),1)),"N1", IF(INDEX(_xlfn._xlws.FILTER('Model output'!E:E,('Model output'!Z:Z=A16)),1)="","",INDEX(_xlfn._xlws.FILTER('Model output'!E:E,('Model output'!Z:Z=A16)),1))),1)), "")</f>
        <v/>
      </c>
      <c r="H16" s="17" cm="1">
        <f t="array" ref="H16">IF(AND(SUBSTITUTE(_xlfn.TEXTJOIN("/", TRUE, _xlfn._xlws.FILTER('Model output'!F:F, 'Model output'!Z:Z=A16)),"M", "")="", K16="negative"),0,IF(K16="positive",1,0))</f>
        <v>0</v>
      </c>
      <c r="I16" t="str">
        <f t="shared" si="0"/>
        <v>positive</v>
      </c>
      <c r="J16" t="str" cm="1">
        <f t="array" ref="J16">IF(AND(M16&gt;0, _xlfn.TEXTJOIN("; ", TRUE, _xlfn._xlws.FILTER('Model output'!G:G, 'Model output'!Z:Z=A16)) &lt;&gt;"", OR(AND(ISNUMBER(SEARCH("level", _xlfn.TEXTJOIN("; ", TRUE, _xlfn._xlws.FILTER('Model output'!G:G, 'Model output'!Z:Z=A16)),1)),OR(ISNUMBER(SEARCH(" II", _xlfn.TEXTJOIN("; ", TRUE, _xlfn._xlws.FILTER('Model output'!G:G, 'Model output'!Z:Z=A16)),1)),ISNUMBER(SEARCH("2", _xlfn.TEXTJOIN("; ", TRUE, _xlfn._xlws.FILTER('Model output'!G:G, 'Model output'!Z:Z=A16)),1)),ISNUMBER(SEARCH("two", _xlfn.TEXTJOIN("; ", TRUE, _xlfn._xlws.FILTER('Model output'!G:G, 'Model output'!Z:Z=A16)),1)),ISNUMBER(SEARCH("III", _xlfn.TEXTJOIN("; ", TRUE, _xlfn._xlws.FILTER('Model output'!G:G, 'Model output'!Z:Z=A16)),1)),ISNUMBER(SEARCH("3", _xlfn.TEXTJOIN("; ", TRUE, _xlfn._xlws.FILTER('Model output'!G:G, 'Model output'!Z:Z=A16)),1)),ISNUMBER(SEARCH("three", _xlfn.TEXTJOIN("; ", TRUE, _xlfn._xlws.FILTER('Model output'!G:G, 'Model output'!Z:Z=A16)),1)),ISNUMBER(SEARCH("IV", _xlfn.TEXTJOIN("; ", TRUE, _xlfn._xlws.FILTER('Model output'!G:G, 'Model output'!Z:Z=A16)),1)),ISNUMBER(SEARCH("4", _xlfn.TEXTJOIN("; ", TRUE, _xlfn._xlws.FILTER('Model output'!G:G, 'Model output'!Z:Z=A16)),1)),ISNUMBER(SEARCH("five", _xlfn.TEXTJOIN("; ", TRUE, _xlfn._xlws.FILTER('Model output'!G:G, 'Model output'!Z:Z=A16)),1)),ISNUMBER(SEARCH("V ", _xlfn.TEXTJOIN("; ", TRUE, _xlfn._xlws.FILTER('Model output'!G:G, 'Model output'!Z:Z=A16)),1)),ISNUMBER(SEARCH("5", _xlfn.TEXTJOIN("; ", TRUE, _xlfn._xlws.FILTER('Model output'!G:G, 'Model output'!Z:Z=A16)),1)),ISNUMBER(SEARCH("five", _xlfn.TEXTJOIN("; ", TRUE, _xlfn._xlws.FILTER('Model output'!G:G, 'Model output'!Z:Z=A16)),1)),ISNUMBER(SEARCH(" lateral", _xlfn.TEXTJOIN("; ", TRUE, _xlfn._xlws.FILTER('Model output'!G:G, 'Model output'!Z:Z=A16)),1)))),ISNUMBER(SEARCH("cervical", _xlfn.TEXTJOIN("; ", TRUE, _xlfn._xlws.FILTER('Model output'!G:G, 'Model output'!Z:Z=A16)),1)),ISNUMBER(SEARCH("jugular", _xlfn.TEXTJOIN("; ", TRUE, _xlfn._xlws.FILTER('Model output'!G:G, 'Model output'!Z:Z=A16)),1)),ISNUMBER(SEARCH("left neck", _xlfn.TEXTJOIN("; ", TRUE, _xlfn._xlws.FILTER('Model output'!G:G, 'Model output'!Z:Z=A16)),1)),ISNUMBER(SEARCH("left anterior neck", _xlfn.TEXTJOIN("; ", TRUE, _xlfn._xlws.FILTER('Model output'!G:G, 'Model output'!Z:Z=A16)),1)),ISNUMBER(SEARCH("left posterior neck", _xlfn.TEXTJOIN("; ", TRUE, _xlfn._xlws.FILTER('Model output'!G:G, 'Model output'!Z:Z=A16)),1)),ISNUMBER(SEARCH("right neck", _xlfn.TEXTJOIN("; ", TRUE, _xlfn._xlws.FILTER('Model output'!G:G, 'Model output'!Z:Z=A16)),1)),ISNUMBER(SEARCH("right anterior neck", _xlfn.TEXTJOIN("; ", TRUE, _xlfn._xlws.FILTER('Model output'!G:G, 'Model output'!Z:Z=A16)),1)),ISNUMBER(SEARCH("right posterior neck", _xlfn.TEXTJOIN("; ", TRUE, _xlfn._xlws.FILTER('Model output'!G:G, 'Model output'!Z:Z=A16)),1)))),"lateral",IF(AND(M16=0, _xlfn.TEXTJOIN("; ", TRUE, _xlfn._xlws.FILTER('Model output'!G:G, 'Model output'!Z:Z=A16))=""),"", "central"))</f>
        <v>central</v>
      </c>
      <c r="K16" s="17" t="str" cm="1">
        <f t="array" ref="K16">IF(OR(ISNUMBER(SEARCH("lymph",_xlfn.TEXTJOIN("; ", TRUE, _xlfn._xlws.FILTER('Model output'!H:H, 'Model output'!Z:Z=A16)),1)), ISNUMBER(SEARCH("Not mentioned",_xlfn.TEXTJOIN("; ", TRUE, _xlfn._xlws.FILTER('Model output'!H:H, 'Model output'!Z:Z=A16)),1)),ISNUMBER(SEARCH("subcutaneous soft tissues",_xlfn.TEXTJOIN("; ", TRUE, _xlfn._xlws.FILTER('Model output'!H:H, 'Model output'!Z:Z=A16)),1)),ISNUMBER(SEARCH("larynx",_xlfn.TEXTJOIN("; ", TRUE, _xlfn._xlws.FILTER('Model output'!H:H, 'Model output'!Z:Z=A16)),1)),ISNUMBER(SEARCH("trachea",_xlfn.TEXTJOIN("; ", TRUE, _xlfn._xlws.FILTER('Model output'!H:H, 'Model output'!Z:Z=A16)),1)),ISNUMBER(SEARCH("esophagus",_xlfn.TEXTJOIN("; ", TRUE, _xlfn._xlws.FILTER('Model output'!H:H, 'Model output'!Z:Z=A16)),1)),ISNUMBER(SEARCH("recurrent laryngeal nerve",_xlfn.TEXTJOIN("; ", TRUE, _xlfn._xlws.FILTER('Model output'!H:H, 'Model output'!Z:Z=A16)),1)),ISNUMBER(SEARCH("strap muscle",_xlfn.TEXTJOIN("; ", TRUE, _xlfn._xlws.FILTER('Model output'!H:H, 'Model output'!Z:Z=A16)),1)),ISNUMBER(SEARCH("thyroid",_xlfn.TEXTJOIN("; ", TRUE, _xlfn._xlws.FILTER('Model output'!H:H, 'Model output'!Z:Z=A16)),1)),ISNUMBER(SEARCH("RLN",_xlfn.TEXTJOIN("; ", TRUE, _xlfn._xlws.FILTER('Model output'!H:H, 'Model output'!Z:Z=A16)),1)),_xlfn.TEXTJOIN("; ", TRUE, _xlfn._xlws.FILTER('Model output'!H:H, 'Model output'!Z:Z=A16))=""),"negative","positive")</f>
        <v>negative</v>
      </c>
      <c r="L16" s="17">
        <f>IF(IFERROR(INDEX('Model output'!I:I, MATCH(A16, 'Model output'!Z:Z, 0)), "") &lt; M16, "", IFERROR(INDEX('Model output'!I:I, MATCH(A16, 'Model output'!Z:Z, 0)), ""))</f>
        <v>0</v>
      </c>
      <c r="M16" s="17">
        <f>IFERROR(INDEX('Model output'!J:J, MATCH(A16, 'Model output'!Z:Z, 0)), "")</f>
        <v>0</v>
      </c>
      <c r="N16" s="18" t="str" cm="1">
        <f t="array" ref="N16">ReplaceTo(ReplaceAnd(SUBSTITUTE(SUBSTITUTE(_xlfn.TEXTJOIN("; ", TRUE, _xlfn._xlws.FILTER('Model output'!K:K, 'Model output'!Z:Z=A16)), " ", ""), ",", ";")))</f>
        <v>Notmentioned</v>
      </c>
      <c r="O16" t="str" cm="1">
        <f t="array" ref="O16">IF(LEFT(IF(RIGHT(SUBSTITUTE(FilterWithUnits(N16)&amp; ";" &amp;FilterStringsWithNumericAnd(N16) &amp; ";" &amp; FilterStringsWithX(N16), ";;", ";"),1)=";",LEFT(SUBSTITUTE(FilterWithUnits(N16)&amp; ";" &amp;FilterStringsWithNumericAnd(N16) &amp; ";" &amp; FilterStringsWithX(N16), ";;", ";"),LEN(SUBSTITUTE(FilterWithUnits(N16)&amp; ";" &amp;FilterStringsWithNumericAnd(N16) &amp; ";" &amp; FilterStringsWithX(N16), ";;", ";"))-1),SUBSTITUTE(FilterWithUnits(N16)&amp; ";" &amp;FilterStringsWithNumericAnd(N16) &amp; ";" &amp; FilterStringsWithX(N16), ";;", ";")),1)=";",RIGHT(IF(RIGHT(SUBSTITUTE(FilterWithUnits(N16)&amp; ";" &amp;FilterStringsWithNumericAnd(N16) &amp; ";" &amp; FilterStringsWithX(N16), ";;", ";"),1)=";",LEFT(SUBSTITUTE(FilterWithUnits(N16)&amp; ";" &amp;FilterStringsWithNumericAnd(N16) &amp; ";" &amp; FilterStringsWithX(N16), ";;", ";"),LEN(SUBSTITUTE(FilterWithUnits(N16)&amp; ";" &amp;FilterStringsWithNumericAnd(N16) &amp; ";" &amp; FilterStringsWithX(N16), ";;", ";"))-1),SUBSTITUTE(FilterWithUnits(N16)&amp; ";" &amp;FilterStringsWithNumericAnd(N16) &amp; ";" &amp; FilterStringsWithX(N16), ";;", ";")),LEN(IF(RIGHT(SUBSTITUTE(FilterWithUnits(N16)&amp; ";" &amp;FilterStringsWithNumericAnd(N16) &amp; ";" &amp; FilterStringsWithX(N16), ";;", ";"),1)=";",LEFT(SUBSTITUTE(FilterWithUnits(N16)&amp; ";" &amp;FilterStringsWithNumericAnd(N16) &amp; ";" &amp; FilterStringsWithX(N16), ";;", ";"),LEN(SUBSTITUTE(FilterWithUnits(N16)&amp; ";" &amp;FilterStringsWithNumericAnd(N16) &amp; ";" &amp; FilterStringsWithX(N16), ";;", ";"))-1),SUBSTITUTE(FilterWithUnits(N16)&amp; ";" &amp;FilterStringsWithNumericAnd(N16) &amp; ";" &amp; FilterStringsWithX(N16), ";;", ";")))-1),IF(RIGHT(SUBSTITUTE(FilterWithUnits(N16)&amp; ";" &amp;FilterStringsWithNumericAnd(N16) &amp; ";" &amp; FilterStringsWithX(N16), ";;", ";"),1)=";",LEFT(SUBSTITUTE(FilterWithUnits(N16)&amp; ";" &amp;FilterStringsWithNumericAnd(N16) &amp; ";" &amp; FilterStringsWithX(N16), ";;", ";"),LEN(SUBSTITUTE(FilterWithUnits(N16)&amp; ";" &amp;FilterStringsWithNumericAnd(N16) &amp; ";" &amp; FilterStringsWithX(N16), ";;", ";"))-1),SUBSTITUTE(FilterWithUnits(N16)&amp; ";" &amp;FilterStringsWithNumericAnd(N16) &amp; ";" &amp; FilterStringsWithX(N16), ";;", ";")))</f>
        <v/>
      </c>
      <c r="P16" t="str" cm="1">
        <f t="array" ref="P16">IF(MaxSize((SplitDimensions(O16)))=0, "", MaxSize((SplitDimensions(O16))))</f>
        <v/>
      </c>
      <c r="Q16" t="str" cm="1">
        <f t="array" ref="Q16">IF(ISERROR(INDEX(_xlfn._xlws.FILTER('Model output'!L:L, ('Model output'!Z:Z=A16)*('Model output'!L:L&lt;&gt;"")), 1)), " ", LOWER(INDEX(_xlfn._xlws.FILTER('Model output'!L:L, ('Model output'!Z:Z=A16)*('Model output'!L:L&lt;&gt;"")), 1)))</f>
        <v>papillary carcinoma</v>
      </c>
      <c r="R16" t="str" cm="1">
        <f t="array" ref="R16">IF(ISERROR(INDEX(_xlfn._xlws.FILTER('Model output'!M:M, ('Model output'!Z:Z=A16)*('Model output'!M:M&lt;&gt;"")), 1)), " ", LOWER(INDEX(_xlfn._xlws.FILTER('Model output'!M:M, ('Model output'!Z:Z=A16)*('Model output'!M:M&lt;&gt;"")), 1)))</f>
        <v>encapsulated classic</v>
      </c>
      <c r="S16" t="str" cm="1">
        <f t="array" ref="S16">IF(OR(ISNUMBER(SEARCH("ly",SUBSTITUTE(INDEX(_xlfn._xlws.FILTER('Model output'!N:N,('Model output'!Z:Z=A16)*('Model output'!N:N&lt;&gt;"")),1)," ",""),1)), ISNUMBER(SEARCH("pole",SUBSTITUTE(INDEX(_xlfn._xlws.FILTER('Model output'!N:N,('Model output'!Z:Z=A16)*('Model output'!N:N&lt;&gt;"")),1)," ",""),1))),"",SUBSTITUTE(INDEX(_xlfn._xlws.FILTER('Model output'!N:N,('Model output'!Z:Z=A16)*('Model output'!N:N&lt;&gt;"")),1)," ",""))</f>
        <v>3.9cm</v>
      </c>
      <c r="T16" t="str" cm="1">
        <f t="array" ref="T16">IF(LEFT(IF(RIGHT(SUBSTITUTE(FilterWithUnits(S16)&amp; ";" &amp;FilterStringsWithNumericAnd(S16) &amp; ";" &amp; FilterStringsWithX(S16), ";;", ";"),1)=";",LEFT(SUBSTITUTE(FilterWithUnits(S16)&amp; ";" &amp;FilterStringsWithNumericAnd(S16) &amp; ";" &amp; FilterStringsWithX(S16), ";;", ";"),LEN(SUBSTITUTE(FilterWithUnits(S16)&amp; ";" &amp;FilterStringsWithNumericAnd(S16) &amp; ";" &amp; FilterStringsWithX(S16), ";;", ";"))-1),SUBSTITUTE(FilterWithUnits(S16)&amp; ";" &amp;FilterStringsWithNumericAnd(S16) &amp; ";" &amp; FilterStringsWithX(S16), ";;", ";")),1)=";",RIGHT(IF(RIGHT(SUBSTITUTE(FilterWithUnits(S16)&amp; ";" &amp;FilterStringsWithNumericAnd(S16) &amp; ";" &amp; FilterStringsWithX(S16), ";;", ";"),1)=";",LEFT(SUBSTITUTE(FilterWithUnits(S16)&amp; ";" &amp;FilterStringsWithNumericAnd(S16) &amp; ";" &amp; FilterStringsWithX(S16), ";;", ";"),LEN(SUBSTITUTE(FilterWithUnits(S16)&amp; ";" &amp;FilterStringsWithNumericAnd(S16) &amp; ";" &amp; FilterStringsWithX(S16), ";;", ";"))-1),SUBSTITUTE(FilterWithUnits(S16)&amp; ";" &amp;FilterStringsWithNumericAnd(S16) &amp; ";" &amp; FilterStringsWithX(S16), ";;", ";")),LEN(IF(RIGHT(SUBSTITUTE(FilterWithUnits(S16)&amp; ";" &amp;FilterStringsWithNumericAnd(S16) &amp; ";" &amp; FilterStringsWithX(S16), ";;", ";"),1)=";",LEFT(SUBSTITUTE(FilterWithUnits(S16)&amp; ";" &amp;FilterStringsWithNumericAnd(S16) &amp; ";" &amp; FilterStringsWithX(S16), ";;", ";"),LEN(SUBSTITUTE(FilterWithUnits(S16)&amp; ";" &amp;FilterStringsWithNumericAnd(S16) &amp; ";" &amp; FilterStringsWithX(S16), ";;", ";"))-1),SUBSTITUTE(FilterWithUnits(S16)&amp; ";" &amp;FilterStringsWithNumericAnd(S16) &amp; ";" &amp; FilterStringsWithX(S16), ";;", ";")))-1),IF(RIGHT(SUBSTITUTE(FilterWithUnits(S16)&amp; ";" &amp;FilterStringsWithNumericAnd(S16) &amp; ";" &amp; FilterStringsWithX(S16), ";;", ";"),1)=";",LEFT(SUBSTITUTE(FilterWithUnits(S16)&amp; ";" &amp;FilterStringsWithNumericAnd(S16) &amp; ";" &amp; FilterStringsWithX(S16), ";;", ";"),LEN(SUBSTITUTE(FilterWithUnits(S16)&amp; ";" &amp;FilterStringsWithNumericAnd(S16) &amp; ";" &amp; FilterStringsWithX(S16), ";;", ";"))-1),SUBSTITUTE(FilterWithUnits(S16)&amp; ";" &amp;FilterStringsWithNumericAnd(S16) &amp; ";" &amp; FilterStringsWithX(S16), ";;", ";")))</f>
        <v>3.9cm</v>
      </c>
      <c r="U16" cm="1">
        <f t="array" ref="U16">IF(MaxSize((SplitDimensions(T16)))=0, "", MaxSize((SplitDimensions(T16))))</f>
        <v>3.9</v>
      </c>
      <c r="V16" s="17" t="str" cm="1">
        <f t="array" ref="V16">IF(ISERROR(INDEX(_xlfn._xlws.FILTER('Model output'!P:P,('Model output'!Z:Z=A16)*('Model output'!P:P&lt;&gt;"")),1)),"negative",IF(OR(ISNUMBER(SEARCH("foc",INDEX(_xlfn._xlws.FILTER('Model output'!P:P,('Model output'!Z:Z=A16)*('Model output'!P:P&lt;&gt;"")),1),1)),ISNUMBER(SEARCH("extensive",INDEX(_xlfn._xlws.FILTER('Model output'!P:P,('Model output'!Z:Z=A16)*('Model output'!P:P&lt;&gt;"")),1),1)),ISNUMBER(SEARCH("present",INDEX(_xlfn._xlws.FILTER('Model output'!P:P,('Model output'!Z:Z=A16)*('Model output'!P:P&lt;&gt;"")),1),1)),ISNUMBER(SEARCH("yes",INDEX(_xlfn._xlws.FILTER('Model output'!P:P,('Model output'!Z:Z=A16)*('Model output'!P:P&lt;&gt;"")),1),1))),"positive","negative"))</f>
        <v>positive</v>
      </c>
      <c r="X16" t="str" cm="1">
        <f t="array" ref="X16">IF(ISNUMBER(SEARCH("4",INDEX(_xlfn._xlws.FILTER('Model output'!P:P,('Model output'!Z:Z=A16)*('Model output'!P:P&lt;&gt;"")),1),1)),INDEX(_xlfn._xlws.FILTER('Model output'!P:P,('Model output'!Z:Z=A16)*('Model output'!P:P&lt;&gt;"")),1),"") &amp; _xlfn.TEXTJOIN("",TRUE,_xlfn._xlws.FILTER('Model output'!Q:Q,'Model output'!Z:Z=A16))</f>
        <v>Invading only strap musclesGross ETE at upper pole</v>
      </c>
      <c r="Y16" t="str">
        <f t="shared" si="11"/>
        <v>minimal</v>
      </c>
      <c r="Z16" t="str" cm="1">
        <f t="array" ref="Z16">IF(OR(ISNUMBER(SEARCH("focal",_xlfn.TEXTJOIN("; ",TRUE,_xlfn._xlws.FILTER('Model output'!R:R,'Model output'!Z:Z=A16)),1)),ISNUMBER(SEARCH("present",_xlfn.TEXTJOIN("; ",TRUE,_xlfn._xlws.FILTER('Model output'!R:R,'Model output'!Z:Z=A16)),1))),"positive",IF(_xlfn.TEXTJOIN("; ",TRUE,_xlfn._xlws.FILTER('Model output'!R:R,'Model output'!Z:Z=A16))="","negative",IF(OR(ISNUMBER(SEARCH("no",_xlfn.TEXTJOIN("; ",TRUE,_xlfn._xlws.FILTER('Model output'!R:R,'Model output'!Z:Z=A16)),1)),ISNUMBER(SEARCH("absent",_xlfn.TEXTJOIN("; ",TRUE,_xlfn._xlws.FILTER('Model output'!R:R,'Model output'!Z:Z=A16)),1))),"negative","positive")))</f>
        <v>positive</v>
      </c>
      <c r="AA16" s="17" t="str">
        <f t="shared" si="12"/>
        <v>positive</v>
      </c>
      <c r="AE16" s="17" t="str">
        <f t="shared" si="14"/>
        <v>negative</v>
      </c>
      <c r="AF16" t="str" cm="1">
        <f t="array" ref="AF16">_xlfn.TEXTJOIN("; ",TRUE,_xlfn._xlws.FILTER('Model output'!S:S,'Model output'!Z:Z=A16))</f>
        <v>Perithyroidal fibradipose tissue; Perithyroidal fibradipose tissue (due to tumor infiltration of tubercle)</v>
      </c>
      <c r="AG16" s="17" t="str" cm="1">
        <f t="array" ref="AG16">IF(OR(ISNUMBER(SEARCH("uninvolved",_xlfn.TEXTJOIN("; ",TRUE,_xlfn._xlws.FILTER('Model output'!V:V,'Model output'!Z:Z=A16)),1)),ISNUMBER(SEARCH("clear",_xlfn.TEXTJOIN("; ",TRUE,_xlfn._xlws.FILTER('Model output'!V:V,'Model output'!Z:Z=A16)),1))*ISNUMBER(SEARCH("not mentioned",_xlfn.TEXTJOIN("; ",TRUE,_xlfn._xlws.FILTER('Model output'!V:V,'Model output'!Z:Z=A16)),1))),"negative",IF(ISNUMBER(SEARCH("cannot be assessed",_xlfn.TEXTJOIN("; ",TRUE,_xlfn._xlws.FILTER('Model output'!V:V,'Model output'!Z:Z=A16)),1)),"unknown","negative"))</f>
        <v>negative</v>
      </c>
      <c r="AI16" s="45" t="str">
        <f t="shared" si="13"/>
        <v>intermediate</v>
      </c>
      <c r="AJ16" s="36" t="str">
        <f t="shared" si="2"/>
        <v>3b</v>
      </c>
      <c r="AK16" s="36" t="str">
        <f t="shared" si="3"/>
        <v>x</v>
      </c>
      <c r="AL16" s="36">
        <f t="shared" si="4"/>
        <v>0</v>
      </c>
      <c r="AM16" s="36" t="str">
        <f t="shared" si="5"/>
        <v>I</v>
      </c>
      <c r="AN16" s="37" t="s">
        <v>165</v>
      </c>
      <c r="AO16" s="38" t="s">
        <v>204</v>
      </c>
      <c r="AP16" s="38" t="s">
        <v>202</v>
      </c>
      <c r="AQ16" s="38">
        <v>0</v>
      </c>
      <c r="AR16" s="38" t="s">
        <v>31</v>
      </c>
      <c r="AS16" s="37">
        <f t="shared" si="6"/>
        <v>0</v>
      </c>
      <c r="AT16" s="38">
        <f t="shared" si="7"/>
        <v>1</v>
      </c>
      <c r="AU16" s="38">
        <f t="shared" si="8"/>
        <v>1</v>
      </c>
      <c r="AV16" s="38">
        <f t="shared" si="9"/>
        <v>1</v>
      </c>
      <c r="AW16" s="39">
        <f t="shared" si="10"/>
        <v>1</v>
      </c>
    </row>
    <row r="17" spans="1:49">
      <c r="A17" s="13">
        <v>15</v>
      </c>
      <c r="B17" s="16">
        <f>_xlfn.MAXIFS('Model output'!B:B,'Model output'!Z:Z,'Classification result'!$A17)</f>
        <v>45441</v>
      </c>
      <c r="C17" s="16"/>
      <c r="D17" s="16"/>
      <c r="E17" s="17">
        <f>_xlfn.MAXIFS('Model output'!C:C,'Model output'!Z:Z,'Classification result'!$A17)</f>
        <v>64</v>
      </c>
      <c r="F17" s="17" t="str" cm="1">
        <f t="array" ref="F17">LEFT(IF(ISERROR(RIGHT(IF(INDEX(_xlfn._xlws.FILTER('Model output'!D:D,('Model output'!Z:Z=A17)),1)&lt;&gt;"",INDEX(_xlfn._xlws.FILTER('Model output'!D:D,('Model output'!Z:Z=A17)),1),""),LEN(IF(INDEX(_xlfn._xlws.FILTER('Model output'!D:D,('Model output'!Z:Z=A17)),1)&lt;&gt;"",INDEX(_xlfn._xlws.FILTER('Model output'!D:D,('Model output'!Z:Z=A17)),1),""))-FIND("T",IF(INDEX(_xlfn._xlws.FILTER('Model output'!D:D,('Model output'!Z:Z=A17)),1)&lt;&gt;"",INDEX(_xlfn._xlws.FILTER('Model output'!D:D,('Model output'!Z:Z=A17)),1),""),1))),"",(RIGHT(IF(INDEX(_xlfn._xlws.FILTER('Model output'!D:D,('Model output'!Z:Z=A17)),1)&lt;&gt;"",INDEX(_xlfn._xlws.FILTER('Model output'!D:D,('Model output'!Z:Z=A17)),1),""),LEN(IF(INDEX(_xlfn._xlws.FILTER('Model output'!D:D,('Model output'!Z:Z=A17)),1)&lt;&gt;"",INDEX(_xlfn._xlws.FILTER('Model output'!D:D,('Model output'!Z:Z=A17)),1),""))-FIND("T",IF(INDEX(_xlfn._xlws.FILTER('Model output'!D:D,('Model output'!Z:Z=A17)),1)&lt;&gt;"",INDEX(_xlfn._xlws.FILTER('Model output'!D:D,('Model output'!Z:Z=A17)),1)))))),2)</f>
        <v/>
      </c>
      <c r="G17" s="17" t="str" cm="1">
        <f t="array" ref="G17">IF(ISNUMBER(SEARCH("N",IF(ISNUMBER(SEARCH("present",IF(INDEX(_xlfn._xlws.FILTER('Model output'!E:E,('Model output'!Z:Z=A17)),1)="","",INDEX(_xlfn._xlws.FILTER('Model output'!E:E,('Model output'!Z:Z=A17)),1)),1)),"N1", IF(INDEX(_xlfn._xlws.FILTER('Model output'!E:E,('Model output'!Z:Z=A17)),1)="","",INDEX(_xlfn._xlws.FILTER('Model output'!E:E,('Model output'!Z:Z=A17)),1))),1)),RIGHT(IF(ISNUMBER(SEARCH("present",IF(INDEX(_xlfn._xlws.FILTER('Model output'!E:E,('Model output'!Z:Z=A17)),1)="","",INDEX(_xlfn._xlws.FILTER('Model output'!E:E,('Model output'!Z:Z=A17)),1)),1)),"N1", IF(INDEX(_xlfn._xlws.FILTER('Model output'!E:E,('Model output'!Z:Z=A17)),1)="","",INDEX(_xlfn._xlws.FILTER('Model output'!E:E,('Model output'!Z:Z=A17)),1))),LEN(IF(ISNUMBER(SEARCH("present",IF(INDEX(_xlfn._xlws.FILTER('Model output'!E:E,('Model output'!Z:Z=A17)),1)="","",INDEX(_xlfn._xlws.FILTER('Model output'!E:E,('Model output'!Z:Z=A17)),1)),1)),"N1", IF(INDEX(_xlfn._xlws.FILTER('Model output'!E:E,('Model output'!Z:Z=A17)),1)="","",INDEX(_xlfn._xlws.FILTER('Model output'!E:E,('Model output'!Z:Z=A17)),1))))-FIND("N",IF(ISNUMBER(SEARCH("present",IF(INDEX(_xlfn._xlws.FILTER('Model output'!E:E,('Model output'!Z:Z=A17)),1)="","",INDEX(_xlfn._xlws.FILTER('Model output'!E:E,('Model output'!Z:Z=A17)),1)),1)),"N1", IF(INDEX(_xlfn._xlws.FILTER('Model output'!E:E,('Model output'!Z:Z=A17)),1)="","",INDEX(_xlfn._xlws.FILTER('Model output'!E:E,('Model output'!Z:Z=A17)),1))),1)), "")</f>
        <v/>
      </c>
      <c r="H17" s="17" cm="1">
        <f t="array" ref="H17">IF(AND(SUBSTITUTE(_xlfn.TEXTJOIN("/", TRUE, _xlfn._xlws.FILTER('Model output'!F:F, 'Model output'!Z:Z=A17)),"M", "")="", K17="negative"),0,IF(K17="positive",1,0))</f>
        <v>0</v>
      </c>
      <c r="I17" t="str">
        <f t="shared" si="0"/>
        <v>positive</v>
      </c>
      <c r="J17" t="str" cm="1">
        <f t="array" ref="J17">IF(AND(M17&gt;0, _xlfn.TEXTJOIN("; ", TRUE, _xlfn._xlws.FILTER('Model output'!G:G, 'Model output'!Z:Z=A17)) &lt;&gt;"", OR(AND(ISNUMBER(SEARCH("level", _xlfn.TEXTJOIN("; ", TRUE, _xlfn._xlws.FILTER('Model output'!G:G, 'Model output'!Z:Z=A17)),1)),OR(ISNUMBER(SEARCH(" II", _xlfn.TEXTJOIN("; ", TRUE, _xlfn._xlws.FILTER('Model output'!G:G, 'Model output'!Z:Z=A17)),1)),ISNUMBER(SEARCH("2", _xlfn.TEXTJOIN("; ", TRUE, _xlfn._xlws.FILTER('Model output'!G:G, 'Model output'!Z:Z=A17)),1)),ISNUMBER(SEARCH("two", _xlfn.TEXTJOIN("; ", TRUE, _xlfn._xlws.FILTER('Model output'!G:G, 'Model output'!Z:Z=A17)),1)),ISNUMBER(SEARCH("III", _xlfn.TEXTJOIN("; ", TRUE, _xlfn._xlws.FILTER('Model output'!G:G, 'Model output'!Z:Z=A17)),1)),ISNUMBER(SEARCH("3", _xlfn.TEXTJOIN("; ", TRUE, _xlfn._xlws.FILTER('Model output'!G:G, 'Model output'!Z:Z=A17)),1)),ISNUMBER(SEARCH("three", _xlfn.TEXTJOIN("; ", TRUE, _xlfn._xlws.FILTER('Model output'!G:G, 'Model output'!Z:Z=A17)),1)),ISNUMBER(SEARCH("IV", _xlfn.TEXTJOIN("; ", TRUE, _xlfn._xlws.FILTER('Model output'!G:G, 'Model output'!Z:Z=A17)),1)),ISNUMBER(SEARCH("4", _xlfn.TEXTJOIN("; ", TRUE, _xlfn._xlws.FILTER('Model output'!G:G, 'Model output'!Z:Z=A17)),1)),ISNUMBER(SEARCH("five", _xlfn.TEXTJOIN("; ", TRUE, _xlfn._xlws.FILTER('Model output'!G:G, 'Model output'!Z:Z=A17)),1)),ISNUMBER(SEARCH("V ", _xlfn.TEXTJOIN("; ", TRUE, _xlfn._xlws.FILTER('Model output'!G:G, 'Model output'!Z:Z=A17)),1)),ISNUMBER(SEARCH("5", _xlfn.TEXTJOIN("; ", TRUE, _xlfn._xlws.FILTER('Model output'!G:G, 'Model output'!Z:Z=A17)),1)),ISNUMBER(SEARCH("five", _xlfn.TEXTJOIN("; ", TRUE, _xlfn._xlws.FILTER('Model output'!G:G, 'Model output'!Z:Z=A17)),1)),ISNUMBER(SEARCH(" lateral", _xlfn.TEXTJOIN("; ", TRUE, _xlfn._xlws.FILTER('Model output'!G:G, 'Model output'!Z:Z=A17)),1)))),ISNUMBER(SEARCH("cervical", _xlfn.TEXTJOIN("; ", TRUE, _xlfn._xlws.FILTER('Model output'!G:G, 'Model output'!Z:Z=A17)),1)),ISNUMBER(SEARCH("jugular", _xlfn.TEXTJOIN("; ", TRUE, _xlfn._xlws.FILTER('Model output'!G:G, 'Model output'!Z:Z=A17)),1)),ISNUMBER(SEARCH("left neck", _xlfn.TEXTJOIN("; ", TRUE, _xlfn._xlws.FILTER('Model output'!G:G, 'Model output'!Z:Z=A17)),1)),ISNUMBER(SEARCH("left anterior neck", _xlfn.TEXTJOIN("; ", TRUE, _xlfn._xlws.FILTER('Model output'!G:G, 'Model output'!Z:Z=A17)),1)),ISNUMBER(SEARCH("left posterior neck", _xlfn.TEXTJOIN("; ", TRUE, _xlfn._xlws.FILTER('Model output'!G:G, 'Model output'!Z:Z=A17)),1)),ISNUMBER(SEARCH("right neck", _xlfn.TEXTJOIN("; ", TRUE, _xlfn._xlws.FILTER('Model output'!G:G, 'Model output'!Z:Z=A17)),1)),ISNUMBER(SEARCH("right anterior neck", _xlfn.TEXTJOIN("; ", TRUE, _xlfn._xlws.FILTER('Model output'!G:G, 'Model output'!Z:Z=A17)),1)),ISNUMBER(SEARCH("right posterior neck", _xlfn.TEXTJOIN("; ", TRUE, _xlfn._xlws.FILTER('Model output'!G:G, 'Model output'!Z:Z=A17)),1)))),"lateral",IF(AND(M17=0, _xlfn.TEXTJOIN("; ", TRUE, _xlfn._xlws.FILTER('Model output'!G:G, 'Model output'!Z:Z=A17))=""),"", "central"))</f>
        <v>central</v>
      </c>
      <c r="K17" s="17" t="str" cm="1">
        <f t="array" ref="K17">IF(OR(ISNUMBER(SEARCH("lymph",_xlfn.TEXTJOIN("; ", TRUE, _xlfn._xlws.FILTER('Model output'!H:H, 'Model output'!Z:Z=A17)),1)), ISNUMBER(SEARCH("Not mentioned",_xlfn.TEXTJOIN("; ", TRUE, _xlfn._xlws.FILTER('Model output'!H:H, 'Model output'!Z:Z=A17)),1)),ISNUMBER(SEARCH("subcutaneous soft tissues",_xlfn.TEXTJOIN("; ", TRUE, _xlfn._xlws.FILTER('Model output'!H:H, 'Model output'!Z:Z=A17)),1)),ISNUMBER(SEARCH("larynx",_xlfn.TEXTJOIN("; ", TRUE, _xlfn._xlws.FILTER('Model output'!H:H, 'Model output'!Z:Z=A17)),1)),ISNUMBER(SEARCH("trachea",_xlfn.TEXTJOIN("; ", TRUE, _xlfn._xlws.FILTER('Model output'!H:H, 'Model output'!Z:Z=A17)),1)),ISNUMBER(SEARCH("esophagus",_xlfn.TEXTJOIN("; ", TRUE, _xlfn._xlws.FILTER('Model output'!H:H, 'Model output'!Z:Z=A17)),1)),ISNUMBER(SEARCH("recurrent laryngeal nerve",_xlfn.TEXTJOIN("; ", TRUE, _xlfn._xlws.FILTER('Model output'!H:H, 'Model output'!Z:Z=A17)),1)),ISNUMBER(SEARCH("strap muscle",_xlfn.TEXTJOIN("; ", TRUE, _xlfn._xlws.FILTER('Model output'!H:H, 'Model output'!Z:Z=A17)),1)),ISNUMBER(SEARCH("thyroid",_xlfn.TEXTJOIN("; ", TRUE, _xlfn._xlws.FILTER('Model output'!H:H, 'Model output'!Z:Z=A17)),1)),ISNUMBER(SEARCH("RLN",_xlfn.TEXTJOIN("; ", TRUE, _xlfn._xlws.FILTER('Model output'!H:H, 'Model output'!Z:Z=A17)),1)),_xlfn.TEXTJOIN("; ", TRUE, _xlfn._xlws.FILTER('Model output'!H:H, 'Model output'!Z:Z=A17))=""),"negative","positive")</f>
        <v>negative</v>
      </c>
      <c r="L17" s="17" t="str">
        <f>IF(IFERROR(INDEX('Model output'!I:I, MATCH(A17, 'Model output'!Z:Z, 0)), "") &lt; M17, "", IFERROR(INDEX('Model output'!I:I, MATCH(A17, 'Model output'!Z:Z, 0)), ""))</f>
        <v/>
      </c>
      <c r="M17" s="17" t="str">
        <f>IFERROR(INDEX('Model output'!J:J, MATCH(A17, 'Model output'!Z:Z, 0)), "")</f>
        <v>3/7</v>
      </c>
      <c r="N17" s="18" t="str" cm="1">
        <f t="array" ref="N17">ReplaceTo(ReplaceAnd(SUBSTITUTE(SUBSTITUTE(_xlfn.TEXTJOIN("; ", TRUE, _xlfn._xlws.FILTER('Model output'!K:K, 'Model output'!Z:Z=A17)), " ", ""), ",", ";")))</f>
        <v/>
      </c>
      <c r="O17" t="str" cm="1">
        <f t="array" ref="O17">IF(LEFT(IF(RIGHT(SUBSTITUTE(FilterWithUnits(N17)&amp; ";" &amp;FilterStringsWithNumericAnd(N17) &amp; ";" &amp; FilterStringsWithX(N17), ";;", ";"),1)=";",LEFT(SUBSTITUTE(FilterWithUnits(N17)&amp; ";" &amp;FilterStringsWithNumericAnd(N17) &amp; ";" &amp; FilterStringsWithX(N17), ";;", ";"),LEN(SUBSTITUTE(FilterWithUnits(N17)&amp; ";" &amp;FilterStringsWithNumericAnd(N17) &amp; ";" &amp; FilterStringsWithX(N17), ";;", ";"))-1),SUBSTITUTE(FilterWithUnits(N17)&amp; ";" &amp;FilterStringsWithNumericAnd(N17) &amp; ";" &amp; FilterStringsWithX(N17), ";;", ";")),1)=";",RIGHT(IF(RIGHT(SUBSTITUTE(FilterWithUnits(N17)&amp; ";" &amp;FilterStringsWithNumericAnd(N17) &amp; ";" &amp; FilterStringsWithX(N17), ";;", ";"),1)=";",LEFT(SUBSTITUTE(FilterWithUnits(N17)&amp; ";" &amp;FilterStringsWithNumericAnd(N17) &amp; ";" &amp; FilterStringsWithX(N17), ";;", ";"),LEN(SUBSTITUTE(FilterWithUnits(N17)&amp; ";" &amp;FilterStringsWithNumericAnd(N17) &amp; ";" &amp; FilterStringsWithX(N17), ";;", ";"))-1),SUBSTITUTE(FilterWithUnits(N17)&amp; ";" &amp;FilterStringsWithNumericAnd(N17) &amp; ";" &amp; FilterStringsWithX(N17), ";;", ";")),LEN(IF(RIGHT(SUBSTITUTE(FilterWithUnits(N17)&amp; ";" &amp;FilterStringsWithNumericAnd(N17) &amp; ";" &amp; FilterStringsWithX(N17), ";;", ";"),1)=";",LEFT(SUBSTITUTE(FilterWithUnits(N17)&amp; ";" &amp;FilterStringsWithNumericAnd(N17) &amp; ";" &amp; FilterStringsWithX(N17), ";;", ";"),LEN(SUBSTITUTE(FilterWithUnits(N17)&amp; ";" &amp;FilterStringsWithNumericAnd(N17) &amp; ";" &amp; FilterStringsWithX(N17), ";;", ";"))-1),SUBSTITUTE(FilterWithUnits(N17)&amp; ";" &amp;FilterStringsWithNumericAnd(N17) &amp; ";" &amp; FilterStringsWithX(N17), ";;", ";")))-1),IF(RIGHT(SUBSTITUTE(FilterWithUnits(N17)&amp; ";" &amp;FilterStringsWithNumericAnd(N17) &amp; ";" &amp; FilterStringsWithX(N17), ";;", ";"),1)=";",LEFT(SUBSTITUTE(FilterWithUnits(N17)&amp; ";" &amp;FilterStringsWithNumericAnd(N17) &amp; ";" &amp; FilterStringsWithX(N17), ";;", ";"),LEN(SUBSTITUTE(FilterWithUnits(N17)&amp; ";" &amp;FilterStringsWithNumericAnd(N17) &amp; ";" &amp; FilterStringsWithX(N17), ";;", ";"))-1),SUBSTITUTE(FilterWithUnits(N17)&amp; ";" &amp;FilterStringsWithNumericAnd(N17) &amp; ";" &amp; FilterStringsWithX(N17), ";;", ";")))</f>
        <v/>
      </c>
      <c r="P17" t="str" cm="1">
        <f t="array" ref="P17">IF(MaxSize((SplitDimensions(O17)))=0, "", MaxSize((SplitDimensions(O17))))</f>
        <v/>
      </c>
      <c r="Q17" t="str" cm="1">
        <f t="array" ref="Q17">IF(ISERROR(INDEX(_xlfn._xlws.FILTER('Model output'!L:L, ('Model output'!Z:Z=A17)*('Model output'!L:L&lt;&gt;"")), 1)), " ", LOWER(INDEX(_xlfn._xlws.FILTER('Model output'!L:L, ('Model output'!Z:Z=A17)*('Model output'!L:L&lt;&gt;"")), 1)))</f>
        <v>non-invasive follicular thyroid neoplasm</v>
      </c>
      <c r="R17" t="str" cm="1">
        <f t="array" ref="R17">IF(ISERROR(INDEX(_xlfn._xlws.FILTER('Model output'!M:M, ('Model output'!Z:Z=A17)*('Model output'!M:M&lt;&gt;"")), 1)), " ", LOWER(INDEX(_xlfn._xlws.FILTER('Model output'!M:M, ('Model output'!Z:Z=A17)*('Model output'!M:M&lt;&gt;"")), 1)))</f>
        <v>with papillary like nuclear features</v>
      </c>
      <c r="S17" t="str" cm="1">
        <f t="array" ref="S17">IF(OR(ISNUMBER(SEARCH("ly",SUBSTITUTE(INDEX(_xlfn._xlws.FILTER('Model output'!N:N,('Model output'!Z:Z=A17)*('Model output'!N:N&lt;&gt;"")),1)," ",""),1)), ISNUMBER(SEARCH("pole",SUBSTITUTE(INDEX(_xlfn._xlws.FILTER('Model output'!N:N,('Model output'!Z:Z=A17)*('Model output'!N:N&lt;&gt;"")),1)," ",""),1))),"",SUBSTITUTE(INDEX(_xlfn._xlws.FILTER('Model output'!N:N,('Model output'!Z:Z=A17)*('Model output'!N:N&lt;&gt;"")),1)," ",""))</f>
        <v>40x20x20mm(leftthyroidlobe)and50x15x5mm(isthmusandpyramidallobe)</v>
      </c>
      <c r="T17" t="str" cm="1">
        <f t="array" ref="T17">IF(LEFT(IF(RIGHT(SUBSTITUTE(FilterWithUnits(S17)&amp; ";" &amp;FilterStringsWithNumericAnd(S17) &amp; ";" &amp; FilterStringsWithX(S17), ";;", ";"),1)=";",LEFT(SUBSTITUTE(FilterWithUnits(S17)&amp; ";" &amp;FilterStringsWithNumericAnd(S17) &amp; ";" &amp; FilterStringsWithX(S17), ";;", ";"),LEN(SUBSTITUTE(FilterWithUnits(S17)&amp; ";" &amp;FilterStringsWithNumericAnd(S17) &amp; ";" &amp; FilterStringsWithX(S17), ";;", ";"))-1),SUBSTITUTE(FilterWithUnits(S17)&amp; ";" &amp;FilterStringsWithNumericAnd(S17) &amp; ";" &amp; FilterStringsWithX(S17), ";;", ";")),1)=";",RIGHT(IF(RIGHT(SUBSTITUTE(FilterWithUnits(S17)&amp; ";" &amp;FilterStringsWithNumericAnd(S17) &amp; ";" &amp; FilterStringsWithX(S17), ";;", ";"),1)=";",LEFT(SUBSTITUTE(FilterWithUnits(S17)&amp; ";" &amp;FilterStringsWithNumericAnd(S17) &amp; ";" &amp; FilterStringsWithX(S17), ";;", ";"),LEN(SUBSTITUTE(FilterWithUnits(S17)&amp; ";" &amp;FilterStringsWithNumericAnd(S17) &amp; ";" &amp; FilterStringsWithX(S17), ";;", ";"))-1),SUBSTITUTE(FilterWithUnits(S17)&amp; ";" &amp;FilterStringsWithNumericAnd(S17) &amp; ";" &amp; FilterStringsWithX(S17), ";;", ";")),LEN(IF(RIGHT(SUBSTITUTE(FilterWithUnits(S17)&amp; ";" &amp;FilterStringsWithNumericAnd(S17) &amp; ";" &amp; FilterStringsWithX(S17), ";;", ";"),1)=";",LEFT(SUBSTITUTE(FilterWithUnits(S17)&amp; ";" &amp;FilterStringsWithNumericAnd(S17) &amp; ";" &amp; FilterStringsWithX(S17), ";;", ";"),LEN(SUBSTITUTE(FilterWithUnits(S17)&amp; ";" &amp;FilterStringsWithNumericAnd(S17) &amp; ";" &amp; FilterStringsWithX(S17), ";;", ";"))-1),SUBSTITUTE(FilterWithUnits(S17)&amp; ";" &amp;FilterStringsWithNumericAnd(S17) &amp; ";" &amp; FilterStringsWithX(S17), ";;", ";")))-1),IF(RIGHT(SUBSTITUTE(FilterWithUnits(S17)&amp; ";" &amp;FilterStringsWithNumericAnd(S17) &amp; ";" &amp; FilterStringsWithX(S17), ";;", ";"),1)=";",LEFT(SUBSTITUTE(FilterWithUnits(S17)&amp; ";" &amp;FilterStringsWithNumericAnd(S17) &amp; ";" &amp; FilterStringsWithX(S17), ";;", ";"),LEN(SUBSTITUTE(FilterWithUnits(S17)&amp; ";" &amp;FilterStringsWithNumericAnd(S17) &amp; ";" &amp; FilterStringsWithX(S17), ";;", ";"))-1),SUBSTITUTE(FilterWithUnits(S17)&amp; ";" &amp;FilterStringsWithNumericAnd(S17) &amp; ";" &amp; FilterStringsWithX(S17), ";;", ";")))</f>
        <v>40x20x20mm(leftthyroidlobe)and50x15x5mm(isthmusandpyramidallobe)</v>
      </c>
      <c r="U17" t="str" cm="1">
        <f t="array" ref="U17">IF(MaxSize((SplitDimensions(T17)))=0, "", MaxSize((SplitDimensions(T17))))</f>
        <v/>
      </c>
      <c r="V17" s="17" t="str" cm="1">
        <f t="array" ref="V17">IF(ISERROR(INDEX(_xlfn._xlws.FILTER('Model output'!P:P,('Model output'!Z:Z=A17)*('Model output'!P:P&lt;&gt;"")),1)),"negative",IF(OR(ISNUMBER(SEARCH("foc",INDEX(_xlfn._xlws.FILTER('Model output'!P:P,('Model output'!Z:Z=A17)*('Model output'!P:P&lt;&gt;"")),1),1)),ISNUMBER(SEARCH("extensive",INDEX(_xlfn._xlws.FILTER('Model output'!P:P,('Model output'!Z:Z=A17)*('Model output'!P:P&lt;&gt;"")),1),1)),ISNUMBER(SEARCH("present",INDEX(_xlfn._xlws.FILTER('Model output'!P:P,('Model output'!Z:Z=A17)*('Model output'!P:P&lt;&gt;"")),1),1)),ISNUMBER(SEARCH("yes",INDEX(_xlfn._xlws.FILTER('Model output'!P:P,('Model output'!Z:Z=A17)*('Model output'!P:P&lt;&gt;"")),1),1))),"positive","negative"))</f>
        <v>negative</v>
      </c>
      <c r="X17" t="str" cm="1">
        <f t="array" ref="X17">IF(ISNUMBER(SEARCH("4",INDEX(_xlfn._xlws.FILTER('Model output'!P:P,('Model output'!Z:Z=A17)*('Model output'!P:P&lt;&gt;"")),1),1)),INDEX(_xlfn._xlws.FILTER('Model output'!P:P,('Model output'!Z:Z=A17)*('Model output'!P:P&lt;&gt;"")),1),"") &amp; _xlfn.TEXTJOIN("",TRUE,_xlfn._xlws.FILTER('Model output'!Q:Q,'Model output'!Z:Z=A17))</f>
        <v/>
      </c>
      <c r="Y17" t="str">
        <f t="shared" si="11"/>
        <v>no</v>
      </c>
      <c r="Z17" t="str" cm="1">
        <f t="array" ref="Z17">IF(OR(ISNUMBER(SEARCH("focal",_xlfn.TEXTJOIN("; ",TRUE,_xlfn._xlws.FILTER('Model output'!R:R,'Model output'!Z:Z=A17)),1)),ISNUMBER(SEARCH("present",_xlfn.TEXTJOIN("; ",TRUE,_xlfn._xlws.FILTER('Model output'!R:R,'Model output'!Z:Z=A17)),1))),"positive",IF(_xlfn.TEXTJOIN("; ",TRUE,_xlfn._xlws.FILTER('Model output'!R:R,'Model output'!Z:Z=A17))="","negative",IF(OR(ISNUMBER(SEARCH("no",_xlfn.TEXTJOIN("; ",TRUE,_xlfn._xlws.FILTER('Model output'!R:R,'Model output'!Z:Z=A17)),1)),ISNUMBER(SEARCH("absent",_xlfn.TEXTJOIN("; ",TRUE,_xlfn._xlws.FILTER('Model output'!R:R,'Model output'!Z:Z=A17)),1))),"negative","positive")))</f>
        <v>negative</v>
      </c>
      <c r="AA17" s="17" t="str">
        <f t="shared" si="12"/>
        <v>negative</v>
      </c>
      <c r="AE17" s="17" t="str">
        <f t="shared" si="14"/>
        <v>negative</v>
      </c>
      <c r="AF17" t="str" cm="1">
        <f t="array" ref="AF17">_xlfn.TEXTJOIN("; ",TRUE,_xlfn._xlws.FILTER('Model output'!S:S,'Model output'!Z:Z=A17))</f>
        <v>Not mentioned</v>
      </c>
      <c r="AG17" s="17" t="str" cm="1">
        <f t="array" ref="AG17">IF(OR(ISNUMBER(SEARCH("uninvolved",_xlfn.TEXTJOIN("; ",TRUE,_xlfn._xlws.FILTER('Model output'!V:V,'Model output'!Z:Z=A17)),1)),ISNUMBER(SEARCH("clear",_xlfn.TEXTJOIN("; ",TRUE,_xlfn._xlws.FILTER('Model output'!V:V,'Model output'!Z:Z=A17)),1))*ISNUMBER(SEARCH("not mentioned",_xlfn.TEXTJOIN("; ",TRUE,_xlfn._xlws.FILTER('Model output'!V:V,'Model output'!Z:Z=A17)),1))),"negative",IF(ISNUMBER(SEARCH("cannot be assessed",_xlfn.TEXTJOIN("; ",TRUE,_xlfn._xlws.FILTER('Model output'!V:V,'Model output'!Z:Z=A17)),1)),"unknown","negative"))</f>
        <v>negative</v>
      </c>
      <c r="AI17" s="45" t="str">
        <f t="shared" si="13"/>
        <v>NIFTP</v>
      </c>
      <c r="AJ17" s="36" t="str">
        <f t="shared" si="2"/>
        <v>NIFTP</v>
      </c>
      <c r="AK17" s="36" t="str">
        <f t="shared" si="3"/>
        <v>NIFTP</v>
      </c>
      <c r="AL17" s="36" t="str">
        <f t="shared" si="4"/>
        <v>NIFTP</v>
      </c>
      <c r="AM17" s="36" t="str">
        <f t="shared" si="5"/>
        <v>NIFTP</v>
      </c>
      <c r="AN17" s="37" t="s">
        <v>76</v>
      </c>
      <c r="AO17" s="38" t="s">
        <v>76</v>
      </c>
      <c r="AP17" s="38" t="s">
        <v>76</v>
      </c>
      <c r="AQ17" s="38" t="s">
        <v>76</v>
      </c>
      <c r="AR17" s="38" t="s">
        <v>76</v>
      </c>
      <c r="AS17" s="37">
        <f t="shared" si="6"/>
        <v>1</v>
      </c>
      <c r="AT17" s="38">
        <f t="shared" si="7"/>
        <v>1</v>
      </c>
      <c r="AU17" s="38">
        <f t="shared" si="8"/>
        <v>1</v>
      </c>
      <c r="AV17" s="38">
        <f t="shared" si="9"/>
        <v>1</v>
      </c>
      <c r="AW17" s="39">
        <f t="shared" si="10"/>
        <v>1</v>
      </c>
    </row>
    <row r="18" spans="1:49">
      <c r="A18" s="13">
        <v>16</v>
      </c>
      <c r="B18" s="16">
        <f>_xlfn.MAXIFS('Model output'!B:B,'Model output'!Z:Z,'Classification result'!$A18)</f>
        <v>45331</v>
      </c>
      <c r="C18" s="16"/>
      <c r="D18" s="16"/>
      <c r="E18" s="17">
        <f>_xlfn.MAXIFS('Model output'!C:C,'Model output'!Z:Z,'Classification result'!$A18)</f>
        <v>43</v>
      </c>
      <c r="F18" s="17" t="str" cm="1">
        <f t="array" ref="F18">LEFT(IF(ISERROR(RIGHT(IF(INDEX(_xlfn._xlws.FILTER('Model output'!D:D,('Model output'!Z:Z=A18)),1)&lt;&gt;"",INDEX(_xlfn._xlws.FILTER('Model output'!D:D,('Model output'!Z:Z=A18)),1),""),LEN(IF(INDEX(_xlfn._xlws.FILTER('Model output'!D:D,('Model output'!Z:Z=A18)),1)&lt;&gt;"",INDEX(_xlfn._xlws.FILTER('Model output'!D:D,('Model output'!Z:Z=A18)),1),""))-FIND("T",IF(INDEX(_xlfn._xlws.FILTER('Model output'!D:D,('Model output'!Z:Z=A18)),1)&lt;&gt;"",INDEX(_xlfn._xlws.FILTER('Model output'!D:D,('Model output'!Z:Z=A18)),1),""),1))),"",(RIGHT(IF(INDEX(_xlfn._xlws.FILTER('Model output'!D:D,('Model output'!Z:Z=A18)),1)&lt;&gt;"",INDEX(_xlfn._xlws.FILTER('Model output'!D:D,('Model output'!Z:Z=A18)),1),""),LEN(IF(INDEX(_xlfn._xlws.FILTER('Model output'!D:D,('Model output'!Z:Z=A18)),1)&lt;&gt;"",INDEX(_xlfn._xlws.FILTER('Model output'!D:D,('Model output'!Z:Z=A18)),1),""))-FIND("T",IF(INDEX(_xlfn._xlws.FILTER('Model output'!D:D,('Model output'!Z:Z=A18)),1)&lt;&gt;"",INDEX(_xlfn._xlws.FILTER('Model output'!D:D,('Model output'!Z:Z=A18)),1)))))),2)</f>
        <v>2</v>
      </c>
      <c r="G18" s="17" t="str" cm="1">
        <f t="array" ref="G18">IF(ISNUMBER(SEARCH("N",IF(ISNUMBER(SEARCH("present",IF(INDEX(_xlfn._xlws.FILTER('Model output'!E:E,('Model output'!Z:Z=A18)),1)="","",INDEX(_xlfn._xlws.FILTER('Model output'!E:E,('Model output'!Z:Z=A18)),1)),1)),"N1", IF(INDEX(_xlfn._xlws.FILTER('Model output'!E:E,('Model output'!Z:Z=A18)),1)="","",INDEX(_xlfn._xlws.FILTER('Model output'!E:E,('Model output'!Z:Z=A18)),1))),1)),RIGHT(IF(ISNUMBER(SEARCH("present",IF(INDEX(_xlfn._xlws.FILTER('Model output'!E:E,('Model output'!Z:Z=A18)),1)="","",INDEX(_xlfn._xlws.FILTER('Model output'!E:E,('Model output'!Z:Z=A18)),1)),1)),"N1", IF(INDEX(_xlfn._xlws.FILTER('Model output'!E:E,('Model output'!Z:Z=A18)),1)="","",INDEX(_xlfn._xlws.FILTER('Model output'!E:E,('Model output'!Z:Z=A18)),1))),LEN(IF(ISNUMBER(SEARCH("present",IF(INDEX(_xlfn._xlws.FILTER('Model output'!E:E,('Model output'!Z:Z=A18)),1)="","",INDEX(_xlfn._xlws.FILTER('Model output'!E:E,('Model output'!Z:Z=A18)),1)),1)),"N1", IF(INDEX(_xlfn._xlws.FILTER('Model output'!E:E,('Model output'!Z:Z=A18)),1)="","",INDEX(_xlfn._xlws.FILTER('Model output'!E:E,('Model output'!Z:Z=A18)),1))))-FIND("N",IF(ISNUMBER(SEARCH("present",IF(INDEX(_xlfn._xlws.FILTER('Model output'!E:E,('Model output'!Z:Z=A18)),1)="","",INDEX(_xlfn._xlws.FILTER('Model output'!E:E,('Model output'!Z:Z=A18)),1)),1)),"N1", IF(INDEX(_xlfn._xlws.FILTER('Model output'!E:E,('Model output'!Z:Z=A18)),1)="","",INDEX(_xlfn._xlws.FILTER('Model output'!E:E,('Model output'!Z:Z=A18)),1))),1)), "")</f>
        <v/>
      </c>
      <c r="H18" s="17" cm="1">
        <f t="array" ref="H18">IF(AND(SUBSTITUTE(_xlfn.TEXTJOIN("/", TRUE, _xlfn._xlws.FILTER('Model output'!F:F, 'Model output'!Z:Z=A18)),"M", "")="", K18="negative"),0,IF(K18="positive",1,0))</f>
        <v>0</v>
      </c>
      <c r="I18" t="str">
        <f t="shared" si="0"/>
        <v>positive</v>
      </c>
      <c r="J18" t="str" cm="1">
        <f t="array" ref="J18">IF(AND(M18&gt;0, _xlfn.TEXTJOIN("; ", TRUE, _xlfn._xlws.FILTER('Model output'!G:G, 'Model output'!Z:Z=A18)) &lt;&gt;"", OR(AND(ISNUMBER(SEARCH("level", _xlfn.TEXTJOIN("; ", TRUE, _xlfn._xlws.FILTER('Model output'!G:G, 'Model output'!Z:Z=A18)),1)),OR(ISNUMBER(SEARCH(" II", _xlfn.TEXTJOIN("; ", TRUE, _xlfn._xlws.FILTER('Model output'!G:G, 'Model output'!Z:Z=A18)),1)),ISNUMBER(SEARCH("2", _xlfn.TEXTJOIN("; ", TRUE, _xlfn._xlws.FILTER('Model output'!G:G, 'Model output'!Z:Z=A18)),1)),ISNUMBER(SEARCH("two", _xlfn.TEXTJOIN("; ", TRUE, _xlfn._xlws.FILTER('Model output'!G:G, 'Model output'!Z:Z=A18)),1)),ISNUMBER(SEARCH("III", _xlfn.TEXTJOIN("; ", TRUE, _xlfn._xlws.FILTER('Model output'!G:G, 'Model output'!Z:Z=A18)),1)),ISNUMBER(SEARCH("3", _xlfn.TEXTJOIN("; ", TRUE, _xlfn._xlws.FILTER('Model output'!G:G, 'Model output'!Z:Z=A18)),1)),ISNUMBER(SEARCH("three", _xlfn.TEXTJOIN("; ", TRUE, _xlfn._xlws.FILTER('Model output'!G:G, 'Model output'!Z:Z=A18)),1)),ISNUMBER(SEARCH("IV", _xlfn.TEXTJOIN("; ", TRUE, _xlfn._xlws.FILTER('Model output'!G:G, 'Model output'!Z:Z=A18)),1)),ISNUMBER(SEARCH("4", _xlfn.TEXTJOIN("; ", TRUE, _xlfn._xlws.FILTER('Model output'!G:G, 'Model output'!Z:Z=A18)),1)),ISNUMBER(SEARCH("five", _xlfn.TEXTJOIN("; ", TRUE, _xlfn._xlws.FILTER('Model output'!G:G, 'Model output'!Z:Z=A18)),1)),ISNUMBER(SEARCH("V ", _xlfn.TEXTJOIN("; ", TRUE, _xlfn._xlws.FILTER('Model output'!G:G, 'Model output'!Z:Z=A18)),1)),ISNUMBER(SEARCH("5", _xlfn.TEXTJOIN("; ", TRUE, _xlfn._xlws.FILTER('Model output'!G:G, 'Model output'!Z:Z=A18)),1)),ISNUMBER(SEARCH("five", _xlfn.TEXTJOIN("; ", TRUE, _xlfn._xlws.FILTER('Model output'!G:G, 'Model output'!Z:Z=A18)),1)),ISNUMBER(SEARCH(" lateral", _xlfn.TEXTJOIN("; ", TRUE, _xlfn._xlws.FILTER('Model output'!G:G, 'Model output'!Z:Z=A18)),1)))),ISNUMBER(SEARCH("cervical", _xlfn.TEXTJOIN("; ", TRUE, _xlfn._xlws.FILTER('Model output'!G:G, 'Model output'!Z:Z=A18)),1)),ISNUMBER(SEARCH("jugular", _xlfn.TEXTJOIN("; ", TRUE, _xlfn._xlws.FILTER('Model output'!G:G, 'Model output'!Z:Z=A18)),1)),ISNUMBER(SEARCH("left neck", _xlfn.TEXTJOIN("; ", TRUE, _xlfn._xlws.FILTER('Model output'!G:G, 'Model output'!Z:Z=A18)),1)),ISNUMBER(SEARCH("left anterior neck", _xlfn.TEXTJOIN("; ", TRUE, _xlfn._xlws.FILTER('Model output'!G:G, 'Model output'!Z:Z=A18)),1)),ISNUMBER(SEARCH("left posterior neck", _xlfn.TEXTJOIN("; ", TRUE, _xlfn._xlws.FILTER('Model output'!G:G, 'Model output'!Z:Z=A18)),1)),ISNUMBER(SEARCH("right neck", _xlfn.TEXTJOIN("; ", TRUE, _xlfn._xlws.FILTER('Model output'!G:G, 'Model output'!Z:Z=A18)),1)),ISNUMBER(SEARCH("right anterior neck", _xlfn.TEXTJOIN("; ", TRUE, _xlfn._xlws.FILTER('Model output'!G:G, 'Model output'!Z:Z=A18)),1)),ISNUMBER(SEARCH("right posterior neck", _xlfn.TEXTJOIN("; ", TRUE, _xlfn._xlws.FILTER('Model output'!G:G, 'Model output'!Z:Z=A18)),1)))),"lateral",IF(AND(M18=0, _xlfn.TEXTJOIN("; ", TRUE, _xlfn._xlws.FILTER('Model output'!G:G, 'Model output'!Z:Z=A18))=""),"", "central"))</f>
        <v>central</v>
      </c>
      <c r="K18" s="17" t="str" cm="1">
        <f t="array" ref="K18">IF(OR(ISNUMBER(SEARCH("lymph",_xlfn.TEXTJOIN("; ", TRUE, _xlfn._xlws.FILTER('Model output'!H:H, 'Model output'!Z:Z=A18)),1)), ISNUMBER(SEARCH("Not mentioned",_xlfn.TEXTJOIN("; ", TRUE, _xlfn._xlws.FILTER('Model output'!H:H, 'Model output'!Z:Z=A18)),1)),ISNUMBER(SEARCH("subcutaneous soft tissues",_xlfn.TEXTJOIN("; ", TRUE, _xlfn._xlws.FILTER('Model output'!H:H, 'Model output'!Z:Z=A18)),1)),ISNUMBER(SEARCH("larynx",_xlfn.TEXTJOIN("; ", TRUE, _xlfn._xlws.FILTER('Model output'!H:H, 'Model output'!Z:Z=A18)),1)),ISNUMBER(SEARCH("trachea",_xlfn.TEXTJOIN("; ", TRUE, _xlfn._xlws.FILTER('Model output'!H:H, 'Model output'!Z:Z=A18)),1)),ISNUMBER(SEARCH("esophagus",_xlfn.TEXTJOIN("; ", TRUE, _xlfn._xlws.FILTER('Model output'!H:H, 'Model output'!Z:Z=A18)),1)),ISNUMBER(SEARCH("recurrent laryngeal nerve",_xlfn.TEXTJOIN("; ", TRUE, _xlfn._xlws.FILTER('Model output'!H:H, 'Model output'!Z:Z=A18)),1)),ISNUMBER(SEARCH("strap muscle",_xlfn.TEXTJOIN("; ", TRUE, _xlfn._xlws.FILTER('Model output'!H:H, 'Model output'!Z:Z=A18)),1)),ISNUMBER(SEARCH("thyroid",_xlfn.TEXTJOIN("; ", TRUE, _xlfn._xlws.FILTER('Model output'!H:H, 'Model output'!Z:Z=A18)),1)),ISNUMBER(SEARCH("RLN",_xlfn.TEXTJOIN("; ", TRUE, _xlfn._xlws.FILTER('Model output'!H:H, 'Model output'!Z:Z=A18)),1)),_xlfn.TEXTJOIN("; ", TRUE, _xlfn._xlws.FILTER('Model output'!H:H, 'Model output'!Z:Z=A18))=""),"negative","positive")</f>
        <v>negative</v>
      </c>
      <c r="L18" s="17">
        <f>IF(IFERROR(INDEX('Model output'!I:I, MATCH(A18, 'Model output'!Z:Z, 0)), "") &lt; M18, "", IFERROR(INDEX('Model output'!I:I, MATCH(A18, 'Model output'!Z:Z, 0)), ""))</f>
        <v>15</v>
      </c>
      <c r="M18" s="17">
        <f>IFERROR(INDEX('Model output'!J:J, MATCH(A18, 'Model output'!Z:Z, 0)), "")</f>
        <v>2</v>
      </c>
      <c r="N18" s="18" t="str" cm="1">
        <f t="array" ref="N18">ReplaceTo(ReplaceAnd(SUBSTITUTE(SUBSTITUTE(_xlfn.TEXTJOIN("; ", TRUE, _xlfn._xlws.FILTER('Model output'!K:K, 'Model output'!Z:Z=A18)), " ", ""), ",", ";")))</f>
        <v>Notmentioned</v>
      </c>
      <c r="O18" t="str" cm="1">
        <f t="array" ref="O18">IF(LEFT(IF(RIGHT(SUBSTITUTE(FilterWithUnits(N18)&amp; ";" &amp;FilterStringsWithNumericAnd(N18) &amp; ";" &amp; FilterStringsWithX(N18), ";;", ";"),1)=";",LEFT(SUBSTITUTE(FilterWithUnits(N18)&amp; ";" &amp;FilterStringsWithNumericAnd(N18) &amp; ";" &amp; FilterStringsWithX(N18), ";;", ";"),LEN(SUBSTITUTE(FilterWithUnits(N18)&amp; ";" &amp;FilterStringsWithNumericAnd(N18) &amp; ";" &amp; FilterStringsWithX(N18), ";;", ";"))-1),SUBSTITUTE(FilterWithUnits(N18)&amp; ";" &amp;FilterStringsWithNumericAnd(N18) &amp; ";" &amp; FilterStringsWithX(N18), ";;", ";")),1)=";",RIGHT(IF(RIGHT(SUBSTITUTE(FilterWithUnits(N18)&amp; ";" &amp;FilterStringsWithNumericAnd(N18) &amp; ";" &amp; FilterStringsWithX(N18), ";;", ";"),1)=";",LEFT(SUBSTITUTE(FilterWithUnits(N18)&amp; ";" &amp;FilterStringsWithNumericAnd(N18) &amp; ";" &amp; FilterStringsWithX(N18), ";;", ";"),LEN(SUBSTITUTE(FilterWithUnits(N18)&amp; ";" &amp;FilterStringsWithNumericAnd(N18) &amp; ";" &amp; FilterStringsWithX(N18), ";;", ";"))-1),SUBSTITUTE(FilterWithUnits(N18)&amp; ";" &amp;FilterStringsWithNumericAnd(N18) &amp; ";" &amp; FilterStringsWithX(N18), ";;", ";")),LEN(IF(RIGHT(SUBSTITUTE(FilterWithUnits(N18)&amp; ";" &amp;FilterStringsWithNumericAnd(N18) &amp; ";" &amp; FilterStringsWithX(N18), ";;", ";"),1)=";",LEFT(SUBSTITUTE(FilterWithUnits(N18)&amp; ";" &amp;FilterStringsWithNumericAnd(N18) &amp; ";" &amp; FilterStringsWithX(N18), ";;", ";"),LEN(SUBSTITUTE(FilterWithUnits(N18)&amp; ";" &amp;FilterStringsWithNumericAnd(N18) &amp; ";" &amp; FilterStringsWithX(N18), ";;", ";"))-1),SUBSTITUTE(FilterWithUnits(N18)&amp; ";" &amp;FilterStringsWithNumericAnd(N18) &amp; ";" &amp; FilterStringsWithX(N18), ";;", ";")))-1),IF(RIGHT(SUBSTITUTE(FilterWithUnits(N18)&amp; ";" &amp;FilterStringsWithNumericAnd(N18) &amp; ";" &amp; FilterStringsWithX(N18), ";;", ";"),1)=";",LEFT(SUBSTITUTE(FilterWithUnits(N18)&amp; ";" &amp;FilterStringsWithNumericAnd(N18) &amp; ";" &amp; FilterStringsWithX(N18), ";;", ";"),LEN(SUBSTITUTE(FilterWithUnits(N18)&amp; ";" &amp;FilterStringsWithNumericAnd(N18) &amp; ";" &amp; FilterStringsWithX(N18), ";;", ";"))-1),SUBSTITUTE(FilterWithUnits(N18)&amp; ";" &amp;FilterStringsWithNumericAnd(N18) &amp; ";" &amp; FilterStringsWithX(N18), ";;", ";")))</f>
        <v/>
      </c>
      <c r="P18" t="str" cm="1">
        <f t="array" ref="P18">IF(MaxSize((SplitDimensions(O18)))=0, "", MaxSize((SplitDimensions(O18))))</f>
        <v/>
      </c>
      <c r="Q18" t="str" cm="1">
        <f t="array" ref="Q18">IF(ISERROR(INDEX(_xlfn._xlws.FILTER('Model output'!L:L, ('Model output'!Z:Z=A18)*('Model output'!L:L&lt;&gt;"")), 1)), " ", LOWER(INDEX(_xlfn._xlws.FILTER('Model output'!L:L, ('Model output'!Z:Z=A18)*('Model output'!L:L&lt;&gt;"")), 1)))</f>
        <v>papillary carcinoma, classic subtype</v>
      </c>
      <c r="R18" t="str" cm="1">
        <f t="array" ref="R18">IF(ISERROR(INDEX(_xlfn._xlws.FILTER('Model output'!M:M, ('Model output'!Z:Z=A18)*('Model output'!M:M&lt;&gt;"")), 1)), " ", LOWER(INDEX(_xlfn._xlws.FILTER('Model output'!M:M, ('Model output'!Z:Z=A18)*('Model output'!M:M&lt;&gt;"")), 1)))</f>
        <v>not mentioned</v>
      </c>
      <c r="S18" t="str" cm="1">
        <f t="array" ref="S18">IF(OR(ISNUMBER(SEARCH("ly",SUBSTITUTE(INDEX(_xlfn._xlws.FILTER('Model output'!N:N,('Model output'!Z:Z=A18)*('Model output'!N:N&lt;&gt;"")),1)," ",""),1)), ISNUMBER(SEARCH("pole",SUBSTITUTE(INDEX(_xlfn._xlws.FILTER('Model output'!N:N,('Model output'!Z:Z=A18)*('Model output'!N:N&lt;&gt;"")),1)," ",""),1))),"",SUBSTITUTE(INDEX(_xlfn._xlws.FILTER('Model output'!N:N,('Model output'!Z:Z=A18)*('Model output'!N:N&lt;&gt;"")),1)," ",""))</f>
        <v/>
      </c>
      <c r="T18" t="str" cm="1">
        <f t="array" ref="T18">IF(LEFT(IF(RIGHT(SUBSTITUTE(FilterWithUnits(S18)&amp; ";" &amp;FilterStringsWithNumericAnd(S18) &amp; ";" &amp; FilterStringsWithX(S18), ";;", ";"),1)=";",LEFT(SUBSTITUTE(FilterWithUnits(S18)&amp; ";" &amp;FilterStringsWithNumericAnd(S18) &amp; ";" &amp; FilterStringsWithX(S18), ";;", ";"),LEN(SUBSTITUTE(FilterWithUnits(S18)&amp; ";" &amp;FilterStringsWithNumericAnd(S18) &amp; ";" &amp; FilterStringsWithX(S18), ";;", ";"))-1),SUBSTITUTE(FilterWithUnits(S18)&amp; ";" &amp;FilterStringsWithNumericAnd(S18) &amp; ";" &amp; FilterStringsWithX(S18), ";;", ";")),1)=";",RIGHT(IF(RIGHT(SUBSTITUTE(FilterWithUnits(S18)&amp; ";" &amp;FilterStringsWithNumericAnd(S18) &amp; ";" &amp; FilterStringsWithX(S18), ";;", ";"),1)=";",LEFT(SUBSTITUTE(FilterWithUnits(S18)&amp; ";" &amp;FilterStringsWithNumericAnd(S18) &amp; ";" &amp; FilterStringsWithX(S18), ";;", ";"),LEN(SUBSTITUTE(FilterWithUnits(S18)&amp; ";" &amp;FilterStringsWithNumericAnd(S18) &amp; ";" &amp; FilterStringsWithX(S18), ";;", ";"))-1),SUBSTITUTE(FilterWithUnits(S18)&amp; ";" &amp;FilterStringsWithNumericAnd(S18) &amp; ";" &amp; FilterStringsWithX(S18), ";;", ";")),LEN(IF(RIGHT(SUBSTITUTE(FilterWithUnits(S18)&amp; ";" &amp;FilterStringsWithNumericAnd(S18) &amp; ";" &amp; FilterStringsWithX(S18), ";;", ";"),1)=";",LEFT(SUBSTITUTE(FilterWithUnits(S18)&amp; ";" &amp;FilterStringsWithNumericAnd(S18) &amp; ";" &amp; FilterStringsWithX(S18), ";;", ";"),LEN(SUBSTITUTE(FilterWithUnits(S18)&amp; ";" &amp;FilterStringsWithNumericAnd(S18) &amp; ";" &amp; FilterStringsWithX(S18), ";;", ";"))-1),SUBSTITUTE(FilterWithUnits(S18)&amp; ";" &amp;FilterStringsWithNumericAnd(S18) &amp; ";" &amp; FilterStringsWithX(S18), ";;", ";")))-1),IF(RIGHT(SUBSTITUTE(FilterWithUnits(S18)&amp; ";" &amp;FilterStringsWithNumericAnd(S18) &amp; ";" &amp; FilterStringsWithX(S18), ";;", ";"),1)=";",LEFT(SUBSTITUTE(FilterWithUnits(S18)&amp; ";" &amp;FilterStringsWithNumericAnd(S18) &amp; ";" &amp; FilterStringsWithX(S18), ";;", ";"),LEN(SUBSTITUTE(FilterWithUnits(S18)&amp; ";" &amp;FilterStringsWithNumericAnd(S18) &amp; ";" &amp; FilterStringsWithX(S18), ";;", ";"))-1),SUBSTITUTE(FilterWithUnits(S18)&amp; ";" &amp;FilterStringsWithNumericAnd(S18) &amp; ";" &amp; FilterStringsWithX(S18), ";;", ";")))</f>
        <v/>
      </c>
      <c r="U18" t="str" cm="1">
        <f t="array" ref="U18">IF(MaxSize((SplitDimensions(T18)))=0, "", MaxSize((SplitDimensions(T18))))</f>
        <v/>
      </c>
      <c r="V18" s="17" t="str" cm="1">
        <f t="array" ref="V18">IF(ISERROR(INDEX(_xlfn._xlws.FILTER('Model output'!P:P,('Model output'!Z:Z=A18)*('Model output'!P:P&lt;&gt;"")),1)),"negative",IF(OR(ISNUMBER(SEARCH("foc",INDEX(_xlfn._xlws.FILTER('Model output'!P:P,('Model output'!Z:Z=A18)*('Model output'!P:P&lt;&gt;"")),1),1)),ISNUMBER(SEARCH("extensive",INDEX(_xlfn._xlws.FILTER('Model output'!P:P,('Model output'!Z:Z=A18)*('Model output'!P:P&lt;&gt;"")),1),1)),ISNUMBER(SEARCH("present",INDEX(_xlfn._xlws.FILTER('Model output'!P:P,('Model output'!Z:Z=A18)*('Model output'!P:P&lt;&gt;"")),1),1)),ISNUMBER(SEARCH("yes",INDEX(_xlfn._xlws.FILTER('Model output'!P:P,('Model output'!Z:Z=A18)*('Model output'!P:P&lt;&gt;"")),1),1))),"positive","negative"))</f>
        <v>positive</v>
      </c>
      <c r="X18" t="str" cm="1">
        <f t="array" ref="X18">IF(ISNUMBER(SEARCH("4",INDEX(_xlfn._xlws.FILTER('Model output'!P:P,('Model output'!Z:Z=A18)*('Model output'!P:P&lt;&gt;"")),1),1)),INDEX(_xlfn._xlws.FILTER('Model output'!P:P,('Model output'!Z:Z=A18)*('Model output'!P:P&lt;&gt;"")),1),"") &amp; _xlfn.TEXTJOIN("",TRUE,_xlfn._xlws.FILTER('Model output'!Q:Q,'Model output'!Z:Z=A18))</f>
        <v>Gross extrathyroidal extension with invasion to overlying strap muscles</v>
      </c>
      <c r="Y18" t="str">
        <f t="shared" si="11"/>
        <v>minimal</v>
      </c>
      <c r="Z18" t="str" cm="1">
        <f t="array" ref="Z18">IF(OR(ISNUMBER(SEARCH("focal",_xlfn.TEXTJOIN("; ",TRUE,_xlfn._xlws.FILTER('Model output'!R:R,'Model output'!Z:Z=A18)),1)),ISNUMBER(SEARCH("present",_xlfn.TEXTJOIN("; ",TRUE,_xlfn._xlws.FILTER('Model output'!R:R,'Model output'!Z:Z=A18)),1))),"positive",IF(_xlfn.TEXTJOIN("; ",TRUE,_xlfn._xlws.FILTER('Model output'!R:R,'Model output'!Z:Z=A18))="","negative",IF(OR(ISNUMBER(SEARCH("no",_xlfn.TEXTJOIN("; ",TRUE,_xlfn._xlws.FILTER('Model output'!R:R,'Model output'!Z:Z=A18)),1)),ISNUMBER(SEARCH("absent",_xlfn.TEXTJOIN("; ",TRUE,_xlfn._xlws.FILTER('Model output'!R:R,'Model output'!Z:Z=A18)),1))),"negative","positive")))</f>
        <v>negative</v>
      </c>
      <c r="AA18" s="17" t="str">
        <f t="shared" si="12"/>
        <v>positive</v>
      </c>
      <c r="AE18" s="17" t="str">
        <f t="shared" si="14"/>
        <v>positive</v>
      </c>
      <c r="AF18" t="str" cm="1">
        <f t="array" ref="AF18">_xlfn.TEXTJOIN("; ",TRUE,_xlfn._xlws.FILTER('Model output'!S:S,'Model output'!Z:Z=A18))</f>
        <v>Not identified; Overlying strap muscles</v>
      </c>
      <c r="AG18" s="17" t="str" cm="1">
        <f t="array" ref="AG18">IF(OR(ISNUMBER(SEARCH("uninvolved",_xlfn.TEXTJOIN("; ",TRUE,_xlfn._xlws.FILTER('Model output'!V:V,'Model output'!Z:Z=A18)),1)),ISNUMBER(SEARCH("clear",_xlfn.TEXTJOIN("; ",TRUE,_xlfn._xlws.FILTER('Model output'!V:V,'Model output'!Z:Z=A18)),1))*ISNUMBER(SEARCH("not mentioned",_xlfn.TEXTJOIN("; ",TRUE,_xlfn._xlws.FILTER('Model output'!V:V,'Model output'!Z:Z=A18)),1))),"negative",IF(ISNUMBER(SEARCH("cannot be assessed",_xlfn.TEXTJOIN("; ",TRUE,_xlfn._xlws.FILTER('Model output'!V:V,'Model output'!Z:Z=A18)),1)),"unknown","negative"))</f>
        <v>negative</v>
      </c>
      <c r="AI18" s="45" t="str">
        <f t="shared" si="13"/>
        <v>high</v>
      </c>
      <c r="AJ18" s="36" t="str">
        <f t="shared" si="2"/>
        <v>3b</v>
      </c>
      <c r="AK18" s="36" t="str">
        <f t="shared" si="3"/>
        <v>1a</v>
      </c>
      <c r="AL18" s="36">
        <f t="shared" si="4"/>
        <v>0</v>
      </c>
      <c r="AM18" s="36" t="str">
        <f t="shared" si="5"/>
        <v>I</v>
      </c>
      <c r="AN18" s="37" t="s">
        <v>164</v>
      </c>
      <c r="AO18" s="38" t="s">
        <v>423</v>
      </c>
      <c r="AP18" s="38">
        <v>0</v>
      </c>
      <c r="AQ18" s="38">
        <v>0</v>
      </c>
      <c r="AR18" s="38" t="s">
        <v>31</v>
      </c>
      <c r="AS18" s="37">
        <f t="shared" si="6"/>
        <v>0</v>
      </c>
      <c r="AT18" s="38">
        <f t="shared" si="7"/>
        <v>0</v>
      </c>
      <c r="AU18" s="38">
        <f t="shared" si="8"/>
        <v>0</v>
      </c>
      <c r="AV18" s="38">
        <f t="shared" si="9"/>
        <v>1</v>
      </c>
      <c r="AW18" s="39">
        <f t="shared" si="10"/>
        <v>1</v>
      </c>
    </row>
    <row r="19" spans="1:49">
      <c r="A19" s="13">
        <v>17</v>
      </c>
      <c r="B19" s="16">
        <f>_xlfn.MAXIFS('Model output'!B:B,'Model output'!Z:Z,'Classification result'!$A19)</f>
        <v>45457</v>
      </c>
      <c r="C19" s="16"/>
      <c r="D19" s="16"/>
      <c r="E19" s="17">
        <f>_xlfn.MAXIFS('Model output'!C:C,'Model output'!Z:Z,'Classification result'!$A19)</f>
        <v>49</v>
      </c>
      <c r="F19" s="17" t="str" cm="1">
        <f t="array" ref="F19">LEFT(IF(ISERROR(RIGHT(IF(INDEX(_xlfn._xlws.FILTER('Model output'!D:D,('Model output'!Z:Z=A19)),1)&lt;&gt;"",INDEX(_xlfn._xlws.FILTER('Model output'!D:D,('Model output'!Z:Z=A19)),1),""),LEN(IF(INDEX(_xlfn._xlws.FILTER('Model output'!D:D,('Model output'!Z:Z=A19)),1)&lt;&gt;"",INDEX(_xlfn._xlws.FILTER('Model output'!D:D,('Model output'!Z:Z=A19)),1),""))-FIND("T",IF(INDEX(_xlfn._xlws.FILTER('Model output'!D:D,('Model output'!Z:Z=A19)),1)&lt;&gt;"",INDEX(_xlfn._xlws.FILTER('Model output'!D:D,('Model output'!Z:Z=A19)),1),""),1))),"",(RIGHT(IF(INDEX(_xlfn._xlws.FILTER('Model output'!D:D,('Model output'!Z:Z=A19)),1)&lt;&gt;"",INDEX(_xlfn._xlws.FILTER('Model output'!D:D,('Model output'!Z:Z=A19)),1),""),LEN(IF(INDEX(_xlfn._xlws.FILTER('Model output'!D:D,('Model output'!Z:Z=A19)),1)&lt;&gt;"",INDEX(_xlfn._xlws.FILTER('Model output'!D:D,('Model output'!Z:Z=A19)),1),""))-FIND("T",IF(INDEX(_xlfn._xlws.FILTER('Model output'!D:D,('Model output'!Z:Z=A19)),1)&lt;&gt;"",INDEX(_xlfn._xlws.FILTER('Model output'!D:D,('Model output'!Z:Z=A19)),1)))))),2)</f>
        <v>1b</v>
      </c>
      <c r="G19" s="17" t="str" cm="1">
        <f t="array" ref="G19">IF(ISNUMBER(SEARCH("N",IF(ISNUMBER(SEARCH("present",IF(INDEX(_xlfn._xlws.FILTER('Model output'!E:E,('Model output'!Z:Z=A19)),1)="","",INDEX(_xlfn._xlws.FILTER('Model output'!E:E,('Model output'!Z:Z=A19)),1)),1)),"N1", IF(INDEX(_xlfn._xlws.FILTER('Model output'!E:E,('Model output'!Z:Z=A19)),1)="","",INDEX(_xlfn._xlws.FILTER('Model output'!E:E,('Model output'!Z:Z=A19)),1))),1)),RIGHT(IF(ISNUMBER(SEARCH("present",IF(INDEX(_xlfn._xlws.FILTER('Model output'!E:E,('Model output'!Z:Z=A19)),1)="","",INDEX(_xlfn._xlws.FILTER('Model output'!E:E,('Model output'!Z:Z=A19)),1)),1)),"N1", IF(INDEX(_xlfn._xlws.FILTER('Model output'!E:E,('Model output'!Z:Z=A19)),1)="","",INDEX(_xlfn._xlws.FILTER('Model output'!E:E,('Model output'!Z:Z=A19)),1))),LEN(IF(ISNUMBER(SEARCH("present",IF(INDEX(_xlfn._xlws.FILTER('Model output'!E:E,('Model output'!Z:Z=A19)),1)="","",INDEX(_xlfn._xlws.FILTER('Model output'!E:E,('Model output'!Z:Z=A19)),1)),1)),"N1", IF(INDEX(_xlfn._xlws.FILTER('Model output'!E:E,('Model output'!Z:Z=A19)),1)="","",INDEX(_xlfn._xlws.FILTER('Model output'!E:E,('Model output'!Z:Z=A19)),1))))-FIND("N",IF(ISNUMBER(SEARCH("present",IF(INDEX(_xlfn._xlws.FILTER('Model output'!E:E,('Model output'!Z:Z=A19)),1)="","",INDEX(_xlfn._xlws.FILTER('Model output'!E:E,('Model output'!Z:Z=A19)),1)),1)),"N1", IF(INDEX(_xlfn._xlws.FILTER('Model output'!E:E,('Model output'!Z:Z=A19)),1)="","",INDEX(_xlfn._xlws.FILTER('Model output'!E:E,('Model output'!Z:Z=A19)),1))),1)), "")</f>
        <v>1b</v>
      </c>
      <c r="H19" s="17" cm="1">
        <f t="array" ref="H19">IF(AND(SUBSTITUTE(_xlfn.TEXTJOIN("/", TRUE, _xlfn._xlws.FILTER('Model output'!F:F, 'Model output'!Z:Z=A19)),"M", "")="", K19="negative"),0,IF(K19="positive",1,0))</f>
        <v>0</v>
      </c>
      <c r="I19" t="str">
        <f t="shared" si="0"/>
        <v>positive</v>
      </c>
      <c r="J19" t="str" cm="1">
        <f t="array" ref="J19">IF(AND(M19&gt;0, _xlfn.TEXTJOIN("; ", TRUE, _xlfn._xlws.FILTER('Model output'!G:G, 'Model output'!Z:Z=A19)) &lt;&gt;"", OR(AND(ISNUMBER(SEARCH("level", _xlfn.TEXTJOIN("; ", TRUE, _xlfn._xlws.FILTER('Model output'!G:G, 'Model output'!Z:Z=A19)),1)),OR(ISNUMBER(SEARCH(" II", _xlfn.TEXTJOIN("; ", TRUE, _xlfn._xlws.FILTER('Model output'!G:G, 'Model output'!Z:Z=A19)),1)),ISNUMBER(SEARCH("2", _xlfn.TEXTJOIN("; ", TRUE, _xlfn._xlws.FILTER('Model output'!G:G, 'Model output'!Z:Z=A19)),1)),ISNUMBER(SEARCH("two", _xlfn.TEXTJOIN("; ", TRUE, _xlfn._xlws.FILTER('Model output'!G:G, 'Model output'!Z:Z=A19)),1)),ISNUMBER(SEARCH("III", _xlfn.TEXTJOIN("; ", TRUE, _xlfn._xlws.FILTER('Model output'!G:G, 'Model output'!Z:Z=A19)),1)),ISNUMBER(SEARCH("3", _xlfn.TEXTJOIN("; ", TRUE, _xlfn._xlws.FILTER('Model output'!G:G, 'Model output'!Z:Z=A19)),1)),ISNUMBER(SEARCH("three", _xlfn.TEXTJOIN("; ", TRUE, _xlfn._xlws.FILTER('Model output'!G:G, 'Model output'!Z:Z=A19)),1)),ISNUMBER(SEARCH("IV", _xlfn.TEXTJOIN("; ", TRUE, _xlfn._xlws.FILTER('Model output'!G:G, 'Model output'!Z:Z=A19)),1)),ISNUMBER(SEARCH("4", _xlfn.TEXTJOIN("; ", TRUE, _xlfn._xlws.FILTER('Model output'!G:G, 'Model output'!Z:Z=A19)),1)),ISNUMBER(SEARCH("five", _xlfn.TEXTJOIN("; ", TRUE, _xlfn._xlws.FILTER('Model output'!G:G, 'Model output'!Z:Z=A19)),1)),ISNUMBER(SEARCH("V ", _xlfn.TEXTJOIN("; ", TRUE, _xlfn._xlws.FILTER('Model output'!G:G, 'Model output'!Z:Z=A19)),1)),ISNUMBER(SEARCH("5", _xlfn.TEXTJOIN("; ", TRUE, _xlfn._xlws.FILTER('Model output'!G:G, 'Model output'!Z:Z=A19)),1)),ISNUMBER(SEARCH("five", _xlfn.TEXTJOIN("; ", TRUE, _xlfn._xlws.FILTER('Model output'!G:G, 'Model output'!Z:Z=A19)),1)),ISNUMBER(SEARCH(" lateral", _xlfn.TEXTJOIN("; ", TRUE, _xlfn._xlws.FILTER('Model output'!G:G, 'Model output'!Z:Z=A19)),1)))),ISNUMBER(SEARCH("cervical", _xlfn.TEXTJOIN("; ", TRUE, _xlfn._xlws.FILTER('Model output'!G:G, 'Model output'!Z:Z=A19)),1)),ISNUMBER(SEARCH("jugular", _xlfn.TEXTJOIN("; ", TRUE, _xlfn._xlws.FILTER('Model output'!G:G, 'Model output'!Z:Z=A19)),1)),ISNUMBER(SEARCH("left neck", _xlfn.TEXTJOIN("; ", TRUE, _xlfn._xlws.FILTER('Model output'!G:G, 'Model output'!Z:Z=A19)),1)),ISNUMBER(SEARCH("left anterior neck", _xlfn.TEXTJOIN("; ", TRUE, _xlfn._xlws.FILTER('Model output'!G:G, 'Model output'!Z:Z=A19)),1)),ISNUMBER(SEARCH("left posterior neck", _xlfn.TEXTJOIN("; ", TRUE, _xlfn._xlws.FILTER('Model output'!G:G, 'Model output'!Z:Z=A19)),1)),ISNUMBER(SEARCH("right neck", _xlfn.TEXTJOIN("; ", TRUE, _xlfn._xlws.FILTER('Model output'!G:G, 'Model output'!Z:Z=A19)),1)),ISNUMBER(SEARCH("right anterior neck", _xlfn.TEXTJOIN("; ", TRUE, _xlfn._xlws.FILTER('Model output'!G:G, 'Model output'!Z:Z=A19)),1)),ISNUMBER(SEARCH("right posterior neck", _xlfn.TEXTJOIN("; ", TRUE, _xlfn._xlws.FILTER('Model output'!G:G, 'Model output'!Z:Z=A19)),1)))),"lateral",IF(AND(M19=0, _xlfn.TEXTJOIN("; ", TRUE, _xlfn._xlws.FILTER('Model output'!G:G, 'Model output'!Z:Z=A19))=""),"", "central"))</f>
        <v>lateral</v>
      </c>
      <c r="K19" s="17" t="str" cm="1">
        <f t="array" ref="K19">IF(OR(ISNUMBER(SEARCH("lymph",_xlfn.TEXTJOIN("; ", TRUE, _xlfn._xlws.FILTER('Model output'!H:H, 'Model output'!Z:Z=A19)),1)), ISNUMBER(SEARCH("Not mentioned",_xlfn.TEXTJOIN("; ", TRUE, _xlfn._xlws.FILTER('Model output'!H:H, 'Model output'!Z:Z=A19)),1)),ISNUMBER(SEARCH("subcutaneous soft tissues",_xlfn.TEXTJOIN("; ", TRUE, _xlfn._xlws.FILTER('Model output'!H:H, 'Model output'!Z:Z=A19)),1)),ISNUMBER(SEARCH("larynx",_xlfn.TEXTJOIN("; ", TRUE, _xlfn._xlws.FILTER('Model output'!H:H, 'Model output'!Z:Z=A19)),1)),ISNUMBER(SEARCH("trachea",_xlfn.TEXTJOIN("; ", TRUE, _xlfn._xlws.FILTER('Model output'!H:H, 'Model output'!Z:Z=A19)),1)),ISNUMBER(SEARCH("esophagus",_xlfn.TEXTJOIN("; ", TRUE, _xlfn._xlws.FILTER('Model output'!H:H, 'Model output'!Z:Z=A19)),1)),ISNUMBER(SEARCH("recurrent laryngeal nerve",_xlfn.TEXTJOIN("; ", TRUE, _xlfn._xlws.FILTER('Model output'!H:H, 'Model output'!Z:Z=A19)),1)),ISNUMBER(SEARCH("strap muscle",_xlfn.TEXTJOIN("; ", TRUE, _xlfn._xlws.FILTER('Model output'!H:H, 'Model output'!Z:Z=A19)),1)),ISNUMBER(SEARCH("thyroid",_xlfn.TEXTJOIN("; ", TRUE, _xlfn._xlws.FILTER('Model output'!H:H, 'Model output'!Z:Z=A19)),1)),ISNUMBER(SEARCH("RLN",_xlfn.TEXTJOIN("; ", TRUE, _xlfn._xlws.FILTER('Model output'!H:H, 'Model output'!Z:Z=A19)),1)),_xlfn.TEXTJOIN("; ", TRUE, _xlfn._xlws.FILTER('Model output'!H:H, 'Model output'!Z:Z=A19))=""),"negative","positive")</f>
        <v>negative</v>
      </c>
      <c r="L19" s="17">
        <f>IF(IFERROR(INDEX('Model output'!I:I, MATCH(A19, 'Model output'!Z:Z, 0)), "") &lt; M19, "", IFERROR(INDEX('Model output'!I:I, MATCH(A19, 'Model output'!Z:Z, 0)), ""))</f>
        <v>21</v>
      </c>
      <c r="M19" s="17">
        <f>IFERROR(INDEX('Model output'!J:J, MATCH(A19, 'Model output'!Z:Z, 0)), "")</f>
        <v>5</v>
      </c>
      <c r="N19" s="18" t="str" cm="1">
        <f t="array" ref="N19">ReplaceTo(ReplaceAnd(SUBSTITUTE(SUBSTITUTE(_xlfn.TEXTJOIN("; ", TRUE, _xlfn._xlws.FILTER('Model output'!K:K, 'Model output'!Z:Z=A19)), " ", ""), ",", ";")))</f>
        <v>8</v>
      </c>
      <c r="O19" t="str" cm="1">
        <f t="array" ref="O19">IF(LEFT(IF(RIGHT(SUBSTITUTE(FilterWithUnits(N19)&amp; ";" &amp;FilterStringsWithNumericAnd(N19) &amp; ";" &amp; FilterStringsWithX(N19), ";;", ";"),1)=";",LEFT(SUBSTITUTE(FilterWithUnits(N19)&amp; ";" &amp;FilterStringsWithNumericAnd(N19) &amp; ";" &amp; FilterStringsWithX(N19), ";;", ";"),LEN(SUBSTITUTE(FilterWithUnits(N19)&amp; ";" &amp;FilterStringsWithNumericAnd(N19) &amp; ";" &amp; FilterStringsWithX(N19), ";;", ";"))-1),SUBSTITUTE(FilterWithUnits(N19)&amp; ";" &amp;FilterStringsWithNumericAnd(N19) &amp; ";" &amp; FilterStringsWithX(N19), ";;", ";")),1)=";",RIGHT(IF(RIGHT(SUBSTITUTE(FilterWithUnits(N19)&amp; ";" &amp;FilterStringsWithNumericAnd(N19) &amp; ";" &amp; FilterStringsWithX(N19), ";;", ";"),1)=";",LEFT(SUBSTITUTE(FilterWithUnits(N19)&amp; ";" &amp;FilterStringsWithNumericAnd(N19) &amp; ";" &amp; FilterStringsWithX(N19), ";;", ";"),LEN(SUBSTITUTE(FilterWithUnits(N19)&amp; ";" &amp;FilterStringsWithNumericAnd(N19) &amp; ";" &amp; FilterStringsWithX(N19), ";;", ";"))-1),SUBSTITUTE(FilterWithUnits(N19)&amp; ";" &amp;FilterStringsWithNumericAnd(N19) &amp; ";" &amp; FilterStringsWithX(N19), ";;", ";")),LEN(IF(RIGHT(SUBSTITUTE(FilterWithUnits(N19)&amp; ";" &amp;FilterStringsWithNumericAnd(N19) &amp; ";" &amp; FilterStringsWithX(N19), ";;", ";"),1)=";",LEFT(SUBSTITUTE(FilterWithUnits(N19)&amp; ";" &amp;FilterStringsWithNumericAnd(N19) &amp; ";" &amp; FilterStringsWithX(N19), ";;", ";"),LEN(SUBSTITUTE(FilterWithUnits(N19)&amp; ";" &amp;FilterStringsWithNumericAnd(N19) &amp; ";" &amp; FilterStringsWithX(N19), ";;", ";"))-1),SUBSTITUTE(FilterWithUnits(N19)&amp; ";" &amp;FilterStringsWithNumericAnd(N19) &amp; ";" &amp; FilterStringsWithX(N19), ";;", ";")))-1),IF(RIGHT(SUBSTITUTE(FilterWithUnits(N19)&amp; ";" &amp;FilterStringsWithNumericAnd(N19) &amp; ";" &amp; FilterStringsWithX(N19), ";;", ";"),1)=";",LEFT(SUBSTITUTE(FilterWithUnits(N19)&amp; ";" &amp;FilterStringsWithNumericAnd(N19) &amp; ";" &amp; FilterStringsWithX(N19), ";;", ";"),LEN(SUBSTITUTE(FilterWithUnits(N19)&amp; ";" &amp;FilterStringsWithNumericAnd(N19) &amp; ";" &amp; FilterStringsWithX(N19), ";;", ";"))-1),SUBSTITUTE(FilterWithUnits(N19)&amp; ";" &amp;FilterStringsWithNumericAnd(N19) &amp; ";" &amp; FilterStringsWithX(N19), ";;", ";")))</f>
        <v/>
      </c>
      <c r="P19" t="str" cm="1">
        <f t="array" ref="P19">IF(MaxSize((SplitDimensions(O19)))=0, "", MaxSize((SplitDimensions(O19))))</f>
        <v/>
      </c>
      <c r="Q19" t="str" cm="1">
        <f t="array" ref="Q19">IF(ISERROR(INDEX(_xlfn._xlws.FILTER('Model output'!L:L, ('Model output'!Z:Z=A19)*('Model output'!L:L&lt;&gt;"")), 1)), " ", LOWER(INDEX(_xlfn._xlws.FILTER('Model output'!L:L, ('Model output'!Z:Z=A19)*('Model output'!L:L&lt;&gt;"")), 1)))</f>
        <v>papillary carcinoma, classic subtype</v>
      </c>
      <c r="R19" t="str" cm="1">
        <f t="array" ref="R19">IF(ISERROR(INDEX(_xlfn._xlws.FILTER('Model output'!M:M, ('Model output'!Z:Z=A19)*('Model output'!M:M&lt;&gt;"")), 1)), " ", LOWER(INDEX(_xlfn._xlws.FILTER('Model output'!M:M, ('Model output'!Z:Z=A19)*('Model output'!M:M&lt;&gt;"")), 1)))</f>
        <v>papillary</v>
      </c>
      <c r="S19" t="str" cm="1">
        <f t="array" ref="S19">IF(OR(ISNUMBER(SEARCH("ly",SUBSTITUTE(INDEX(_xlfn._xlws.FILTER('Model output'!N:N,('Model output'!Z:Z=A19)*('Model output'!N:N&lt;&gt;"")),1)," ",""),1)), ISNUMBER(SEARCH("pole",SUBSTITUTE(INDEX(_xlfn._xlws.FILTER('Model output'!N:N,('Model output'!Z:Z=A19)*('Model output'!N:N&lt;&gt;"")),1)," ",""),1))),"",SUBSTITUTE(INDEX(_xlfn._xlws.FILTER('Model output'!N:N,('Model output'!Z:Z=A19)*('Model output'!N:N&lt;&gt;"")),1)," ",""))</f>
        <v>11mm</v>
      </c>
      <c r="T19" t="str" cm="1">
        <f t="array" ref="T19">IF(LEFT(IF(RIGHT(SUBSTITUTE(FilterWithUnits(S19)&amp; ";" &amp;FilterStringsWithNumericAnd(S19) &amp; ";" &amp; FilterStringsWithX(S19), ";;", ";"),1)=";",LEFT(SUBSTITUTE(FilterWithUnits(S19)&amp; ";" &amp;FilterStringsWithNumericAnd(S19) &amp; ";" &amp; FilterStringsWithX(S19), ";;", ";"),LEN(SUBSTITUTE(FilterWithUnits(S19)&amp; ";" &amp;FilterStringsWithNumericAnd(S19) &amp; ";" &amp; FilterStringsWithX(S19), ";;", ";"))-1),SUBSTITUTE(FilterWithUnits(S19)&amp; ";" &amp;FilterStringsWithNumericAnd(S19) &amp; ";" &amp; FilterStringsWithX(S19), ";;", ";")),1)=";",RIGHT(IF(RIGHT(SUBSTITUTE(FilterWithUnits(S19)&amp; ";" &amp;FilterStringsWithNumericAnd(S19) &amp; ";" &amp; FilterStringsWithX(S19), ";;", ";"),1)=";",LEFT(SUBSTITUTE(FilterWithUnits(S19)&amp; ";" &amp;FilterStringsWithNumericAnd(S19) &amp; ";" &amp; FilterStringsWithX(S19), ";;", ";"),LEN(SUBSTITUTE(FilterWithUnits(S19)&amp; ";" &amp;FilterStringsWithNumericAnd(S19) &amp; ";" &amp; FilterStringsWithX(S19), ";;", ";"))-1),SUBSTITUTE(FilterWithUnits(S19)&amp; ";" &amp;FilterStringsWithNumericAnd(S19) &amp; ";" &amp; FilterStringsWithX(S19), ";;", ";")),LEN(IF(RIGHT(SUBSTITUTE(FilterWithUnits(S19)&amp; ";" &amp;FilterStringsWithNumericAnd(S19) &amp; ";" &amp; FilterStringsWithX(S19), ";;", ";"),1)=";",LEFT(SUBSTITUTE(FilterWithUnits(S19)&amp; ";" &amp;FilterStringsWithNumericAnd(S19) &amp; ";" &amp; FilterStringsWithX(S19), ";;", ";"),LEN(SUBSTITUTE(FilterWithUnits(S19)&amp; ";" &amp;FilterStringsWithNumericAnd(S19) &amp; ";" &amp; FilterStringsWithX(S19), ";;", ";"))-1),SUBSTITUTE(FilterWithUnits(S19)&amp; ";" &amp;FilterStringsWithNumericAnd(S19) &amp; ";" &amp; FilterStringsWithX(S19), ";;", ";")))-1),IF(RIGHT(SUBSTITUTE(FilterWithUnits(S19)&amp; ";" &amp;FilterStringsWithNumericAnd(S19) &amp; ";" &amp; FilterStringsWithX(S19), ";;", ";"),1)=";",LEFT(SUBSTITUTE(FilterWithUnits(S19)&amp; ";" &amp;FilterStringsWithNumericAnd(S19) &amp; ";" &amp; FilterStringsWithX(S19), ";;", ";"),LEN(SUBSTITUTE(FilterWithUnits(S19)&amp; ";" &amp;FilterStringsWithNumericAnd(S19) &amp; ";" &amp; FilterStringsWithX(S19), ";;", ";"))-1),SUBSTITUTE(FilterWithUnits(S19)&amp; ";" &amp;FilterStringsWithNumericAnd(S19) &amp; ";" &amp; FilterStringsWithX(S19), ";;", ";")))</f>
        <v>11mm</v>
      </c>
      <c r="U19" cm="1">
        <f t="array" ref="U19">IF(MaxSize((SplitDimensions(T19)))=0, "", MaxSize((SplitDimensions(T19))))</f>
        <v>1.1000000000000001</v>
      </c>
      <c r="V19" s="17" t="str" cm="1">
        <f t="array" ref="V19">IF(ISERROR(INDEX(_xlfn._xlws.FILTER('Model output'!P:P,('Model output'!Z:Z=A19)*('Model output'!P:P&lt;&gt;"")),1)),"negative",IF(OR(ISNUMBER(SEARCH("foc",INDEX(_xlfn._xlws.FILTER('Model output'!P:P,('Model output'!Z:Z=A19)*('Model output'!P:P&lt;&gt;"")),1),1)),ISNUMBER(SEARCH("extensive",INDEX(_xlfn._xlws.FILTER('Model output'!P:P,('Model output'!Z:Z=A19)*('Model output'!P:P&lt;&gt;"")),1),1)),ISNUMBER(SEARCH("present",INDEX(_xlfn._xlws.FILTER('Model output'!P:P,('Model output'!Z:Z=A19)*('Model output'!P:P&lt;&gt;"")),1),1)),ISNUMBER(SEARCH("yes",INDEX(_xlfn._xlws.FILTER('Model output'!P:P,('Model output'!Z:Z=A19)*('Model output'!P:P&lt;&gt;"")),1),1))),"positive","negative"))</f>
        <v>negative</v>
      </c>
      <c r="X19" t="str" cm="1">
        <f t="array" ref="X19">IF(ISNUMBER(SEARCH("4",INDEX(_xlfn._xlws.FILTER('Model output'!P:P,('Model output'!Z:Z=A19)*('Model output'!P:P&lt;&gt;"")),1),1)),INDEX(_xlfn._xlws.FILTER('Model output'!P:P,('Model output'!Z:Z=A19)*('Model output'!P:P&lt;&gt;"")),1),"") &amp; _xlfn.TEXTJOIN("",TRUE,_xlfn._xlws.FILTER('Model output'!Q:Q,'Model output'!Z:Z=A19))</f>
        <v/>
      </c>
      <c r="Y19" t="str">
        <f t="shared" si="11"/>
        <v>no</v>
      </c>
      <c r="Z19" t="str" cm="1">
        <f t="array" ref="Z19">IF(OR(ISNUMBER(SEARCH("focal",_xlfn.TEXTJOIN("; ",TRUE,_xlfn._xlws.FILTER('Model output'!R:R,'Model output'!Z:Z=A19)),1)),ISNUMBER(SEARCH("present",_xlfn.TEXTJOIN("; ",TRUE,_xlfn._xlws.FILTER('Model output'!R:R,'Model output'!Z:Z=A19)),1))),"positive",IF(_xlfn.TEXTJOIN("; ",TRUE,_xlfn._xlws.FILTER('Model output'!R:R,'Model output'!Z:Z=A19))="","negative",IF(OR(ISNUMBER(SEARCH("no",_xlfn.TEXTJOIN("; ",TRUE,_xlfn._xlws.FILTER('Model output'!R:R,'Model output'!Z:Z=A19)),1)),ISNUMBER(SEARCH("absent",_xlfn.TEXTJOIN("; ",TRUE,_xlfn._xlws.FILTER('Model output'!R:R,'Model output'!Z:Z=A19)),1))),"negative","positive")))</f>
        <v>negative</v>
      </c>
      <c r="AA19" s="17" t="str">
        <f t="shared" si="12"/>
        <v>negative</v>
      </c>
      <c r="AE19" s="17" t="str">
        <f t="shared" si="14"/>
        <v>negative</v>
      </c>
      <c r="AF19" t="str" cm="1">
        <f t="array" ref="AF19">_xlfn.TEXTJOIN("; ",TRUE,_xlfn._xlws.FILTER('Model output'!S:S,'Model output'!Z:Z=A19))</f>
        <v>Not identified; Not mentioned</v>
      </c>
      <c r="AG19" s="17" t="str" cm="1">
        <f t="array" ref="AG19">IF(OR(ISNUMBER(SEARCH("uninvolved",_xlfn.TEXTJOIN("; ",TRUE,_xlfn._xlws.FILTER('Model output'!V:V,'Model output'!Z:Z=A19)),1)),ISNUMBER(SEARCH("clear",_xlfn.TEXTJOIN("; ",TRUE,_xlfn._xlws.FILTER('Model output'!V:V,'Model output'!Z:Z=A19)),1))*ISNUMBER(SEARCH("not mentioned",_xlfn.TEXTJOIN("; ",TRUE,_xlfn._xlws.FILTER('Model output'!V:V,'Model output'!Z:Z=A19)),1))),"negative",IF(ISNUMBER(SEARCH("cannot be assessed",_xlfn.TEXTJOIN("; ",TRUE,_xlfn._xlws.FILTER('Model output'!V:V,'Model output'!Z:Z=A19)),1)),"unknown","negative"))</f>
        <v>negative</v>
      </c>
      <c r="AI19" s="45" t="str">
        <f t="shared" si="13"/>
        <v>intermediate</v>
      </c>
      <c r="AJ19" s="36" t="str">
        <f t="shared" si="2"/>
        <v>1b</v>
      </c>
      <c r="AK19" s="36" t="str">
        <f t="shared" si="3"/>
        <v>1b</v>
      </c>
      <c r="AL19" s="36">
        <f t="shared" si="4"/>
        <v>0</v>
      </c>
      <c r="AM19" s="36" t="str">
        <f t="shared" si="5"/>
        <v>I</v>
      </c>
      <c r="AN19" s="37" t="s">
        <v>164</v>
      </c>
      <c r="AO19" s="38" t="s">
        <v>201</v>
      </c>
      <c r="AP19" s="38" t="s">
        <v>201</v>
      </c>
      <c r="AQ19" s="38">
        <v>0</v>
      </c>
      <c r="AR19" s="38" t="s">
        <v>31</v>
      </c>
      <c r="AS19" s="37">
        <f t="shared" si="6"/>
        <v>1</v>
      </c>
      <c r="AT19" s="38">
        <f t="shared" si="7"/>
        <v>1</v>
      </c>
      <c r="AU19" s="38">
        <f t="shared" si="8"/>
        <v>1</v>
      </c>
      <c r="AV19" s="38">
        <f t="shared" si="9"/>
        <v>1</v>
      </c>
      <c r="AW19" s="39">
        <f t="shared" si="10"/>
        <v>1</v>
      </c>
    </row>
    <row r="20" spans="1:49">
      <c r="A20" s="13">
        <v>18</v>
      </c>
      <c r="B20" s="16">
        <f>_xlfn.MAXIFS('Model output'!B:B,'Model output'!Z:Z,'Classification result'!$A20)</f>
        <v>45355</v>
      </c>
      <c r="C20" s="16"/>
      <c r="D20" s="16"/>
      <c r="E20" s="17">
        <f>_xlfn.MAXIFS('Model output'!C:C,'Model output'!Z:Z,'Classification result'!$A20)</f>
        <v>55</v>
      </c>
      <c r="F20" s="17" t="str" cm="1">
        <f t="array" ref="F20">LEFT(IF(ISERROR(RIGHT(IF(INDEX(_xlfn._xlws.FILTER('Model output'!D:D,('Model output'!Z:Z=A20)),1)&lt;&gt;"",INDEX(_xlfn._xlws.FILTER('Model output'!D:D,('Model output'!Z:Z=A20)),1),""),LEN(IF(INDEX(_xlfn._xlws.FILTER('Model output'!D:D,('Model output'!Z:Z=A20)),1)&lt;&gt;"",INDEX(_xlfn._xlws.FILTER('Model output'!D:D,('Model output'!Z:Z=A20)),1),""))-FIND("T",IF(INDEX(_xlfn._xlws.FILTER('Model output'!D:D,('Model output'!Z:Z=A20)),1)&lt;&gt;"",INDEX(_xlfn._xlws.FILTER('Model output'!D:D,('Model output'!Z:Z=A20)),1),""),1))),"",(RIGHT(IF(INDEX(_xlfn._xlws.FILTER('Model output'!D:D,('Model output'!Z:Z=A20)),1)&lt;&gt;"",INDEX(_xlfn._xlws.FILTER('Model output'!D:D,('Model output'!Z:Z=A20)),1),""),LEN(IF(INDEX(_xlfn._xlws.FILTER('Model output'!D:D,('Model output'!Z:Z=A20)),1)&lt;&gt;"",INDEX(_xlfn._xlws.FILTER('Model output'!D:D,('Model output'!Z:Z=A20)),1),""))-FIND("T",IF(INDEX(_xlfn._xlws.FILTER('Model output'!D:D,('Model output'!Z:Z=A20)),1)&lt;&gt;"",INDEX(_xlfn._xlws.FILTER('Model output'!D:D,('Model output'!Z:Z=A20)),1)))))),2)</f>
        <v>4a</v>
      </c>
      <c r="G20" s="17" t="str" cm="1">
        <f t="array" ref="G20">IF(ISNUMBER(SEARCH("N",IF(ISNUMBER(SEARCH("present",IF(INDEX(_xlfn._xlws.FILTER('Model output'!E:E,('Model output'!Z:Z=A20)),1)="","",INDEX(_xlfn._xlws.FILTER('Model output'!E:E,('Model output'!Z:Z=A20)),1)),1)),"N1", IF(INDEX(_xlfn._xlws.FILTER('Model output'!E:E,('Model output'!Z:Z=A20)),1)="","",INDEX(_xlfn._xlws.FILTER('Model output'!E:E,('Model output'!Z:Z=A20)),1))),1)),RIGHT(IF(ISNUMBER(SEARCH("present",IF(INDEX(_xlfn._xlws.FILTER('Model output'!E:E,('Model output'!Z:Z=A20)),1)="","",INDEX(_xlfn._xlws.FILTER('Model output'!E:E,('Model output'!Z:Z=A20)),1)),1)),"N1", IF(INDEX(_xlfn._xlws.FILTER('Model output'!E:E,('Model output'!Z:Z=A20)),1)="","",INDEX(_xlfn._xlws.FILTER('Model output'!E:E,('Model output'!Z:Z=A20)),1))),LEN(IF(ISNUMBER(SEARCH("present",IF(INDEX(_xlfn._xlws.FILTER('Model output'!E:E,('Model output'!Z:Z=A20)),1)="","",INDEX(_xlfn._xlws.FILTER('Model output'!E:E,('Model output'!Z:Z=A20)),1)),1)),"N1", IF(INDEX(_xlfn._xlws.FILTER('Model output'!E:E,('Model output'!Z:Z=A20)),1)="","",INDEX(_xlfn._xlws.FILTER('Model output'!E:E,('Model output'!Z:Z=A20)),1))))-FIND("N",IF(ISNUMBER(SEARCH("present",IF(INDEX(_xlfn._xlws.FILTER('Model output'!E:E,('Model output'!Z:Z=A20)),1)="","",INDEX(_xlfn._xlws.FILTER('Model output'!E:E,('Model output'!Z:Z=A20)),1)),1)),"N1", IF(INDEX(_xlfn._xlws.FILTER('Model output'!E:E,('Model output'!Z:Z=A20)),1)="","",INDEX(_xlfn._xlws.FILTER('Model output'!E:E,('Model output'!Z:Z=A20)),1))),1)), "")</f>
        <v>1a</v>
      </c>
      <c r="H20" s="17" cm="1">
        <f t="array" ref="H20">IF(AND(SUBSTITUTE(_xlfn.TEXTJOIN("/", TRUE, _xlfn._xlws.FILTER('Model output'!F:F, 'Model output'!Z:Z=A20)),"M", "")="", K20="negative"),0,IF(K20="positive",1,0))</f>
        <v>0</v>
      </c>
      <c r="I20" t="str">
        <f t="shared" si="0"/>
        <v>positive</v>
      </c>
      <c r="J20" t="str" cm="1">
        <f t="array" ref="J20">IF(AND(M20&gt;0, _xlfn.TEXTJOIN("; ", TRUE, _xlfn._xlws.FILTER('Model output'!G:G, 'Model output'!Z:Z=A20)) &lt;&gt;"", OR(AND(ISNUMBER(SEARCH("level", _xlfn.TEXTJOIN("; ", TRUE, _xlfn._xlws.FILTER('Model output'!G:G, 'Model output'!Z:Z=A20)),1)),OR(ISNUMBER(SEARCH(" II", _xlfn.TEXTJOIN("; ", TRUE, _xlfn._xlws.FILTER('Model output'!G:G, 'Model output'!Z:Z=A20)),1)),ISNUMBER(SEARCH("2", _xlfn.TEXTJOIN("; ", TRUE, _xlfn._xlws.FILTER('Model output'!G:G, 'Model output'!Z:Z=A20)),1)),ISNUMBER(SEARCH("two", _xlfn.TEXTJOIN("; ", TRUE, _xlfn._xlws.FILTER('Model output'!G:G, 'Model output'!Z:Z=A20)),1)),ISNUMBER(SEARCH("III", _xlfn.TEXTJOIN("; ", TRUE, _xlfn._xlws.FILTER('Model output'!G:G, 'Model output'!Z:Z=A20)),1)),ISNUMBER(SEARCH("3", _xlfn.TEXTJOIN("; ", TRUE, _xlfn._xlws.FILTER('Model output'!G:G, 'Model output'!Z:Z=A20)),1)),ISNUMBER(SEARCH("three", _xlfn.TEXTJOIN("; ", TRUE, _xlfn._xlws.FILTER('Model output'!G:G, 'Model output'!Z:Z=A20)),1)),ISNUMBER(SEARCH("IV", _xlfn.TEXTJOIN("; ", TRUE, _xlfn._xlws.FILTER('Model output'!G:G, 'Model output'!Z:Z=A20)),1)),ISNUMBER(SEARCH("4", _xlfn.TEXTJOIN("; ", TRUE, _xlfn._xlws.FILTER('Model output'!G:G, 'Model output'!Z:Z=A20)),1)),ISNUMBER(SEARCH("five", _xlfn.TEXTJOIN("; ", TRUE, _xlfn._xlws.FILTER('Model output'!G:G, 'Model output'!Z:Z=A20)),1)),ISNUMBER(SEARCH("V ", _xlfn.TEXTJOIN("; ", TRUE, _xlfn._xlws.FILTER('Model output'!G:G, 'Model output'!Z:Z=A20)),1)),ISNUMBER(SEARCH("5", _xlfn.TEXTJOIN("; ", TRUE, _xlfn._xlws.FILTER('Model output'!G:G, 'Model output'!Z:Z=A20)),1)),ISNUMBER(SEARCH("five", _xlfn.TEXTJOIN("; ", TRUE, _xlfn._xlws.FILTER('Model output'!G:G, 'Model output'!Z:Z=A20)),1)),ISNUMBER(SEARCH(" lateral", _xlfn.TEXTJOIN("; ", TRUE, _xlfn._xlws.FILTER('Model output'!G:G, 'Model output'!Z:Z=A20)),1)))),ISNUMBER(SEARCH("cervical", _xlfn.TEXTJOIN("; ", TRUE, _xlfn._xlws.FILTER('Model output'!G:G, 'Model output'!Z:Z=A20)),1)),ISNUMBER(SEARCH("jugular", _xlfn.TEXTJOIN("; ", TRUE, _xlfn._xlws.FILTER('Model output'!G:G, 'Model output'!Z:Z=A20)),1)),ISNUMBER(SEARCH("left neck", _xlfn.TEXTJOIN("; ", TRUE, _xlfn._xlws.FILTER('Model output'!G:G, 'Model output'!Z:Z=A20)),1)),ISNUMBER(SEARCH("left anterior neck", _xlfn.TEXTJOIN("; ", TRUE, _xlfn._xlws.FILTER('Model output'!G:G, 'Model output'!Z:Z=A20)),1)),ISNUMBER(SEARCH("left posterior neck", _xlfn.TEXTJOIN("; ", TRUE, _xlfn._xlws.FILTER('Model output'!G:G, 'Model output'!Z:Z=A20)),1)),ISNUMBER(SEARCH("right neck", _xlfn.TEXTJOIN("; ", TRUE, _xlfn._xlws.FILTER('Model output'!G:G, 'Model output'!Z:Z=A20)),1)),ISNUMBER(SEARCH("right anterior neck", _xlfn.TEXTJOIN("; ", TRUE, _xlfn._xlws.FILTER('Model output'!G:G, 'Model output'!Z:Z=A20)),1)),ISNUMBER(SEARCH("right posterior neck", _xlfn.TEXTJOIN("; ", TRUE, _xlfn._xlws.FILTER('Model output'!G:G, 'Model output'!Z:Z=A20)),1)))),"lateral",IF(AND(M20=0, _xlfn.TEXTJOIN("; ", TRUE, _xlfn._xlws.FILTER('Model output'!G:G, 'Model output'!Z:Z=A20))=""),"", "central"))</f>
        <v>central</v>
      </c>
      <c r="K20" s="17" t="str" cm="1">
        <f t="array" ref="K20">IF(OR(ISNUMBER(SEARCH("lymph",_xlfn.TEXTJOIN("; ", TRUE, _xlfn._xlws.FILTER('Model output'!H:H, 'Model output'!Z:Z=A20)),1)), ISNUMBER(SEARCH("Not mentioned",_xlfn.TEXTJOIN("; ", TRUE, _xlfn._xlws.FILTER('Model output'!H:H, 'Model output'!Z:Z=A20)),1)),ISNUMBER(SEARCH("subcutaneous soft tissues",_xlfn.TEXTJOIN("; ", TRUE, _xlfn._xlws.FILTER('Model output'!H:H, 'Model output'!Z:Z=A20)),1)),ISNUMBER(SEARCH("larynx",_xlfn.TEXTJOIN("; ", TRUE, _xlfn._xlws.FILTER('Model output'!H:H, 'Model output'!Z:Z=A20)),1)),ISNUMBER(SEARCH("trachea",_xlfn.TEXTJOIN("; ", TRUE, _xlfn._xlws.FILTER('Model output'!H:H, 'Model output'!Z:Z=A20)),1)),ISNUMBER(SEARCH("esophagus",_xlfn.TEXTJOIN("; ", TRUE, _xlfn._xlws.FILTER('Model output'!H:H, 'Model output'!Z:Z=A20)),1)),ISNUMBER(SEARCH("recurrent laryngeal nerve",_xlfn.TEXTJOIN("; ", TRUE, _xlfn._xlws.FILTER('Model output'!H:H, 'Model output'!Z:Z=A20)),1)),ISNUMBER(SEARCH("strap muscle",_xlfn.TEXTJOIN("; ", TRUE, _xlfn._xlws.FILTER('Model output'!H:H, 'Model output'!Z:Z=A20)),1)),ISNUMBER(SEARCH("thyroid",_xlfn.TEXTJOIN("; ", TRUE, _xlfn._xlws.FILTER('Model output'!H:H, 'Model output'!Z:Z=A20)),1)),ISNUMBER(SEARCH("RLN",_xlfn.TEXTJOIN("; ", TRUE, _xlfn._xlws.FILTER('Model output'!H:H, 'Model output'!Z:Z=A20)),1)),_xlfn.TEXTJOIN("; ", TRUE, _xlfn._xlws.FILTER('Model output'!H:H, 'Model output'!Z:Z=A20))=""),"negative","positive")</f>
        <v>negative</v>
      </c>
      <c r="L20" s="17">
        <f>IF(IFERROR(INDEX('Model output'!I:I, MATCH(A20, 'Model output'!Z:Z, 0)), "") &lt; M20, "", IFERROR(INDEX('Model output'!I:I, MATCH(A20, 'Model output'!Z:Z, 0)), ""))</f>
        <v>4</v>
      </c>
      <c r="M20" s="17">
        <f>IFERROR(INDEX('Model output'!J:J, MATCH(A20, 'Model output'!Z:Z, 0)), "")</f>
        <v>4</v>
      </c>
      <c r="N20" s="18" t="str" cm="1">
        <f t="array" ref="N20">ReplaceTo(ReplaceAnd(SUBSTITUTE(SUBSTITUTE(_xlfn.TEXTJOIN("; ", TRUE, _xlfn._xlws.FILTER('Model output'!K:K, 'Model output'!Z:Z=A20)), " ", ""), ",", ";")))</f>
        <v>Notmentioned</v>
      </c>
      <c r="O20" t="str" cm="1">
        <f t="array" ref="O20">IF(LEFT(IF(RIGHT(SUBSTITUTE(FilterWithUnits(N20)&amp; ";" &amp;FilterStringsWithNumericAnd(N20) &amp; ";" &amp; FilterStringsWithX(N20), ";;", ";"),1)=";",LEFT(SUBSTITUTE(FilterWithUnits(N20)&amp; ";" &amp;FilterStringsWithNumericAnd(N20) &amp; ";" &amp; FilterStringsWithX(N20), ";;", ";"),LEN(SUBSTITUTE(FilterWithUnits(N20)&amp; ";" &amp;FilterStringsWithNumericAnd(N20) &amp; ";" &amp; FilterStringsWithX(N20), ";;", ";"))-1),SUBSTITUTE(FilterWithUnits(N20)&amp; ";" &amp;FilterStringsWithNumericAnd(N20) &amp; ";" &amp; FilterStringsWithX(N20), ";;", ";")),1)=";",RIGHT(IF(RIGHT(SUBSTITUTE(FilterWithUnits(N20)&amp; ";" &amp;FilterStringsWithNumericAnd(N20) &amp; ";" &amp; FilterStringsWithX(N20), ";;", ";"),1)=";",LEFT(SUBSTITUTE(FilterWithUnits(N20)&amp; ";" &amp;FilterStringsWithNumericAnd(N20) &amp; ";" &amp; FilterStringsWithX(N20), ";;", ";"),LEN(SUBSTITUTE(FilterWithUnits(N20)&amp; ";" &amp;FilterStringsWithNumericAnd(N20) &amp; ";" &amp; FilterStringsWithX(N20), ";;", ";"))-1),SUBSTITUTE(FilterWithUnits(N20)&amp; ";" &amp;FilterStringsWithNumericAnd(N20) &amp; ";" &amp; FilterStringsWithX(N20), ";;", ";")),LEN(IF(RIGHT(SUBSTITUTE(FilterWithUnits(N20)&amp; ";" &amp;FilterStringsWithNumericAnd(N20) &amp; ";" &amp; FilterStringsWithX(N20), ";;", ";"),1)=";",LEFT(SUBSTITUTE(FilterWithUnits(N20)&amp; ";" &amp;FilterStringsWithNumericAnd(N20) &amp; ";" &amp; FilterStringsWithX(N20), ";;", ";"),LEN(SUBSTITUTE(FilterWithUnits(N20)&amp; ";" &amp;FilterStringsWithNumericAnd(N20) &amp; ";" &amp; FilterStringsWithX(N20), ";;", ";"))-1),SUBSTITUTE(FilterWithUnits(N20)&amp; ";" &amp;FilterStringsWithNumericAnd(N20) &amp; ";" &amp; FilterStringsWithX(N20), ";;", ";")))-1),IF(RIGHT(SUBSTITUTE(FilterWithUnits(N20)&amp; ";" &amp;FilterStringsWithNumericAnd(N20) &amp; ";" &amp; FilterStringsWithX(N20), ";;", ";"),1)=";",LEFT(SUBSTITUTE(FilterWithUnits(N20)&amp; ";" &amp;FilterStringsWithNumericAnd(N20) &amp; ";" &amp; FilterStringsWithX(N20), ";;", ";"),LEN(SUBSTITUTE(FilterWithUnits(N20)&amp; ";" &amp;FilterStringsWithNumericAnd(N20) &amp; ";" &amp; FilterStringsWithX(N20), ";;", ";"))-1),SUBSTITUTE(FilterWithUnits(N20)&amp; ";" &amp;FilterStringsWithNumericAnd(N20) &amp; ";" &amp; FilterStringsWithX(N20), ";;", ";")))</f>
        <v/>
      </c>
      <c r="P20" t="str" cm="1">
        <f t="array" ref="P20">IF(MaxSize((SplitDimensions(O20)))=0, "", MaxSize((SplitDimensions(O20))))</f>
        <v/>
      </c>
      <c r="Q20" t="str" cm="1">
        <f t="array" ref="Q20">IF(ISERROR(INDEX(_xlfn._xlws.FILTER('Model output'!L:L, ('Model output'!Z:Z=A20)*('Model output'!L:L&lt;&gt;"")), 1)), " ", LOWER(INDEX(_xlfn._xlws.FILTER('Model output'!L:L, ('Model output'!Z:Z=A20)*('Model output'!L:L&lt;&gt;"")), 1)))</f>
        <v>papillary carcinoma, classic subtype</v>
      </c>
      <c r="R20" t="str" cm="1">
        <f t="array" ref="R20">IF(ISERROR(INDEX(_xlfn._xlws.FILTER('Model output'!M:M, ('Model output'!Z:Z=A20)*('Model output'!M:M&lt;&gt;"")), 1)), " ", LOWER(INDEX(_xlfn._xlws.FILTER('Model output'!M:M, ('Model output'!Z:Z=A20)*('Model output'!M:M&lt;&gt;"")), 1)))</f>
        <v>not mentioned</v>
      </c>
      <c r="S20" t="str" cm="1">
        <f t="array" ref="S20">IF(OR(ISNUMBER(SEARCH("ly",SUBSTITUTE(INDEX(_xlfn._xlws.FILTER('Model output'!N:N,('Model output'!Z:Z=A20)*('Model output'!N:N&lt;&gt;"")),1)," ",""),1)), ISNUMBER(SEARCH("pole",SUBSTITUTE(INDEX(_xlfn._xlws.FILTER('Model output'!N:N,('Model output'!Z:Z=A20)*('Model output'!N:N&lt;&gt;"")),1)," ",""),1))),"",SUBSTITUTE(INDEX(_xlfn._xlws.FILTER('Model output'!N:N,('Model output'!Z:Z=A20)*('Model output'!N:N&lt;&gt;"")),1)," ",""))</f>
        <v>30mm</v>
      </c>
      <c r="T20" t="str" cm="1">
        <f t="array" ref="T20">IF(LEFT(IF(RIGHT(SUBSTITUTE(FilterWithUnits(S20)&amp; ";" &amp;FilterStringsWithNumericAnd(S20) &amp; ";" &amp; FilterStringsWithX(S20), ";;", ";"),1)=";",LEFT(SUBSTITUTE(FilterWithUnits(S20)&amp; ";" &amp;FilterStringsWithNumericAnd(S20) &amp; ";" &amp; FilterStringsWithX(S20), ";;", ";"),LEN(SUBSTITUTE(FilterWithUnits(S20)&amp; ";" &amp;FilterStringsWithNumericAnd(S20) &amp; ";" &amp; FilterStringsWithX(S20), ";;", ";"))-1),SUBSTITUTE(FilterWithUnits(S20)&amp; ";" &amp;FilterStringsWithNumericAnd(S20) &amp; ";" &amp; FilterStringsWithX(S20), ";;", ";")),1)=";",RIGHT(IF(RIGHT(SUBSTITUTE(FilterWithUnits(S20)&amp; ";" &amp;FilterStringsWithNumericAnd(S20) &amp; ";" &amp; FilterStringsWithX(S20), ";;", ";"),1)=";",LEFT(SUBSTITUTE(FilterWithUnits(S20)&amp; ";" &amp;FilterStringsWithNumericAnd(S20) &amp; ";" &amp; FilterStringsWithX(S20), ";;", ";"),LEN(SUBSTITUTE(FilterWithUnits(S20)&amp; ";" &amp;FilterStringsWithNumericAnd(S20) &amp; ";" &amp; FilterStringsWithX(S20), ";;", ";"))-1),SUBSTITUTE(FilterWithUnits(S20)&amp; ";" &amp;FilterStringsWithNumericAnd(S20) &amp; ";" &amp; FilterStringsWithX(S20), ";;", ";")),LEN(IF(RIGHT(SUBSTITUTE(FilterWithUnits(S20)&amp; ";" &amp;FilterStringsWithNumericAnd(S20) &amp; ";" &amp; FilterStringsWithX(S20), ";;", ";"),1)=";",LEFT(SUBSTITUTE(FilterWithUnits(S20)&amp; ";" &amp;FilterStringsWithNumericAnd(S20) &amp; ";" &amp; FilterStringsWithX(S20), ";;", ";"),LEN(SUBSTITUTE(FilterWithUnits(S20)&amp; ";" &amp;FilterStringsWithNumericAnd(S20) &amp; ";" &amp; FilterStringsWithX(S20), ";;", ";"))-1),SUBSTITUTE(FilterWithUnits(S20)&amp; ";" &amp;FilterStringsWithNumericAnd(S20) &amp; ";" &amp; FilterStringsWithX(S20), ";;", ";")))-1),IF(RIGHT(SUBSTITUTE(FilterWithUnits(S20)&amp; ";" &amp;FilterStringsWithNumericAnd(S20) &amp; ";" &amp; FilterStringsWithX(S20), ";;", ";"),1)=";",LEFT(SUBSTITUTE(FilterWithUnits(S20)&amp; ";" &amp;FilterStringsWithNumericAnd(S20) &amp; ";" &amp; FilterStringsWithX(S20), ";;", ";"),LEN(SUBSTITUTE(FilterWithUnits(S20)&amp; ";" &amp;FilterStringsWithNumericAnd(S20) &amp; ";" &amp; FilterStringsWithX(S20), ";;", ";"))-1),SUBSTITUTE(FilterWithUnits(S20)&amp; ";" &amp;FilterStringsWithNumericAnd(S20) &amp; ";" &amp; FilterStringsWithX(S20), ";;", ";")))</f>
        <v>30mm</v>
      </c>
      <c r="U20" cm="1">
        <f t="array" ref="U20">IF(MaxSize((SplitDimensions(T20)))=0, "", MaxSize((SplitDimensions(T20))))</f>
        <v>3</v>
      </c>
      <c r="V20" s="17" t="str" cm="1">
        <f t="array" ref="V20">IF(ISERROR(INDEX(_xlfn._xlws.FILTER('Model output'!P:P,('Model output'!Z:Z=A20)*('Model output'!P:P&lt;&gt;"")),1)),"negative",IF(OR(ISNUMBER(SEARCH("foc",INDEX(_xlfn._xlws.FILTER('Model output'!P:P,('Model output'!Z:Z=A20)*('Model output'!P:P&lt;&gt;"")),1),1)),ISNUMBER(SEARCH("extensive",INDEX(_xlfn._xlws.FILTER('Model output'!P:P,('Model output'!Z:Z=A20)*('Model output'!P:P&lt;&gt;"")),1),1)),ISNUMBER(SEARCH("present",INDEX(_xlfn._xlws.FILTER('Model output'!P:P,('Model output'!Z:Z=A20)*('Model output'!P:P&lt;&gt;"")),1),1)),ISNUMBER(SEARCH("yes",INDEX(_xlfn._xlws.FILTER('Model output'!P:P,('Model output'!Z:Z=A20)*('Model output'!P:P&lt;&gt;"")),1),1))),"positive","negative"))</f>
        <v>positive</v>
      </c>
      <c r="X20" t="str" cm="1">
        <f t="array" ref="X20">IF(ISNUMBER(SEARCH("4",INDEX(_xlfn._xlws.FILTER('Model output'!P:P,('Model output'!Z:Z=A20)*('Model output'!P:P&lt;&gt;"")),1),1)),INDEX(_xlfn._xlws.FILTER('Model output'!P:P,('Model output'!Z:Z=A20)*('Model output'!P:P&lt;&gt;"")),1),"") &amp; _xlfn.TEXTJOIN("",TRUE,_xlfn._xlws.FILTER('Model output'!Q:Q,'Model output'!Z:Z=A20))</f>
        <v>Invading only strap musclesGross extrathyroidal extension</v>
      </c>
      <c r="Y20" t="str">
        <f t="shared" si="11"/>
        <v>minimal</v>
      </c>
      <c r="Z20" t="str" cm="1">
        <f t="array" ref="Z20">IF(OR(ISNUMBER(SEARCH("focal",_xlfn.TEXTJOIN("; ",TRUE,_xlfn._xlws.FILTER('Model output'!R:R,'Model output'!Z:Z=A20)),1)),ISNUMBER(SEARCH("present",_xlfn.TEXTJOIN("; ",TRUE,_xlfn._xlws.FILTER('Model output'!R:R,'Model output'!Z:Z=A20)),1))),"positive",IF(_xlfn.TEXTJOIN("; ",TRUE,_xlfn._xlws.FILTER('Model output'!R:R,'Model output'!Z:Z=A20))="","negative",IF(OR(ISNUMBER(SEARCH("no",_xlfn.TEXTJOIN("; ",TRUE,_xlfn._xlws.FILTER('Model output'!R:R,'Model output'!Z:Z=A20)),1)),ISNUMBER(SEARCH("absent",_xlfn.TEXTJOIN("; ",TRUE,_xlfn._xlws.FILTER('Model output'!R:R,'Model output'!Z:Z=A20)),1))),"negative","positive")))</f>
        <v>negative</v>
      </c>
      <c r="AA20" s="17" t="str">
        <f t="shared" si="12"/>
        <v>positive</v>
      </c>
      <c r="AE20" s="17" t="str">
        <f t="shared" si="14"/>
        <v>positive</v>
      </c>
      <c r="AF20" t="str" cm="1">
        <f t="array" ref="AF20">_xlfn.TEXTJOIN("; ",TRUE,_xlfn._xlws.FILTER('Model output'!S:S,'Model output'!Z:Z=A20))</f>
        <v>Invading only strap muscles (Please correlate with operation record for gross extrathyroidal extension); Right cricothyroid and inferior constrictor muscle</v>
      </c>
      <c r="AG20" s="17" t="str" cm="1">
        <f t="array" ref="AG20">IF(OR(ISNUMBER(SEARCH("uninvolved",_xlfn.TEXTJOIN("; ",TRUE,_xlfn._xlws.FILTER('Model output'!V:V,'Model output'!Z:Z=A20)),1)),ISNUMBER(SEARCH("clear",_xlfn.TEXTJOIN("; ",TRUE,_xlfn._xlws.FILTER('Model output'!V:V,'Model output'!Z:Z=A20)),1))*ISNUMBER(SEARCH("not mentioned",_xlfn.TEXTJOIN("; ",TRUE,_xlfn._xlws.FILTER('Model output'!V:V,'Model output'!Z:Z=A20)),1))),"negative",IF(ISNUMBER(SEARCH("cannot be assessed",_xlfn.TEXTJOIN("; ",TRUE,_xlfn._xlws.FILTER('Model output'!V:V,'Model output'!Z:Z=A20)),1)),"unknown","negative"))</f>
        <v>negative</v>
      </c>
      <c r="AI20" s="45" t="str">
        <f t="shared" si="13"/>
        <v>high</v>
      </c>
      <c r="AJ20" s="36" t="str">
        <f t="shared" si="2"/>
        <v>4a</v>
      </c>
      <c r="AK20" s="36" t="str">
        <f t="shared" si="3"/>
        <v>1a</v>
      </c>
      <c r="AL20" s="36">
        <f t="shared" si="4"/>
        <v>0</v>
      </c>
      <c r="AM20" s="36" t="str">
        <f t="shared" si="5"/>
        <v>III</v>
      </c>
      <c r="AN20" s="37" t="s">
        <v>165</v>
      </c>
      <c r="AO20" s="38" t="s">
        <v>206</v>
      </c>
      <c r="AP20" s="38" t="s">
        <v>203</v>
      </c>
      <c r="AQ20" s="38">
        <v>0</v>
      </c>
      <c r="AR20" s="38" t="s">
        <v>69</v>
      </c>
      <c r="AS20" s="37">
        <f t="shared" si="6"/>
        <v>1</v>
      </c>
      <c r="AT20" s="38">
        <f t="shared" si="7"/>
        <v>1</v>
      </c>
      <c r="AU20" s="38">
        <f t="shared" si="8"/>
        <v>1</v>
      </c>
      <c r="AV20" s="38">
        <f t="shared" si="9"/>
        <v>1</v>
      </c>
      <c r="AW20" s="39">
        <f t="shared" si="10"/>
        <v>1</v>
      </c>
    </row>
    <row r="21" spans="1:49">
      <c r="A21" s="13">
        <v>19</v>
      </c>
      <c r="B21" s="16">
        <f>_xlfn.MAXIFS('Model output'!B:B,'Model output'!Z:Z,'Classification result'!$A21)</f>
        <v>45457</v>
      </c>
      <c r="C21" s="16"/>
      <c r="D21" s="16"/>
      <c r="E21" s="17">
        <f>_xlfn.MAXIFS('Model output'!C:C,'Model output'!Z:Z,'Classification result'!$A21)</f>
        <v>23</v>
      </c>
      <c r="F21" s="17" t="str" cm="1">
        <f t="array" ref="F21">LEFT(IF(ISERROR(RIGHT(IF(INDEX(_xlfn._xlws.FILTER('Model output'!D:D,('Model output'!Z:Z=A21)),1)&lt;&gt;"",INDEX(_xlfn._xlws.FILTER('Model output'!D:D,('Model output'!Z:Z=A21)),1),""),LEN(IF(INDEX(_xlfn._xlws.FILTER('Model output'!D:D,('Model output'!Z:Z=A21)),1)&lt;&gt;"",INDEX(_xlfn._xlws.FILTER('Model output'!D:D,('Model output'!Z:Z=A21)),1),""))-FIND("T",IF(INDEX(_xlfn._xlws.FILTER('Model output'!D:D,('Model output'!Z:Z=A21)),1)&lt;&gt;"",INDEX(_xlfn._xlws.FILTER('Model output'!D:D,('Model output'!Z:Z=A21)),1),""),1))),"",(RIGHT(IF(INDEX(_xlfn._xlws.FILTER('Model output'!D:D,('Model output'!Z:Z=A21)),1)&lt;&gt;"",INDEX(_xlfn._xlws.FILTER('Model output'!D:D,('Model output'!Z:Z=A21)),1),""),LEN(IF(INDEX(_xlfn._xlws.FILTER('Model output'!D:D,('Model output'!Z:Z=A21)),1)&lt;&gt;"",INDEX(_xlfn._xlws.FILTER('Model output'!D:D,('Model output'!Z:Z=A21)),1),""))-FIND("T",IF(INDEX(_xlfn._xlws.FILTER('Model output'!D:D,('Model output'!Z:Z=A21)),1)&lt;&gt;"",INDEX(_xlfn._xlws.FILTER('Model output'!D:D,('Model output'!Z:Z=A21)),1)))))),2)</f>
        <v/>
      </c>
      <c r="G21" s="17" t="str" cm="1">
        <f t="array" ref="G21">IF(ISNUMBER(SEARCH("N",IF(ISNUMBER(SEARCH("present",IF(INDEX(_xlfn._xlws.FILTER('Model output'!E:E,('Model output'!Z:Z=A21)),1)="","",INDEX(_xlfn._xlws.FILTER('Model output'!E:E,('Model output'!Z:Z=A21)),1)),1)),"N1", IF(INDEX(_xlfn._xlws.FILTER('Model output'!E:E,('Model output'!Z:Z=A21)),1)="","",INDEX(_xlfn._xlws.FILTER('Model output'!E:E,('Model output'!Z:Z=A21)),1))),1)),RIGHT(IF(ISNUMBER(SEARCH("present",IF(INDEX(_xlfn._xlws.FILTER('Model output'!E:E,('Model output'!Z:Z=A21)),1)="","",INDEX(_xlfn._xlws.FILTER('Model output'!E:E,('Model output'!Z:Z=A21)),1)),1)),"N1", IF(INDEX(_xlfn._xlws.FILTER('Model output'!E:E,('Model output'!Z:Z=A21)),1)="","",INDEX(_xlfn._xlws.FILTER('Model output'!E:E,('Model output'!Z:Z=A21)),1))),LEN(IF(ISNUMBER(SEARCH("present",IF(INDEX(_xlfn._xlws.FILTER('Model output'!E:E,('Model output'!Z:Z=A21)),1)="","",INDEX(_xlfn._xlws.FILTER('Model output'!E:E,('Model output'!Z:Z=A21)),1)),1)),"N1", IF(INDEX(_xlfn._xlws.FILTER('Model output'!E:E,('Model output'!Z:Z=A21)),1)="","",INDEX(_xlfn._xlws.FILTER('Model output'!E:E,('Model output'!Z:Z=A21)),1))))-FIND("N",IF(ISNUMBER(SEARCH("present",IF(INDEX(_xlfn._xlws.FILTER('Model output'!E:E,('Model output'!Z:Z=A21)),1)="","",INDEX(_xlfn._xlws.FILTER('Model output'!E:E,('Model output'!Z:Z=A21)),1)),1)),"N1", IF(INDEX(_xlfn._xlws.FILTER('Model output'!E:E,('Model output'!Z:Z=A21)),1)="","",INDEX(_xlfn._xlws.FILTER('Model output'!E:E,('Model output'!Z:Z=A21)),1))),1)), "")</f>
        <v/>
      </c>
      <c r="H21" s="17" cm="1">
        <f t="array" ref="H21">IF(AND(SUBSTITUTE(_xlfn.TEXTJOIN("/", TRUE, _xlfn._xlws.FILTER('Model output'!F:F, 'Model output'!Z:Z=A21)),"M", "")="", K21="negative"),0,IF(K21="positive",1,0))</f>
        <v>0</v>
      </c>
      <c r="I21" t="str">
        <f t="shared" si="0"/>
        <v/>
      </c>
      <c r="J21" t="str" cm="1">
        <f t="array" ref="J21">IF(AND(M21&gt;0, _xlfn.TEXTJOIN("; ", TRUE, _xlfn._xlws.FILTER('Model output'!G:G, 'Model output'!Z:Z=A21)) &lt;&gt;"", OR(AND(ISNUMBER(SEARCH("level", _xlfn.TEXTJOIN("; ", TRUE, _xlfn._xlws.FILTER('Model output'!G:G, 'Model output'!Z:Z=A21)),1)),OR(ISNUMBER(SEARCH(" II", _xlfn.TEXTJOIN("; ", TRUE, _xlfn._xlws.FILTER('Model output'!G:G, 'Model output'!Z:Z=A21)),1)),ISNUMBER(SEARCH("2", _xlfn.TEXTJOIN("; ", TRUE, _xlfn._xlws.FILTER('Model output'!G:G, 'Model output'!Z:Z=A21)),1)),ISNUMBER(SEARCH("two", _xlfn.TEXTJOIN("; ", TRUE, _xlfn._xlws.FILTER('Model output'!G:G, 'Model output'!Z:Z=A21)),1)),ISNUMBER(SEARCH("III", _xlfn.TEXTJOIN("; ", TRUE, _xlfn._xlws.FILTER('Model output'!G:G, 'Model output'!Z:Z=A21)),1)),ISNUMBER(SEARCH("3", _xlfn.TEXTJOIN("; ", TRUE, _xlfn._xlws.FILTER('Model output'!G:G, 'Model output'!Z:Z=A21)),1)),ISNUMBER(SEARCH("three", _xlfn.TEXTJOIN("; ", TRUE, _xlfn._xlws.FILTER('Model output'!G:G, 'Model output'!Z:Z=A21)),1)),ISNUMBER(SEARCH("IV", _xlfn.TEXTJOIN("; ", TRUE, _xlfn._xlws.FILTER('Model output'!G:G, 'Model output'!Z:Z=A21)),1)),ISNUMBER(SEARCH("4", _xlfn.TEXTJOIN("; ", TRUE, _xlfn._xlws.FILTER('Model output'!G:G, 'Model output'!Z:Z=A21)),1)),ISNUMBER(SEARCH("five", _xlfn.TEXTJOIN("; ", TRUE, _xlfn._xlws.FILTER('Model output'!G:G, 'Model output'!Z:Z=A21)),1)),ISNUMBER(SEARCH("V ", _xlfn.TEXTJOIN("; ", TRUE, _xlfn._xlws.FILTER('Model output'!G:G, 'Model output'!Z:Z=A21)),1)),ISNUMBER(SEARCH("5", _xlfn.TEXTJOIN("; ", TRUE, _xlfn._xlws.FILTER('Model output'!G:G, 'Model output'!Z:Z=A21)),1)),ISNUMBER(SEARCH("five", _xlfn.TEXTJOIN("; ", TRUE, _xlfn._xlws.FILTER('Model output'!G:G, 'Model output'!Z:Z=A21)),1)),ISNUMBER(SEARCH(" lateral", _xlfn.TEXTJOIN("; ", TRUE, _xlfn._xlws.FILTER('Model output'!G:G, 'Model output'!Z:Z=A21)),1)))),ISNUMBER(SEARCH("cervical", _xlfn.TEXTJOIN("; ", TRUE, _xlfn._xlws.FILTER('Model output'!G:G, 'Model output'!Z:Z=A21)),1)),ISNUMBER(SEARCH("jugular", _xlfn.TEXTJOIN("; ", TRUE, _xlfn._xlws.FILTER('Model output'!G:G, 'Model output'!Z:Z=A21)),1)),ISNUMBER(SEARCH("left neck", _xlfn.TEXTJOIN("; ", TRUE, _xlfn._xlws.FILTER('Model output'!G:G, 'Model output'!Z:Z=A21)),1)),ISNUMBER(SEARCH("left anterior neck", _xlfn.TEXTJOIN("; ", TRUE, _xlfn._xlws.FILTER('Model output'!G:G, 'Model output'!Z:Z=A21)),1)),ISNUMBER(SEARCH("left posterior neck", _xlfn.TEXTJOIN("; ", TRUE, _xlfn._xlws.FILTER('Model output'!G:G, 'Model output'!Z:Z=A21)),1)),ISNUMBER(SEARCH("right neck", _xlfn.TEXTJOIN("; ", TRUE, _xlfn._xlws.FILTER('Model output'!G:G, 'Model output'!Z:Z=A21)),1)),ISNUMBER(SEARCH("right anterior neck", _xlfn.TEXTJOIN("; ", TRUE, _xlfn._xlws.FILTER('Model output'!G:G, 'Model output'!Z:Z=A21)),1)),ISNUMBER(SEARCH("right posterior neck", _xlfn.TEXTJOIN("; ", TRUE, _xlfn._xlws.FILTER('Model output'!G:G, 'Model output'!Z:Z=A21)),1)))),"lateral",IF(AND(M21=0, _xlfn.TEXTJOIN("; ", TRUE, _xlfn._xlws.FILTER('Model output'!G:G, 'Model output'!Z:Z=A21))=""),"", "central"))</f>
        <v/>
      </c>
      <c r="K21" s="17" t="str" cm="1">
        <f t="array" ref="K21">IF(OR(ISNUMBER(SEARCH("lymph",_xlfn.TEXTJOIN("; ", TRUE, _xlfn._xlws.FILTER('Model output'!H:H, 'Model output'!Z:Z=A21)),1)), ISNUMBER(SEARCH("Not mentioned",_xlfn.TEXTJOIN("; ", TRUE, _xlfn._xlws.FILTER('Model output'!H:H, 'Model output'!Z:Z=A21)),1)),ISNUMBER(SEARCH("subcutaneous soft tissues",_xlfn.TEXTJOIN("; ", TRUE, _xlfn._xlws.FILTER('Model output'!H:H, 'Model output'!Z:Z=A21)),1)),ISNUMBER(SEARCH("larynx",_xlfn.TEXTJOIN("; ", TRUE, _xlfn._xlws.FILTER('Model output'!H:H, 'Model output'!Z:Z=A21)),1)),ISNUMBER(SEARCH("trachea",_xlfn.TEXTJOIN("; ", TRUE, _xlfn._xlws.FILTER('Model output'!H:H, 'Model output'!Z:Z=A21)),1)),ISNUMBER(SEARCH("esophagus",_xlfn.TEXTJOIN("; ", TRUE, _xlfn._xlws.FILTER('Model output'!H:H, 'Model output'!Z:Z=A21)),1)),ISNUMBER(SEARCH("recurrent laryngeal nerve",_xlfn.TEXTJOIN("; ", TRUE, _xlfn._xlws.FILTER('Model output'!H:H, 'Model output'!Z:Z=A21)),1)),ISNUMBER(SEARCH("strap muscle",_xlfn.TEXTJOIN("; ", TRUE, _xlfn._xlws.FILTER('Model output'!H:H, 'Model output'!Z:Z=A21)),1)),ISNUMBER(SEARCH("thyroid",_xlfn.TEXTJOIN("; ", TRUE, _xlfn._xlws.FILTER('Model output'!H:H, 'Model output'!Z:Z=A21)),1)),ISNUMBER(SEARCH("RLN",_xlfn.TEXTJOIN("; ", TRUE, _xlfn._xlws.FILTER('Model output'!H:H, 'Model output'!Z:Z=A21)),1)),_xlfn.TEXTJOIN("; ", TRUE, _xlfn._xlws.FILTER('Model output'!H:H, 'Model output'!Z:Z=A21))=""),"negative","positive")</f>
        <v>negative</v>
      </c>
      <c r="L21" s="17">
        <f>IF(IFERROR(INDEX('Model output'!I:I, MATCH(A21, 'Model output'!Z:Z, 0)), "") &lt; M21, "", IFERROR(INDEX('Model output'!I:I, MATCH(A21, 'Model output'!Z:Z, 0)), ""))</f>
        <v>1</v>
      </c>
      <c r="M21" s="17">
        <f>IFERROR(INDEX('Model output'!J:J, MATCH(A21, 'Model output'!Z:Z, 0)), "")</f>
        <v>0</v>
      </c>
      <c r="N21" s="18" t="str" cm="1">
        <f t="array" ref="N21">ReplaceTo(ReplaceAnd(SUBSTITUTE(SUBSTITUTE(_xlfn.TEXTJOIN("; ", TRUE, _xlfn._xlws.FILTER('Model output'!K:K, 'Model output'!Z:Z=A21)), " ", ""), ",", ";")))</f>
        <v/>
      </c>
      <c r="O21" t="str" cm="1">
        <f t="array" ref="O21">IF(LEFT(IF(RIGHT(SUBSTITUTE(FilterWithUnits(N21)&amp; ";" &amp;FilterStringsWithNumericAnd(N21) &amp; ";" &amp; FilterStringsWithX(N21), ";;", ";"),1)=";",LEFT(SUBSTITUTE(FilterWithUnits(N21)&amp; ";" &amp;FilterStringsWithNumericAnd(N21) &amp; ";" &amp; FilterStringsWithX(N21), ";;", ";"),LEN(SUBSTITUTE(FilterWithUnits(N21)&amp; ";" &amp;FilterStringsWithNumericAnd(N21) &amp; ";" &amp; FilterStringsWithX(N21), ";;", ";"))-1),SUBSTITUTE(FilterWithUnits(N21)&amp; ";" &amp;FilterStringsWithNumericAnd(N21) &amp; ";" &amp; FilterStringsWithX(N21), ";;", ";")),1)=";",RIGHT(IF(RIGHT(SUBSTITUTE(FilterWithUnits(N21)&amp; ";" &amp;FilterStringsWithNumericAnd(N21) &amp; ";" &amp; FilterStringsWithX(N21), ";;", ";"),1)=";",LEFT(SUBSTITUTE(FilterWithUnits(N21)&amp; ";" &amp;FilterStringsWithNumericAnd(N21) &amp; ";" &amp; FilterStringsWithX(N21), ";;", ";"),LEN(SUBSTITUTE(FilterWithUnits(N21)&amp; ";" &amp;FilterStringsWithNumericAnd(N21) &amp; ";" &amp; FilterStringsWithX(N21), ";;", ";"))-1),SUBSTITUTE(FilterWithUnits(N21)&amp; ";" &amp;FilterStringsWithNumericAnd(N21) &amp; ";" &amp; FilterStringsWithX(N21), ";;", ";")),LEN(IF(RIGHT(SUBSTITUTE(FilterWithUnits(N21)&amp; ";" &amp;FilterStringsWithNumericAnd(N21) &amp; ";" &amp; FilterStringsWithX(N21), ";;", ";"),1)=";",LEFT(SUBSTITUTE(FilterWithUnits(N21)&amp; ";" &amp;FilterStringsWithNumericAnd(N21) &amp; ";" &amp; FilterStringsWithX(N21), ";;", ";"),LEN(SUBSTITUTE(FilterWithUnits(N21)&amp; ";" &amp;FilterStringsWithNumericAnd(N21) &amp; ";" &amp; FilterStringsWithX(N21), ";;", ";"))-1),SUBSTITUTE(FilterWithUnits(N21)&amp; ";" &amp;FilterStringsWithNumericAnd(N21) &amp; ";" &amp; FilterStringsWithX(N21), ";;", ";")))-1),IF(RIGHT(SUBSTITUTE(FilterWithUnits(N21)&amp; ";" &amp;FilterStringsWithNumericAnd(N21) &amp; ";" &amp; FilterStringsWithX(N21), ";;", ";"),1)=";",LEFT(SUBSTITUTE(FilterWithUnits(N21)&amp; ";" &amp;FilterStringsWithNumericAnd(N21) &amp; ";" &amp; FilterStringsWithX(N21), ";;", ";"),LEN(SUBSTITUTE(FilterWithUnits(N21)&amp; ";" &amp;FilterStringsWithNumericAnd(N21) &amp; ";" &amp; FilterStringsWithX(N21), ";;", ";"))-1),SUBSTITUTE(FilterWithUnits(N21)&amp; ";" &amp;FilterStringsWithNumericAnd(N21) &amp; ";" &amp; FilterStringsWithX(N21), ";;", ";")))</f>
        <v/>
      </c>
      <c r="P21" t="str" cm="1">
        <f t="array" ref="P21">IF(MaxSize((SplitDimensions(O21)))=0, "", MaxSize((SplitDimensions(O21))))</f>
        <v/>
      </c>
      <c r="Q21" t="str" cm="1">
        <f t="array" ref="Q21">IF(ISERROR(INDEX(_xlfn._xlws.FILTER('Model output'!L:L, ('Model output'!Z:Z=A21)*('Model output'!L:L&lt;&gt;"")), 1)), " ", LOWER(INDEX(_xlfn._xlws.FILTER('Model output'!L:L, ('Model output'!Z:Z=A21)*('Model output'!L:L&lt;&gt;"")), 1)))</f>
        <v>papillary carcinoma</v>
      </c>
      <c r="R21" t="str" cm="1">
        <f t="array" ref="R21">IF(ISERROR(INDEX(_xlfn._xlws.FILTER('Model output'!M:M, ('Model output'!Z:Z=A21)*('Model output'!M:M&lt;&gt;"")), 1)), " ", LOWER(INDEX(_xlfn._xlws.FILTER('Model output'!M:M, ('Model output'!Z:Z=A21)*('Model output'!M:M&lt;&gt;"")), 1)))</f>
        <v>classic</v>
      </c>
      <c r="S21" t="str" cm="1">
        <f t="array" ref="S21">IF(OR(ISNUMBER(SEARCH("ly",SUBSTITUTE(INDEX(_xlfn._xlws.FILTER('Model output'!N:N,('Model output'!Z:Z=A21)*('Model output'!N:N&lt;&gt;"")),1)," ",""),1)), ISNUMBER(SEARCH("pole",SUBSTITUTE(INDEX(_xlfn._xlws.FILTER('Model output'!N:N,('Model output'!Z:Z=A21)*('Model output'!N:N&lt;&gt;"")),1)," ",""),1))),"",SUBSTITUTE(INDEX(_xlfn._xlws.FILTER('Model output'!N:N,('Model output'!Z:Z=A21)*('Model output'!N:N&lt;&gt;"")),1)," ",""))</f>
        <v>2mm</v>
      </c>
      <c r="T21" t="str" cm="1">
        <f t="array" ref="T21">IF(LEFT(IF(RIGHT(SUBSTITUTE(FilterWithUnits(S21)&amp; ";" &amp;FilterStringsWithNumericAnd(S21) &amp; ";" &amp; FilterStringsWithX(S21), ";;", ";"),1)=";",LEFT(SUBSTITUTE(FilterWithUnits(S21)&amp; ";" &amp;FilterStringsWithNumericAnd(S21) &amp; ";" &amp; FilterStringsWithX(S21), ";;", ";"),LEN(SUBSTITUTE(FilterWithUnits(S21)&amp; ";" &amp;FilterStringsWithNumericAnd(S21) &amp; ";" &amp; FilterStringsWithX(S21), ";;", ";"))-1),SUBSTITUTE(FilterWithUnits(S21)&amp; ";" &amp;FilterStringsWithNumericAnd(S21) &amp; ";" &amp; FilterStringsWithX(S21), ";;", ";")),1)=";",RIGHT(IF(RIGHT(SUBSTITUTE(FilterWithUnits(S21)&amp; ";" &amp;FilterStringsWithNumericAnd(S21) &amp; ";" &amp; FilterStringsWithX(S21), ";;", ";"),1)=";",LEFT(SUBSTITUTE(FilterWithUnits(S21)&amp; ";" &amp;FilterStringsWithNumericAnd(S21) &amp; ";" &amp; FilterStringsWithX(S21), ";;", ";"),LEN(SUBSTITUTE(FilterWithUnits(S21)&amp; ";" &amp;FilterStringsWithNumericAnd(S21) &amp; ";" &amp; FilterStringsWithX(S21), ";;", ";"))-1),SUBSTITUTE(FilterWithUnits(S21)&amp; ";" &amp;FilterStringsWithNumericAnd(S21) &amp; ";" &amp; FilterStringsWithX(S21), ";;", ";")),LEN(IF(RIGHT(SUBSTITUTE(FilterWithUnits(S21)&amp; ";" &amp;FilterStringsWithNumericAnd(S21) &amp; ";" &amp; FilterStringsWithX(S21), ";;", ";"),1)=";",LEFT(SUBSTITUTE(FilterWithUnits(S21)&amp; ";" &amp;FilterStringsWithNumericAnd(S21) &amp; ";" &amp; FilterStringsWithX(S21), ";;", ";"),LEN(SUBSTITUTE(FilterWithUnits(S21)&amp; ";" &amp;FilterStringsWithNumericAnd(S21) &amp; ";" &amp; FilterStringsWithX(S21), ";;", ";"))-1),SUBSTITUTE(FilterWithUnits(S21)&amp; ";" &amp;FilterStringsWithNumericAnd(S21) &amp; ";" &amp; FilterStringsWithX(S21), ";;", ";")))-1),IF(RIGHT(SUBSTITUTE(FilterWithUnits(S21)&amp; ";" &amp;FilterStringsWithNumericAnd(S21) &amp; ";" &amp; FilterStringsWithX(S21), ";;", ";"),1)=";",LEFT(SUBSTITUTE(FilterWithUnits(S21)&amp; ";" &amp;FilterStringsWithNumericAnd(S21) &amp; ";" &amp; FilterStringsWithX(S21), ";;", ";"),LEN(SUBSTITUTE(FilterWithUnits(S21)&amp; ";" &amp;FilterStringsWithNumericAnd(S21) &amp; ";" &amp; FilterStringsWithX(S21), ";;", ";"))-1),SUBSTITUTE(FilterWithUnits(S21)&amp; ";" &amp;FilterStringsWithNumericAnd(S21) &amp; ";" &amp; FilterStringsWithX(S21), ";;", ";")))</f>
        <v>2mm</v>
      </c>
      <c r="U21" cm="1">
        <f t="array" ref="U21">IF(MaxSize((SplitDimensions(T21)))=0, "", MaxSize((SplitDimensions(T21))))</f>
        <v>0.2</v>
      </c>
      <c r="V21" s="17" t="str" cm="1">
        <f t="array" ref="V21">IF(ISERROR(INDEX(_xlfn._xlws.FILTER('Model output'!P:P,('Model output'!Z:Z=A21)*('Model output'!P:P&lt;&gt;"")),1)),"negative",IF(OR(ISNUMBER(SEARCH("foc",INDEX(_xlfn._xlws.FILTER('Model output'!P:P,('Model output'!Z:Z=A21)*('Model output'!P:P&lt;&gt;"")),1),1)),ISNUMBER(SEARCH("extensive",INDEX(_xlfn._xlws.FILTER('Model output'!P:P,('Model output'!Z:Z=A21)*('Model output'!P:P&lt;&gt;"")),1),1)),ISNUMBER(SEARCH("present",INDEX(_xlfn._xlws.FILTER('Model output'!P:P,('Model output'!Z:Z=A21)*('Model output'!P:P&lt;&gt;"")),1),1)),ISNUMBER(SEARCH("yes",INDEX(_xlfn._xlws.FILTER('Model output'!P:P,('Model output'!Z:Z=A21)*('Model output'!P:P&lt;&gt;"")),1),1))),"positive","negative"))</f>
        <v>negative</v>
      </c>
      <c r="X21" t="str" cm="1">
        <f t="array" ref="X21">IF(ISNUMBER(SEARCH("4",INDEX(_xlfn._xlws.FILTER('Model output'!P:P,('Model output'!Z:Z=A21)*('Model output'!P:P&lt;&gt;"")),1),1)),INDEX(_xlfn._xlws.FILTER('Model output'!P:P,('Model output'!Z:Z=A21)*('Model output'!P:P&lt;&gt;"")),1),"") &amp; _xlfn.TEXTJOIN("",TRUE,_xlfn._xlws.FILTER('Model output'!Q:Q,'Model output'!Z:Z=A21))</f>
        <v>Not mentioned</v>
      </c>
      <c r="Y21" t="str">
        <f t="shared" si="11"/>
        <v>no</v>
      </c>
      <c r="Z21" t="str" cm="1">
        <f t="array" ref="Z21">IF(OR(ISNUMBER(SEARCH("focal",_xlfn.TEXTJOIN("; ",TRUE,_xlfn._xlws.FILTER('Model output'!R:R,'Model output'!Z:Z=A21)),1)),ISNUMBER(SEARCH("present",_xlfn.TEXTJOIN("; ",TRUE,_xlfn._xlws.FILTER('Model output'!R:R,'Model output'!Z:Z=A21)),1))),"positive",IF(_xlfn.TEXTJOIN("; ",TRUE,_xlfn._xlws.FILTER('Model output'!R:R,'Model output'!Z:Z=A21))="","negative",IF(OR(ISNUMBER(SEARCH("no",_xlfn.TEXTJOIN("; ",TRUE,_xlfn._xlws.FILTER('Model output'!R:R,'Model output'!Z:Z=A21)),1)),ISNUMBER(SEARCH("absent",_xlfn.TEXTJOIN("; ",TRUE,_xlfn._xlws.FILTER('Model output'!R:R,'Model output'!Z:Z=A21)),1))),"negative","positive")))</f>
        <v>negative</v>
      </c>
      <c r="AA21" s="17" t="str">
        <f t="shared" si="12"/>
        <v>negative</v>
      </c>
      <c r="AE21" s="17" t="str">
        <f t="shared" si="14"/>
        <v>negative</v>
      </c>
      <c r="AF21" t="str" cm="1">
        <f t="array" ref="AF21">_xlfn.TEXTJOIN("; ",TRUE,_xlfn._xlws.FILTER('Model output'!S:S,'Model output'!Z:Z=A21))</f>
        <v>Not identified; Not mentioned</v>
      </c>
      <c r="AG21" s="17" t="str" cm="1">
        <f t="array" ref="AG21">IF(OR(ISNUMBER(SEARCH("uninvolved",_xlfn.TEXTJOIN("; ",TRUE,_xlfn._xlws.FILTER('Model output'!V:V,'Model output'!Z:Z=A21)),1)),ISNUMBER(SEARCH("clear",_xlfn.TEXTJOIN("; ",TRUE,_xlfn._xlws.FILTER('Model output'!V:V,'Model output'!Z:Z=A21)),1))*ISNUMBER(SEARCH("not mentioned",_xlfn.TEXTJOIN("; ",TRUE,_xlfn._xlws.FILTER('Model output'!V:V,'Model output'!Z:Z=A21)),1))),"negative",IF(ISNUMBER(SEARCH("cannot be assessed",_xlfn.TEXTJOIN("; ",TRUE,_xlfn._xlws.FILTER('Model output'!V:V,'Model output'!Z:Z=A21)),1)),"unknown","negative"))</f>
        <v>negative</v>
      </c>
      <c r="AI21" s="45" t="str">
        <f t="shared" si="13"/>
        <v>low</v>
      </c>
      <c r="AJ21" s="36" t="str">
        <f t="shared" si="2"/>
        <v>1a</v>
      </c>
      <c r="AK21" s="36">
        <f t="shared" si="3"/>
        <v>0</v>
      </c>
      <c r="AL21" s="36">
        <f t="shared" si="4"/>
        <v>0</v>
      </c>
      <c r="AM21" s="36" t="str">
        <f t="shared" si="5"/>
        <v>I</v>
      </c>
      <c r="AN21" s="37" t="s">
        <v>166</v>
      </c>
      <c r="AO21" s="38" t="s">
        <v>203</v>
      </c>
      <c r="AP21" s="38">
        <v>0</v>
      </c>
      <c r="AQ21" s="38">
        <v>0</v>
      </c>
      <c r="AR21" s="38" t="s">
        <v>31</v>
      </c>
      <c r="AS21" s="37">
        <f t="shared" si="6"/>
        <v>1</v>
      </c>
      <c r="AT21" s="38">
        <f t="shared" si="7"/>
        <v>1</v>
      </c>
      <c r="AU21" s="38">
        <f t="shared" si="8"/>
        <v>1</v>
      </c>
      <c r="AV21" s="38">
        <f t="shared" si="9"/>
        <v>1</v>
      </c>
      <c r="AW21" s="39">
        <f t="shared" si="10"/>
        <v>1</v>
      </c>
    </row>
    <row r="22" spans="1:49">
      <c r="A22" s="13">
        <v>20</v>
      </c>
      <c r="B22" s="16">
        <f>_xlfn.MAXIFS('Model output'!B:B,'Model output'!Z:Z,'Classification result'!$A22)</f>
        <v>45373</v>
      </c>
      <c r="C22" s="16"/>
      <c r="D22" s="16"/>
      <c r="E22" s="17">
        <f>_xlfn.MAXIFS('Model output'!C:C,'Model output'!Z:Z,'Classification result'!$A22)</f>
        <v>61</v>
      </c>
      <c r="F22" s="17" t="str" cm="1">
        <f t="array" ref="F22">LEFT(IF(ISERROR(RIGHT(IF(INDEX(_xlfn._xlws.FILTER('Model output'!D:D,('Model output'!Z:Z=A22)),1)&lt;&gt;"",INDEX(_xlfn._xlws.FILTER('Model output'!D:D,('Model output'!Z:Z=A22)),1),""),LEN(IF(INDEX(_xlfn._xlws.FILTER('Model output'!D:D,('Model output'!Z:Z=A22)),1)&lt;&gt;"",INDEX(_xlfn._xlws.FILTER('Model output'!D:D,('Model output'!Z:Z=A22)),1),""))-FIND("T",IF(INDEX(_xlfn._xlws.FILTER('Model output'!D:D,('Model output'!Z:Z=A22)),1)&lt;&gt;"",INDEX(_xlfn._xlws.FILTER('Model output'!D:D,('Model output'!Z:Z=A22)),1),""),1))),"",(RIGHT(IF(INDEX(_xlfn._xlws.FILTER('Model output'!D:D,('Model output'!Z:Z=A22)),1)&lt;&gt;"",INDEX(_xlfn._xlws.FILTER('Model output'!D:D,('Model output'!Z:Z=A22)),1),""),LEN(IF(INDEX(_xlfn._xlws.FILTER('Model output'!D:D,('Model output'!Z:Z=A22)),1)&lt;&gt;"",INDEX(_xlfn._xlws.FILTER('Model output'!D:D,('Model output'!Z:Z=A22)),1),""))-FIND("T",IF(INDEX(_xlfn._xlws.FILTER('Model output'!D:D,('Model output'!Z:Z=A22)),1)&lt;&gt;"",INDEX(_xlfn._xlws.FILTER('Model output'!D:D,('Model output'!Z:Z=A22)),1)))))),2)</f>
        <v xml:space="preserve">1 </v>
      </c>
      <c r="G22" s="17" t="str" cm="1">
        <f t="array" ref="G22">IF(ISNUMBER(SEARCH("N",IF(ISNUMBER(SEARCH("present",IF(INDEX(_xlfn._xlws.FILTER('Model output'!E:E,('Model output'!Z:Z=A22)),1)="","",INDEX(_xlfn._xlws.FILTER('Model output'!E:E,('Model output'!Z:Z=A22)),1)),1)),"N1", IF(INDEX(_xlfn._xlws.FILTER('Model output'!E:E,('Model output'!Z:Z=A22)),1)="","",INDEX(_xlfn._xlws.FILTER('Model output'!E:E,('Model output'!Z:Z=A22)),1))),1)),RIGHT(IF(ISNUMBER(SEARCH("present",IF(INDEX(_xlfn._xlws.FILTER('Model output'!E:E,('Model output'!Z:Z=A22)),1)="","",INDEX(_xlfn._xlws.FILTER('Model output'!E:E,('Model output'!Z:Z=A22)),1)),1)),"N1", IF(INDEX(_xlfn._xlws.FILTER('Model output'!E:E,('Model output'!Z:Z=A22)),1)="","",INDEX(_xlfn._xlws.FILTER('Model output'!E:E,('Model output'!Z:Z=A22)),1))),LEN(IF(ISNUMBER(SEARCH("present",IF(INDEX(_xlfn._xlws.FILTER('Model output'!E:E,('Model output'!Z:Z=A22)),1)="","",INDEX(_xlfn._xlws.FILTER('Model output'!E:E,('Model output'!Z:Z=A22)),1)),1)),"N1", IF(INDEX(_xlfn._xlws.FILTER('Model output'!E:E,('Model output'!Z:Z=A22)),1)="","",INDEX(_xlfn._xlws.FILTER('Model output'!E:E,('Model output'!Z:Z=A22)),1))))-FIND("N",IF(ISNUMBER(SEARCH("present",IF(INDEX(_xlfn._xlws.FILTER('Model output'!E:E,('Model output'!Z:Z=A22)),1)="","",INDEX(_xlfn._xlws.FILTER('Model output'!E:E,('Model output'!Z:Z=A22)),1)),1)),"N1", IF(INDEX(_xlfn._xlws.FILTER('Model output'!E:E,('Model output'!Z:Z=A22)),1)="","",INDEX(_xlfn._xlws.FILTER('Model output'!E:E,('Model output'!Z:Z=A22)),1))),1)), "")</f>
        <v/>
      </c>
      <c r="H22" s="17" cm="1">
        <f t="array" ref="H22">IF(AND(SUBSTITUTE(_xlfn.TEXTJOIN("/", TRUE, _xlfn._xlws.FILTER('Model output'!F:F, 'Model output'!Z:Z=A22)),"M", "")="", K22="negative"),0,IF(K22="positive",1,0))</f>
        <v>0</v>
      </c>
      <c r="I22" t="str">
        <f t="shared" si="0"/>
        <v>positive</v>
      </c>
      <c r="J22" t="str" cm="1">
        <f t="array" ref="J22">IF(AND(M22&gt;0, _xlfn.TEXTJOIN("; ", TRUE, _xlfn._xlws.FILTER('Model output'!G:G, 'Model output'!Z:Z=A22)) &lt;&gt;"", OR(AND(ISNUMBER(SEARCH("level", _xlfn.TEXTJOIN("; ", TRUE, _xlfn._xlws.FILTER('Model output'!G:G, 'Model output'!Z:Z=A22)),1)),OR(ISNUMBER(SEARCH(" II", _xlfn.TEXTJOIN("; ", TRUE, _xlfn._xlws.FILTER('Model output'!G:G, 'Model output'!Z:Z=A22)),1)),ISNUMBER(SEARCH("2", _xlfn.TEXTJOIN("; ", TRUE, _xlfn._xlws.FILTER('Model output'!G:G, 'Model output'!Z:Z=A22)),1)),ISNUMBER(SEARCH("two", _xlfn.TEXTJOIN("; ", TRUE, _xlfn._xlws.FILTER('Model output'!G:G, 'Model output'!Z:Z=A22)),1)),ISNUMBER(SEARCH("III", _xlfn.TEXTJOIN("; ", TRUE, _xlfn._xlws.FILTER('Model output'!G:G, 'Model output'!Z:Z=A22)),1)),ISNUMBER(SEARCH("3", _xlfn.TEXTJOIN("; ", TRUE, _xlfn._xlws.FILTER('Model output'!G:G, 'Model output'!Z:Z=A22)),1)),ISNUMBER(SEARCH("three", _xlfn.TEXTJOIN("; ", TRUE, _xlfn._xlws.FILTER('Model output'!G:G, 'Model output'!Z:Z=A22)),1)),ISNUMBER(SEARCH("IV", _xlfn.TEXTJOIN("; ", TRUE, _xlfn._xlws.FILTER('Model output'!G:G, 'Model output'!Z:Z=A22)),1)),ISNUMBER(SEARCH("4", _xlfn.TEXTJOIN("; ", TRUE, _xlfn._xlws.FILTER('Model output'!G:G, 'Model output'!Z:Z=A22)),1)),ISNUMBER(SEARCH("five", _xlfn.TEXTJOIN("; ", TRUE, _xlfn._xlws.FILTER('Model output'!G:G, 'Model output'!Z:Z=A22)),1)),ISNUMBER(SEARCH("V ", _xlfn.TEXTJOIN("; ", TRUE, _xlfn._xlws.FILTER('Model output'!G:G, 'Model output'!Z:Z=A22)),1)),ISNUMBER(SEARCH("5", _xlfn.TEXTJOIN("; ", TRUE, _xlfn._xlws.FILTER('Model output'!G:G, 'Model output'!Z:Z=A22)),1)),ISNUMBER(SEARCH("five", _xlfn.TEXTJOIN("; ", TRUE, _xlfn._xlws.FILTER('Model output'!G:G, 'Model output'!Z:Z=A22)),1)),ISNUMBER(SEARCH(" lateral", _xlfn.TEXTJOIN("; ", TRUE, _xlfn._xlws.FILTER('Model output'!G:G, 'Model output'!Z:Z=A22)),1)))),ISNUMBER(SEARCH("cervical", _xlfn.TEXTJOIN("; ", TRUE, _xlfn._xlws.FILTER('Model output'!G:G, 'Model output'!Z:Z=A22)),1)),ISNUMBER(SEARCH("jugular", _xlfn.TEXTJOIN("; ", TRUE, _xlfn._xlws.FILTER('Model output'!G:G, 'Model output'!Z:Z=A22)),1)),ISNUMBER(SEARCH("left neck", _xlfn.TEXTJOIN("; ", TRUE, _xlfn._xlws.FILTER('Model output'!G:G, 'Model output'!Z:Z=A22)),1)),ISNUMBER(SEARCH("left anterior neck", _xlfn.TEXTJOIN("; ", TRUE, _xlfn._xlws.FILTER('Model output'!G:G, 'Model output'!Z:Z=A22)),1)),ISNUMBER(SEARCH("left posterior neck", _xlfn.TEXTJOIN("; ", TRUE, _xlfn._xlws.FILTER('Model output'!G:G, 'Model output'!Z:Z=A22)),1)),ISNUMBER(SEARCH("right neck", _xlfn.TEXTJOIN("; ", TRUE, _xlfn._xlws.FILTER('Model output'!G:G, 'Model output'!Z:Z=A22)),1)),ISNUMBER(SEARCH("right anterior neck", _xlfn.TEXTJOIN("; ", TRUE, _xlfn._xlws.FILTER('Model output'!G:G, 'Model output'!Z:Z=A22)),1)),ISNUMBER(SEARCH("right posterior neck", _xlfn.TEXTJOIN("; ", TRUE, _xlfn._xlws.FILTER('Model output'!G:G, 'Model output'!Z:Z=A22)),1)))),"lateral",IF(AND(M22=0, _xlfn.TEXTJOIN("; ", TRUE, _xlfn._xlws.FILTER('Model output'!G:G, 'Model output'!Z:Z=A22))=""),"", "central"))</f>
        <v>central</v>
      </c>
      <c r="K22" s="17" t="str" cm="1">
        <f t="array" ref="K22">IF(OR(ISNUMBER(SEARCH("lymph",_xlfn.TEXTJOIN("; ", TRUE, _xlfn._xlws.FILTER('Model output'!H:H, 'Model output'!Z:Z=A22)),1)), ISNUMBER(SEARCH("Not mentioned",_xlfn.TEXTJOIN("; ", TRUE, _xlfn._xlws.FILTER('Model output'!H:H, 'Model output'!Z:Z=A22)),1)),ISNUMBER(SEARCH("subcutaneous soft tissues",_xlfn.TEXTJOIN("; ", TRUE, _xlfn._xlws.FILTER('Model output'!H:H, 'Model output'!Z:Z=A22)),1)),ISNUMBER(SEARCH("larynx",_xlfn.TEXTJOIN("; ", TRUE, _xlfn._xlws.FILTER('Model output'!H:H, 'Model output'!Z:Z=A22)),1)),ISNUMBER(SEARCH("trachea",_xlfn.TEXTJOIN("; ", TRUE, _xlfn._xlws.FILTER('Model output'!H:H, 'Model output'!Z:Z=A22)),1)),ISNUMBER(SEARCH("esophagus",_xlfn.TEXTJOIN("; ", TRUE, _xlfn._xlws.FILTER('Model output'!H:H, 'Model output'!Z:Z=A22)),1)),ISNUMBER(SEARCH("recurrent laryngeal nerve",_xlfn.TEXTJOIN("; ", TRUE, _xlfn._xlws.FILTER('Model output'!H:H, 'Model output'!Z:Z=A22)),1)),ISNUMBER(SEARCH("strap muscle",_xlfn.TEXTJOIN("; ", TRUE, _xlfn._xlws.FILTER('Model output'!H:H, 'Model output'!Z:Z=A22)),1)),ISNUMBER(SEARCH("thyroid",_xlfn.TEXTJOIN("; ", TRUE, _xlfn._xlws.FILTER('Model output'!H:H, 'Model output'!Z:Z=A22)),1)),ISNUMBER(SEARCH("RLN",_xlfn.TEXTJOIN("; ", TRUE, _xlfn._xlws.FILTER('Model output'!H:H, 'Model output'!Z:Z=A22)),1)),_xlfn.TEXTJOIN("; ", TRUE, _xlfn._xlws.FILTER('Model output'!H:H, 'Model output'!Z:Z=A22))=""),"negative","positive")</f>
        <v>negative</v>
      </c>
      <c r="L22" s="17">
        <f>IF(IFERROR(INDEX('Model output'!I:I, MATCH(A22, 'Model output'!Z:Z, 0)), "") &lt; M22, "", IFERROR(INDEX('Model output'!I:I, MATCH(A22, 'Model output'!Z:Z, 0)), ""))</f>
        <v>4</v>
      </c>
      <c r="M22" s="17">
        <f>IFERROR(INDEX('Model output'!J:J, MATCH(A22, 'Model output'!Z:Z, 0)), "")</f>
        <v>3</v>
      </c>
      <c r="N22" s="18" t="str" cm="1">
        <f t="array" ref="N22">ReplaceTo(ReplaceAnd(SUBSTITUTE(SUBSTITUTE(_xlfn.TEXTJOIN("; ", TRUE, _xlfn._xlws.FILTER('Model output'!K:K, 'Model output'!Z:Z=A22)), " ", ""), ",", ";")))</f>
        <v/>
      </c>
      <c r="O22" t="str" cm="1">
        <f t="array" ref="O22">IF(LEFT(IF(RIGHT(SUBSTITUTE(FilterWithUnits(N22)&amp; ";" &amp;FilterStringsWithNumericAnd(N22) &amp; ";" &amp; FilterStringsWithX(N22), ";;", ";"),1)=";",LEFT(SUBSTITUTE(FilterWithUnits(N22)&amp; ";" &amp;FilterStringsWithNumericAnd(N22) &amp; ";" &amp; FilterStringsWithX(N22), ";;", ";"),LEN(SUBSTITUTE(FilterWithUnits(N22)&amp; ";" &amp;FilterStringsWithNumericAnd(N22) &amp; ";" &amp; FilterStringsWithX(N22), ";;", ";"))-1),SUBSTITUTE(FilterWithUnits(N22)&amp; ";" &amp;FilterStringsWithNumericAnd(N22) &amp; ";" &amp; FilterStringsWithX(N22), ";;", ";")),1)=";",RIGHT(IF(RIGHT(SUBSTITUTE(FilterWithUnits(N22)&amp; ";" &amp;FilterStringsWithNumericAnd(N22) &amp; ";" &amp; FilterStringsWithX(N22), ";;", ";"),1)=";",LEFT(SUBSTITUTE(FilterWithUnits(N22)&amp; ";" &amp;FilterStringsWithNumericAnd(N22) &amp; ";" &amp; FilterStringsWithX(N22), ";;", ";"),LEN(SUBSTITUTE(FilterWithUnits(N22)&amp; ";" &amp;FilterStringsWithNumericAnd(N22) &amp; ";" &amp; FilterStringsWithX(N22), ";;", ";"))-1),SUBSTITUTE(FilterWithUnits(N22)&amp; ";" &amp;FilterStringsWithNumericAnd(N22) &amp; ";" &amp; FilterStringsWithX(N22), ";;", ";")),LEN(IF(RIGHT(SUBSTITUTE(FilterWithUnits(N22)&amp; ";" &amp;FilterStringsWithNumericAnd(N22) &amp; ";" &amp; FilterStringsWithX(N22), ";;", ";"),1)=";",LEFT(SUBSTITUTE(FilterWithUnits(N22)&amp; ";" &amp;FilterStringsWithNumericAnd(N22) &amp; ";" &amp; FilterStringsWithX(N22), ";;", ";"),LEN(SUBSTITUTE(FilterWithUnits(N22)&amp; ";" &amp;FilterStringsWithNumericAnd(N22) &amp; ";" &amp; FilterStringsWithX(N22), ";;", ";"))-1),SUBSTITUTE(FilterWithUnits(N22)&amp; ";" &amp;FilterStringsWithNumericAnd(N22) &amp; ";" &amp; FilterStringsWithX(N22), ";;", ";")))-1),IF(RIGHT(SUBSTITUTE(FilterWithUnits(N22)&amp; ";" &amp;FilterStringsWithNumericAnd(N22) &amp; ";" &amp; FilterStringsWithX(N22), ";;", ";"),1)=";",LEFT(SUBSTITUTE(FilterWithUnits(N22)&amp; ";" &amp;FilterStringsWithNumericAnd(N22) &amp; ";" &amp; FilterStringsWithX(N22), ";;", ";"),LEN(SUBSTITUTE(FilterWithUnits(N22)&amp; ";" &amp;FilterStringsWithNumericAnd(N22) &amp; ";" &amp; FilterStringsWithX(N22), ";;", ";"))-1),SUBSTITUTE(FilterWithUnits(N22)&amp; ";" &amp;FilterStringsWithNumericAnd(N22) &amp; ";" &amp; FilterStringsWithX(N22), ";;", ";")))</f>
        <v/>
      </c>
      <c r="P22" t="str" cm="1">
        <f t="array" ref="P22">IF(MaxSize((SplitDimensions(O22)))=0, "", MaxSize((SplitDimensions(O22))))</f>
        <v/>
      </c>
      <c r="Q22" t="str" cm="1">
        <f t="array" ref="Q22">IF(ISERROR(INDEX(_xlfn._xlws.FILTER('Model output'!L:L, ('Model output'!Z:Z=A22)*('Model output'!L:L&lt;&gt;"")), 1)), " ", LOWER(INDEX(_xlfn._xlws.FILTER('Model output'!L:L, ('Model output'!Z:Z=A22)*('Model output'!L:L&lt;&gt;"")), 1)))</f>
        <v>papillary carcinoma</v>
      </c>
      <c r="R22" t="str" cm="1">
        <f t="array" ref="R22">IF(ISERROR(INDEX(_xlfn._xlws.FILTER('Model output'!M:M, ('Model output'!Z:Z=A22)*('Model output'!M:M&lt;&gt;"")), 1)), " ", LOWER(INDEX(_xlfn._xlws.FILTER('Model output'!M:M, ('Model output'!Z:Z=A22)*('Model output'!M:M&lt;&gt;"")), 1)))</f>
        <v>infiltrative follicular pattern and focal papillary structures among a sclerotic stroma, associated with calcification and ossification</v>
      </c>
      <c r="S22" t="str" cm="1">
        <f t="array" ref="S22">IF(OR(ISNUMBER(SEARCH("ly",SUBSTITUTE(INDEX(_xlfn._xlws.FILTER('Model output'!N:N,('Model output'!Z:Z=A22)*('Model output'!N:N&lt;&gt;"")),1)," ",""),1)), ISNUMBER(SEARCH("pole",SUBSTITUTE(INDEX(_xlfn._xlws.FILTER('Model output'!N:N,('Model output'!Z:Z=A22)*('Model output'!N:N&lt;&gt;"")),1)," ",""),1))),"",SUBSTITUTE(INDEX(_xlfn._xlws.FILTER('Model output'!N:N,('Model output'!Z:Z=A22)*('Model output'!N:N&lt;&gt;"")),1)," ",""))</f>
        <v>1.5cm(Rightthyroid)and11mm(Leftthyroid)</v>
      </c>
      <c r="T22" t="str" cm="1">
        <f t="array" ref="T22">IF(LEFT(IF(RIGHT(SUBSTITUTE(FilterWithUnits(S22)&amp; ";" &amp;FilterStringsWithNumericAnd(S22) &amp; ";" &amp; FilterStringsWithX(S22), ";;", ";"),1)=";",LEFT(SUBSTITUTE(FilterWithUnits(S22)&amp; ";" &amp;FilterStringsWithNumericAnd(S22) &amp; ";" &amp; FilterStringsWithX(S22), ";;", ";"),LEN(SUBSTITUTE(FilterWithUnits(S22)&amp; ";" &amp;FilterStringsWithNumericAnd(S22) &amp; ";" &amp; FilterStringsWithX(S22), ";;", ";"))-1),SUBSTITUTE(FilterWithUnits(S22)&amp; ";" &amp;FilterStringsWithNumericAnd(S22) &amp; ";" &amp; FilterStringsWithX(S22), ";;", ";")),1)=";",RIGHT(IF(RIGHT(SUBSTITUTE(FilterWithUnits(S22)&amp; ";" &amp;FilterStringsWithNumericAnd(S22) &amp; ";" &amp; FilterStringsWithX(S22), ";;", ";"),1)=";",LEFT(SUBSTITUTE(FilterWithUnits(S22)&amp; ";" &amp;FilterStringsWithNumericAnd(S22) &amp; ";" &amp; FilterStringsWithX(S22), ";;", ";"),LEN(SUBSTITUTE(FilterWithUnits(S22)&amp; ";" &amp;FilterStringsWithNumericAnd(S22) &amp; ";" &amp; FilterStringsWithX(S22), ";;", ";"))-1),SUBSTITUTE(FilterWithUnits(S22)&amp; ";" &amp;FilterStringsWithNumericAnd(S22) &amp; ";" &amp; FilterStringsWithX(S22), ";;", ";")),LEN(IF(RIGHT(SUBSTITUTE(FilterWithUnits(S22)&amp; ";" &amp;FilterStringsWithNumericAnd(S22) &amp; ";" &amp; FilterStringsWithX(S22), ";;", ";"),1)=";",LEFT(SUBSTITUTE(FilterWithUnits(S22)&amp; ";" &amp;FilterStringsWithNumericAnd(S22) &amp; ";" &amp; FilterStringsWithX(S22), ";;", ";"),LEN(SUBSTITUTE(FilterWithUnits(S22)&amp; ";" &amp;FilterStringsWithNumericAnd(S22) &amp; ";" &amp; FilterStringsWithX(S22), ";;", ";"))-1),SUBSTITUTE(FilterWithUnits(S22)&amp; ";" &amp;FilterStringsWithNumericAnd(S22) &amp; ";" &amp; FilterStringsWithX(S22), ";;", ";")))-1),IF(RIGHT(SUBSTITUTE(FilterWithUnits(S22)&amp; ";" &amp;FilterStringsWithNumericAnd(S22) &amp; ";" &amp; FilterStringsWithX(S22), ";;", ";"),1)=";",LEFT(SUBSTITUTE(FilterWithUnits(S22)&amp; ";" &amp;FilterStringsWithNumericAnd(S22) &amp; ";" &amp; FilterStringsWithX(S22), ";;", ";"),LEN(SUBSTITUTE(FilterWithUnits(S22)&amp; ";" &amp;FilterStringsWithNumericAnd(S22) &amp; ";" &amp; FilterStringsWithX(S22), ";;", ";"))-1),SUBSTITUTE(FilterWithUnits(S22)&amp; ";" &amp;FilterStringsWithNumericAnd(S22) &amp; ";" &amp; FilterStringsWithX(S22), ";;", ";")))</f>
        <v>1.5cm</v>
      </c>
      <c r="U22" cm="1">
        <f t="array" ref="U22">IF(MaxSize((SplitDimensions(T22)))=0, "", MaxSize((SplitDimensions(T22))))</f>
        <v>1.5</v>
      </c>
      <c r="V22" s="17" t="str" cm="1">
        <f t="array" ref="V22">IF(ISERROR(INDEX(_xlfn._xlws.FILTER('Model output'!P:P,('Model output'!Z:Z=A22)*('Model output'!P:P&lt;&gt;"")),1)),"negative",IF(OR(ISNUMBER(SEARCH("foc",INDEX(_xlfn._xlws.FILTER('Model output'!P:P,('Model output'!Z:Z=A22)*('Model output'!P:P&lt;&gt;"")),1),1)),ISNUMBER(SEARCH("extensive",INDEX(_xlfn._xlws.FILTER('Model output'!P:P,('Model output'!Z:Z=A22)*('Model output'!P:P&lt;&gt;"")),1),1)),ISNUMBER(SEARCH("present",INDEX(_xlfn._xlws.FILTER('Model output'!P:P,('Model output'!Z:Z=A22)*('Model output'!P:P&lt;&gt;"")),1),1)),ISNUMBER(SEARCH("yes",INDEX(_xlfn._xlws.FILTER('Model output'!P:P,('Model output'!Z:Z=A22)*('Model output'!P:P&lt;&gt;"")),1),1))),"positive","negative"))</f>
        <v>positive</v>
      </c>
      <c r="X22" t="str" cm="1">
        <f t="array" ref="X22">IF(ISNUMBER(SEARCH("4",INDEX(_xlfn._xlws.FILTER('Model output'!P:P,('Model output'!Z:Z=A22)*('Model output'!P:P&lt;&gt;"")),1),1)),INDEX(_xlfn._xlws.FILTER('Model output'!P:P,('Model output'!Z:Z=A22)*('Model output'!P:P&lt;&gt;"")),1),"") &amp; _xlfn.TEXTJOIN("",TRUE,_xlfn._xlws.FILTER('Model output'!Q:Q,'Model output'!Z:Z=A22))</f>
        <v/>
      </c>
      <c r="Y22" t="str">
        <f t="shared" si="11"/>
        <v>minimal</v>
      </c>
      <c r="Z22" t="str" cm="1">
        <f t="array" ref="Z22">IF(OR(ISNUMBER(SEARCH("focal",_xlfn.TEXTJOIN("; ",TRUE,_xlfn._xlws.FILTER('Model output'!R:R,'Model output'!Z:Z=A22)),1)),ISNUMBER(SEARCH("present",_xlfn.TEXTJOIN("; ",TRUE,_xlfn._xlws.FILTER('Model output'!R:R,'Model output'!Z:Z=A22)),1))),"positive",IF(_xlfn.TEXTJOIN("; ",TRUE,_xlfn._xlws.FILTER('Model output'!R:R,'Model output'!Z:Z=A22))="","negative",IF(OR(ISNUMBER(SEARCH("no",_xlfn.TEXTJOIN("; ",TRUE,_xlfn._xlws.FILTER('Model output'!R:R,'Model output'!Z:Z=A22)),1)),ISNUMBER(SEARCH("absent",_xlfn.TEXTJOIN("; ",TRUE,_xlfn._xlws.FILTER('Model output'!R:R,'Model output'!Z:Z=A22)),1))),"negative","positive")))</f>
        <v>negative</v>
      </c>
      <c r="AA22" s="17" t="str">
        <f t="shared" si="12"/>
        <v>positive</v>
      </c>
      <c r="AE22" s="17" t="str">
        <f t="shared" si="14"/>
        <v>negative</v>
      </c>
      <c r="AF22" t="str" cm="1">
        <f t="array" ref="AF22">_xlfn.TEXTJOIN("; ",TRUE,_xlfn._xlws.FILTER('Model output'!S:S,'Model output'!Z:Z=A22))</f>
        <v>Present in the left thyroid; Not mentioned in the provided clinical note</v>
      </c>
      <c r="AG22" s="17" t="str" cm="1">
        <f t="array" ref="AG22">IF(OR(ISNUMBER(SEARCH("uninvolved",_xlfn.TEXTJOIN("; ",TRUE,_xlfn._xlws.FILTER('Model output'!V:V,'Model output'!Z:Z=A22)),1)),ISNUMBER(SEARCH("clear",_xlfn.TEXTJOIN("; ",TRUE,_xlfn._xlws.FILTER('Model output'!V:V,'Model output'!Z:Z=A22)),1))*ISNUMBER(SEARCH("not mentioned",_xlfn.TEXTJOIN("; ",TRUE,_xlfn._xlws.FILTER('Model output'!V:V,'Model output'!Z:Z=A22)),1))),"negative",IF(ISNUMBER(SEARCH("cannot be assessed",_xlfn.TEXTJOIN("; ",TRUE,_xlfn._xlws.FILTER('Model output'!V:V,'Model output'!Z:Z=A22)),1)),"unknown","negative"))</f>
        <v>negative</v>
      </c>
      <c r="AI22" s="45" t="str">
        <f t="shared" si="13"/>
        <v>intermediate</v>
      </c>
      <c r="AJ22" s="36" t="str">
        <f t="shared" si="2"/>
        <v>1b</v>
      </c>
      <c r="AK22" s="36" t="str">
        <f t="shared" si="3"/>
        <v>1a</v>
      </c>
      <c r="AL22" s="36">
        <f t="shared" si="4"/>
        <v>0</v>
      </c>
      <c r="AM22" s="36" t="str">
        <f t="shared" si="5"/>
        <v>II</v>
      </c>
      <c r="AN22" s="37" t="s">
        <v>164</v>
      </c>
      <c r="AO22" s="38" t="s">
        <v>201</v>
      </c>
      <c r="AP22" s="38" t="s">
        <v>203</v>
      </c>
      <c r="AQ22" s="38">
        <v>0</v>
      </c>
      <c r="AR22" s="38" t="s">
        <v>44</v>
      </c>
      <c r="AS22" s="37">
        <f t="shared" si="6"/>
        <v>1</v>
      </c>
      <c r="AT22" s="38">
        <f t="shared" si="7"/>
        <v>1</v>
      </c>
      <c r="AU22" s="38">
        <f t="shared" si="8"/>
        <v>1</v>
      </c>
      <c r="AV22" s="38">
        <f t="shared" si="9"/>
        <v>1</v>
      </c>
      <c r="AW22" s="39">
        <f t="shared" si="10"/>
        <v>1</v>
      </c>
    </row>
    <row r="23" spans="1:49">
      <c r="A23" s="13">
        <v>21</v>
      </c>
      <c r="B23" s="16">
        <f>_xlfn.MAXIFS('Model output'!B:B,'Model output'!Z:Z,'Classification result'!$A23)</f>
        <v>45296</v>
      </c>
      <c r="C23" s="16"/>
      <c r="D23" s="16"/>
      <c r="E23" s="17">
        <f>_xlfn.MAXIFS('Model output'!C:C,'Model output'!Z:Z,'Classification result'!$A23)</f>
        <v>51</v>
      </c>
      <c r="F23" s="17" t="str" cm="1">
        <f t="array" ref="F23">LEFT(IF(ISERROR(RIGHT(IF(INDEX(_xlfn._xlws.FILTER('Model output'!D:D,('Model output'!Z:Z=A23)),1)&lt;&gt;"",INDEX(_xlfn._xlws.FILTER('Model output'!D:D,('Model output'!Z:Z=A23)),1),""),LEN(IF(INDEX(_xlfn._xlws.FILTER('Model output'!D:D,('Model output'!Z:Z=A23)),1)&lt;&gt;"",INDEX(_xlfn._xlws.FILTER('Model output'!D:D,('Model output'!Z:Z=A23)),1),""))-FIND("T",IF(INDEX(_xlfn._xlws.FILTER('Model output'!D:D,('Model output'!Z:Z=A23)),1)&lt;&gt;"",INDEX(_xlfn._xlws.FILTER('Model output'!D:D,('Model output'!Z:Z=A23)),1),""),1))),"",(RIGHT(IF(INDEX(_xlfn._xlws.FILTER('Model output'!D:D,('Model output'!Z:Z=A23)),1)&lt;&gt;"",INDEX(_xlfn._xlws.FILTER('Model output'!D:D,('Model output'!Z:Z=A23)),1),""),LEN(IF(INDEX(_xlfn._xlws.FILTER('Model output'!D:D,('Model output'!Z:Z=A23)),1)&lt;&gt;"",INDEX(_xlfn._xlws.FILTER('Model output'!D:D,('Model output'!Z:Z=A23)),1),""))-FIND("T",IF(INDEX(_xlfn._xlws.FILTER('Model output'!D:D,('Model output'!Z:Z=A23)),1)&lt;&gt;"",INDEX(_xlfn._xlws.FILTER('Model output'!D:D,('Model output'!Z:Z=A23)),1)))))),2)</f>
        <v>1</v>
      </c>
      <c r="G23" s="17" t="str" cm="1">
        <f t="array" ref="G23">IF(ISNUMBER(SEARCH("N",IF(ISNUMBER(SEARCH("present",IF(INDEX(_xlfn._xlws.FILTER('Model output'!E:E,('Model output'!Z:Z=A23)),1)="","",INDEX(_xlfn._xlws.FILTER('Model output'!E:E,('Model output'!Z:Z=A23)),1)),1)),"N1", IF(INDEX(_xlfn._xlws.FILTER('Model output'!E:E,('Model output'!Z:Z=A23)),1)="","",INDEX(_xlfn._xlws.FILTER('Model output'!E:E,('Model output'!Z:Z=A23)),1))),1)),RIGHT(IF(ISNUMBER(SEARCH("present",IF(INDEX(_xlfn._xlws.FILTER('Model output'!E:E,('Model output'!Z:Z=A23)),1)="","",INDEX(_xlfn._xlws.FILTER('Model output'!E:E,('Model output'!Z:Z=A23)),1)),1)),"N1", IF(INDEX(_xlfn._xlws.FILTER('Model output'!E:E,('Model output'!Z:Z=A23)),1)="","",INDEX(_xlfn._xlws.FILTER('Model output'!E:E,('Model output'!Z:Z=A23)),1))),LEN(IF(ISNUMBER(SEARCH("present",IF(INDEX(_xlfn._xlws.FILTER('Model output'!E:E,('Model output'!Z:Z=A23)),1)="","",INDEX(_xlfn._xlws.FILTER('Model output'!E:E,('Model output'!Z:Z=A23)),1)),1)),"N1", IF(INDEX(_xlfn._xlws.FILTER('Model output'!E:E,('Model output'!Z:Z=A23)),1)="","",INDEX(_xlfn._xlws.FILTER('Model output'!E:E,('Model output'!Z:Z=A23)),1))))-FIND("N",IF(ISNUMBER(SEARCH("present",IF(INDEX(_xlfn._xlws.FILTER('Model output'!E:E,('Model output'!Z:Z=A23)),1)="","",INDEX(_xlfn._xlws.FILTER('Model output'!E:E,('Model output'!Z:Z=A23)),1)),1)),"N1", IF(INDEX(_xlfn._xlws.FILTER('Model output'!E:E,('Model output'!Z:Z=A23)),1)="","",INDEX(_xlfn._xlws.FILTER('Model output'!E:E,('Model output'!Z:Z=A23)),1))),1)), "")</f>
        <v>1</v>
      </c>
      <c r="H23" s="17" cm="1">
        <f t="array" ref="H23">IF(AND(SUBSTITUTE(_xlfn.TEXTJOIN("/", TRUE, _xlfn._xlws.FILTER('Model output'!F:F, 'Model output'!Z:Z=A23)),"M", "")="", K23="negative"),0,IF(K23="positive",1,0))</f>
        <v>0</v>
      </c>
      <c r="I23" t="str">
        <f t="shared" si="0"/>
        <v>positive</v>
      </c>
      <c r="J23" t="str" cm="1">
        <f t="array" ref="J23">IF(AND(M23&gt;0, _xlfn.TEXTJOIN("; ", TRUE, _xlfn._xlws.FILTER('Model output'!G:G, 'Model output'!Z:Z=A23)) &lt;&gt;"", OR(AND(ISNUMBER(SEARCH("level", _xlfn.TEXTJOIN("; ", TRUE, _xlfn._xlws.FILTER('Model output'!G:G, 'Model output'!Z:Z=A23)),1)),OR(ISNUMBER(SEARCH(" II", _xlfn.TEXTJOIN("; ", TRUE, _xlfn._xlws.FILTER('Model output'!G:G, 'Model output'!Z:Z=A23)),1)),ISNUMBER(SEARCH("2", _xlfn.TEXTJOIN("; ", TRUE, _xlfn._xlws.FILTER('Model output'!G:G, 'Model output'!Z:Z=A23)),1)),ISNUMBER(SEARCH("two", _xlfn.TEXTJOIN("; ", TRUE, _xlfn._xlws.FILTER('Model output'!G:G, 'Model output'!Z:Z=A23)),1)),ISNUMBER(SEARCH("III", _xlfn.TEXTJOIN("; ", TRUE, _xlfn._xlws.FILTER('Model output'!G:G, 'Model output'!Z:Z=A23)),1)),ISNUMBER(SEARCH("3", _xlfn.TEXTJOIN("; ", TRUE, _xlfn._xlws.FILTER('Model output'!G:G, 'Model output'!Z:Z=A23)),1)),ISNUMBER(SEARCH("three", _xlfn.TEXTJOIN("; ", TRUE, _xlfn._xlws.FILTER('Model output'!G:G, 'Model output'!Z:Z=A23)),1)),ISNUMBER(SEARCH("IV", _xlfn.TEXTJOIN("; ", TRUE, _xlfn._xlws.FILTER('Model output'!G:G, 'Model output'!Z:Z=A23)),1)),ISNUMBER(SEARCH("4", _xlfn.TEXTJOIN("; ", TRUE, _xlfn._xlws.FILTER('Model output'!G:G, 'Model output'!Z:Z=A23)),1)),ISNUMBER(SEARCH("five", _xlfn.TEXTJOIN("; ", TRUE, _xlfn._xlws.FILTER('Model output'!G:G, 'Model output'!Z:Z=A23)),1)),ISNUMBER(SEARCH("V ", _xlfn.TEXTJOIN("; ", TRUE, _xlfn._xlws.FILTER('Model output'!G:G, 'Model output'!Z:Z=A23)),1)),ISNUMBER(SEARCH("5", _xlfn.TEXTJOIN("; ", TRUE, _xlfn._xlws.FILTER('Model output'!G:G, 'Model output'!Z:Z=A23)),1)),ISNUMBER(SEARCH("five", _xlfn.TEXTJOIN("; ", TRUE, _xlfn._xlws.FILTER('Model output'!G:G, 'Model output'!Z:Z=A23)),1)),ISNUMBER(SEARCH(" lateral", _xlfn.TEXTJOIN("; ", TRUE, _xlfn._xlws.FILTER('Model output'!G:G, 'Model output'!Z:Z=A23)),1)))),ISNUMBER(SEARCH("cervical", _xlfn.TEXTJOIN("; ", TRUE, _xlfn._xlws.FILTER('Model output'!G:G, 'Model output'!Z:Z=A23)),1)),ISNUMBER(SEARCH("jugular", _xlfn.TEXTJOIN("; ", TRUE, _xlfn._xlws.FILTER('Model output'!G:G, 'Model output'!Z:Z=A23)),1)),ISNUMBER(SEARCH("left neck", _xlfn.TEXTJOIN("; ", TRUE, _xlfn._xlws.FILTER('Model output'!G:G, 'Model output'!Z:Z=A23)),1)),ISNUMBER(SEARCH("left anterior neck", _xlfn.TEXTJOIN("; ", TRUE, _xlfn._xlws.FILTER('Model output'!G:G, 'Model output'!Z:Z=A23)),1)),ISNUMBER(SEARCH("left posterior neck", _xlfn.TEXTJOIN("; ", TRUE, _xlfn._xlws.FILTER('Model output'!G:G, 'Model output'!Z:Z=A23)),1)),ISNUMBER(SEARCH("right neck", _xlfn.TEXTJOIN("; ", TRUE, _xlfn._xlws.FILTER('Model output'!G:G, 'Model output'!Z:Z=A23)),1)),ISNUMBER(SEARCH("right anterior neck", _xlfn.TEXTJOIN("; ", TRUE, _xlfn._xlws.FILTER('Model output'!G:G, 'Model output'!Z:Z=A23)),1)),ISNUMBER(SEARCH("right posterior neck", _xlfn.TEXTJOIN("; ", TRUE, _xlfn._xlws.FILTER('Model output'!G:G, 'Model output'!Z:Z=A23)),1)))),"lateral",IF(AND(M23=0, _xlfn.TEXTJOIN("; ", TRUE, _xlfn._xlws.FILTER('Model output'!G:G, 'Model output'!Z:Z=A23))=""),"", "central"))</f>
        <v>central</v>
      </c>
      <c r="K23" s="17" t="str" cm="1">
        <f t="array" ref="K23">IF(OR(ISNUMBER(SEARCH("lymph",_xlfn.TEXTJOIN("; ", TRUE, _xlfn._xlws.FILTER('Model output'!H:H, 'Model output'!Z:Z=A23)),1)), ISNUMBER(SEARCH("Not mentioned",_xlfn.TEXTJOIN("; ", TRUE, _xlfn._xlws.FILTER('Model output'!H:H, 'Model output'!Z:Z=A23)),1)),ISNUMBER(SEARCH("subcutaneous soft tissues",_xlfn.TEXTJOIN("; ", TRUE, _xlfn._xlws.FILTER('Model output'!H:H, 'Model output'!Z:Z=A23)),1)),ISNUMBER(SEARCH("larynx",_xlfn.TEXTJOIN("; ", TRUE, _xlfn._xlws.FILTER('Model output'!H:H, 'Model output'!Z:Z=A23)),1)),ISNUMBER(SEARCH("trachea",_xlfn.TEXTJOIN("; ", TRUE, _xlfn._xlws.FILTER('Model output'!H:H, 'Model output'!Z:Z=A23)),1)),ISNUMBER(SEARCH("esophagus",_xlfn.TEXTJOIN("; ", TRUE, _xlfn._xlws.FILTER('Model output'!H:H, 'Model output'!Z:Z=A23)),1)),ISNUMBER(SEARCH("recurrent laryngeal nerve",_xlfn.TEXTJOIN("; ", TRUE, _xlfn._xlws.FILTER('Model output'!H:H, 'Model output'!Z:Z=A23)),1)),ISNUMBER(SEARCH("strap muscle",_xlfn.TEXTJOIN("; ", TRUE, _xlfn._xlws.FILTER('Model output'!H:H, 'Model output'!Z:Z=A23)),1)),ISNUMBER(SEARCH("thyroid",_xlfn.TEXTJOIN("; ", TRUE, _xlfn._xlws.FILTER('Model output'!H:H, 'Model output'!Z:Z=A23)),1)),ISNUMBER(SEARCH("RLN",_xlfn.TEXTJOIN("; ", TRUE, _xlfn._xlws.FILTER('Model output'!H:H, 'Model output'!Z:Z=A23)),1)),_xlfn.TEXTJOIN("; ", TRUE, _xlfn._xlws.FILTER('Model output'!H:H, 'Model output'!Z:Z=A23))=""),"negative","positive")</f>
        <v>negative</v>
      </c>
      <c r="L23" s="17" t="str">
        <f>IF(IFERROR(INDEX('Model output'!I:I, MATCH(A23, 'Model output'!Z:Z, 0)), "") &lt; M23, "", IFERROR(INDEX('Model output'!I:I, MATCH(A23, 'Model output'!Z:Z, 0)), ""))</f>
        <v/>
      </c>
      <c r="M23" s="17">
        <f>IFERROR(INDEX('Model output'!J:J, MATCH(A23, 'Model output'!Z:Z, 0)), "")</f>
        <v>4</v>
      </c>
      <c r="N23" s="18" t="str" cm="1">
        <f t="array" ref="N23">ReplaceTo(ReplaceAnd(SUBSTITUTE(SUBSTITUTE(_xlfn.TEXTJOIN("; ", TRUE, _xlfn._xlws.FILTER('Model output'!K:K, 'Model output'!Z:Z=A23)), " ", ""), ",", ";")))</f>
        <v/>
      </c>
      <c r="O23" t="str" cm="1">
        <f t="array" ref="O23">IF(LEFT(IF(RIGHT(SUBSTITUTE(FilterWithUnits(N23)&amp; ";" &amp;FilterStringsWithNumericAnd(N23) &amp; ";" &amp; FilterStringsWithX(N23), ";;", ";"),1)=";",LEFT(SUBSTITUTE(FilterWithUnits(N23)&amp; ";" &amp;FilterStringsWithNumericAnd(N23) &amp; ";" &amp; FilterStringsWithX(N23), ";;", ";"),LEN(SUBSTITUTE(FilterWithUnits(N23)&amp; ";" &amp;FilterStringsWithNumericAnd(N23) &amp; ";" &amp; FilterStringsWithX(N23), ";;", ";"))-1),SUBSTITUTE(FilterWithUnits(N23)&amp; ";" &amp;FilterStringsWithNumericAnd(N23) &amp; ";" &amp; FilterStringsWithX(N23), ";;", ";")),1)=";",RIGHT(IF(RIGHT(SUBSTITUTE(FilterWithUnits(N23)&amp; ";" &amp;FilterStringsWithNumericAnd(N23) &amp; ";" &amp; FilterStringsWithX(N23), ";;", ";"),1)=";",LEFT(SUBSTITUTE(FilterWithUnits(N23)&amp; ";" &amp;FilterStringsWithNumericAnd(N23) &amp; ";" &amp; FilterStringsWithX(N23), ";;", ";"),LEN(SUBSTITUTE(FilterWithUnits(N23)&amp; ";" &amp;FilterStringsWithNumericAnd(N23) &amp; ";" &amp; FilterStringsWithX(N23), ";;", ";"))-1),SUBSTITUTE(FilterWithUnits(N23)&amp; ";" &amp;FilterStringsWithNumericAnd(N23) &amp; ";" &amp; FilterStringsWithX(N23), ";;", ";")),LEN(IF(RIGHT(SUBSTITUTE(FilterWithUnits(N23)&amp; ";" &amp;FilterStringsWithNumericAnd(N23) &amp; ";" &amp; FilterStringsWithX(N23), ";;", ";"),1)=";",LEFT(SUBSTITUTE(FilterWithUnits(N23)&amp; ";" &amp;FilterStringsWithNumericAnd(N23) &amp; ";" &amp; FilterStringsWithX(N23), ";;", ";"),LEN(SUBSTITUTE(FilterWithUnits(N23)&amp; ";" &amp;FilterStringsWithNumericAnd(N23) &amp; ";" &amp; FilterStringsWithX(N23), ";;", ";"))-1),SUBSTITUTE(FilterWithUnits(N23)&amp; ";" &amp;FilterStringsWithNumericAnd(N23) &amp; ";" &amp; FilterStringsWithX(N23), ";;", ";")))-1),IF(RIGHT(SUBSTITUTE(FilterWithUnits(N23)&amp; ";" &amp;FilterStringsWithNumericAnd(N23) &amp; ";" &amp; FilterStringsWithX(N23), ";;", ";"),1)=";",LEFT(SUBSTITUTE(FilterWithUnits(N23)&amp; ";" &amp;FilterStringsWithNumericAnd(N23) &amp; ";" &amp; FilterStringsWithX(N23), ";;", ";"),LEN(SUBSTITUTE(FilterWithUnits(N23)&amp; ";" &amp;FilterStringsWithNumericAnd(N23) &amp; ";" &amp; FilterStringsWithX(N23), ";;", ";"))-1),SUBSTITUTE(FilterWithUnits(N23)&amp; ";" &amp;FilterStringsWithNumericAnd(N23) &amp; ";" &amp; FilterStringsWithX(N23), ";;", ";")))</f>
        <v/>
      </c>
      <c r="P23" t="str" cm="1">
        <f t="array" ref="P23">IF(MaxSize((SplitDimensions(O23)))=0, "", MaxSize((SplitDimensions(O23))))</f>
        <v/>
      </c>
      <c r="Q23" t="str" cm="1">
        <f t="array" ref="Q23">IF(ISERROR(INDEX(_xlfn._xlws.FILTER('Model output'!L:L, ('Model output'!Z:Z=A23)*('Model output'!L:L&lt;&gt;"")), 1)), " ", LOWER(INDEX(_xlfn._xlws.FILTER('Model output'!L:L, ('Model output'!Z:Z=A23)*('Model output'!L:L&lt;&gt;"")), 1)))</f>
        <v>papillary thyroid carcinoma, classic type</v>
      </c>
      <c r="R23" t="str" cm="1">
        <f t="array" ref="R23">IF(ISERROR(INDEX(_xlfn._xlws.FILTER('Model output'!M:M, ('Model output'!Z:Z=A23)*('Model output'!M:M&lt;&gt;"")), 1)), " ", LOWER(INDEX(_xlfn._xlws.FILTER('Model output'!M:M, ('Model output'!Z:Z=A23)*('Model output'!M:M&lt;&gt;"")), 1)))</f>
        <v>suspected cancer of thyroid - right lobe</v>
      </c>
      <c r="S23" t="str" cm="1">
        <f t="array" ref="S23">IF(OR(ISNUMBER(SEARCH("ly",SUBSTITUTE(INDEX(_xlfn._xlws.FILTER('Model output'!N:N,('Model output'!Z:Z=A23)*('Model output'!N:N&lt;&gt;"")),1)," ",""),1)), ISNUMBER(SEARCH("pole",SUBSTITUTE(INDEX(_xlfn._xlws.FILTER('Model output'!N:N,('Model output'!Z:Z=A23)*('Model output'!N:N&lt;&gt;"")),1)," ",""),1))),"",SUBSTITUTE(INDEX(_xlfn._xlws.FILTER('Model output'!N:N,('Model output'!Z:Z=A23)*('Model output'!N:N&lt;&gt;"")),1)," ",""))</f>
        <v>1.8cm</v>
      </c>
      <c r="T23" t="str" cm="1">
        <f t="array" ref="T23">IF(LEFT(IF(RIGHT(SUBSTITUTE(FilterWithUnits(S23)&amp; ";" &amp;FilterStringsWithNumericAnd(S23) &amp; ";" &amp; FilterStringsWithX(S23), ";;", ";"),1)=";",LEFT(SUBSTITUTE(FilterWithUnits(S23)&amp; ";" &amp;FilterStringsWithNumericAnd(S23) &amp; ";" &amp; FilterStringsWithX(S23), ";;", ";"),LEN(SUBSTITUTE(FilterWithUnits(S23)&amp; ";" &amp;FilterStringsWithNumericAnd(S23) &amp; ";" &amp; FilterStringsWithX(S23), ";;", ";"))-1),SUBSTITUTE(FilterWithUnits(S23)&amp; ";" &amp;FilterStringsWithNumericAnd(S23) &amp; ";" &amp; FilterStringsWithX(S23), ";;", ";")),1)=";",RIGHT(IF(RIGHT(SUBSTITUTE(FilterWithUnits(S23)&amp; ";" &amp;FilterStringsWithNumericAnd(S23) &amp; ";" &amp; FilterStringsWithX(S23), ";;", ";"),1)=";",LEFT(SUBSTITUTE(FilterWithUnits(S23)&amp; ";" &amp;FilterStringsWithNumericAnd(S23) &amp; ";" &amp; FilterStringsWithX(S23), ";;", ";"),LEN(SUBSTITUTE(FilterWithUnits(S23)&amp; ";" &amp;FilterStringsWithNumericAnd(S23) &amp; ";" &amp; FilterStringsWithX(S23), ";;", ";"))-1),SUBSTITUTE(FilterWithUnits(S23)&amp; ";" &amp;FilterStringsWithNumericAnd(S23) &amp; ";" &amp; FilterStringsWithX(S23), ";;", ";")),LEN(IF(RIGHT(SUBSTITUTE(FilterWithUnits(S23)&amp; ";" &amp;FilterStringsWithNumericAnd(S23) &amp; ";" &amp; FilterStringsWithX(S23), ";;", ";"),1)=";",LEFT(SUBSTITUTE(FilterWithUnits(S23)&amp; ";" &amp;FilterStringsWithNumericAnd(S23) &amp; ";" &amp; FilterStringsWithX(S23), ";;", ";"),LEN(SUBSTITUTE(FilterWithUnits(S23)&amp; ";" &amp;FilterStringsWithNumericAnd(S23) &amp; ";" &amp; FilterStringsWithX(S23), ";;", ";"))-1),SUBSTITUTE(FilterWithUnits(S23)&amp; ";" &amp;FilterStringsWithNumericAnd(S23) &amp; ";" &amp; FilterStringsWithX(S23), ";;", ";")))-1),IF(RIGHT(SUBSTITUTE(FilterWithUnits(S23)&amp; ";" &amp;FilterStringsWithNumericAnd(S23) &amp; ";" &amp; FilterStringsWithX(S23), ";;", ";"),1)=";",LEFT(SUBSTITUTE(FilterWithUnits(S23)&amp; ";" &amp;FilterStringsWithNumericAnd(S23) &amp; ";" &amp; FilterStringsWithX(S23), ";;", ";"),LEN(SUBSTITUTE(FilterWithUnits(S23)&amp; ";" &amp;FilterStringsWithNumericAnd(S23) &amp; ";" &amp; FilterStringsWithX(S23), ";;", ";"))-1),SUBSTITUTE(FilterWithUnits(S23)&amp; ";" &amp;FilterStringsWithNumericAnd(S23) &amp; ";" &amp; FilterStringsWithX(S23), ";;", ";")))</f>
        <v>1.8cm</v>
      </c>
      <c r="U23" cm="1">
        <f t="array" ref="U23">IF(MaxSize((SplitDimensions(T23)))=0, "", MaxSize((SplitDimensions(T23))))</f>
        <v>1.8</v>
      </c>
      <c r="V23" s="17" t="str" cm="1">
        <f t="array" ref="V23">IF(ISERROR(INDEX(_xlfn._xlws.FILTER('Model output'!P:P,('Model output'!Z:Z=A23)*('Model output'!P:P&lt;&gt;"")),1)),"negative",IF(OR(ISNUMBER(SEARCH("foc",INDEX(_xlfn._xlws.FILTER('Model output'!P:P,('Model output'!Z:Z=A23)*('Model output'!P:P&lt;&gt;"")),1),1)),ISNUMBER(SEARCH("extensive",INDEX(_xlfn._xlws.FILTER('Model output'!P:P,('Model output'!Z:Z=A23)*('Model output'!P:P&lt;&gt;"")),1),1)),ISNUMBER(SEARCH("present",INDEX(_xlfn._xlws.FILTER('Model output'!P:P,('Model output'!Z:Z=A23)*('Model output'!P:P&lt;&gt;"")),1),1)),ISNUMBER(SEARCH("yes",INDEX(_xlfn._xlws.FILTER('Model output'!P:P,('Model output'!Z:Z=A23)*('Model output'!P:P&lt;&gt;"")),1),1))),"positive","negative"))</f>
        <v>positive</v>
      </c>
      <c r="X23" t="str" cm="1">
        <f t="array" ref="X23">IF(ISNUMBER(SEARCH("4",INDEX(_xlfn._xlws.FILTER('Model output'!P:P,('Model output'!Z:Z=A23)*('Model output'!P:P&lt;&gt;"")),1),1)),INDEX(_xlfn._xlws.FILTER('Model output'!P:P,('Model output'!Z:Z=A23)*('Model output'!P:P&lt;&gt;"")),1),"") &amp; _xlfn.TEXTJOIN("",TRUE,_xlfn._xlws.FILTER('Model output'!Q:Q,'Model output'!Z:Z=A23))</f>
        <v>Skeletal muscleNot mentioned</v>
      </c>
      <c r="Y23" t="str">
        <f t="shared" si="11"/>
        <v>minimal</v>
      </c>
      <c r="Z23" t="str" cm="1">
        <f t="array" ref="Z23">IF(OR(ISNUMBER(SEARCH("focal",_xlfn.TEXTJOIN("; ",TRUE,_xlfn._xlws.FILTER('Model output'!R:R,'Model output'!Z:Z=A23)),1)),ISNUMBER(SEARCH("present",_xlfn.TEXTJOIN("; ",TRUE,_xlfn._xlws.FILTER('Model output'!R:R,'Model output'!Z:Z=A23)),1))),"positive",IF(_xlfn.TEXTJOIN("; ",TRUE,_xlfn._xlws.FILTER('Model output'!R:R,'Model output'!Z:Z=A23))="","negative",IF(OR(ISNUMBER(SEARCH("no",_xlfn.TEXTJOIN("; ",TRUE,_xlfn._xlws.FILTER('Model output'!R:R,'Model output'!Z:Z=A23)),1)),ISNUMBER(SEARCH("absent",_xlfn.TEXTJOIN("; ",TRUE,_xlfn._xlws.FILTER('Model output'!R:R,'Model output'!Z:Z=A23)),1))),"negative","positive")))</f>
        <v>negative</v>
      </c>
      <c r="AA23" s="17" t="str">
        <f t="shared" si="12"/>
        <v>negative</v>
      </c>
      <c r="AE23" s="17" t="str">
        <f t="shared" si="14"/>
        <v>positive</v>
      </c>
      <c r="AF23" t="str" cm="1">
        <f t="array" ref="AF23">_xlfn.TEXTJOIN("; ",TRUE,_xlfn._xlws.FILTER('Model output'!S:S,'Model output'!Z:Z=A23))</f>
        <v>Skeletal muscle; Not mentioned</v>
      </c>
      <c r="AG23" s="17" t="str" cm="1">
        <f t="array" ref="AG23">IF(OR(ISNUMBER(SEARCH("uninvolved",_xlfn.TEXTJOIN("; ",TRUE,_xlfn._xlws.FILTER('Model output'!V:V,'Model output'!Z:Z=A23)),1)),ISNUMBER(SEARCH("clear",_xlfn.TEXTJOIN("; ",TRUE,_xlfn._xlws.FILTER('Model output'!V:V,'Model output'!Z:Z=A23)),1))*ISNUMBER(SEARCH("not mentioned",_xlfn.TEXTJOIN("; ",TRUE,_xlfn._xlws.FILTER('Model output'!V:V,'Model output'!Z:Z=A23)),1))),"negative",IF(ISNUMBER(SEARCH("cannot be assessed",_xlfn.TEXTJOIN("; ",TRUE,_xlfn._xlws.FILTER('Model output'!V:V,'Model output'!Z:Z=A23)),1)),"unknown","negative"))</f>
        <v>negative</v>
      </c>
      <c r="AI23" s="45" t="str">
        <f t="shared" si="13"/>
        <v>high</v>
      </c>
      <c r="AJ23" s="36" t="str">
        <f t="shared" si="2"/>
        <v>3b</v>
      </c>
      <c r="AK23" s="36" t="str">
        <f t="shared" si="3"/>
        <v>1a</v>
      </c>
      <c r="AL23" s="36">
        <f t="shared" si="4"/>
        <v>0</v>
      </c>
      <c r="AM23" s="36" t="str">
        <f t="shared" si="5"/>
        <v>I</v>
      </c>
      <c r="AN23" s="37" t="s">
        <v>164</v>
      </c>
      <c r="AO23" s="38" t="s">
        <v>201</v>
      </c>
      <c r="AP23" s="38" t="s">
        <v>203</v>
      </c>
      <c r="AQ23" s="38">
        <v>0</v>
      </c>
      <c r="AR23" s="38" t="s">
        <v>31</v>
      </c>
      <c r="AS23" s="37">
        <f t="shared" si="6"/>
        <v>0</v>
      </c>
      <c r="AT23" s="38">
        <f t="shared" si="7"/>
        <v>0</v>
      </c>
      <c r="AU23" s="38">
        <f t="shared" si="8"/>
        <v>1</v>
      </c>
      <c r="AV23" s="38">
        <f t="shared" si="9"/>
        <v>1</v>
      </c>
      <c r="AW23" s="39">
        <f t="shared" si="10"/>
        <v>1</v>
      </c>
    </row>
    <row r="24" spans="1:49">
      <c r="A24" s="13">
        <v>22</v>
      </c>
      <c r="B24" s="16">
        <f>_xlfn.MAXIFS('Model output'!B:B,'Model output'!Z:Z,'Classification result'!$A24)</f>
        <v>45299</v>
      </c>
      <c r="C24" s="16"/>
      <c r="D24" s="16"/>
      <c r="E24" s="17">
        <f>_xlfn.MAXIFS('Model output'!C:C,'Model output'!Z:Z,'Classification result'!$A24)</f>
        <v>50</v>
      </c>
      <c r="F24" s="17" t="str" cm="1">
        <f t="array" ref="F24">LEFT(IF(ISERROR(RIGHT(IF(INDEX(_xlfn._xlws.FILTER('Model output'!D:D,('Model output'!Z:Z=A24)),1)&lt;&gt;"",INDEX(_xlfn._xlws.FILTER('Model output'!D:D,('Model output'!Z:Z=A24)),1),""),LEN(IF(INDEX(_xlfn._xlws.FILTER('Model output'!D:D,('Model output'!Z:Z=A24)),1)&lt;&gt;"",INDEX(_xlfn._xlws.FILTER('Model output'!D:D,('Model output'!Z:Z=A24)),1),""))-FIND("T",IF(INDEX(_xlfn._xlws.FILTER('Model output'!D:D,('Model output'!Z:Z=A24)),1)&lt;&gt;"",INDEX(_xlfn._xlws.FILTER('Model output'!D:D,('Model output'!Z:Z=A24)),1),""),1))),"",(RIGHT(IF(INDEX(_xlfn._xlws.FILTER('Model output'!D:D,('Model output'!Z:Z=A24)),1)&lt;&gt;"",INDEX(_xlfn._xlws.FILTER('Model output'!D:D,('Model output'!Z:Z=A24)),1),""),LEN(IF(INDEX(_xlfn._xlws.FILTER('Model output'!D:D,('Model output'!Z:Z=A24)),1)&lt;&gt;"",INDEX(_xlfn._xlws.FILTER('Model output'!D:D,('Model output'!Z:Z=A24)),1),""))-FIND("T",IF(INDEX(_xlfn._xlws.FILTER('Model output'!D:D,('Model output'!Z:Z=A24)),1)&lt;&gt;"",INDEX(_xlfn._xlws.FILTER('Model output'!D:D,('Model output'!Z:Z=A24)),1)))))),2)</f>
        <v>1a</v>
      </c>
      <c r="G24" s="17" t="str" cm="1">
        <f t="array" ref="G24">IF(ISNUMBER(SEARCH("N",IF(ISNUMBER(SEARCH("present",IF(INDEX(_xlfn._xlws.FILTER('Model output'!E:E,('Model output'!Z:Z=A24)),1)="","",INDEX(_xlfn._xlws.FILTER('Model output'!E:E,('Model output'!Z:Z=A24)),1)),1)),"N1", IF(INDEX(_xlfn._xlws.FILTER('Model output'!E:E,('Model output'!Z:Z=A24)),1)="","",INDEX(_xlfn._xlws.FILTER('Model output'!E:E,('Model output'!Z:Z=A24)),1))),1)),RIGHT(IF(ISNUMBER(SEARCH("present",IF(INDEX(_xlfn._xlws.FILTER('Model output'!E:E,('Model output'!Z:Z=A24)),1)="","",INDEX(_xlfn._xlws.FILTER('Model output'!E:E,('Model output'!Z:Z=A24)),1)),1)),"N1", IF(INDEX(_xlfn._xlws.FILTER('Model output'!E:E,('Model output'!Z:Z=A24)),1)="","",INDEX(_xlfn._xlws.FILTER('Model output'!E:E,('Model output'!Z:Z=A24)),1))),LEN(IF(ISNUMBER(SEARCH("present",IF(INDEX(_xlfn._xlws.FILTER('Model output'!E:E,('Model output'!Z:Z=A24)),1)="","",INDEX(_xlfn._xlws.FILTER('Model output'!E:E,('Model output'!Z:Z=A24)),1)),1)),"N1", IF(INDEX(_xlfn._xlws.FILTER('Model output'!E:E,('Model output'!Z:Z=A24)),1)="","",INDEX(_xlfn._xlws.FILTER('Model output'!E:E,('Model output'!Z:Z=A24)),1))))-FIND("N",IF(ISNUMBER(SEARCH("present",IF(INDEX(_xlfn._xlws.FILTER('Model output'!E:E,('Model output'!Z:Z=A24)),1)="","",INDEX(_xlfn._xlws.FILTER('Model output'!E:E,('Model output'!Z:Z=A24)),1)),1)),"N1", IF(INDEX(_xlfn._xlws.FILTER('Model output'!E:E,('Model output'!Z:Z=A24)),1)="","",INDEX(_xlfn._xlws.FILTER('Model output'!E:E,('Model output'!Z:Z=A24)),1))),1)), "")</f>
        <v/>
      </c>
      <c r="H24" s="17" cm="1">
        <f t="array" ref="H24">IF(AND(SUBSTITUTE(_xlfn.TEXTJOIN("/", TRUE, _xlfn._xlws.FILTER('Model output'!F:F, 'Model output'!Z:Z=A24)),"M", "")="", K24="negative"),0,IF(K24="positive",1,0))</f>
        <v>0</v>
      </c>
      <c r="I24" t="str">
        <f t="shared" si="0"/>
        <v/>
      </c>
      <c r="J24" t="str" cm="1">
        <f t="array" ref="J24">IF(AND(M24&gt;0, _xlfn.TEXTJOIN("; ", TRUE, _xlfn._xlws.FILTER('Model output'!G:G, 'Model output'!Z:Z=A24)) &lt;&gt;"", OR(AND(ISNUMBER(SEARCH("level", _xlfn.TEXTJOIN("; ", TRUE, _xlfn._xlws.FILTER('Model output'!G:G, 'Model output'!Z:Z=A24)),1)),OR(ISNUMBER(SEARCH(" II", _xlfn.TEXTJOIN("; ", TRUE, _xlfn._xlws.FILTER('Model output'!G:G, 'Model output'!Z:Z=A24)),1)),ISNUMBER(SEARCH("2", _xlfn.TEXTJOIN("; ", TRUE, _xlfn._xlws.FILTER('Model output'!G:G, 'Model output'!Z:Z=A24)),1)),ISNUMBER(SEARCH("two", _xlfn.TEXTJOIN("; ", TRUE, _xlfn._xlws.FILTER('Model output'!G:G, 'Model output'!Z:Z=A24)),1)),ISNUMBER(SEARCH("III", _xlfn.TEXTJOIN("; ", TRUE, _xlfn._xlws.FILTER('Model output'!G:G, 'Model output'!Z:Z=A24)),1)),ISNUMBER(SEARCH("3", _xlfn.TEXTJOIN("; ", TRUE, _xlfn._xlws.FILTER('Model output'!G:G, 'Model output'!Z:Z=A24)),1)),ISNUMBER(SEARCH("three", _xlfn.TEXTJOIN("; ", TRUE, _xlfn._xlws.FILTER('Model output'!G:G, 'Model output'!Z:Z=A24)),1)),ISNUMBER(SEARCH("IV", _xlfn.TEXTJOIN("; ", TRUE, _xlfn._xlws.FILTER('Model output'!G:G, 'Model output'!Z:Z=A24)),1)),ISNUMBER(SEARCH("4", _xlfn.TEXTJOIN("; ", TRUE, _xlfn._xlws.FILTER('Model output'!G:G, 'Model output'!Z:Z=A24)),1)),ISNUMBER(SEARCH("five", _xlfn.TEXTJOIN("; ", TRUE, _xlfn._xlws.FILTER('Model output'!G:G, 'Model output'!Z:Z=A24)),1)),ISNUMBER(SEARCH("V ", _xlfn.TEXTJOIN("; ", TRUE, _xlfn._xlws.FILTER('Model output'!G:G, 'Model output'!Z:Z=A24)),1)),ISNUMBER(SEARCH("5", _xlfn.TEXTJOIN("; ", TRUE, _xlfn._xlws.FILTER('Model output'!G:G, 'Model output'!Z:Z=A24)),1)),ISNUMBER(SEARCH("five", _xlfn.TEXTJOIN("; ", TRUE, _xlfn._xlws.FILTER('Model output'!G:G, 'Model output'!Z:Z=A24)),1)),ISNUMBER(SEARCH(" lateral", _xlfn.TEXTJOIN("; ", TRUE, _xlfn._xlws.FILTER('Model output'!G:G, 'Model output'!Z:Z=A24)),1)))),ISNUMBER(SEARCH("cervical", _xlfn.TEXTJOIN("; ", TRUE, _xlfn._xlws.FILTER('Model output'!G:G, 'Model output'!Z:Z=A24)),1)),ISNUMBER(SEARCH("jugular", _xlfn.TEXTJOIN("; ", TRUE, _xlfn._xlws.FILTER('Model output'!G:G, 'Model output'!Z:Z=A24)),1)),ISNUMBER(SEARCH("left neck", _xlfn.TEXTJOIN("; ", TRUE, _xlfn._xlws.FILTER('Model output'!G:G, 'Model output'!Z:Z=A24)),1)),ISNUMBER(SEARCH("left anterior neck", _xlfn.TEXTJOIN("; ", TRUE, _xlfn._xlws.FILTER('Model output'!G:G, 'Model output'!Z:Z=A24)),1)),ISNUMBER(SEARCH("left posterior neck", _xlfn.TEXTJOIN("; ", TRUE, _xlfn._xlws.FILTER('Model output'!G:G, 'Model output'!Z:Z=A24)),1)),ISNUMBER(SEARCH("right neck", _xlfn.TEXTJOIN("; ", TRUE, _xlfn._xlws.FILTER('Model output'!G:G, 'Model output'!Z:Z=A24)),1)),ISNUMBER(SEARCH("right anterior neck", _xlfn.TEXTJOIN("; ", TRUE, _xlfn._xlws.FILTER('Model output'!G:G, 'Model output'!Z:Z=A24)),1)),ISNUMBER(SEARCH("right posterior neck", _xlfn.TEXTJOIN("; ", TRUE, _xlfn._xlws.FILTER('Model output'!G:G, 'Model output'!Z:Z=A24)),1)))),"lateral",IF(AND(M24=0, _xlfn.TEXTJOIN("; ", TRUE, _xlfn._xlws.FILTER('Model output'!G:G, 'Model output'!Z:Z=A24))=""),"", "central"))</f>
        <v/>
      </c>
      <c r="K24" s="17" t="str" cm="1">
        <f t="array" ref="K24">IF(OR(ISNUMBER(SEARCH("lymph",_xlfn.TEXTJOIN("; ", TRUE, _xlfn._xlws.FILTER('Model output'!H:H, 'Model output'!Z:Z=A24)),1)), ISNUMBER(SEARCH("Not mentioned",_xlfn.TEXTJOIN("; ", TRUE, _xlfn._xlws.FILTER('Model output'!H:H, 'Model output'!Z:Z=A24)),1)),ISNUMBER(SEARCH("subcutaneous soft tissues",_xlfn.TEXTJOIN("; ", TRUE, _xlfn._xlws.FILTER('Model output'!H:H, 'Model output'!Z:Z=A24)),1)),ISNUMBER(SEARCH("larynx",_xlfn.TEXTJOIN("; ", TRUE, _xlfn._xlws.FILTER('Model output'!H:H, 'Model output'!Z:Z=A24)),1)),ISNUMBER(SEARCH("trachea",_xlfn.TEXTJOIN("; ", TRUE, _xlfn._xlws.FILTER('Model output'!H:H, 'Model output'!Z:Z=A24)),1)),ISNUMBER(SEARCH("esophagus",_xlfn.TEXTJOIN("; ", TRUE, _xlfn._xlws.FILTER('Model output'!H:H, 'Model output'!Z:Z=A24)),1)),ISNUMBER(SEARCH("recurrent laryngeal nerve",_xlfn.TEXTJOIN("; ", TRUE, _xlfn._xlws.FILTER('Model output'!H:H, 'Model output'!Z:Z=A24)),1)),ISNUMBER(SEARCH("strap muscle",_xlfn.TEXTJOIN("; ", TRUE, _xlfn._xlws.FILTER('Model output'!H:H, 'Model output'!Z:Z=A24)),1)),ISNUMBER(SEARCH("thyroid",_xlfn.TEXTJOIN("; ", TRUE, _xlfn._xlws.FILTER('Model output'!H:H, 'Model output'!Z:Z=A24)),1)),ISNUMBER(SEARCH("RLN",_xlfn.TEXTJOIN("; ", TRUE, _xlfn._xlws.FILTER('Model output'!H:H, 'Model output'!Z:Z=A24)),1)),_xlfn.TEXTJOIN("; ", TRUE, _xlfn._xlws.FILTER('Model output'!H:H, 'Model output'!Z:Z=A24))=""),"negative","positive")</f>
        <v>negative</v>
      </c>
      <c r="L24" s="17">
        <f>IF(IFERROR(INDEX('Model output'!I:I, MATCH(A24, 'Model output'!Z:Z, 0)), "") &lt; M24, "", IFERROR(INDEX('Model output'!I:I, MATCH(A24, 'Model output'!Z:Z, 0)), ""))</f>
        <v>1</v>
      </c>
      <c r="M24" s="17">
        <f>IFERROR(INDEX('Model output'!J:J, MATCH(A24, 'Model output'!Z:Z, 0)), "")</f>
        <v>0</v>
      </c>
      <c r="N24" s="18" t="str" cm="1">
        <f t="array" ref="N24">ReplaceTo(ReplaceAnd(SUBSTITUTE(SUBSTITUTE(_xlfn.TEXTJOIN("; ", TRUE, _xlfn._xlws.FILTER('Model output'!K:K, 'Model output'!Z:Z=A24)), " ", ""), ",", ";")))</f>
        <v/>
      </c>
      <c r="O24" t="str" cm="1">
        <f t="array" ref="O24">IF(LEFT(IF(RIGHT(SUBSTITUTE(FilterWithUnits(N24)&amp; ";" &amp;FilterStringsWithNumericAnd(N24) &amp; ";" &amp; FilterStringsWithX(N24), ";;", ";"),1)=";",LEFT(SUBSTITUTE(FilterWithUnits(N24)&amp; ";" &amp;FilterStringsWithNumericAnd(N24) &amp; ";" &amp; FilterStringsWithX(N24), ";;", ";"),LEN(SUBSTITUTE(FilterWithUnits(N24)&amp; ";" &amp;FilterStringsWithNumericAnd(N24) &amp; ";" &amp; FilterStringsWithX(N24), ";;", ";"))-1),SUBSTITUTE(FilterWithUnits(N24)&amp; ";" &amp;FilterStringsWithNumericAnd(N24) &amp; ";" &amp; FilterStringsWithX(N24), ";;", ";")),1)=";",RIGHT(IF(RIGHT(SUBSTITUTE(FilterWithUnits(N24)&amp; ";" &amp;FilterStringsWithNumericAnd(N24) &amp; ";" &amp; FilterStringsWithX(N24), ";;", ";"),1)=";",LEFT(SUBSTITUTE(FilterWithUnits(N24)&amp; ";" &amp;FilterStringsWithNumericAnd(N24) &amp; ";" &amp; FilterStringsWithX(N24), ";;", ";"),LEN(SUBSTITUTE(FilterWithUnits(N24)&amp; ";" &amp;FilterStringsWithNumericAnd(N24) &amp; ";" &amp; FilterStringsWithX(N24), ";;", ";"))-1),SUBSTITUTE(FilterWithUnits(N24)&amp; ";" &amp;FilterStringsWithNumericAnd(N24) &amp; ";" &amp; FilterStringsWithX(N24), ";;", ";")),LEN(IF(RIGHT(SUBSTITUTE(FilterWithUnits(N24)&amp; ";" &amp;FilterStringsWithNumericAnd(N24) &amp; ";" &amp; FilterStringsWithX(N24), ";;", ";"),1)=";",LEFT(SUBSTITUTE(FilterWithUnits(N24)&amp; ";" &amp;FilterStringsWithNumericAnd(N24) &amp; ";" &amp; FilterStringsWithX(N24), ";;", ";"),LEN(SUBSTITUTE(FilterWithUnits(N24)&amp; ";" &amp;FilterStringsWithNumericAnd(N24) &amp; ";" &amp; FilterStringsWithX(N24), ";;", ";"))-1),SUBSTITUTE(FilterWithUnits(N24)&amp; ";" &amp;FilterStringsWithNumericAnd(N24) &amp; ";" &amp; FilterStringsWithX(N24), ";;", ";")))-1),IF(RIGHT(SUBSTITUTE(FilterWithUnits(N24)&amp; ";" &amp;FilterStringsWithNumericAnd(N24) &amp; ";" &amp; FilterStringsWithX(N24), ";;", ";"),1)=";",LEFT(SUBSTITUTE(FilterWithUnits(N24)&amp; ";" &amp;FilterStringsWithNumericAnd(N24) &amp; ";" &amp; FilterStringsWithX(N24), ";;", ";"),LEN(SUBSTITUTE(FilterWithUnits(N24)&amp; ";" &amp;FilterStringsWithNumericAnd(N24) &amp; ";" &amp; FilterStringsWithX(N24), ";;", ";"))-1),SUBSTITUTE(FilterWithUnits(N24)&amp; ";" &amp;FilterStringsWithNumericAnd(N24) &amp; ";" &amp; FilterStringsWithX(N24), ";;", ";")))</f>
        <v/>
      </c>
      <c r="P24" t="str" cm="1">
        <f t="array" ref="P24">IF(MaxSize((SplitDimensions(O24)))=0, "", MaxSize((SplitDimensions(O24))))</f>
        <v/>
      </c>
      <c r="Q24" t="str" cm="1">
        <f t="array" ref="Q24">IF(ISERROR(INDEX(_xlfn._xlws.FILTER('Model output'!L:L, ('Model output'!Z:Z=A24)*('Model output'!L:L&lt;&gt;"")), 1)), " ", LOWER(INDEX(_xlfn._xlws.FILTER('Model output'!L:L, ('Model output'!Z:Z=A24)*('Model output'!L:L&lt;&gt;"")), 1)))</f>
        <v>papillary carcinoma, classic subtype</v>
      </c>
      <c r="R24" t="str" cm="1">
        <f t="array" ref="R24">IF(ISERROR(INDEX(_xlfn._xlws.FILTER('Model output'!M:M, ('Model output'!Z:Z=A24)*('Model output'!M:M&lt;&gt;"")), 1)), " ", LOWER(INDEX(_xlfn._xlws.FILTER('Model output'!M:M, ('Model output'!Z:Z=A24)*('Model output'!M:M&lt;&gt;"")), 1)))</f>
        <v>not mentioned</v>
      </c>
      <c r="S24" t="str" cm="1">
        <f t="array" ref="S24">IF(OR(ISNUMBER(SEARCH("ly",SUBSTITUTE(INDEX(_xlfn._xlws.FILTER('Model output'!N:N,('Model output'!Z:Z=A24)*('Model output'!N:N&lt;&gt;"")),1)," ",""),1)), ISNUMBER(SEARCH("pole",SUBSTITUTE(INDEX(_xlfn._xlws.FILTER('Model output'!N:N,('Model output'!Z:Z=A24)*('Model output'!N:N&lt;&gt;"")),1)," ",""),1))),"",SUBSTITUTE(INDEX(_xlfn._xlws.FILTER('Model output'!N:N,('Model output'!Z:Z=A24)*('Model output'!N:N&lt;&gt;"")),1)," ",""))</f>
        <v>10mm</v>
      </c>
      <c r="T24" t="str" cm="1">
        <f t="array" ref="T24">IF(LEFT(IF(RIGHT(SUBSTITUTE(FilterWithUnits(S24)&amp; ";" &amp;FilterStringsWithNumericAnd(S24) &amp; ";" &amp; FilterStringsWithX(S24), ";;", ";"),1)=";",LEFT(SUBSTITUTE(FilterWithUnits(S24)&amp; ";" &amp;FilterStringsWithNumericAnd(S24) &amp; ";" &amp; FilterStringsWithX(S24), ";;", ";"),LEN(SUBSTITUTE(FilterWithUnits(S24)&amp; ";" &amp;FilterStringsWithNumericAnd(S24) &amp; ";" &amp; FilterStringsWithX(S24), ";;", ";"))-1),SUBSTITUTE(FilterWithUnits(S24)&amp; ";" &amp;FilterStringsWithNumericAnd(S24) &amp; ";" &amp; FilterStringsWithX(S24), ";;", ";")),1)=";",RIGHT(IF(RIGHT(SUBSTITUTE(FilterWithUnits(S24)&amp; ";" &amp;FilterStringsWithNumericAnd(S24) &amp; ";" &amp; FilterStringsWithX(S24), ";;", ";"),1)=";",LEFT(SUBSTITUTE(FilterWithUnits(S24)&amp; ";" &amp;FilterStringsWithNumericAnd(S24) &amp; ";" &amp; FilterStringsWithX(S24), ";;", ";"),LEN(SUBSTITUTE(FilterWithUnits(S24)&amp; ";" &amp;FilterStringsWithNumericAnd(S24) &amp; ";" &amp; FilterStringsWithX(S24), ";;", ";"))-1),SUBSTITUTE(FilterWithUnits(S24)&amp; ";" &amp;FilterStringsWithNumericAnd(S24) &amp; ";" &amp; FilterStringsWithX(S24), ";;", ";")),LEN(IF(RIGHT(SUBSTITUTE(FilterWithUnits(S24)&amp; ";" &amp;FilterStringsWithNumericAnd(S24) &amp; ";" &amp; FilterStringsWithX(S24), ";;", ";"),1)=";",LEFT(SUBSTITUTE(FilterWithUnits(S24)&amp; ";" &amp;FilterStringsWithNumericAnd(S24) &amp; ";" &amp; FilterStringsWithX(S24), ";;", ";"),LEN(SUBSTITUTE(FilterWithUnits(S24)&amp; ";" &amp;FilterStringsWithNumericAnd(S24) &amp; ";" &amp; FilterStringsWithX(S24), ";;", ";"))-1),SUBSTITUTE(FilterWithUnits(S24)&amp; ";" &amp;FilterStringsWithNumericAnd(S24) &amp; ";" &amp; FilterStringsWithX(S24), ";;", ";")))-1),IF(RIGHT(SUBSTITUTE(FilterWithUnits(S24)&amp; ";" &amp;FilterStringsWithNumericAnd(S24) &amp; ";" &amp; FilterStringsWithX(S24), ";;", ";"),1)=";",LEFT(SUBSTITUTE(FilterWithUnits(S24)&amp; ";" &amp;FilterStringsWithNumericAnd(S24) &amp; ";" &amp; FilterStringsWithX(S24), ";;", ";"),LEN(SUBSTITUTE(FilterWithUnits(S24)&amp; ";" &amp;FilterStringsWithNumericAnd(S24) &amp; ";" &amp; FilterStringsWithX(S24), ";;", ";"))-1),SUBSTITUTE(FilterWithUnits(S24)&amp; ";" &amp;FilterStringsWithNumericAnd(S24) &amp; ";" &amp; FilterStringsWithX(S24), ";;", ";")))</f>
        <v>10mm</v>
      </c>
      <c r="U24" cm="1">
        <f t="array" ref="U24">IF(MaxSize((SplitDimensions(T24)))=0, "", MaxSize((SplitDimensions(T24))))</f>
        <v>1</v>
      </c>
      <c r="V24" s="17" t="str" cm="1">
        <f t="array" ref="V24">IF(ISERROR(INDEX(_xlfn._xlws.FILTER('Model output'!P:P,('Model output'!Z:Z=A24)*('Model output'!P:P&lt;&gt;"")),1)),"negative",IF(OR(ISNUMBER(SEARCH("foc",INDEX(_xlfn._xlws.FILTER('Model output'!P:P,('Model output'!Z:Z=A24)*('Model output'!P:P&lt;&gt;"")),1),1)),ISNUMBER(SEARCH("extensive",INDEX(_xlfn._xlws.FILTER('Model output'!P:P,('Model output'!Z:Z=A24)*('Model output'!P:P&lt;&gt;"")),1),1)),ISNUMBER(SEARCH("present",INDEX(_xlfn._xlws.FILTER('Model output'!P:P,('Model output'!Z:Z=A24)*('Model output'!P:P&lt;&gt;"")),1),1)),ISNUMBER(SEARCH("yes",INDEX(_xlfn._xlws.FILTER('Model output'!P:P,('Model output'!Z:Z=A24)*('Model output'!P:P&lt;&gt;"")),1),1))),"positive","negative"))</f>
        <v>negative</v>
      </c>
      <c r="X24" t="str" cm="1">
        <f t="array" ref="X24">IF(ISNUMBER(SEARCH("4",INDEX(_xlfn._xlws.FILTER('Model output'!P:P,('Model output'!Z:Z=A24)*('Model output'!P:P&lt;&gt;"")),1),1)),INDEX(_xlfn._xlws.FILTER('Model output'!P:P,('Model output'!Z:Z=A24)*('Model output'!P:P&lt;&gt;"")),1),"") &amp; _xlfn.TEXTJOIN("",TRUE,_xlfn._xlws.FILTER('Model output'!Q:Q,'Model output'!Z:Z=A24))</f>
        <v>Not mentioned</v>
      </c>
      <c r="Y24" t="str">
        <f t="shared" si="11"/>
        <v>no</v>
      </c>
      <c r="Z24" t="str" cm="1">
        <f t="array" ref="Z24">IF(OR(ISNUMBER(SEARCH("focal",_xlfn.TEXTJOIN("; ",TRUE,_xlfn._xlws.FILTER('Model output'!R:R,'Model output'!Z:Z=A24)),1)),ISNUMBER(SEARCH("present",_xlfn.TEXTJOIN("; ",TRUE,_xlfn._xlws.FILTER('Model output'!R:R,'Model output'!Z:Z=A24)),1))),"positive",IF(_xlfn.TEXTJOIN("; ",TRUE,_xlfn._xlws.FILTER('Model output'!R:R,'Model output'!Z:Z=A24))="","negative",IF(OR(ISNUMBER(SEARCH("no",_xlfn.TEXTJOIN("; ",TRUE,_xlfn._xlws.FILTER('Model output'!R:R,'Model output'!Z:Z=A24)),1)),ISNUMBER(SEARCH("absent",_xlfn.TEXTJOIN("; ",TRUE,_xlfn._xlws.FILTER('Model output'!R:R,'Model output'!Z:Z=A24)),1))),"negative","positive")))</f>
        <v>negative</v>
      </c>
      <c r="AA24" s="17" t="str">
        <f t="shared" si="12"/>
        <v>negative</v>
      </c>
      <c r="AE24" s="17" t="str">
        <f t="shared" si="14"/>
        <v>negative</v>
      </c>
      <c r="AF24" t="str" cm="1">
        <f t="array" ref="AF24">_xlfn.TEXTJOIN("; ",TRUE,_xlfn._xlws.FILTER('Model output'!S:S,'Model output'!Z:Z=A24))</f>
        <v>Not identified; Not mentioned</v>
      </c>
      <c r="AG24" s="17" t="str" cm="1">
        <f t="array" ref="AG24">IF(OR(ISNUMBER(SEARCH("uninvolved",_xlfn.TEXTJOIN("; ",TRUE,_xlfn._xlws.FILTER('Model output'!V:V,'Model output'!Z:Z=A24)),1)),ISNUMBER(SEARCH("clear",_xlfn.TEXTJOIN("; ",TRUE,_xlfn._xlws.FILTER('Model output'!V:V,'Model output'!Z:Z=A24)),1))*ISNUMBER(SEARCH("not mentioned",_xlfn.TEXTJOIN("; ",TRUE,_xlfn._xlws.FILTER('Model output'!V:V,'Model output'!Z:Z=A24)),1))),"negative",IF(ISNUMBER(SEARCH("cannot be assessed",_xlfn.TEXTJOIN("; ",TRUE,_xlfn._xlws.FILTER('Model output'!V:V,'Model output'!Z:Z=A24)),1)),"unknown","negative"))</f>
        <v>negative</v>
      </c>
      <c r="AI24" s="45" t="str">
        <f t="shared" si="13"/>
        <v>low</v>
      </c>
      <c r="AJ24" s="36" t="str">
        <f t="shared" si="2"/>
        <v>1a</v>
      </c>
      <c r="AK24" s="36">
        <f t="shared" si="3"/>
        <v>0</v>
      </c>
      <c r="AL24" s="36">
        <f t="shared" si="4"/>
        <v>0</v>
      </c>
      <c r="AM24" s="36" t="str">
        <f t="shared" si="5"/>
        <v>I</v>
      </c>
      <c r="AN24" s="37" t="s">
        <v>166</v>
      </c>
      <c r="AO24" s="38" t="s">
        <v>203</v>
      </c>
      <c r="AP24" s="38">
        <v>0</v>
      </c>
      <c r="AQ24" s="38">
        <v>0</v>
      </c>
      <c r="AR24" s="38" t="s">
        <v>31</v>
      </c>
      <c r="AS24" s="37">
        <f t="shared" si="6"/>
        <v>1</v>
      </c>
      <c r="AT24" s="38">
        <f t="shared" si="7"/>
        <v>1</v>
      </c>
      <c r="AU24" s="38">
        <f t="shared" si="8"/>
        <v>1</v>
      </c>
      <c r="AV24" s="38">
        <f t="shared" si="9"/>
        <v>1</v>
      </c>
      <c r="AW24" s="39">
        <f t="shared" si="10"/>
        <v>1</v>
      </c>
    </row>
    <row r="25" spans="1:49">
      <c r="A25" s="13">
        <v>23</v>
      </c>
      <c r="B25" s="16">
        <f>_xlfn.MAXIFS('Model output'!B:B,'Model output'!Z:Z,'Classification result'!$A25)</f>
        <v>45296</v>
      </c>
      <c r="C25" s="16"/>
      <c r="D25" s="16"/>
      <c r="E25" s="17">
        <f>_xlfn.MAXIFS('Model output'!C:C,'Model output'!Z:Z,'Classification result'!$A25)</f>
        <v>61</v>
      </c>
      <c r="F25" s="17" t="str" cm="1">
        <f t="array" ref="F25">LEFT(IF(ISERROR(RIGHT(IF(INDEX(_xlfn._xlws.FILTER('Model output'!D:D,('Model output'!Z:Z=A25)),1)&lt;&gt;"",INDEX(_xlfn._xlws.FILTER('Model output'!D:D,('Model output'!Z:Z=A25)),1),""),LEN(IF(INDEX(_xlfn._xlws.FILTER('Model output'!D:D,('Model output'!Z:Z=A25)),1)&lt;&gt;"",INDEX(_xlfn._xlws.FILTER('Model output'!D:D,('Model output'!Z:Z=A25)),1),""))-FIND("T",IF(INDEX(_xlfn._xlws.FILTER('Model output'!D:D,('Model output'!Z:Z=A25)),1)&lt;&gt;"",INDEX(_xlfn._xlws.FILTER('Model output'!D:D,('Model output'!Z:Z=A25)),1),""),1))),"",(RIGHT(IF(INDEX(_xlfn._xlws.FILTER('Model output'!D:D,('Model output'!Z:Z=A25)),1)&lt;&gt;"",INDEX(_xlfn._xlws.FILTER('Model output'!D:D,('Model output'!Z:Z=A25)),1),""),LEN(IF(INDEX(_xlfn._xlws.FILTER('Model output'!D:D,('Model output'!Z:Z=A25)),1)&lt;&gt;"",INDEX(_xlfn._xlws.FILTER('Model output'!D:D,('Model output'!Z:Z=A25)),1),""))-FIND("T",IF(INDEX(_xlfn._xlws.FILTER('Model output'!D:D,('Model output'!Z:Z=A25)),1)&lt;&gt;"",INDEX(_xlfn._xlws.FILTER('Model output'!D:D,('Model output'!Z:Z=A25)),1)))))),2)</f>
        <v>1</v>
      </c>
      <c r="G25" s="17" t="str" cm="1">
        <f t="array" ref="G25">IF(ISNUMBER(SEARCH("N",IF(ISNUMBER(SEARCH("present",IF(INDEX(_xlfn._xlws.FILTER('Model output'!E:E,('Model output'!Z:Z=A25)),1)="","",INDEX(_xlfn._xlws.FILTER('Model output'!E:E,('Model output'!Z:Z=A25)),1)),1)),"N1", IF(INDEX(_xlfn._xlws.FILTER('Model output'!E:E,('Model output'!Z:Z=A25)),1)="","",INDEX(_xlfn._xlws.FILTER('Model output'!E:E,('Model output'!Z:Z=A25)),1))),1)),RIGHT(IF(ISNUMBER(SEARCH("present",IF(INDEX(_xlfn._xlws.FILTER('Model output'!E:E,('Model output'!Z:Z=A25)),1)="","",INDEX(_xlfn._xlws.FILTER('Model output'!E:E,('Model output'!Z:Z=A25)),1)),1)),"N1", IF(INDEX(_xlfn._xlws.FILTER('Model output'!E:E,('Model output'!Z:Z=A25)),1)="","",INDEX(_xlfn._xlws.FILTER('Model output'!E:E,('Model output'!Z:Z=A25)),1))),LEN(IF(ISNUMBER(SEARCH("present",IF(INDEX(_xlfn._xlws.FILTER('Model output'!E:E,('Model output'!Z:Z=A25)),1)="","",INDEX(_xlfn._xlws.FILTER('Model output'!E:E,('Model output'!Z:Z=A25)),1)),1)),"N1", IF(INDEX(_xlfn._xlws.FILTER('Model output'!E:E,('Model output'!Z:Z=A25)),1)="","",INDEX(_xlfn._xlws.FILTER('Model output'!E:E,('Model output'!Z:Z=A25)),1))))-FIND("N",IF(ISNUMBER(SEARCH("present",IF(INDEX(_xlfn._xlws.FILTER('Model output'!E:E,('Model output'!Z:Z=A25)),1)="","",INDEX(_xlfn._xlws.FILTER('Model output'!E:E,('Model output'!Z:Z=A25)),1)),1)),"N1", IF(INDEX(_xlfn._xlws.FILTER('Model output'!E:E,('Model output'!Z:Z=A25)),1)="","",INDEX(_xlfn._xlws.FILTER('Model output'!E:E,('Model output'!Z:Z=A25)),1))),1)), "")</f>
        <v>0</v>
      </c>
      <c r="H25" s="17" cm="1">
        <f t="array" ref="H25">IF(AND(SUBSTITUTE(_xlfn.TEXTJOIN("/", TRUE, _xlfn._xlws.FILTER('Model output'!F:F, 'Model output'!Z:Z=A25)),"M", "")="", K25="negative"),0,IF(K25="positive",1,0))</f>
        <v>0</v>
      </c>
      <c r="I25" t="str">
        <f t="shared" si="0"/>
        <v/>
      </c>
      <c r="J25" t="str" cm="1">
        <f t="array" ref="J25">IF(AND(M25&gt;0, _xlfn.TEXTJOIN("; ", TRUE, _xlfn._xlws.FILTER('Model output'!G:G, 'Model output'!Z:Z=A25)) &lt;&gt;"", OR(AND(ISNUMBER(SEARCH("level", _xlfn.TEXTJOIN("; ", TRUE, _xlfn._xlws.FILTER('Model output'!G:G, 'Model output'!Z:Z=A25)),1)),OR(ISNUMBER(SEARCH(" II", _xlfn.TEXTJOIN("; ", TRUE, _xlfn._xlws.FILTER('Model output'!G:G, 'Model output'!Z:Z=A25)),1)),ISNUMBER(SEARCH("2", _xlfn.TEXTJOIN("; ", TRUE, _xlfn._xlws.FILTER('Model output'!G:G, 'Model output'!Z:Z=A25)),1)),ISNUMBER(SEARCH("two", _xlfn.TEXTJOIN("; ", TRUE, _xlfn._xlws.FILTER('Model output'!G:G, 'Model output'!Z:Z=A25)),1)),ISNUMBER(SEARCH("III", _xlfn.TEXTJOIN("; ", TRUE, _xlfn._xlws.FILTER('Model output'!G:G, 'Model output'!Z:Z=A25)),1)),ISNUMBER(SEARCH("3", _xlfn.TEXTJOIN("; ", TRUE, _xlfn._xlws.FILTER('Model output'!G:G, 'Model output'!Z:Z=A25)),1)),ISNUMBER(SEARCH("three", _xlfn.TEXTJOIN("; ", TRUE, _xlfn._xlws.FILTER('Model output'!G:G, 'Model output'!Z:Z=A25)),1)),ISNUMBER(SEARCH("IV", _xlfn.TEXTJOIN("; ", TRUE, _xlfn._xlws.FILTER('Model output'!G:G, 'Model output'!Z:Z=A25)),1)),ISNUMBER(SEARCH("4", _xlfn.TEXTJOIN("; ", TRUE, _xlfn._xlws.FILTER('Model output'!G:G, 'Model output'!Z:Z=A25)),1)),ISNUMBER(SEARCH("five", _xlfn.TEXTJOIN("; ", TRUE, _xlfn._xlws.FILTER('Model output'!G:G, 'Model output'!Z:Z=A25)),1)),ISNUMBER(SEARCH("V ", _xlfn.TEXTJOIN("; ", TRUE, _xlfn._xlws.FILTER('Model output'!G:G, 'Model output'!Z:Z=A25)),1)),ISNUMBER(SEARCH("5", _xlfn.TEXTJOIN("; ", TRUE, _xlfn._xlws.FILTER('Model output'!G:G, 'Model output'!Z:Z=A25)),1)),ISNUMBER(SEARCH("five", _xlfn.TEXTJOIN("; ", TRUE, _xlfn._xlws.FILTER('Model output'!G:G, 'Model output'!Z:Z=A25)),1)),ISNUMBER(SEARCH(" lateral", _xlfn.TEXTJOIN("; ", TRUE, _xlfn._xlws.FILTER('Model output'!G:G, 'Model output'!Z:Z=A25)),1)))),ISNUMBER(SEARCH("cervical", _xlfn.TEXTJOIN("; ", TRUE, _xlfn._xlws.FILTER('Model output'!G:G, 'Model output'!Z:Z=A25)),1)),ISNUMBER(SEARCH("jugular", _xlfn.TEXTJOIN("; ", TRUE, _xlfn._xlws.FILTER('Model output'!G:G, 'Model output'!Z:Z=A25)),1)),ISNUMBER(SEARCH("left neck", _xlfn.TEXTJOIN("; ", TRUE, _xlfn._xlws.FILTER('Model output'!G:G, 'Model output'!Z:Z=A25)),1)),ISNUMBER(SEARCH("left anterior neck", _xlfn.TEXTJOIN("; ", TRUE, _xlfn._xlws.FILTER('Model output'!G:G, 'Model output'!Z:Z=A25)),1)),ISNUMBER(SEARCH("left posterior neck", _xlfn.TEXTJOIN("; ", TRUE, _xlfn._xlws.FILTER('Model output'!G:G, 'Model output'!Z:Z=A25)),1)),ISNUMBER(SEARCH("right neck", _xlfn.TEXTJOIN("; ", TRUE, _xlfn._xlws.FILTER('Model output'!G:G, 'Model output'!Z:Z=A25)),1)),ISNUMBER(SEARCH("right anterior neck", _xlfn.TEXTJOIN("; ", TRUE, _xlfn._xlws.FILTER('Model output'!G:G, 'Model output'!Z:Z=A25)),1)),ISNUMBER(SEARCH("right posterior neck", _xlfn.TEXTJOIN("; ", TRUE, _xlfn._xlws.FILTER('Model output'!G:G, 'Model output'!Z:Z=A25)),1)))),"lateral",IF(AND(M25=0, _xlfn.TEXTJOIN("; ", TRUE, _xlfn._xlws.FILTER('Model output'!G:G, 'Model output'!Z:Z=A25))=""),"", "central"))</f>
        <v/>
      </c>
      <c r="K25" s="17" t="str" cm="1">
        <f t="array" ref="K25">IF(OR(ISNUMBER(SEARCH("lymph",_xlfn.TEXTJOIN("; ", TRUE, _xlfn._xlws.FILTER('Model output'!H:H, 'Model output'!Z:Z=A25)),1)), ISNUMBER(SEARCH("Not mentioned",_xlfn.TEXTJOIN("; ", TRUE, _xlfn._xlws.FILTER('Model output'!H:H, 'Model output'!Z:Z=A25)),1)),ISNUMBER(SEARCH("subcutaneous soft tissues",_xlfn.TEXTJOIN("; ", TRUE, _xlfn._xlws.FILTER('Model output'!H:H, 'Model output'!Z:Z=A25)),1)),ISNUMBER(SEARCH("larynx",_xlfn.TEXTJOIN("; ", TRUE, _xlfn._xlws.FILTER('Model output'!H:H, 'Model output'!Z:Z=A25)),1)),ISNUMBER(SEARCH("trachea",_xlfn.TEXTJOIN("; ", TRUE, _xlfn._xlws.FILTER('Model output'!H:H, 'Model output'!Z:Z=A25)),1)),ISNUMBER(SEARCH("esophagus",_xlfn.TEXTJOIN("; ", TRUE, _xlfn._xlws.FILTER('Model output'!H:H, 'Model output'!Z:Z=A25)),1)),ISNUMBER(SEARCH("recurrent laryngeal nerve",_xlfn.TEXTJOIN("; ", TRUE, _xlfn._xlws.FILTER('Model output'!H:H, 'Model output'!Z:Z=A25)),1)),ISNUMBER(SEARCH("strap muscle",_xlfn.TEXTJOIN("; ", TRUE, _xlfn._xlws.FILTER('Model output'!H:H, 'Model output'!Z:Z=A25)),1)),ISNUMBER(SEARCH("thyroid",_xlfn.TEXTJOIN("; ", TRUE, _xlfn._xlws.FILTER('Model output'!H:H, 'Model output'!Z:Z=A25)),1)),ISNUMBER(SEARCH("RLN",_xlfn.TEXTJOIN("; ", TRUE, _xlfn._xlws.FILTER('Model output'!H:H, 'Model output'!Z:Z=A25)),1)),_xlfn.TEXTJOIN("; ", TRUE, _xlfn._xlws.FILTER('Model output'!H:H, 'Model output'!Z:Z=A25))=""),"negative","positive")</f>
        <v>negative</v>
      </c>
      <c r="L25" s="17">
        <f>IF(IFERROR(INDEX('Model output'!I:I, MATCH(A25, 'Model output'!Z:Z, 0)), "") &lt; M25, "", IFERROR(INDEX('Model output'!I:I, MATCH(A25, 'Model output'!Z:Z, 0)), ""))</f>
        <v>1</v>
      </c>
      <c r="M25" s="17">
        <f>IFERROR(INDEX('Model output'!J:J, MATCH(A25, 'Model output'!Z:Z, 0)), "")</f>
        <v>0</v>
      </c>
      <c r="N25" s="18" t="str" cm="1">
        <f t="array" ref="N25">ReplaceTo(ReplaceAnd(SUBSTITUTE(SUBSTITUTE(_xlfn.TEXTJOIN("; ", TRUE, _xlfn._xlws.FILTER('Model output'!K:K, 'Model output'!Z:Z=A25)), " ", ""), ",", ";")))</f>
        <v/>
      </c>
      <c r="O25" t="str" cm="1">
        <f t="array" ref="O25">IF(LEFT(IF(RIGHT(SUBSTITUTE(FilterWithUnits(N25)&amp; ";" &amp;FilterStringsWithNumericAnd(N25) &amp; ";" &amp; FilterStringsWithX(N25), ";;", ";"),1)=";",LEFT(SUBSTITUTE(FilterWithUnits(N25)&amp; ";" &amp;FilterStringsWithNumericAnd(N25) &amp; ";" &amp; FilterStringsWithX(N25), ";;", ";"),LEN(SUBSTITUTE(FilterWithUnits(N25)&amp; ";" &amp;FilterStringsWithNumericAnd(N25) &amp; ";" &amp; FilterStringsWithX(N25), ";;", ";"))-1),SUBSTITUTE(FilterWithUnits(N25)&amp; ";" &amp;FilterStringsWithNumericAnd(N25) &amp; ";" &amp; FilterStringsWithX(N25), ";;", ";")),1)=";",RIGHT(IF(RIGHT(SUBSTITUTE(FilterWithUnits(N25)&amp; ";" &amp;FilterStringsWithNumericAnd(N25) &amp; ";" &amp; FilterStringsWithX(N25), ";;", ";"),1)=";",LEFT(SUBSTITUTE(FilterWithUnits(N25)&amp; ";" &amp;FilterStringsWithNumericAnd(N25) &amp; ";" &amp; FilterStringsWithX(N25), ";;", ";"),LEN(SUBSTITUTE(FilterWithUnits(N25)&amp; ";" &amp;FilterStringsWithNumericAnd(N25) &amp; ";" &amp; FilterStringsWithX(N25), ";;", ";"))-1),SUBSTITUTE(FilterWithUnits(N25)&amp; ";" &amp;FilterStringsWithNumericAnd(N25) &amp; ";" &amp; FilterStringsWithX(N25), ";;", ";")),LEN(IF(RIGHT(SUBSTITUTE(FilterWithUnits(N25)&amp; ";" &amp;FilterStringsWithNumericAnd(N25) &amp; ";" &amp; FilterStringsWithX(N25), ";;", ";"),1)=";",LEFT(SUBSTITUTE(FilterWithUnits(N25)&amp; ";" &amp;FilterStringsWithNumericAnd(N25) &amp; ";" &amp; FilterStringsWithX(N25), ";;", ";"),LEN(SUBSTITUTE(FilterWithUnits(N25)&amp; ";" &amp;FilterStringsWithNumericAnd(N25) &amp; ";" &amp; FilterStringsWithX(N25), ";;", ";"))-1),SUBSTITUTE(FilterWithUnits(N25)&amp; ";" &amp;FilterStringsWithNumericAnd(N25) &amp; ";" &amp; FilterStringsWithX(N25), ";;", ";")))-1),IF(RIGHT(SUBSTITUTE(FilterWithUnits(N25)&amp; ";" &amp;FilterStringsWithNumericAnd(N25) &amp; ";" &amp; FilterStringsWithX(N25), ";;", ";"),1)=";",LEFT(SUBSTITUTE(FilterWithUnits(N25)&amp; ";" &amp;FilterStringsWithNumericAnd(N25) &amp; ";" &amp; FilterStringsWithX(N25), ";;", ";"),LEN(SUBSTITUTE(FilterWithUnits(N25)&amp; ";" &amp;FilterStringsWithNumericAnd(N25) &amp; ";" &amp; FilterStringsWithX(N25), ";;", ";"))-1),SUBSTITUTE(FilterWithUnits(N25)&amp; ";" &amp;FilterStringsWithNumericAnd(N25) &amp; ";" &amp; FilterStringsWithX(N25), ";;", ";")))</f>
        <v/>
      </c>
      <c r="P25" t="str" cm="1">
        <f t="array" ref="P25">IF(MaxSize((SplitDimensions(O25)))=0, "", MaxSize((SplitDimensions(O25))))</f>
        <v/>
      </c>
      <c r="Q25" t="str" cm="1">
        <f t="array" ref="Q25">IF(ISERROR(INDEX(_xlfn._xlws.FILTER('Model output'!L:L, ('Model output'!Z:Z=A25)*('Model output'!L:L&lt;&gt;"")), 1)), " ", LOWER(INDEX(_xlfn._xlws.FILTER('Model output'!L:L, ('Model output'!Z:Z=A25)*('Model output'!L:L&lt;&gt;"")), 1)))</f>
        <v>papillary carcinoma</v>
      </c>
      <c r="R25" t="str" cm="1">
        <f t="array" ref="R25">IF(ISERROR(INDEX(_xlfn._xlws.FILTER('Model output'!M:M, ('Model output'!Z:Z=A25)*('Model output'!M:M&lt;&gt;"")), 1)), " ", LOWER(INDEX(_xlfn._xlws.FILTER('Model output'!M:M, ('Model output'!Z:Z=A25)*('Model output'!M:M&lt;&gt;"")), 1)))</f>
        <v>infiltrative follicular</v>
      </c>
      <c r="S25" t="str" cm="1">
        <f t="array" ref="S25">IF(OR(ISNUMBER(SEARCH("ly",SUBSTITUTE(INDEX(_xlfn._xlws.FILTER('Model output'!N:N,('Model output'!Z:Z=A25)*('Model output'!N:N&lt;&gt;"")),1)," ",""),1)), ISNUMBER(SEARCH("pole",SUBSTITUTE(INDEX(_xlfn._xlws.FILTER('Model output'!N:N,('Model output'!Z:Z=A25)*('Model output'!N:N&lt;&gt;"")),1)," ",""),1))),"",SUBSTITUTE(INDEX(_xlfn._xlws.FILTER('Model output'!N:N,('Model output'!Z:Z=A25)*('Model output'!N:N&lt;&gt;"")),1)," ",""))</f>
        <v>4.3cm(superoinferior)</v>
      </c>
      <c r="T25" t="str" cm="1">
        <f t="array" ref="T25">IF(LEFT(IF(RIGHT(SUBSTITUTE(FilterWithUnits(S25)&amp; ";" &amp;FilterStringsWithNumericAnd(S25) &amp; ";" &amp; FilterStringsWithX(S25), ";;", ";"),1)=";",LEFT(SUBSTITUTE(FilterWithUnits(S25)&amp; ";" &amp;FilterStringsWithNumericAnd(S25) &amp; ";" &amp; FilterStringsWithX(S25), ";;", ";"),LEN(SUBSTITUTE(FilterWithUnits(S25)&amp; ";" &amp;FilterStringsWithNumericAnd(S25) &amp; ";" &amp; FilterStringsWithX(S25), ";;", ";"))-1),SUBSTITUTE(FilterWithUnits(S25)&amp; ";" &amp;FilterStringsWithNumericAnd(S25) &amp; ";" &amp; FilterStringsWithX(S25), ";;", ";")),1)=";",RIGHT(IF(RIGHT(SUBSTITUTE(FilterWithUnits(S25)&amp; ";" &amp;FilterStringsWithNumericAnd(S25) &amp; ";" &amp; FilterStringsWithX(S25), ";;", ";"),1)=";",LEFT(SUBSTITUTE(FilterWithUnits(S25)&amp; ";" &amp;FilterStringsWithNumericAnd(S25) &amp; ";" &amp; FilterStringsWithX(S25), ";;", ";"),LEN(SUBSTITUTE(FilterWithUnits(S25)&amp; ";" &amp;FilterStringsWithNumericAnd(S25) &amp; ";" &amp; FilterStringsWithX(S25), ";;", ";"))-1),SUBSTITUTE(FilterWithUnits(S25)&amp; ";" &amp;FilterStringsWithNumericAnd(S25) &amp; ";" &amp; FilterStringsWithX(S25), ";;", ";")),LEN(IF(RIGHT(SUBSTITUTE(FilterWithUnits(S25)&amp; ";" &amp;FilterStringsWithNumericAnd(S25) &amp; ";" &amp; FilterStringsWithX(S25), ";;", ";"),1)=";",LEFT(SUBSTITUTE(FilterWithUnits(S25)&amp; ";" &amp;FilterStringsWithNumericAnd(S25) &amp; ";" &amp; FilterStringsWithX(S25), ";;", ";"),LEN(SUBSTITUTE(FilterWithUnits(S25)&amp; ";" &amp;FilterStringsWithNumericAnd(S25) &amp; ";" &amp; FilterStringsWithX(S25), ";;", ";"))-1),SUBSTITUTE(FilterWithUnits(S25)&amp; ";" &amp;FilterStringsWithNumericAnd(S25) &amp; ";" &amp; FilterStringsWithX(S25), ";;", ";")))-1),IF(RIGHT(SUBSTITUTE(FilterWithUnits(S25)&amp; ";" &amp;FilterStringsWithNumericAnd(S25) &amp; ";" &amp; FilterStringsWithX(S25), ";;", ";"),1)=";",LEFT(SUBSTITUTE(FilterWithUnits(S25)&amp; ";" &amp;FilterStringsWithNumericAnd(S25) &amp; ";" &amp; FilterStringsWithX(S25), ";;", ";"),LEN(SUBSTITUTE(FilterWithUnits(S25)&amp; ";" &amp;FilterStringsWithNumericAnd(S25) &amp; ";" &amp; FilterStringsWithX(S25), ";;", ";"))-1),SUBSTITUTE(FilterWithUnits(S25)&amp; ";" &amp;FilterStringsWithNumericAnd(S25) &amp; ";" &amp; FilterStringsWithX(S25), ";;", ";")))</f>
        <v>4.3cm</v>
      </c>
      <c r="U25" cm="1">
        <f t="array" ref="U25">IF(MaxSize((SplitDimensions(T25)))=0, "", MaxSize((SplitDimensions(T25))))</f>
        <v>4.3</v>
      </c>
      <c r="V25" s="17" t="str" cm="1">
        <f t="array" ref="V25">IF(ISERROR(INDEX(_xlfn._xlws.FILTER('Model output'!P:P,('Model output'!Z:Z=A25)*('Model output'!P:P&lt;&gt;"")),1)),"negative",IF(OR(ISNUMBER(SEARCH("foc",INDEX(_xlfn._xlws.FILTER('Model output'!P:P,('Model output'!Z:Z=A25)*('Model output'!P:P&lt;&gt;"")),1),1)),ISNUMBER(SEARCH("extensive",INDEX(_xlfn._xlws.FILTER('Model output'!P:P,('Model output'!Z:Z=A25)*('Model output'!P:P&lt;&gt;"")),1),1)),ISNUMBER(SEARCH("present",INDEX(_xlfn._xlws.FILTER('Model output'!P:P,('Model output'!Z:Z=A25)*('Model output'!P:P&lt;&gt;"")),1),1)),ISNUMBER(SEARCH("yes",INDEX(_xlfn._xlws.FILTER('Model output'!P:P,('Model output'!Z:Z=A25)*('Model output'!P:P&lt;&gt;"")),1),1))),"positive","negative"))</f>
        <v>negative</v>
      </c>
      <c r="X25" t="str" cm="1">
        <f t="array" ref="X25">IF(ISNUMBER(SEARCH("4",INDEX(_xlfn._xlws.FILTER('Model output'!P:P,('Model output'!Z:Z=A25)*('Model output'!P:P&lt;&gt;"")),1),1)),INDEX(_xlfn._xlws.FILTER('Model output'!P:P,('Model output'!Z:Z=A25)*('Model output'!P:P&lt;&gt;"")),1),"") &amp; _xlfn.TEXTJOIN("",TRUE,_xlfn._xlws.FILTER('Model output'!Q:Q,'Model output'!Z:Z=A25))</f>
        <v>Not mentioned</v>
      </c>
      <c r="Y25" t="str">
        <f t="shared" si="11"/>
        <v>no</v>
      </c>
      <c r="Z25" t="str" cm="1">
        <f t="array" ref="Z25">IF(OR(ISNUMBER(SEARCH("focal",_xlfn.TEXTJOIN("; ",TRUE,_xlfn._xlws.FILTER('Model output'!R:R,'Model output'!Z:Z=A25)),1)),ISNUMBER(SEARCH("present",_xlfn.TEXTJOIN("; ",TRUE,_xlfn._xlws.FILTER('Model output'!R:R,'Model output'!Z:Z=A25)),1))),"positive",IF(_xlfn.TEXTJOIN("; ",TRUE,_xlfn._xlws.FILTER('Model output'!R:R,'Model output'!Z:Z=A25))="","negative",IF(OR(ISNUMBER(SEARCH("no",_xlfn.TEXTJOIN("; ",TRUE,_xlfn._xlws.FILTER('Model output'!R:R,'Model output'!Z:Z=A25)),1)),ISNUMBER(SEARCH("absent",_xlfn.TEXTJOIN("; ",TRUE,_xlfn._xlws.FILTER('Model output'!R:R,'Model output'!Z:Z=A25)),1))),"negative","positive")))</f>
        <v>positive</v>
      </c>
      <c r="AA25" s="17" t="str">
        <f t="shared" si="12"/>
        <v>positive</v>
      </c>
      <c r="AE25" s="17" t="str">
        <f t="shared" si="14"/>
        <v>negative</v>
      </c>
      <c r="AF25" t="str" cm="1">
        <f t="array" ref="AF25">_xlfn.TEXTJOIN("; ",TRUE,_xlfn._xlws.FILTER('Model output'!S:S,'Model output'!Z:Z=A25))</f>
        <v>peri-thyroidal adipose tissue; Not mentioned</v>
      </c>
      <c r="AG25" s="17" t="str" cm="1">
        <f t="array" ref="AG25">IF(OR(ISNUMBER(SEARCH("uninvolved",_xlfn.TEXTJOIN("; ",TRUE,_xlfn._xlws.FILTER('Model output'!V:V,'Model output'!Z:Z=A25)),1)),ISNUMBER(SEARCH("clear",_xlfn.TEXTJOIN("; ",TRUE,_xlfn._xlws.FILTER('Model output'!V:V,'Model output'!Z:Z=A25)),1))*ISNUMBER(SEARCH("not mentioned",_xlfn.TEXTJOIN("; ",TRUE,_xlfn._xlws.FILTER('Model output'!V:V,'Model output'!Z:Z=A25)),1))),"negative",IF(ISNUMBER(SEARCH("cannot be assessed",_xlfn.TEXTJOIN("; ",TRUE,_xlfn._xlws.FILTER('Model output'!V:V,'Model output'!Z:Z=A25)),1)),"unknown","negative"))</f>
        <v>negative</v>
      </c>
      <c r="AI25" s="45" t="str">
        <f t="shared" si="13"/>
        <v>intermediate</v>
      </c>
      <c r="AJ25" s="36" t="str">
        <f t="shared" si="2"/>
        <v>3a</v>
      </c>
      <c r="AK25" s="36">
        <f t="shared" si="3"/>
        <v>0</v>
      </c>
      <c r="AL25" s="36">
        <f t="shared" si="4"/>
        <v>0</v>
      </c>
      <c r="AM25" s="36" t="str">
        <f t="shared" si="5"/>
        <v>II</v>
      </c>
      <c r="AN25" s="37" t="s">
        <v>164</v>
      </c>
      <c r="AO25" s="38" t="s">
        <v>201</v>
      </c>
      <c r="AP25" s="38">
        <v>0</v>
      </c>
      <c r="AQ25" s="38">
        <v>0</v>
      </c>
      <c r="AR25" s="38" t="s">
        <v>31</v>
      </c>
      <c r="AS25" s="37">
        <f t="shared" si="6"/>
        <v>1</v>
      </c>
      <c r="AT25" s="38">
        <f t="shared" si="7"/>
        <v>0</v>
      </c>
      <c r="AU25" s="38">
        <f t="shared" si="8"/>
        <v>1</v>
      </c>
      <c r="AV25" s="38">
        <f t="shared" si="9"/>
        <v>1</v>
      </c>
      <c r="AW25" s="39">
        <f t="shared" si="10"/>
        <v>0</v>
      </c>
    </row>
    <row r="26" spans="1:49">
      <c r="A26" s="13">
        <v>24</v>
      </c>
      <c r="B26" s="16">
        <f>_xlfn.MAXIFS('Model output'!B:B,'Model output'!Z:Z,'Classification result'!$A26)</f>
        <v>45301</v>
      </c>
      <c r="C26" s="16"/>
      <c r="D26" s="16"/>
      <c r="E26" s="17">
        <f>_xlfn.MAXIFS('Model output'!C:C,'Model output'!Z:Z,'Classification result'!$A26)</f>
        <v>55</v>
      </c>
      <c r="F26" s="17" t="str" cm="1">
        <f t="array" ref="F26">LEFT(IF(ISERROR(RIGHT(IF(INDEX(_xlfn._xlws.FILTER('Model output'!D:D,('Model output'!Z:Z=A26)),1)&lt;&gt;"",INDEX(_xlfn._xlws.FILTER('Model output'!D:D,('Model output'!Z:Z=A26)),1),""),LEN(IF(INDEX(_xlfn._xlws.FILTER('Model output'!D:D,('Model output'!Z:Z=A26)),1)&lt;&gt;"",INDEX(_xlfn._xlws.FILTER('Model output'!D:D,('Model output'!Z:Z=A26)),1),""))-FIND("T",IF(INDEX(_xlfn._xlws.FILTER('Model output'!D:D,('Model output'!Z:Z=A26)),1)&lt;&gt;"",INDEX(_xlfn._xlws.FILTER('Model output'!D:D,('Model output'!Z:Z=A26)),1),""),1))),"",(RIGHT(IF(INDEX(_xlfn._xlws.FILTER('Model output'!D:D,('Model output'!Z:Z=A26)),1)&lt;&gt;"",INDEX(_xlfn._xlws.FILTER('Model output'!D:D,('Model output'!Z:Z=A26)),1),""),LEN(IF(INDEX(_xlfn._xlws.FILTER('Model output'!D:D,('Model output'!Z:Z=A26)),1)&lt;&gt;"",INDEX(_xlfn._xlws.FILTER('Model output'!D:D,('Model output'!Z:Z=A26)),1),""))-FIND("T",IF(INDEX(_xlfn._xlws.FILTER('Model output'!D:D,('Model output'!Z:Z=A26)),1)&lt;&gt;"",INDEX(_xlfn._xlws.FILTER('Model output'!D:D,('Model output'!Z:Z=A26)),1)))))),2)</f>
        <v>4a</v>
      </c>
      <c r="G26" s="17" t="str" cm="1">
        <f t="array" ref="G26">IF(ISNUMBER(SEARCH("N",IF(ISNUMBER(SEARCH("present",IF(INDEX(_xlfn._xlws.FILTER('Model output'!E:E,('Model output'!Z:Z=A26)),1)="","",INDEX(_xlfn._xlws.FILTER('Model output'!E:E,('Model output'!Z:Z=A26)),1)),1)),"N1", IF(INDEX(_xlfn._xlws.FILTER('Model output'!E:E,('Model output'!Z:Z=A26)),1)="","",INDEX(_xlfn._xlws.FILTER('Model output'!E:E,('Model output'!Z:Z=A26)),1))),1)),RIGHT(IF(ISNUMBER(SEARCH("present",IF(INDEX(_xlfn._xlws.FILTER('Model output'!E:E,('Model output'!Z:Z=A26)),1)="","",INDEX(_xlfn._xlws.FILTER('Model output'!E:E,('Model output'!Z:Z=A26)),1)),1)),"N1", IF(INDEX(_xlfn._xlws.FILTER('Model output'!E:E,('Model output'!Z:Z=A26)),1)="","",INDEX(_xlfn._xlws.FILTER('Model output'!E:E,('Model output'!Z:Z=A26)),1))),LEN(IF(ISNUMBER(SEARCH("present",IF(INDEX(_xlfn._xlws.FILTER('Model output'!E:E,('Model output'!Z:Z=A26)),1)="","",INDEX(_xlfn._xlws.FILTER('Model output'!E:E,('Model output'!Z:Z=A26)),1)),1)),"N1", IF(INDEX(_xlfn._xlws.FILTER('Model output'!E:E,('Model output'!Z:Z=A26)),1)="","",INDEX(_xlfn._xlws.FILTER('Model output'!E:E,('Model output'!Z:Z=A26)),1))))-FIND("N",IF(ISNUMBER(SEARCH("present",IF(INDEX(_xlfn._xlws.FILTER('Model output'!E:E,('Model output'!Z:Z=A26)),1)="","",INDEX(_xlfn._xlws.FILTER('Model output'!E:E,('Model output'!Z:Z=A26)),1)),1)),"N1", IF(INDEX(_xlfn._xlws.FILTER('Model output'!E:E,('Model output'!Z:Z=A26)),1)="","",INDEX(_xlfn._xlws.FILTER('Model output'!E:E,('Model output'!Z:Z=A26)),1))),1)), "")</f>
        <v/>
      </c>
      <c r="H26" s="17" cm="1">
        <f t="array" ref="H26">IF(AND(SUBSTITUTE(_xlfn.TEXTJOIN("/", TRUE, _xlfn._xlws.FILTER('Model output'!F:F, 'Model output'!Z:Z=A26)),"M", "")="", K26="negative"),0,IF(K26="positive",1,0))</f>
        <v>0</v>
      </c>
      <c r="I26" t="str">
        <f t="shared" si="0"/>
        <v>positive</v>
      </c>
      <c r="J26" t="str" cm="1">
        <f t="array" ref="J26">IF(AND(M26&gt;0, _xlfn.TEXTJOIN("; ", TRUE, _xlfn._xlws.FILTER('Model output'!G:G, 'Model output'!Z:Z=A26)) &lt;&gt;"", OR(AND(ISNUMBER(SEARCH("level", _xlfn.TEXTJOIN("; ", TRUE, _xlfn._xlws.FILTER('Model output'!G:G, 'Model output'!Z:Z=A26)),1)),OR(ISNUMBER(SEARCH(" II", _xlfn.TEXTJOIN("; ", TRUE, _xlfn._xlws.FILTER('Model output'!G:G, 'Model output'!Z:Z=A26)),1)),ISNUMBER(SEARCH("2", _xlfn.TEXTJOIN("; ", TRUE, _xlfn._xlws.FILTER('Model output'!G:G, 'Model output'!Z:Z=A26)),1)),ISNUMBER(SEARCH("two", _xlfn.TEXTJOIN("; ", TRUE, _xlfn._xlws.FILTER('Model output'!G:G, 'Model output'!Z:Z=A26)),1)),ISNUMBER(SEARCH("III", _xlfn.TEXTJOIN("; ", TRUE, _xlfn._xlws.FILTER('Model output'!G:G, 'Model output'!Z:Z=A26)),1)),ISNUMBER(SEARCH("3", _xlfn.TEXTJOIN("; ", TRUE, _xlfn._xlws.FILTER('Model output'!G:G, 'Model output'!Z:Z=A26)),1)),ISNUMBER(SEARCH("three", _xlfn.TEXTJOIN("; ", TRUE, _xlfn._xlws.FILTER('Model output'!G:G, 'Model output'!Z:Z=A26)),1)),ISNUMBER(SEARCH("IV", _xlfn.TEXTJOIN("; ", TRUE, _xlfn._xlws.FILTER('Model output'!G:G, 'Model output'!Z:Z=A26)),1)),ISNUMBER(SEARCH("4", _xlfn.TEXTJOIN("; ", TRUE, _xlfn._xlws.FILTER('Model output'!G:G, 'Model output'!Z:Z=A26)),1)),ISNUMBER(SEARCH("five", _xlfn.TEXTJOIN("; ", TRUE, _xlfn._xlws.FILTER('Model output'!G:G, 'Model output'!Z:Z=A26)),1)),ISNUMBER(SEARCH("V ", _xlfn.TEXTJOIN("; ", TRUE, _xlfn._xlws.FILTER('Model output'!G:G, 'Model output'!Z:Z=A26)),1)),ISNUMBER(SEARCH("5", _xlfn.TEXTJOIN("; ", TRUE, _xlfn._xlws.FILTER('Model output'!G:G, 'Model output'!Z:Z=A26)),1)),ISNUMBER(SEARCH("five", _xlfn.TEXTJOIN("; ", TRUE, _xlfn._xlws.FILTER('Model output'!G:G, 'Model output'!Z:Z=A26)),1)),ISNUMBER(SEARCH(" lateral", _xlfn.TEXTJOIN("; ", TRUE, _xlfn._xlws.FILTER('Model output'!G:G, 'Model output'!Z:Z=A26)),1)))),ISNUMBER(SEARCH("cervical", _xlfn.TEXTJOIN("; ", TRUE, _xlfn._xlws.FILTER('Model output'!G:G, 'Model output'!Z:Z=A26)),1)),ISNUMBER(SEARCH("jugular", _xlfn.TEXTJOIN("; ", TRUE, _xlfn._xlws.FILTER('Model output'!G:G, 'Model output'!Z:Z=A26)),1)),ISNUMBER(SEARCH("left neck", _xlfn.TEXTJOIN("; ", TRUE, _xlfn._xlws.FILTER('Model output'!G:G, 'Model output'!Z:Z=A26)),1)),ISNUMBER(SEARCH("left anterior neck", _xlfn.TEXTJOIN("; ", TRUE, _xlfn._xlws.FILTER('Model output'!G:G, 'Model output'!Z:Z=A26)),1)),ISNUMBER(SEARCH("left posterior neck", _xlfn.TEXTJOIN("; ", TRUE, _xlfn._xlws.FILTER('Model output'!G:G, 'Model output'!Z:Z=A26)),1)),ISNUMBER(SEARCH("right neck", _xlfn.TEXTJOIN("; ", TRUE, _xlfn._xlws.FILTER('Model output'!G:G, 'Model output'!Z:Z=A26)),1)),ISNUMBER(SEARCH("right anterior neck", _xlfn.TEXTJOIN("; ", TRUE, _xlfn._xlws.FILTER('Model output'!G:G, 'Model output'!Z:Z=A26)),1)),ISNUMBER(SEARCH("right posterior neck", _xlfn.TEXTJOIN("; ", TRUE, _xlfn._xlws.FILTER('Model output'!G:G, 'Model output'!Z:Z=A26)),1)))),"lateral",IF(AND(M26=0, _xlfn.TEXTJOIN("; ", TRUE, _xlfn._xlws.FILTER('Model output'!G:G, 'Model output'!Z:Z=A26))=""),"", "central"))</f>
        <v>lateral</v>
      </c>
      <c r="K26" s="17" t="str" cm="1">
        <f t="array" ref="K26">IF(OR(ISNUMBER(SEARCH("lymph",_xlfn.TEXTJOIN("; ", TRUE, _xlfn._xlws.FILTER('Model output'!H:H, 'Model output'!Z:Z=A26)),1)), ISNUMBER(SEARCH("Not mentioned",_xlfn.TEXTJOIN("; ", TRUE, _xlfn._xlws.FILTER('Model output'!H:H, 'Model output'!Z:Z=A26)),1)),ISNUMBER(SEARCH("subcutaneous soft tissues",_xlfn.TEXTJOIN("; ", TRUE, _xlfn._xlws.FILTER('Model output'!H:H, 'Model output'!Z:Z=A26)),1)),ISNUMBER(SEARCH("larynx",_xlfn.TEXTJOIN("; ", TRUE, _xlfn._xlws.FILTER('Model output'!H:H, 'Model output'!Z:Z=A26)),1)),ISNUMBER(SEARCH("trachea",_xlfn.TEXTJOIN("; ", TRUE, _xlfn._xlws.FILTER('Model output'!H:H, 'Model output'!Z:Z=A26)),1)),ISNUMBER(SEARCH("esophagus",_xlfn.TEXTJOIN("; ", TRUE, _xlfn._xlws.FILTER('Model output'!H:H, 'Model output'!Z:Z=A26)),1)),ISNUMBER(SEARCH("recurrent laryngeal nerve",_xlfn.TEXTJOIN("; ", TRUE, _xlfn._xlws.FILTER('Model output'!H:H, 'Model output'!Z:Z=A26)),1)),ISNUMBER(SEARCH("strap muscle",_xlfn.TEXTJOIN("; ", TRUE, _xlfn._xlws.FILTER('Model output'!H:H, 'Model output'!Z:Z=A26)),1)),ISNUMBER(SEARCH("thyroid",_xlfn.TEXTJOIN("; ", TRUE, _xlfn._xlws.FILTER('Model output'!H:H, 'Model output'!Z:Z=A26)),1)),ISNUMBER(SEARCH("RLN",_xlfn.TEXTJOIN("; ", TRUE, _xlfn._xlws.FILTER('Model output'!H:H, 'Model output'!Z:Z=A26)),1)),_xlfn.TEXTJOIN("; ", TRUE, _xlfn._xlws.FILTER('Model output'!H:H, 'Model output'!Z:Z=A26))=""),"negative","positive")</f>
        <v>negative</v>
      </c>
      <c r="L26" s="17">
        <f>IF(IFERROR(INDEX('Model output'!I:I, MATCH(A26, 'Model output'!Z:Z, 0)), "") &lt; M26, "", IFERROR(INDEX('Model output'!I:I, MATCH(A26, 'Model output'!Z:Z, 0)), ""))</f>
        <v>15</v>
      </c>
      <c r="M26" s="17">
        <f>IFERROR(INDEX('Model output'!J:J, MATCH(A26, 'Model output'!Z:Z, 0)), "")</f>
        <v>9</v>
      </c>
      <c r="N26" s="18" t="str" cm="1">
        <f t="array" ref="N26">ReplaceTo(ReplaceAnd(SUBSTITUTE(SUBSTITUTE(_xlfn.TEXTJOIN("; ", TRUE, _xlfn._xlws.FILTER('Model output'!K:K, 'Model output'!Z:Z=A26)), " ", ""), ",", ";")))</f>
        <v>~9mm;Notmentioned</v>
      </c>
      <c r="O26" t="str" cm="1">
        <f t="array" ref="O26">IF(LEFT(IF(RIGHT(SUBSTITUTE(FilterWithUnits(N26)&amp; ";" &amp;FilterStringsWithNumericAnd(N26) &amp; ";" &amp; FilterStringsWithX(N26), ";;", ";"),1)=";",LEFT(SUBSTITUTE(FilterWithUnits(N26)&amp; ";" &amp;FilterStringsWithNumericAnd(N26) &amp; ";" &amp; FilterStringsWithX(N26), ";;", ";"),LEN(SUBSTITUTE(FilterWithUnits(N26)&amp; ";" &amp;FilterStringsWithNumericAnd(N26) &amp; ";" &amp; FilterStringsWithX(N26), ";;", ";"))-1),SUBSTITUTE(FilterWithUnits(N26)&amp; ";" &amp;FilterStringsWithNumericAnd(N26) &amp; ";" &amp; FilterStringsWithX(N26), ";;", ";")),1)=";",RIGHT(IF(RIGHT(SUBSTITUTE(FilterWithUnits(N26)&amp; ";" &amp;FilterStringsWithNumericAnd(N26) &amp; ";" &amp; FilterStringsWithX(N26), ";;", ";"),1)=";",LEFT(SUBSTITUTE(FilterWithUnits(N26)&amp; ";" &amp;FilterStringsWithNumericAnd(N26) &amp; ";" &amp; FilterStringsWithX(N26), ";;", ";"),LEN(SUBSTITUTE(FilterWithUnits(N26)&amp; ";" &amp;FilterStringsWithNumericAnd(N26) &amp; ";" &amp; FilterStringsWithX(N26), ";;", ";"))-1),SUBSTITUTE(FilterWithUnits(N26)&amp; ";" &amp;FilterStringsWithNumericAnd(N26) &amp; ";" &amp; FilterStringsWithX(N26), ";;", ";")),LEN(IF(RIGHT(SUBSTITUTE(FilterWithUnits(N26)&amp; ";" &amp;FilterStringsWithNumericAnd(N26) &amp; ";" &amp; FilterStringsWithX(N26), ";;", ";"),1)=";",LEFT(SUBSTITUTE(FilterWithUnits(N26)&amp; ";" &amp;FilterStringsWithNumericAnd(N26) &amp; ";" &amp; FilterStringsWithX(N26), ";;", ";"),LEN(SUBSTITUTE(FilterWithUnits(N26)&amp; ";" &amp;FilterStringsWithNumericAnd(N26) &amp; ";" &amp; FilterStringsWithX(N26), ";;", ";"))-1),SUBSTITUTE(FilterWithUnits(N26)&amp; ";" &amp;FilterStringsWithNumericAnd(N26) &amp; ";" &amp; FilterStringsWithX(N26), ";;", ";")))-1),IF(RIGHT(SUBSTITUTE(FilterWithUnits(N26)&amp; ";" &amp;FilterStringsWithNumericAnd(N26) &amp; ";" &amp; FilterStringsWithX(N26), ";;", ";"),1)=";",LEFT(SUBSTITUTE(FilterWithUnits(N26)&amp; ";" &amp;FilterStringsWithNumericAnd(N26) &amp; ";" &amp; FilterStringsWithX(N26), ";;", ";"),LEN(SUBSTITUTE(FilterWithUnits(N26)&amp; ";" &amp;FilterStringsWithNumericAnd(N26) &amp; ";" &amp; FilterStringsWithX(N26), ";;", ";"))-1),SUBSTITUTE(FilterWithUnits(N26)&amp; ";" &amp;FilterStringsWithNumericAnd(N26) &amp; ";" &amp; FilterStringsWithX(N26), ";;", ";")))</f>
        <v>9mm</v>
      </c>
      <c r="P26" cm="1">
        <f t="array" ref="P26">IF(MaxSize((SplitDimensions(O26)))=0, "", MaxSize((SplitDimensions(O26))))</f>
        <v>0.9</v>
      </c>
      <c r="Q26" t="str" cm="1">
        <f t="array" ref="Q26">IF(ISERROR(INDEX(_xlfn._xlws.FILTER('Model output'!L:L, ('Model output'!Z:Z=A26)*('Model output'!L:L&lt;&gt;"")), 1)), " ", LOWER(INDEX(_xlfn._xlws.FILTER('Model output'!L:L, ('Model output'!Z:Z=A26)*('Model output'!L:L&lt;&gt;"")), 1)))</f>
        <v>papillary carcinoma: classic (usual, conventional)</v>
      </c>
      <c r="R26" t="str" cm="1">
        <f t="array" ref="R26">IF(ISERROR(INDEX(_xlfn._xlws.FILTER('Model output'!M:M, ('Model output'!Z:Z=A26)*('Model output'!M:M&lt;&gt;"")), 1)), " ", LOWER(INDEX(_xlfn._xlws.FILTER('Model output'!M:M, ('Model output'!Z:Z=A26)*('Model output'!M:M&lt;&gt;"")), 1)))</f>
        <v>not mentioned</v>
      </c>
      <c r="S26" t="str" cm="1">
        <f t="array" ref="S26">IF(OR(ISNUMBER(SEARCH("ly",SUBSTITUTE(INDEX(_xlfn._xlws.FILTER('Model output'!N:N,('Model output'!Z:Z=A26)*('Model output'!N:N&lt;&gt;"")),1)," ",""),1)), ISNUMBER(SEARCH("pole",SUBSTITUTE(INDEX(_xlfn._xlws.FILTER('Model output'!N:N,('Model output'!Z:Z=A26)*('Model output'!N:N&lt;&gt;"")),1)," ",""),1))),"",SUBSTITUTE(INDEX(_xlfn._xlws.FILTER('Model output'!N:N,('Model output'!Z:Z=A26)*('Model output'!N:N&lt;&gt;"")),1)," ",""))</f>
        <v>5x3x2cm</v>
      </c>
      <c r="T26" t="str" cm="1">
        <f t="array" ref="T26">IF(LEFT(IF(RIGHT(SUBSTITUTE(FilterWithUnits(S26)&amp; ";" &amp;FilterStringsWithNumericAnd(S26) &amp; ";" &amp; FilterStringsWithX(S26), ";;", ";"),1)=";",LEFT(SUBSTITUTE(FilterWithUnits(S26)&amp; ";" &amp;FilterStringsWithNumericAnd(S26) &amp; ";" &amp; FilterStringsWithX(S26), ";;", ";"),LEN(SUBSTITUTE(FilterWithUnits(S26)&amp; ";" &amp;FilterStringsWithNumericAnd(S26) &amp; ";" &amp; FilterStringsWithX(S26), ";;", ";"))-1),SUBSTITUTE(FilterWithUnits(S26)&amp; ";" &amp;FilterStringsWithNumericAnd(S26) &amp; ";" &amp; FilterStringsWithX(S26), ";;", ";")),1)=";",RIGHT(IF(RIGHT(SUBSTITUTE(FilterWithUnits(S26)&amp; ";" &amp;FilterStringsWithNumericAnd(S26) &amp; ";" &amp; FilterStringsWithX(S26), ";;", ";"),1)=";",LEFT(SUBSTITUTE(FilterWithUnits(S26)&amp; ";" &amp;FilterStringsWithNumericAnd(S26) &amp; ";" &amp; FilterStringsWithX(S26), ";;", ";"),LEN(SUBSTITUTE(FilterWithUnits(S26)&amp; ";" &amp;FilterStringsWithNumericAnd(S26) &amp; ";" &amp; FilterStringsWithX(S26), ";;", ";"))-1),SUBSTITUTE(FilterWithUnits(S26)&amp; ";" &amp;FilterStringsWithNumericAnd(S26) &amp; ";" &amp; FilterStringsWithX(S26), ";;", ";")),LEN(IF(RIGHT(SUBSTITUTE(FilterWithUnits(S26)&amp; ";" &amp;FilterStringsWithNumericAnd(S26) &amp; ";" &amp; FilterStringsWithX(S26), ";;", ";"),1)=";",LEFT(SUBSTITUTE(FilterWithUnits(S26)&amp; ";" &amp;FilterStringsWithNumericAnd(S26) &amp; ";" &amp; FilterStringsWithX(S26), ";;", ";"),LEN(SUBSTITUTE(FilterWithUnits(S26)&amp; ";" &amp;FilterStringsWithNumericAnd(S26) &amp; ";" &amp; FilterStringsWithX(S26), ";;", ";"))-1),SUBSTITUTE(FilterWithUnits(S26)&amp; ";" &amp;FilterStringsWithNumericAnd(S26) &amp; ";" &amp; FilterStringsWithX(S26), ";;", ";")))-1),IF(RIGHT(SUBSTITUTE(FilterWithUnits(S26)&amp; ";" &amp;FilterStringsWithNumericAnd(S26) &amp; ";" &amp; FilterStringsWithX(S26), ";;", ";"),1)=";",LEFT(SUBSTITUTE(FilterWithUnits(S26)&amp; ";" &amp;FilterStringsWithNumericAnd(S26) &amp; ";" &amp; FilterStringsWithX(S26), ";;", ";"),LEN(SUBSTITUTE(FilterWithUnits(S26)&amp; ";" &amp;FilterStringsWithNumericAnd(S26) &amp; ";" &amp; FilterStringsWithX(S26), ";;", ";"))-1),SUBSTITUTE(FilterWithUnits(S26)&amp; ";" &amp;FilterStringsWithNumericAnd(S26) &amp; ";" &amp; FilterStringsWithX(S26), ";;", ";")))</f>
        <v>5x3x2cm</v>
      </c>
      <c r="U26" cm="1">
        <f t="array" ref="U26">IF(MaxSize((SplitDimensions(T26)))=0, "", MaxSize((SplitDimensions(T26))))</f>
        <v>5</v>
      </c>
      <c r="V26" s="17" t="str" cm="1">
        <f t="array" ref="V26">IF(ISERROR(INDEX(_xlfn._xlws.FILTER('Model output'!P:P,('Model output'!Z:Z=A26)*('Model output'!P:P&lt;&gt;"")),1)),"negative",IF(OR(ISNUMBER(SEARCH("foc",INDEX(_xlfn._xlws.FILTER('Model output'!P:P,('Model output'!Z:Z=A26)*('Model output'!P:P&lt;&gt;"")),1),1)),ISNUMBER(SEARCH("extensive",INDEX(_xlfn._xlws.FILTER('Model output'!P:P,('Model output'!Z:Z=A26)*('Model output'!P:P&lt;&gt;"")),1),1)),ISNUMBER(SEARCH("present",INDEX(_xlfn._xlws.FILTER('Model output'!P:P,('Model output'!Z:Z=A26)*('Model output'!P:P&lt;&gt;"")),1),1)),ISNUMBER(SEARCH("yes",INDEX(_xlfn._xlws.FILTER('Model output'!P:P,('Model output'!Z:Z=A26)*('Model output'!P:P&lt;&gt;"")),1),1))),"positive","negative"))</f>
        <v>positive</v>
      </c>
      <c r="X26" t="str" cm="1">
        <f t="array" ref="X26">IF(ISNUMBER(SEARCH("4",INDEX(_xlfn._xlws.FILTER('Model output'!P:P,('Model output'!Z:Z=A26)*('Model output'!P:P&lt;&gt;"")),1),1)),INDEX(_xlfn._xlws.FILTER('Model output'!P:P,('Model output'!Z:Z=A26)*('Model output'!P:P&lt;&gt;"")),1),"") &amp; _xlfn.TEXTJOIN("",TRUE,_xlfn._xlws.FILTER('Model output'!Q:Q,'Model output'!Z:Z=A26))</f>
        <v>MinimalComplete encasement of 2.5cm length of right RLN</v>
      </c>
      <c r="Y26" t="str">
        <f t="shared" si="11"/>
        <v>minimal</v>
      </c>
      <c r="Z26" t="str" cm="1">
        <f t="array" ref="Z26">IF(OR(ISNUMBER(SEARCH("focal",_xlfn.TEXTJOIN("; ",TRUE,_xlfn._xlws.FILTER('Model output'!R:R,'Model output'!Z:Z=A26)),1)),ISNUMBER(SEARCH("present",_xlfn.TEXTJOIN("; ",TRUE,_xlfn._xlws.FILTER('Model output'!R:R,'Model output'!Z:Z=A26)),1))),"positive",IF(_xlfn.TEXTJOIN("; ",TRUE,_xlfn._xlws.FILTER('Model output'!R:R,'Model output'!Z:Z=A26))="","negative",IF(OR(ISNUMBER(SEARCH("no",_xlfn.TEXTJOIN("; ",TRUE,_xlfn._xlws.FILTER('Model output'!R:R,'Model output'!Z:Z=A26)),1)),ISNUMBER(SEARCH("absent",_xlfn.TEXTJOIN("; ",TRUE,_xlfn._xlws.FILTER('Model output'!R:R,'Model output'!Z:Z=A26)),1))),"negative","positive")))</f>
        <v>positive</v>
      </c>
      <c r="AA26" s="17" t="str">
        <f t="shared" si="12"/>
        <v>positive</v>
      </c>
      <c r="AE26" s="17" t="str">
        <f t="shared" si="14"/>
        <v>positive</v>
      </c>
      <c r="AF26" t="str" cm="1">
        <f t="array" ref="AF26">_xlfn.TEXTJOIN("; ",TRUE,_xlfn._xlws.FILTER('Model output'!S:S,'Model output'!Z:Z=A26))</f>
        <v>Present (minimal); Perithyroidal fibradipose tissue (as the lower pole tumour was completely encased right RLN)</v>
      </c>
      <c r="AG26" s="17" t="str" cm="1">
        <f t="array" ref="AG26">IF(OR(ISNUMBER(SEARCH("uninvolved",_xlfn.TEXTJOIN("; ",TRUE,_xlfn._xlws.FILTER('Model output'!V:V,'Model output'!Z:Z=A26)),1)),ISNUMBER(SEARCH("clear",_xlfn.TEXTJOIN("; ",TRUE,_xlfn._xlws.FILTER('Model output'!V:V,'Model output'!Z:Z=A26)),1))*ISNUMBER(SEARCH("not mentioned",_xlfn.TEXTJOIN("; ",TRUE,_xlfn._xlws.FILTER('Model output'!V:V,'Model output'!Z:Z=A26)),1))),"negative",IF(ISNUMBER(SEARCH("cannot be assessed",_xlfn.TEXTJOIN("; ",TRUE,_xlfn._xlws.FILTER('Model output'!V:V,'Model output'!Z:Z=A26)),1)),"unknown","negative"))</f>
        <v>negative</v>
      </c>
      <c r="AI26" s="45" t="str">
        <f t="shared" si="13"/>
        <v>high</v>
      </c>
      <c r="AJ26" s="36" t="str">
        <f t="shared" si="2"/>
        <v>4a</v>
      </c>
      <c r="AK26" s="36" t="str">
        <f t="shared" si="3"/>
        <v>1b</v>
      </c>
      <c r="AL26" s="36">
        <f t="shared" si="4"/>
        <v>0</v>
      </c>
      <c r="AM26" s="36" t="str">
        <f t="shared" si="5"/>
        <v>III</v>
      </c>
      <c r="AN26" s="37" t="s">
        <v>165</v>
      </c>
      <c r="AO26" s="38" t="s">
        <v>206</v>
      </c>
      <c r="AP26" s="38" t="s">
        <v>201</v>
      </c>
      <c r="AQ26" s="38">
        <v>0</v>
      </c>
      <c r="AR26" s="38" t="s">
        <v>69</v>
      </c>
      <c r="AS26" s="37">
        <f t="shared" si="6"/>
        <v>1</v>
      </c>
      <c r="AT26" s="38">
        <f t="shared" si="7"/>
        <v>1</v>
      </c>
      <c r="AU26" s="38">
        <f t="shared" si="8"/>
        <v>1</v>
      </c>
      <c r="AV26" s="38">
        <f t="shared" si="9"/>
        <v>1</v>
      </c>
      <c r="AW26" s="39">
        <f t="shared" si="10"/>
        <v>1</v>
      </c>
    </row>
    <row r="27" spans="1:49">
      <c r="A27" s="13">
        <v>25</v>
      </c>
      <c r="B27" s="16">
        <f>_xlfn.MAXIFS('Model output'!B:B,'Model output'!Z:Z,'Classification result'!$A27)</f>
        <v>45310</v>
      </c>
      <c r="C27" s="16"/>
      <c r="D27" s="16"/>
      <c r="E27" s="17">
        <f>_xlfn.MAXIFS('Model output'!C:C,'Model output'!Z:Z,'Classification result'!$A27)</f>
        <v>42</v>
      </c>
      <c r="F27" s="17" t="str" cm="1">
        <f t="array" ref="F27">LEFT(IF(ISERROR(RIGHT(IF(INDEX(_xlfn._xlws.FILTER('Model output'!D:D,('Model output'!Z:Z=A27)),1)&lt;&gt;"",INDEX(_xlfn._xlws.FILTER('Model output'!D:D,('Model output'!Z:Z=A27)),1),""),LEN(IF(INDEX(_xlfn._xlws.FILTER('Model output'!D:D,('Model output'!Z:Z=A27)),1)&lt;&gt;"",INDEX(_xlfn._xlws.FILTER('Model output'!D:D,('Model output'!Z:Z=A27)),1),""))-FIND("T",IF(INDEX(_xlfn._xlws.FILTER('Model output'!D:D,('Model output'!Z:Z=A27)),1)&lt;&gt;"",INDEX(_xlfn._xlws.FILTER('Model output'!D:D,('Model output'!Z:Z=A27)),1),""),1))),"",(RIGHT(IF(INDEX(_xlfn._xlws.FILTER('Model output'!D:D,('Model output'!Z:Z=A27)),1)&lt;&gt;"",INDEX(_xlfn._xlws.FILTER('Model output'!D:D,('Model output'!Z:Z=A27)),1),""),LEN(IF(INDEX(_xlfn._xlws.FILTER('Model output'!D:D,('Model output'!Z:Z=A27)),1)&lt;&gt;"",INDEX(_xlfn._xlws.FILTER('Model output'!D:D,('Model output'!Z:Z=A27)),1),""))-FIND("T",IF(INDEX(_xlfn._xlws.FILTER('Model output'!D:D,('Model output'!Z:Z=A27)),1)&lt;&gt;"",INDEX(_xlfn._xlws.FILTER('Model output'!D:D,('Model output'!Z:Z=A27)),1)))))),2)</f>
        <v>1b</v>
      </c>
      <c r="G27" s="17" t="str" cm="1">
        <f t="array" ref="G27">IF(ISNUMBER(SEARCH("N",IF(ISNUMBER(SEARCH("present",IF(INDEX(_xlfn._xlws.FILTER('Model output'!E:E,('Model output'!Z:Z=A27)),1)="","",INDEX(_xlfn._xlws.FILTER('Model output'!E:E,('Model output'!Z:Z=A27)),1)),1)),"N1", IF(INDEX(_xlfn._xlws.FILTER('Model output'!E:E,('Model output'!Z:Z=A27)),1)="","",INDEX(_xlfn._xlws.FILTER('Model output'!E:E,('Model output'!Z:Z=A27)),1))),1)),RIGHT(IF(ISNUMBER(SEARCH("present",IF(INDEX(_xlfn._xlws.FILTER('Model output'!E:E,('Model output'!Z:Z=A27)),1)="","",INDEX(_xlfn._xlws.FILTER('Model output'!E:E,('Model output'!Z:Z=A27)),1)),1)),"N1", IF(INDEX(_xlfn._xlws.FILTER('Model output'!E:E,('Model output'!Z:Z=A27)),1)="","",INDEX(_xlfn._xlws.FILTER('Model output'!E:E,('Model output'!Z:Z=A27)),1))),LEN(IF(ISNUMBER(SEARCH("present",IF(INDEX(_xlfn._xlws.FILTER('Model output'!E:E,('Model output'!Z:Z=A27)),1)="","",INDEX(_xlfn._xlws.FILTER('Model output'!E:E,('Model output'!Z:Z=A27)),1)),1)),"N1", IF(INDEX(_xlfn._xlws.FILTER('Model output'!E:E,('Model output'!Z:Z=A27)),1)="","",INDEX(_xlfn._xlws.FILTER('Model output'!E:E,('Model output'!Z:Z=A27)),1))))-FIND("N",IF(ISNUMBER(SEARCH("present",IF(INDEX(_xlfn._xlws.FILTER('Model output'!E:E,('Model output'!Z:Z=A27)),1)="","",INDEX(_xlfn._xlws.FILTER('Model output'!E:E,('Model output'!Z:Z=A27)),1)),1)),"N1", IF(INDEX(_xlfn._xlws.FILTER('Model output'!E:E,('Model output'!Z:Z=A27)),1)="","",INDEX(_xlfn._xlws.FILTER('Model output'!E:E,('Model output'!Z:Z=A27)),1))),1)), "")</f>
        <v/>
      </c>
      <c r="H27" s="17" cm="1">
        <f t="array" ref="H27">IF(AND(SUBSTITUTE(_xlfn.TEXTJOIN("/", TRUE, _xlfn._xlws.FILTER('Model output'!F:F, 'Model output'!Z:Z=A27)),"M", "")="", K27="negative"),0,IF(K27="positive",1,0))</f>
        <v>0</v>
      </c>
      <c r="I27" t="str">
        <f t="shared" si="0"/>
        <v/>
      </c>
      <c r="J27" t="str" cm="1">
        <f t="array" ref="J27">IF(AND(M27&gt;0, _xlfn.TEXTJOIN("; ", TRUE, _xlfn._xlws.FILTER('Model output'!G:G, 'Model output'!Z:Z=A27)) &lt;&gt;"", OR(AND(ISNUMBER(SEARCH("level", _xlfn.TEXTJOIN("; ", TRUE, _xlfn._xlws.FILTER('Model output'!G:G, 'Model output'!Z:Z=A27)),1)),OR(ISNUMBER(SEARCH(" II", _xlfn.TEXTJOIN("; ", TRUE, _xlfn._xlws.FILTER('Model output'!G:G, 'Model output'!Z:Z=A27)),1)),ISNUMBER(SEARCH("2", _xlfn.TEXTJOIN("; ", TRUE, _xlfn._xlws.FILTER('Model output'!G:G, 'Model output'!Z:Z=A27)),1)),ISNUMBER(SEARCH("two", _xlfn.TEXTJOIN("; ", TRUE, _xlfn._xlws.FILTER('Model output'!G:G, 'Model output'!Z:Z=A27)),1)),ISNUMBER(SEARCH("III", _xlfn.TEXTJOIN("; ", TRUE, _xlfn._xlws.FILTER('Model output'!G:G, 'Model output'!Z:Z=A27)),1)),ISNUMBER(SEARCH("3", _xlfn.TEXTJOIN("; ", TRUE, _xlfn._xlws.FILTER('Model output'!G:G, 'Model output'!Z:Z=A27)),1)),ISNUMBER(SEARCH("three", _xlfn.TEXTJOIN("; ", TRUE, _xlfn._xlws.FILTER('Model output'!G:G, 'Model output'!Z:Z=A27)),1)),ISNUMBER(SEARCH("IV", _xlfn.TEXTJOIN("; ", TRUE, _xlfn._xlws.FILTER('Model output'!G:G, 'Model output'!Z:Z=A27)),1)),ISNUMBER(SEARCH("4", _xlfn.TEXTJOIN("; ", TRUE, _xlfn._xlws.FILTER('Model output'!G:G, 'Model output'!Z:Z=A27)),1)),ISNUMBER(SEARCH("five", _xlfn.TEXTJOIN("; ", TRUE, _xlfn._xlws.FILTER('Model output'!G:G, 'Model output'!Z:Z=A27)),1)),ISNUMBER(SEARCH("V ", _xlfn.TEXTJOIN("; ", TRUE, _xlfn._xlws.FILTER('Model output'!G:G, 'Model output'!Z:Z=A27)),1)),ISNUMBER(SEARCH("5", _xlfn.TEXTJOIN("; ", TRUE, _xlfn._xlws.FILTER('Model output'!G:G, 'Model output'!Z:Z=A27)),1)),ISNUMBER(SEARCH("five", _xlfn.TEXTJOIN("; ", TRUE, _xlfn._xlws.FILTER('Model output'!G:G, 'Model output'!Z:Z=A27)),1)),ISNUMBER(SEARCH(" lateral", _xlfn.TEXTJOIN("; ", TRUE, _xlfn._xlws.FILTER('Model output'!G:G, 'Model output'!Z:Z=A27)),1)))),ISNUMBER(SEARCH("cervical", _xlfn.TEXTJOIN("; ", TRUE, _xlfn._xlws.FILTER('Model output'!G:G, 'Model output'!Z:Z=A27)),1)),ISNUMBER(SEARCH("jugular", _xlfn.TEXTJOIN("; ", TRUE, _xlfn._xlws.FILTER('Model output'!G:G, 'Model output'!Z:Z=A27)),1)),ISNUMBER(SEARCH("left neck", _xlfn.TEXTJOIN("; ", TRUE, _xlfn._xlws.FILTER('Model output'!G:G, 'Model output'!Z:Z=A27)),1)),ISNUMBER(SEARCH("left anterior neck", _xlfn.TEXTJOIN("; ", TRUE, _xlfn._xlws.FILTER('Model output'!G:G, 'Model output'!Z:Z=A27)),1)),ISNUMBER(SEARCH("left posterior neck", _xlfn.TEXTJOIN("; ", TRUE, _xlfn._xlws.FILTER('Model output'!G:G, 'Model output'!Z:Z=A27)),1)),ISNUMBER(SEARCH("right neck", _xlfn.TEXTJOIN("; ", TRUE, _xlfn._xlws.FILTER('Model output'!G:G, 'Model output'!Z:Z=A27)),1)),ISNUMBER(SEARCH("right anterior neck", _xlfn.TEXTJOIN("; ", TRUE, _xlfn._xlws.FILTER('Model output'!G:G, 'Model output'!Z:Z=A27)),1)),ISNUMBER(SEARCH("right posterior neck", _xlfn.TEXTJOIN("; ", TRUE, _xlfn._xlws.FILTER('Model output'!G:G, 'Model output'!Z:Z=A27)),1)))),"lateral",IF(AND(M27=0, _xlfn.TEXTJOIN("; ", TRUE, _xlfn._xlws.FILTER('Model output'!G:G, 'Model output'!Z:Z=A27))=""),"", "central"))</f>
        <v/>
      </c>
      <c r="K27" s="17" t="str" cm="1">
        <f t="array" ref="K27">IF(OR(ISNUMBER(SEARCH("lymph",_xlfn.TEXTJOIN("; ", TRUE, _xlfn._xlws.FILTER('Model output'!H:H, 'Model output'!Z:Z=A27)),1)), ISNUMBER(SEARCH("Not mentioned",_xlfn.TEXTJOIN("; ", TRUE, _xlfn._xlws.FILTER('Model output'!H:H, 'Model output'!Z:Z=A27)),1)),ISNUMBER(SEARCH("subcutaneous soft tissues",_xlfn.TEXTJOIN("; ", TRUE, _xlfn._xlws.FILTER('Model output'!H:H, 'Model output'!Z:Z=A27)),1)),ISNUMBER(SEARCH("larynx",_xlfn.TEXTJOIN("; ", TRUE, _xlfn._xlws.FILTER('Model output'!H:H, 'Model output'!Z:Z=A27)),1)),ISNUMBER(SEARCH("trachea",_xlfn.TEXTJOIN("; ", TRUE, _xlfn._xlws.FILTER('Model output'!H:H, 'Model output'!Z:Z=A27)),1)),ISNUMBER(SEARCH("esophagus",_xlfn.TEXTJOIN("; ", TRUE, _xlfn._xlws.FILTER('Model output'!H:H, 'Model output'!Z:Z=A27)),1)),ISNUMBER(SEARCH("recurrent laryngeal nerve",_xlfn.TEXTJOIN("; ", TRUE, _xlfn._xlws.FILTER('Model output'!H:H, 'Model output'!Z:Z=A27)),1)),ISNUMBER(SEARCH("strap muscle",_xlfn.TEXTJOIN("; ", TRUE, _xlfn._xlws.FILTER('Model output'!H:H, 'Model output'!Z:Z=A27)),1)),ISNUMBER(SEARCH("thyroid",_xlfn.TEXTJOIN("; ", TRUE, _xlfn._xlws.FILTER('Model output'!H:H, 'Model output'!Z:Z=A27)),1)),ISNUMBER(SEARCH("RLN",_xlfn.TEXTJOIN("; ", TRUE, _xlfn._xlws.FILTER('Model output'!H:H, 'Model output'!Z:Z=A27)),1)),_xlfn.TEXTJOIN("; ", TRUE, _xlfn._xlws.FILTER('Model output'!H:H, 'Model output'!Z:Z=A27))=""),"negative","positive")</f>
        <v>negative</v>
      </c>
      <c r="L27" s="17">
        <f>IF(IFERROR(INDEX('Model output'!I:I, MATCH(A27, 'Model output'!Z:Z, 0)), "") &lt; M27, "", IFERROR(INDEX('Model output'!I:I, MATCH(A27, 'Model output'!Z:Z, 0)), ""))</f>
        <v>0</v>
      </c>
      <c r="M27" s="17">
        <f>IFERROR(INDEX('Model output'!J:J, MATCH(A27, 'Model output'!Z:Z, 0)), "")</f>
        <v>0</v>
      </c>
      <c r="N27" s="18" t="str" cm="1">
        <f t="array" ref="N27">ReplaceTo(ReplaceAnd(SUBSTITUTE(SUBSTITUTE(_xlfn.TEXTJOIN("; ", TRUE, _xlfn._xlws.FILTER('Model output'!K:K, 'Model output'!Z:Z=A27)), " ", ""), ",", ";")))</f>
        <v/>
      </c>
      <c r="O27" t="str" cm="1">
        <f t="array" ref="O27">IF(LEFT(IF(RIGHT(SUBSTITUTE(FilterWithUnits(N27)&amp; ";" &amp;FilterStringsWithNumericAnd(N27) &amp; ";" &amp; FilterStringsWithX(N27), ";;", ";"),1)=";",LEFT(SUBSTITUTE(FilterWithUnits(N27)&amp; ";" &amp;FilterStringsWithNumericAnd(N27) &amp; ";" &amp; FilterStringsWithX(N27), ";;", ";"),LEN(SUBSTITUTE(FilterWithUnits(N27)&amp; ";" &amp;FilterStringsWithNumericAnd(N27) &amp; ";" &amp; FilterStringsWithX(N27), ";;", ";"))-1),SUBSTITUTE(FilterWithUnits(N27)&amp; ";" &amp;FilterStringsWithNumericAnd(N27) &amp; ";" &amp; FilterStringsWithX(N27), ";;", ";")),1)=";",RIGHT(IF(RIGHT(SUBSTITUTE(FilterWithUnits(N27)&amp; ";" &amp;FilterStringsWithNumericAnd(N27) &amp; ";" &amp; FilterStringsWithX(N27), ";;", ";"),1)=";",LEFT(SUBSTITUTE(FilterWithUnits(N27)&amp; ";" &amp;FilterStringsWithNumericAnd(N27) &amp; ";" &amp; FilterStringsWithX(N27), ";;", ";"),LEN(SUBSTITUTE(FilterWithUnits(N27)&amp; ";" &amp;FilterStringsWithNumericAnd(N27) &amp; ";" &amp; FilterStringsWithX(N27), ";;", ";"))-1),SUBSTITUTE(FilterWithUnits(N27)&amp; ";" &amp;FilterStringsWithNumericAnd(N27) &amp; ";" &amp; FilterStringsWithX(N27), ";;", ";")),LEN(IF(RIGHT(SUBSTITUTE(FilterWithUnits(N27)&amp; ";" &amp;FilterStringsWithNumericAnd(N27) &amp; ";" &amp; FilterStringsWithX(N27), ";;", ";"),1)=";",LEFT(SUBSTITUTE(FilterWithUnits(N27)&amp; ";" &amp;FilterStringsWithNumericAnd(N27) &amp; ";" &amp; FilterStringsWithX(N27), ";;", ";"),LEN(SUBSTITUTE(FilterWithUnits(N27)&amp; ";" &amp;FilterStringsWithNumericAnd(N27) &amp; ";" &amp; FilterStringsWithX(N27), ";;", ";"))-1),SUBSTITUTE(FilterWithUnits(N27)&amp; ";" &amp;FilterStringsWithNumericAnd(N27) &amp; ";" &amp; FilterStringsWithX(N27), ";;", ";")))-1),IF(RIGHT(SUBSTITUTE(FilterWithUnits(N27)&amp; ";" &amp;FilterStringsWithNumericAnd(N27) &amp; ";" &amp; FilterStringsWithX(N27), ";;", ";"),1)=";",LEFT(SUBSTITUTE(FilterWithUnits(N27)&amp; ";" &amp;FilterStringsWithNumericAnd(N27) &amp; ";" &amp; FilterStringsWithX(N27), ";;", ";"),LEN(SUBSTITUTE(FilterWithUnits(N27)&amp; ";" &amp;FilterStringsWithNumericAnd(N27) &amp; ";" &amp; FilterStringsWithX(N27), ";;", ";"))-1),SUBSTITUTE(FilterWithUnits(N27)&amp; ";" &amp;FilterStringsWithNumericAnd(N27) &amp; ";" &amp; FilterStringsWithX(N27), ";;", ";")))</f>
        <v/>
      </c>
      <c r="P27" t="str" cm="1">
        <f t="array" ref="P27">IF(MaxSize((SplitDimensions(O27)))=0, "", MaxSize((SplitDimensions(O27))))</f>
        <v/>
      </c>
      <c r="Q27" t="str" cm="1">
        <f t="array" ref="Q27">IF(ISERROR(INDEX(_xlfn._xlws.FILTER('Model output'!L:L, ('Model output'!Z:Z=A27)*('Model output'!L:L&lt;&gt;"")), 1)), " ", LOWER(INDEX(_xlfn._xlws.FILTER('Model output'!L:L, ('Model output'!Z:Z=A27)*('Model output'!L:L&lt;&gt;"")), 1)))</f>
        <v>papillary carcinoma</v>
      </c>
      <c r="R27" t="str" cm="1">
        <f t="array" ref="R27">IF(ISERROR(INDEX(_xlfn._xlws.FILTER('Model output'!M:M, ('Model output'!Z:Z=A27)*('Model output'!M:M&lt;&gt;"")), 1)), " ", LOWER(INDEX(_xlfn._xlws.FILTER('Model output'!M:M, ('Model output'!Z:Z=A27)*('Model output'!M:M&lt;&gt;"")), 1)))</f>
        <v>classic (usual, conventional)</v>
      </c>
      <c r="S27" t="str" cm="1">
        <f t="array" ref="S27">IF(OR(ISNUMBER(SEARCH("ly",SUBSTITUTE(INDEX(_xlfn._xlws.FILTER('Model output'!N:N,('Model output'!Z:Z=A27)*('Model output'!N:N&lt;&gt;"")),1)," ",""),1)), ISNUMBER(SEARCH("pole",SUBSTITUTE(INDEX(_xlfn._xlws.FILTER('Model output'!N:N,('Model output'!Z:Z=A27)*('Model output'!N:N&lt;&gt;"")),1)," ",""),1))),"",SUBSTITUTE(INDEX(_xlfn._xlws.FILTER('Model output'!N:N,('Model output'!Z:Z=A27)*('Model output'!N:N&lt;&gt;"")),1)," ",""))</f>
        <v>12.8cm</v>
      </c>
      <c r="T27" t="str" cm="1">
        <f t="array" ref="T27">IF(LEFT(IF(RIGHT(SUBSTITUTE(FilterWithUnits(S27)&amp; ";" &amp;FilterStringsWithNumericAnd(S27) &amp; ";" &amp; FilterStringsWithX(S27), ";;", ";"),1)=";",LEFT(SUBSTITUTE(FilterWithUnits(S27)&amp; ";" &amp;FilterStringsWithNumericAnd(S27) &amp; ";" &amp; FilterStringsWithX(S27), ";;", ";"),LEN(SUBSTITUTE(FilterWithUnits(S27)&amp; ";" &amp;FilterStringsWithNumericAnd(S27) &amp; ";" &amp; FilterStringsWithX(S27), ";;", ";"))-1),SUBSTITUTE(FilterWithUnits(S27)&amp; ";" &amp;FilterStringsWithNumericAnd(S27) &amp; ";" &amp; FilterStringsWithX(S27), ";;", ";")),1)=";",RIGHT(IF(RIGHT(SUBSTITUTE(FilterWithUnits(S27)&amp; ";" &amp;FilterStringsWithNumericAnd(S27) &amp; ";" &amp; FilterStringsWithX(S27), ";;", ";"),1)=";",LEFT(SUBSTITUTE(FilterWithUnits(S27)&amp; ";" &amp;FilterStringsWithNumericAnd(S27) &amp; ";" &amp; FilterStringsWithX(S27), ";;", ";"),LEN(SUBSTITUTE(FilterWithUnits(S27)&amp; ";" &amp;FilterStringsWithNumericAnd(S27) &amp; ";" &amp; FilterStringsWithX(S27), ";;", ";"))-1),SUBSTITUTE(FilterWithUnits(S27)&amp; ";" &amp;FilterStringsWithNumericAnd(S27) &amp; ";" &amp; FilterStringsWithX(S27), ";;", ";")),LEN(IF(RIGHT(SUBSTITUTE(FilterWithUnits(S27)&amp; ";" &amp;FilterStringsWithNumericAnd(S27) &amp; ";" &amp; FilterStringsWithX(S27), ";;", ";"),1)=";",LEFT(SUBSTITUTE(FilterWithUnits(S27)&amp; ";" &amp;FilterStringsWithNumericAnd(S27) &amp; ";" &amp; FilterStringsWithX(S27), ";;", ";"),LEN(SUBSTITUTE(FilterWithUnits(S27)&amp; ";" &amp;FilterStringsWithNumericAnd(S27) &amp; ";" &amp; FilterStringsWithX(S27), ";;", ";"))-1),SUBSTITUTE(FilterWithUnits(S27)&amp; ";" &amp;FilterStringsWithNumericAnd(S27) &amp; ";" &amp; FilterStringsWithX(S27), ";;", ";")))-1),IF(RIGHT(SUBSTITUTE(FilterWithUnits(S27)&amp; ";" &amp;FilterStringsWithNumericAnd(S27) &amp; ";" &amp; FilterStringsWithX(S27), ";;", ";"),1)=";",LEFT(SUBSTITUTE(FilterWithUnits(S27)&amp; ";" &amp;FilterStringsWithNumericAnd(S27) &amp; ";" &amp; FilterStringsWithX(S27), ";;", ";"),LEN(SUBSTITUTE(FilterWithUnits(S27)&amp; ";" &amp;FilterStringsWithNumericAnd(S27) &amp; ";" &amp; FilterStringsWithX(S27), ";;", ";"))-1),SUBSTITUTE(FilterWithUnits(S27)&amp; ";" &amp;FilterStringsWithNumericAnd(S27) &amp; ";" &amp; FilterStringsWithX(S27), ";;", ";")))</f>
        <v>12.8cm</v>
      </c>
      <c r="U27" cm="1">
        <f t="array" ref="U27">IF(MaxSize((SplitDimensions(T27)))=0, "", MaxSize((SplitDimensions(T27))))</f>
        <v>12.8</v>
      </c>
      <c r="V27" s="17" t="str" cm="1">
        <f t="array" ref="V27">IF(ISERROR(INDEX(_xlfn._xlws.FILTER('Model output'!P:P,('Model output'!Z:Z=A27)*('Model output'!P:P&lt;&gt;"")),1)),"negative",IF(OR(ISNUMBER(SEARCH("foc",INDEX(_xlfn._xlws.FILTER('Model output'!P:P,('Model output'!Z:Z=A27)*('Model output'!P:P&lt;&gt;"")),1),1)),ISNUMBER(SEARCH("extensive",INDEX(_xlfn._xlws.FILTER('Model output'!P:P,('Model output'!Z:Z=A27)*('Model output'!P:P&lt;&gt;"")),1),1)),ISNUMBER(SEARCH("present",INDEX(_xlfn._xlws.FILTER('Model output'!P:P,('Model output'!Z:Z=A27)*('Model output'!P:P&lt;&gt;"")),1),1)),ISNUMBER(SEARCH("yes",INDEX(_xlfn._xlws.FILTER('Model output'!P:P,('Model output'!Z:Z=A27)*('Model output'!P:P&lt;&gt;"")),1),1))),"positive","negative"))</f>
        <v>negative</v>
      </c>
      <c r="X27" t="str" cm="1">
        <f t="array" ref="X27">IF(ISNUMBER(SEARCH("4",INDEX(_xlfn._xlws.FILTER('Model output'!P:P,('Model output'!Z:Z=A27)*('Model output'!P:P&lt;&gt;"")),1),1)),INDEX(_xlfn._xlws.FILTER('Model output'!P:P,('Model output'!Z:Z=A27)*('Model output'!P:P&lt;&gt;"")),1),"") &amp; _xlfn.TEXTJOIN("",TRUE,_xlfn._xlws.FILTER('Model output'!Q:Q,'Model output'!Z:Z=A27))</f>
        <v>Not mentioned</v>
      </c>
      <c r="Y27" t="str">
        <f t="shared" si="11"/>
        <v>no</v>
      </c>
      <c r="Z27" t="str" cm="1">
        <f t="array" ref="Z27">IF(OR(ISNUMBER(SEARCH("focal",_xlfn.TEXTJOIN("; ",TRUE,_xlfn._xlws.FILTER('Model output'!R:R,'Model output'!Z:Z=A27)),1)),ISNUMBER(SEARCH("present",_xlfn.TEXTJOIN("; ",TRUE,_xlfn._xlws.FILTER('Model output'!R:R,'Model output'!Z:Z=A27)),1))),"positive",IF(_xlfn.TEXTJOIN("; ",TRUE,_xlfn._xlws.FILTER('Model output'!R:R,'Model output'!Z:Z=A27))="","negative",IF(OR(ISNUMBER(SEARCH("no",_xlfn.TEXTJOIN("; ",TRUE,_xlfn._xlws.FILTER('Model output'!R:R,'Model output'!Z:Z=A27)),1)),ISNUMBER(SEARCH("absent",_xlfn.TEXTJOIN("; ",TRUE,_xlfn._xlws.FILTER('Model output'!R:R,'Model output'!Z:Z=A27)),1))),"negative","positive")))</f>
        <v>negative</v>
      </c>
      <c r="AA27" s="17" t="str">
        <f t="shared" si="12"/>
        <v>negative</v>
      </c>
      <c r="AE27" s="17" t="str">
        <f t="shared" si="14"/>
        <v>negative</v>
      </c>
      <c r="AF27" t="str" cm="1">
        <f t="array" ref="AF27">_xlfn.TEXTJOIN("; ",TRUE,_xlfn._xlws.FILTER('Model output'!S:S,'Model output'!Z:Z=A27))</f>
        <v>Absent; Not mentioned</v>
      </c>
      <c r="AG27" s="17" t="str" cm="1">
        <f t="array" ref="AG27">IF(OR(ISNUMBER(SEARCH("uninvolved",_xlfn.TEXTJOIN("; ",TRUE,_xlfn._xlws.FILTER('Model output'!V:V,'Model output'!Z:Z=A27)),1)),ISNUMBER(SEARCH("clear",_xlfn.TEXTJOIN("; ",TRUE,_xlfn._xlws.FILTER('Model output'!V:V,'Model output'!Z:Z=A27)),1))*ISNUMBER(SEARCH("not mentioned",_xlfn.TEXTJOIN("; ",TRUE,_xlfn._xlws.FILTER('Model output'!V:V,'Model output'!Z:Z=A27)),1))),"negative",IF(ISNUMBER(SEARCH("cannot be assessed",_xlfn.TEXTJOIN("; ",TRUE,_xlfn._xlws.FILTER('Model output'!V:V,'Model output'!Z:Z=A27)),1)),"unknown","negative"))</f>
        <v>negative</v>
      </c>
      <c r="AI27" s="45" t="str">
        <f t="shared" si="13"/>
        <v>low</v>
      </c>
      <c r="AJ27" s="36" t="str">
        <f t="shared" si="2"/>
        <v>3a</v>
      </c>
      <c r="AK27" s="36" t="str">
        <f t="shared" si="3"/>
        <v>x</v>
      </c>
      <c r="AL27" s="36">
        <f t="shared" si="4"/>
        <v>0</v>
      </c>
      <c r="AM27" s="36" t="str">
        <f t="shared" si="5"/>
        <v>I</v>
      </c>
      <c r="AN27" s="37" t="s">
        <v>166</v>
      </c>
      <c r="AO27" s="38" t="s">
        <v>201</v>
      </c>
      <c r="AP27" s="38" t="s">
        <v>202</v>
      </c>
      <c r="AQ27" s="38">
        <v>0</v>
      </c>
      <c r="AR27" s="38" t="s">
        <v>31</v>
      </c>
      <c r="AS27" s="37">
        <f t="shared" si="6"/>
        <v>1</v>
      </c>
      <c r="AT27" s="38">
        <f t="shared" si="7"/>
        <v>0</v>
      </c>
      <c r="AU27" s="38">
        <f t="shared" si="8"/>
        <v>1</v>
      </c>
      <c r="AV27" s="38">
        <f t="shared" si="9"/>
        <v>1</v>
      </c>
      <c r="AW27" s="39">
        <f t="shared" si="10"/>
        <v>1</v>
      </c>
    </row>
    <row r="28" spans="1:49">
      <c r="A28" s="13">
        <v>26</v>
      </c>
      <c r="B28" s="16">
        <f>_xlfn.MAXIFS('Model output'!B:B,'Model output'!Z:Z,'Classification result'!$A28)</f>
        <v>45464</v>
      </c>
      <c r="C28" s="16"/>
      <c r="D28" s="16"/>
      <c r="E28" s="17">
        <f>_xlfn.MAXIFS('Model output'!C:C,'Model output'!Z:Z,'Classification result'!$A28)</f>
        <v>73</v>
      </c>
      <c r="F28" s="17" t="str" cm="1">
        <f t="array" ref="F28">LEFT(IF(ISERROR(RIGHT(IF(INDEX(_xlfn._xlws.FILTER('Model output'!D:D,('Model output'!Z:Z=A28)),1)&lt;&gt;"",INDEX(_xlfn._xlws.FILTER('Model output'!D:D,('Model output'!Z:Z=A28)),1),""),LEN(IF(INDEX(_xlfn._xlws.FILTER('Model output'!D:D,('Model output'!Z:Z=A28)),1)&lt;&gt;"",INDEX(_xlfn._xlws.FILTER('Model output'!D:D,('Model output'!Z:Z=A28)),1),""))-FIND("T",IF(INDEX(_xlfn._xlws.FILTER('Model output'!D:D,('Model output'!Z:Z=A28)),1)&lt;&gt;"",INDEX(_xlfn._xlws.FILTER('Model output'!D:D,('Model output'!Z:Z=A28)),1),""),1))),"",(RIGHT(IF(INDEX(_xlfn._xlws.FILTER('Model output'!D:D,('Model output'!Z:Z=A28)),1)&lt;&gt;"",INDEX(_xlfn._xlws.FILTER('Model output'!D:D,('Model output'!Z:Z=A28)),1),""),LEN(IF(INDEX(_xlfn._xlws.FILTER('Model output'!D:D,('Model output'!Z:Z=A28)),1)&lt;&gt;"",INDEX(_xlfn._xlws.FILTER('Model output'!D:D,('Model output'!Z:Z=A28)),1),""))-FIND("T",IF(INDEX(_xlfn._xlws.FILTER('Model output'!D:D,('Model output'!Z:Z=A28)),1)&lt;&gt;"",INDEX(_xlfn._xlws.FILTER('Model output'!D:D,('Model output'!Z:Z=A28)),1)))))),2)</f>
        <v>1</v>
      </c>
      <c r="G28" s="17" t="str" cm="1">
        <f t="array" ref="G28">IF(ISNUMBER(SEARCH("N",IF(ISNUMBER(SEARCH("present",IF(INDEX(_xlfn._xlws.FILTER('Model output'!E:E,('Model output'!Z:Z=A28)),1)="","",INDEX(_xlfn._xlws.FILTER('Model output'!E:E,('Model output'!Z:Z=A28)),1)),1)),"N1", IF(INDEX(_xlfn._xlws.FILTER('Model output'!E:E,('Model output'!Z:Z=A28)),1)="","",INDEX(_xlfn._xlws.FILTER('Model output'!E:E,('Model output'!Z:Z=A28)),1))),1)),RIGHT(IF(ISNUMBER(SEARCH("present",IF(INDEX(_xlfn._xlws.FILTER('Model output'!E:E,('Model output'!Z:Z=A28)),1)="","",INDEX(_xlfn._xlws.FILTER('Model output'!E:E,('Model output'!Z:Z=A28)),1)),1)),"N1", IF(INDEX(_xlfn._xlws.FILTER('Model output'!E:E,('Model output'!Z:Z=A28)),1)="","",INDEX(_xlfn._xlws.FILTER('Model output'!E:E,('Model output'!Z:Z=A28)),1))),LEN(IF(ISNUMBER(SEARCH("present",IF(INDEX(_xlfn._xlws.FILTER('Model output'!E:E,('Model output'!Z:Z=A28)),1)="","",INDEX(_xlfn._xlws.FILTER('Model output'!E:E,('Model output'!Z:Z=A28)),1)),1)),"N1", IF(INDEX(_xlfn._xlws.FILTER('Model output'!E:E,('Model output'!Z:Z=A28)),1)="","",INDEX(_xlfn._xlws.FILTER('Model output'!E:E,('Model output'!Z:Z=A28)),1))))-FIND("N",IF(ISNUMBER(SEARCH("present",IF(INDEX(_xlfn._xlws.FILTER('Model output'!E:E,('Model output'!Z:Z=A28)),1)="","",INDEX(_xlfn._xlws.FILTER('Model output'!E:E,('Model output'!Z:Z=A28)),1)),1)),"N1", IF(INDEX(_xlfn._xlws.FILTER('Model output'!E:E,('Model output'!Z:Z=A28)),1)="","",INDEX(_xlfn._xlws.FILTER('Model output'!E:E,('Model output'!Z:Z=A28)),1))),1)), "")</f>
        <v/>
      </c>
      <c r="H28" s="17" cm="1">
        <f t="array" ref="H28">IF(AND(SUBSTITUTE(_xlfn.TEXTJOIN("/", TRUE, _xlfn._xlws.FILTER('Model output'!F:F, 'Model output'!Z:Z=A28)),"M", "")="", K28="negative"),0,IF(K28="positive",1,0))</f>
        <v>0</v>
      </c>
      <c r="I28" t="str">
        <f t="shared" si="0"/>
        <v>positive</v>
      </c>
      <c r="J28" t="str" cm="1">
        <f t="array" ref="J28">IF(AND(M28&gt;0, _xlfn.TEXTJOIN("; ", TRUE, _xlfn._xlws.FILTER('Model output'!G:G, 'Model output'!Z:Z=A28)) &lt;&gt;"", OR(AND(ISNUMBER(SEARCH("level", _xlfn.TEXTJOIN("; ", TRUE, _xlfn._xlws.FILTER('Model output'!G:G, 'Model output'!Z:Z=A28)),1)),OR(ISNUMBER(SEARCH(" II", _xlfn.TEXTJOIN("; ", TRUE, _xlfn._xlws.FILTER('Model output'!G:G, 'Model output'!Z:Z=A28)),1)),ISNUMBER(SEARCH("2", _xlfn.TEXTJOIN("; ", TRUE, _xlfn._xlws.FILTER('Model output'!G:G, 'Model output'!Z:Z=A28)),1)),ISNUMBER(SEARCH("two", _xlfn.TEXTJOIN("; ", TRUE, _xlfn._xlws.FILTER('Model output'!G:G, 'Model output'!Z:Z=A28)),1)),ISNUMBER(SEARCH("III", _xlfn.TEXTJOIN("; ", TRUE, _xlfn._xlws.FILTER('Model output'!G:G, 'Model output'!Z:Z=A28)),1)),ISNUMBER(SEARCH("3", _xlfn.TEXTJOIN("; ", TRUE, _xlfn._xlws.FILTER('Model output'!G:G, 'Model output'!Z:Z=A28)),1)),ISNUMBER(SEARCH("three", _xlfn.TEXTJOIN("; ", TRUE, _xlfn._xlws.FILTER('Model output'!G:G, 'Model output'!Z:Z=A28)),1)),ISNUMBER(SEARCH("IV", _xlfn.TEXTJOIN("; ", TRUE, _xlfn._xlws.FILTER('Model output'!G:G, 'Model output'!Z:Z=A28)),1)),ISNUMBER(SEARCH("4", _xlfn.TEXTJOIN("; ", TRUE, _xlfn._xlws.FILTER('Model output'!G:G, 'Model output'!Z:Z=A28)),1)),ISNUMBER(SEARCH("five", _xlfn.TEXTJOIN("; ", TRUE, _xlfn._xlws.FILTER('Model output'!G:G, 'Model output'!Z:Z=A28)),1)),ISNUMBER(SEARCH("V ", _xlfn.TEXTJOIN("; ", TRUE, _xlfn._xlws.FILTER('Model output'!G:G, 'Model output'!Z:Z=A28)),1)),ISNUMBER(SEARCH("5", _xlfn.TEXTJOIN("; ", TRUE, _xlfn._xlws.FILTER('Model output'!G:G, 'Model output'!Z:Z=A28)),1)),ISNUMBER(SEARCH("five", _xlfn.TEXTJOIN("; ", TRUE, _xlfn._xlws.FILTER('Model output'!G:G, 'Model output'!Z:Z=A28)),1)),ISNUMBER(SEARCH(" lateral", _xlfn.TEXTJOIN("; ", TRUE, _xlfn._xlws.FILTER('Model output'!G:G, 'Model output'!Z:Z=A28)),1)))),ISNUMBER(SEARCH("cervical", _xlfn.TEXTJOIN("; ", TRUE, _xlfn._xlws.FILTER('Model output'!G:G, 'Model output'!Z:Z=A28)),1)),ISNUMBER(SEARCH("jugular", _xlfn.TEXTJOIN("; ", TRUE, _xlfn._xlws.FILTER('Model output'!G:G, 'Model output'!Z:Z=A28)),1)),ISNUMBER(SEARCH("left neck", _xlfn.TEXTJOIN("; ", TRUE, _xlfn._xlws.FILTER('Model output'!G:G, 'Model output'!Z:Z=A28)),1)),ISNUMBER(SEARCH("left anterior neck", _xlfn.TEXTJOIN("; ", TRUE, _xlfn._xlws.FILTER('Model output'!G:G, 'Model output'!Z:Z=A28)),1)),ISNUMBER(SEARCH("left posterior neck", _xlfn.TEXTJOIN("; ", TRUE, _xlfn._xlws.FILTER('Model output'!G:G, 'Model output'!Z:Z=A28)),1)),ISNUMBER(SEARCH("right neck", _xlfn.TEXTJOIN("; ", TRUE, _xlfn._xlws.FILTER('Model output'!G:G, 'Model output'!Z:Z=A28)),1)),ISNUMBER(SEARCH("right anterior neck", _xlfn.TEXTJOIN("; ", TRUE, _xlfn._xlws.FILTER('Model output'!G:G, 'Model output'!Z:Z=A28)),1)),ISNUMBER(SEARCH("right posterior neck", _xlfn.TEXTJOIN("; ", TRUE, _xlfn._xlws.FILTER('Model output'!G:G, 'Model output'!Z:Z=A28)),1)))),"lateral",IF(AND(M28=0, _xlfn.TEXTJOIN("; ", TRUE, _xlfn._xlws.FILTER('Model output'!G:G, 'Model output'!Z:Z=A28))=""),"", "central"))</f>
        <v>central</v>
      </c>
      <c r="K28" s="17" t="str" cm="1">
        <f t="array" ref="K28">IF(OR(ISNUMBER(SEARCH("lymph",_xlfn.TEXTJOIN("; ", TRUE, _xlfn._xlws.FILTER('Model output'!H:H, 'Model output'!Z:Z=A28)),1)), ISNUMBER(SEARCH("Not mentioned",_xlfn.TEXTJOIN("; ", TRUE, _xlfn._xlws.FILTER('Model output'!H:H, 'Model output'!Z:Z=A28)),1)),ISNUMBER(SEARCH("subcutaneous soft tissues",_xlfn.TEXTJOIN("; ", TRUE, _xlfn._xlws.FILTER('Model output'!H:H, 'Model output'!Z:Z=A28)),1)),ISNUMBER(SEARCH("larynx",_xlfn.TEXTJOIN("; ", TRUE, _xlfn._xlws.FILTER('Model output'!H:H, 'Model output'!Z:Z=A28)),1)),ISNUMBER(SEARCH("trachea",_xlfn.TEXTJOIN("; ", TRUE, _xlfn._xlws.FILTER('Model output'!H:H, 'Model output'!Z:Z=A28)),1)),ISNUMBER(SEARCH("esophagus",_xlfn.TEXTJOIN("; ", TRUE, _xlfn._xlws.FILTER('Model output'!H:H, 'Model output'!Z:Z=A28)),1)),ISNUMBER(SEARCH("recurrent laryngeal nerve",_xlfn.TEXTJOIN("; ", TRUE, _xlfn._xlws.FILTER('Model output'!H:H, 'Model output'!Z:Z=A28)),1)),ISNUMBER(SEARCH("strap muscle",_xlfn.TEXTJOIN("; ", TRUE, _xlfn._xlws.FILTER('Model output'!H:H, 'Model output'!Z:Z=A28)),1)),ISNUMBER(SEARCH("thyroid",_xlfn.TEXTJOIN("; ", TRUE, _xlfn._xlws.FILTER('Model output'!H:H, 'Model output'!Z:Z=A28)),1)),ISNUMBER(SEARCH("RLN",_xlfn.TEXTJOIN("; ", TRUE, _xlfn._xlws.FILTER('Model output'!H:H, 'Model output'!Z:Z=A28)),1)),_xlfn.TEXTJOIN("; ", TRUE, _xlfn._xlws.FILTER('Model output'!H:H, 'Model output'!Z:Z=A28))=""),"negative","positive")</f>
        <v>negative</v>
      </c>
      <c r="L28" s="17">
        <f>IF(IFERROR(INDEX('Model output'!I:I, MATCH(A28, 'Model output'!Z:Z, 0)), "") &lt; M28, "", IFERROR(INDEX('Model output'!I:I, MATCH(A28, 'Model output'!Z:Z, 0)), ""))</f>
        <v>1</v>
      </c>
      <c r="M28" s="17">
        <f>IFERROR(INDEX('Model output'!J:J, MATCH(A28, 'Model output'!Z:Z, 0)), "")</f>
        <v>1</v>
      </c>
      <c r="N28" s="18" t="str" cm="1">
        <f t="array" ref="N28">ReplaceTo(ReplaceAnd(SUBSTITUTE(SUBSTITUTE(_xlfn.TEXTJOIN("; ", TRUE, _xlfn._xlws.FILTER('Model output'!K:K, 'Model output'!Z:Z=A28)), " ", ""), ",", ";")))</f>
        <v>1.5cm;1cm</v>
      </c>
      <c r="O28" t="str" cm="1">
        <f t="array" ref="O28">IF(LEFT(IF(RIGHT(SUBSTITUTE(FilterWithUnits(N28)&amp; ";" &amp;FilterStringsWithNumericAnd(N28) &amp; ";" &amp; FilterStringsWithX(N28), ";;", ";"),1)=";",LEFT(SUBSTITUTE(FilterWithUnits(N28)&amp; ";" &amp;FilterStringsWithNumericAnd(N28) &amp; ";" &amp; FilterStringsWithX(N28), ";;", ";"),LEN(SUBSTITUTE(FilterWithUnits(N28)&amp; ";" &amp;FilterStringsWithNumericAnd(N28) &amp; ";" &amp; FilterStringsWithX(N28), ";;", ";"))-1),SUBSTITUTE(FilterWithUnits(N28)&amp; ";" &amp;FilterStringsWithNumericAnd(N28) &amp; ";" &amp; FilterStringsWithX(N28), ";;", ";")),1)=";",RIGHT(IF(RIGHT(SUBSTITUTE(FilterWithUnits(N28)&amp; ";" &amp;FilterStringsWithNumericAnd(N28) &amp; ";" &amp; FilterStringsWithX(N28), ";;", ";"),1)=";",LEFT(SUBSTITUTE(FilterWithUnits(N28)&amp; ";" &amp;FilterStringsWithNumericAnd(N28) &amp; ";" &amp; FilterStringsWithX(N28), ";;", ";"),LEN(SUBSTITUTE(FilterWithUnits(N28)&amp; ";" &amp;FilterStringsWithNumericAnd(N28) &amp; ";" &amp; FilterStringsWithX(N28), ";;", ";"))-1),SUBSTITUTE(FilterWithUnits(N28)&amp; ";" &amp;FilterStringsWithNumericAnd(N28) &amp; ";" &amp; FilterStringsWithX(N28), ";;", ";")),LEN(IF(RIGHT(SUBSTITUTE(FilterWithUnits(N28)&amp; ";" &amp;FilterStringsWithNumericAnd(N28) &amp; ";" &amp; FilterStringsWithX(N28), ";;", ";"),1)=";",LEFT(SUBSTITUTE(FilterWithUnits(N28)&amp; ";" &amp;FilterStringsWithNumericAnd(N28) &amp; ";" &amp; FilterStringsWithX(N28), ";;", ";"),LEN(SUBSTITUTE(FilterWithUnits(N28)&amp; ";" &amp;FilterStringsWithNumericAnd(N28) &amp; ";" &amp; FilterStringsWithX(N28), ";;", ";"))-1),SUBSTITUTE(FilterWithUnits(N28)&amp; ";" &amp;FilterStringsWithNumericAnd(N28) &amp; ";" &amp; FilterStringsWithX(N28), ";;", ";")))-1),IF(RIGHT(SUBSTITUTE(FilterWithUnits(N28)&amp; ";" &amp;FilterStringsWithNumericAnd(N28) &amp; ";" &amp; FilterStringsWithX(N28), ";;", ";"),1)=";",LEFT(SUBSTITUTE(FilterWithUnits(N28)&amp; ";" &amp;FilterStringsWithNumericAnd(N28) &amp; ";" &amp; FilterStringsWithX(N28), ";;", ";"),LEN(SUBSTITUTE(FilterWithUnits(N28)&amp; ";" &amp;FilterStringsWithNumericAnd(N28) &amp; ";" &amp; FilterStringsWithX(N28), ";;", ";"))-1),SUBSTITUTE(FilterWithUnits(N28)&amp; ";" &amp;FilterStringsWithNumericAnd(N28) &amp; ";" &amp; FilterStringsWithX(N28), ";;", ";")))</f>
        <v>1.5cm;1cm</v>
      </c>
      <c r="P28" cm="1">
        <f t="array" ref="P28">IF(MaxSize((SplitDimensions(O28)))=0, "", MaxSize((SplitDimensions(O28))))</f>
        <v>1.5</v>
      </c>
      <c r="Q28" t="str" cm="1">
        <f t="array" ref="Q28">IF(ISERROR(INDEX(_xlfn._xlws.FILTER('Model output'!L:L, ('Model output'!Z:Z=A28)*('Model output'!L:L&lt;&gt;"")), 1)), " ", LOWER(INDEX(_xlfn._xlws.FILTER('Model output'!L:L, ('Model output'!Z:Z=A28)*('Model output'!L:L&lt;&gt;"")), 1)))</f>
        <v>papillary carcinoma, classic subtype</v>
      </c>
      <c r="R28" t="str" cm="1">
        <f t="array" ref="R28">IF(ISERROR(INDEX(_xlfn._xlws.FILTER('Model output'!M:M, ('Model output'!Z:Z=A28)*('Model output'!M:M&lt;&gt;"")), 1)), " ", LOWER(INDEX(_xlfn._xlws.FILTER('Model output'!M:M, ('Model output'!Z:Z=A28)*('Model output'!M:M&lt;&gt;"")), 1)))</f>
        <v>not mentioned</v>
      </c>
      <c r="S28" t="str" cm="1">
        <f t="array" ref="S28">IF(OR(ISNUMBER(SEARCH("ly",SUBSTITUTE(INDEX(_xlfn._xlws.FILTER('Model output'!N:N,('Model output'!Z:Z=A28)*('Model output'!N:N&lt;&gt;"")),1)," ",""),1)), ISNUMBER(SEARCH("pole",SUBSTITUTE(INDEX(_xlfn._xlws.FILTER('Model output'!N:N,('Model output'!Z:Z=A28)*('Model output'!N:N&lt;&gt;"")),1)," ",""),1))),"",SUBSTITUTE(INDEX(_xlfn._xlws.FILTER('Model output'!N:N,('Model output'!Z:Z=A28)*('Model output'!N:N&lt;&gt;"")),1)," ",""))</f>
        <v>11mm</v>
      </c>
      <c r="T28" t="str" cm="1">
        <f t="array" ref="T28">IF(LEFT(IF(RIGHT(SUBSTITUTE(FilterWithUnits(S28)&amp; ";" &amp;FilterStringsWithNumericAnd(S28) &amp; ";" &amp; FilterStringsWithX(S28), ";;", ";"),1)=";",LEFT(SUBSTITUTE(FilterWithUnits(S28)&amp; ";" &amp;FilterStringsWithNumericAnd(S28) &amp; ";" &amp; FilterStringsWithX(S28), ";;", ";"),LEN(SUBSTITUTE(FilterWithUnits(S28)&amp; ";" &amp;FilterStringsWithNumericAnd(S28) &amp; ";" &amp; FilterStringsWithX(S28), ";;", ";"))-1),SUBSTITUTE(FilterWithUnits(S28)&amp; ";" &amp;FilterStringsWithNumericAnd(S28) &amp; ";" &amp; FilterStringsWithX(S28), ";;", ";")),1)=";",RIGHT(IF(RIGHT(SUBSTITUTE(FilterWithUnits(S28)&amp; ";" &amp;FilterStringsWithNumericAnd(S28) &amp; ";" &amp; FilterStringsWithX(S28), ";;", ";"),1)=";",LEFT(SUBSTITUTE(FilterWithUnits(S28)&amp; ";" &amp;FilterStringsWithNumericAnd(S28) &amp; ";" &amp; FilterStringsWithX(S28), ";;", ";"),LEN(SUBSTITUTE(FilterWithUnits(S28)&amp; ";" &amp;FilterStringsWithNumericAnd(S28) &amp; ";" &amp; FilterStringsWithX(S28), ";;", ";"))-1),SUBSTITUTE(FilterWithUnits(S28)&amp; ";" &amp;FilterStringsWithNumericAnd(S28) &amp; ";" &amp; FilterStringsWithX(S28), ";;", ";")),LEN(IF(RIGHT(SUBSTITUTE(FilterWithUnits(S28)&amp; ";" &amp;FilterStringsWithNumericAnd(S28) &amp; ";" &amp; FilterStringsWithX(S28), ";;", ";"),1)=";",LEFT(SUBSTITUTE(FilterWithUnits(S28)&amp; ";" &amp;FilterStringsWithNumericAnd(S28) &amp; ";" &amp; FilterStringsWithX(S28), ";;", ";"),LEN(SUBSTITUTE(FilterWithUnits(S28)&amp; ";" &amp;FilterStringsWithNumericAnd(S28) &amp; ";" &amp; FilterStringsWithX(S28), ";;", ";"))-1),SUBSTITUTE(FilterWithUnits(S28)&amp; ";" &amp;FilterStringsWithNumericAnd(S28) &amp; ";" &amp; FilterStringsWithX(S28), ";;", ";")))-1),IF(RIGHT(SUBSTITUTE(FilterWithUnits(S28)&amp; ";" &amp;FilterStringsWithNumericAnd(S28) &amp; ";" &amp; FilterStringsWithX(S28), ";;", ";"),1)=";",LEFT(SUBSTITUTE(FilterWithUnits(S28)&amp; ";" &amp;FilterStringsWithNumericAnd(S28) &amp; ";" &amp; FilterStringsWithX(S28), ";;", ";"),LEN(SUBSTITUTE(FilterWithUnits(S28)&amp; ";" &amp;FilterStringsWithNumericAnd(S28) &amp; ";" &amp; FilterStringsWithX(S28), ";;", ";"))-1),SUBSTITUTE(FilterWithUnits(S28)&amp; ";" &amp;FilterStringsWithNumericAnd(S28) &amp; ";" &amp; FilterStringsWithX(S28), ";;", ";")))</f>
        <v>11mm</v>
      </c>
      <c r="U28" cm="1">
        <f t="array" ref="U28">IF(MaxSize((SplitDimensions(T28)))=0, "", MaxSize((SplitDimensions(T28))))</f>
        <v>1.1000000000000001</v>
      </c>
      <c r="V28" s="17" t="str" cm="1">
        <f t="array" ref="V28">IF(ISERROR(INDEX(_xlfn._xlws.FILTER('Model output'!P:P,('Model output'!Z:Z=A28)*('Model output'!P:P&lt;&gt;"")),1)),"negative",IF(OR(ISNUMBER(SEARCH("foc",INDEX(_xlfn._xlws.FILTER('Model output'!P:P,('Model output'!Z:Z=A28)*('Model output'!P:P&lt;&gt;"")),1),1)),ISNUMBER(SEARCH("extensive",INDEX(_xlfn._xlws.FILTER('Model output'!P:P,('Model output'!Z:Z=A28)*('Model output'!P:P&lt;&gt;"")),1),1)),ISNUMBER(SEARCH("present",INDEX(_xlfn._xlws.FILTER('Model output'!P:P,('Model output'!Z:Z=A28)*('Model output'!P:P&lt;&gt;"")),1),1)),ISNUMBER(SEARCH("yes",INDEX(_xlfn._xlws.FILTER('Model output'!P:P,('Model output'!Z:Z=A28)*('Model output'!P:P&lt;&gt;"")),1),1))),"positive","negative"))</f>
        <v>positive</v>
      </c>
      <c r="X28" t="str" cm="1">
        <f t="array" ref="X28">IF(ISNUMBER(SEARCH("4",INDEX(_xlfn._xlws.FILTER('Model output'!P:P,('Model output'!Z:Z=A28)*('Model output'!P:P&lt;&gt;"")),1),1)),INDEX(_xlfn._xlws.FILTER('Model output'!P:P,('Model output'!Z:Z=A28)*('Model output'!P:P&lt;&gt;"")),1),"") &amp; _xlfn.TEXTJOIN("",TRUE,_xlfn._xlws.FILTER('Model output'!Q:Q,'Model output'!Z:Z=A28))</f>
        <v>Microscopic extrathyroidal extension to skeletal muscle anterior to the thyroid glandETE to strap muscle</v>
      </c>
      <c r="Y28" t="str">
        <f t="shared" si="11"/>
        <v>minimal</v>
      </c>
      <c r="Z28" t="str" cm="1">
        <f t="array" ref="Z28">IF(OR(ISNUMBER(SEARCH("focal",_xlfn.TEXTJOIN("; ",TRUE,_xlfn._xlws.FILTER('Model output'!R:R,'Model output'!Z:Z=A28)),1)),ISNUMBER(SEARCH("present",_xlfn.TEXTJOIN("; ",TRUE,_xlfn._xlws.FILTER('Model output'!R:R,'Model output'!Z:Z=A28)),1))),"positive",IF(_xlfn.TEXTJOIN("; ",TRUE,_xlfn._xlws.FILTER('Model output'!R:R,'Model output'!Z:Z=A28))="","negative",IF(OR(ISNUMBER(SEARCH("no",_xlfn.TEXTJOIN("; ",TRUE,_xlfn._xlws.FILTER('Model output'!R:R,'Model output'!Z:Z=A28)),1)),ISNUMBER(SEARCH("absent",_xlfn.TEXTJOIN("; ",TRUE,_xlfn._xlws.FILTER('Model output'!R:R,'Model output'!Z:Z=A28)),1))),"negative","positive")))</f>
        <v>negative</v>
      </c>
      <c r="AA28" s="17" t="str">
        <f t="shared" si="12"/>
        <v>positive</v>
      </c>
      <c r="AE28" s="17" t="str">
        <f t="shared" si="14"/>
        <v>positive</v>
      </c>
      <c r="AF28" t="str" cm="1">
        <f t="array" ref="AF28">_xlfn.TEXTJOIN("; ",TRUE,_xlfn._xlws.FILTER('Model output'!S:S,'Model output'!Z:Z=A28))</f>
        <v>Microscopic extrathyroidal extension to skeletal muscle anterior to the thyroid gland; Strap muscle</v>
      </c>
      <c r="AG28" s="17" t="str" cm="1">
        <f t="array" ref="AG28">IF(OR(ISNUMBER(SEARCH("uninvolved",_xlfn.TEXTJOIN("; ",TRUE,_xlfn._xlws.FILTER('Model output'!V:V,'Model output'!Z:Z=A28)),1)),ISNUMBER(SEARCH("clear",_xlfn.TEXTJOIN("; ",TRUE,_xlfn._xlws.FILTER('Model output'!V:V,'Model output'!Z:Z=A28)),1))*ISNUMBER(SEARCH("not mentioned",_xlfn.TEXTJOIN("; ",TRUE,_xlfn._xlws.FILTER('Model output'!V:V,'Model output'!Z:Z=A28)),1))),"negative",IF(ISNUMBER(SEARCH("cannot be assessed",_xlfn.TEXTJOIN("; ",TRUE,_xlfn._xlws.FILTER('Model output'!V:V,'Model output'!Z:Z=A28)),1)),"unknown","negative"))</f>
        <v>negative</v>
      </c>
      <c r="AI28" s="45" t="str">
        <f t="shared" si="13"/>
        <v>high</v>
      </c>
      <c r="AJ28" s="36" t="str">
        <f t="shared" si="2"/>
        <v>3b</v>
      </c>
      <c r="AK28" s="36" t="str">
        <f t="shared" si="3"/>
        <v>1a</v>
      </c>
      <c r="AL28" s="36">
        <f t="shared" si="4"/>
        <v>0</v>
      </c>
      <c r="AM28" s="36" t="str">
        <f t="shared" si="5"/>
        <v>II</v>
      </c>
      <c r="AN28" s="37" t="s">
        <v>165</v>
      </c>
      <c r="AO28" s="36" t="s">
        <v>204</v>
      </c>
      <c r="AP28" s="38" t="s">
        <v>202</v>
      </c>
      <c r="AQ28" s="38">
        <v>0</v>
      </c>
      <c r="AR28" s="38" t="s">
        <v>44</v>
      </c>
      <c r="AS28" s="37">
        <f t="shared" si="6"/>
        <v>1</v>
      </c>
      <c r="AT28" s="38">
        <f t="shared" si="7"/>
        <v>1</v>
      </c>
      <c r="AU28" s="38">
        <f t="shared" si="8"/>
        <v>0</v>
      </c>
      <c r="AV28" s="38">
        <f t="shared" si="9"/>
        <v>1</v>
      </c>
      <c r="AW28" s="39">
        <f t="shared" si="10"/>
        <v>1</v>
      </c>
    </row>
    <row r="29" spans="1:49">
      <c r="A29" s="13">
        <v>27</v>
      </c>
      <c r="B29" s="16">
        <f>_xlfn.MAXIFS('Model output'!B:B,'Model output'!Z:Z,'Classification result'!$A29)</f>
        <v>45464</v>
      </c>
      <c r="C29" s="16"/>
      <c r="D29" s="16"/>
      <c r="E29" s="17">
        <f>_xlfn.MAXIFS('Model output'!C:C,'Model output'!Z:Z,'Classification result'!$A29)</f>
        <v>39</v>
      </c>
      <c r="F29" s="17" t="str" cm="1">
        <f t="array" ref="F29">LEFT(IF(ISERROR(RIGHT(IF(INDEX(_xlfn._xlws.FILTER('Model output'!D:D,('Model output'!Z:Z=A29)),1)&lt;&gt;"",INDEX(_xlfn._xlws.FILTER('Model output'!D:D,('Model output'!Z:Z=A29)),1),""),LEN(IF(INDEX(_xlfn._xlws.FILTER('Model output'!D:D,('Model output'!Z:Z=A29)),1)&lt;&gt;"",INDEX(_xlfn._xlws.FILTER('Model output'!D:D,('Model output'!Z:Z=A29)),1),""))-FIND("T",IF(INDEX(_xlfn._xlws.FILTER('Model output'!D:D,('Model output'!Z:Z=A29)),1)&lt;&gt;"",INDEX(_xlfn._xlws.FILTER('Model output'!D:D,('Model output'!Z:Z=A29)),1),""),1))),"",(RIGHT(IF(INDEX(_xlfn._xlws.FILTER('Model output'!D:D,('Model output'!Z:Z=A29)),1)&lt;&gt;"",INDEX(_xlfn._xlws.FILTER('Model output'!D:D,('Model output'!Z:Z=A29)),1),""),LEN(IF(INDEX(_xlfn._xlws.FILTER('Model output'!D:D,('Model output'!Z:Z=A29)),1)&lt;&gt;"",INDEX(_xlfn._xlws.FILTER('Model output'!D:D,('Model output'!Z:Z=A29)),1),""))-FIND("T",IF(INDEX(_xlfn._xlws.FILTER('Model output'!D:D,('Model output'!Z:Z=A29)),1)&lt;&gt;"",INDEX(_xlfn._xlws.FILTER('Model output'!D:D,('Model output'!Z:Z=A29)),1)))))),2)</f>
        <v>1a</v>
      </c>
      <c r="G29" s="17" t="str" cm="1">
        <f t="array" ref="G29">IF(ISNUMBER(SEARCH("N",IF(ISNUMBER(SEARCH("present",IF(INDEX(_xlfn._xlws.FILTER('Model output'!E:E,('Model output'!Z:Z=A29)),1)="","",INDEX(_xlfn._xlws.FILTER('Model output'!E:E,('Model output'!Z:Z=A29)),1)),1)),"N1", IF(INDEX(_xlfn._xlws.FILTER('Model output'!E:E,('Model output'!Z:Z=A29)),1)="","",INDEX(_xlfn._xlws.FILTER('Model output'!E:E,('Model output'!Z:Z=A29)),1))),1)),RIGHT(IF(ISNUMBER(SEARCH("present",IF(INDEX(_xlfn._xlws.FILTER('Model output'!E:E,('Model output'!Z:Z=A29)),1)="","",INDEX(_xlfn._xlws.FILTER('Model output'!E:E,('Model output'!Z:Z=A29)),1)),1)),"N1", IF(INDEX(_xlfn._xlws.FILTER('Model output'!E:E,('Model output'!Z:Z=A29)),1)="","",INDEX(_xlfn._xlws.FILTER('Model output'!E:E,('Model output'!Z:Z=A29)),1))),LEN(IF(ISNUMBER(SEARCH("present",IF(INDEX(_xlfn._xlws.FILTER('Model output'!E:E,('Model output'!Z:Z=A29)),1)="","",INDEX(_xlfn._xlws.FILTER('Model output'!E:E,('Model output'!Z:Z=A29)),1)),1)),"N1", IF(INDEX(_xlfn._xlws.FILTER('Model output'!E:E,('Model output'!Z:Z=A29)),1)="","",INDEX(_xlfn._xlws.FILTER('Model output'!E:E,('Model output'!Z:Z=A29)),1))))-FIND("N",IF(ISNUMBER(SEARCH("present",IF(INDEX(_xlfn._xlws.FILTER('Model output'!E:E,('Model output'!Z:Z=A29)),1)="","",INDEX(_xlfn._xlws.FILTER('Model output'!E:E,('Model output'!Z:Z=A29)),1)),1)),"N1", IF(INDEX(_xlfn._xlws.FILTER('Model output'!E:E,('Model output'!Z:Z=A29)),1)="","",INDEX(_xlfn._xlws.FILTER('Model output'!E:E,('Model output'!Z:Z=A29)),1))),1)), "")</f>
        <v/>
      </c>
      <c r="H29" s="17" cm="1">
        <f t="array" ref="H29">IF(AND(SUBSTITUTE(_xlfn.TEXTJOIN("/", TRUE, _xlfn._xlws.FILTER('Model output'!F:F, 'Model output'!Z:Z=A29)),"M", "")="", K29="negative"),0,IF(K29="positive",1,0))</f>
        <v>0</v>
      </c>
      <c r="I29" t="str">
        <f t="shared" si="0"/>
        <v>positive</v>
      </c>
      <c r="J29" t="str" cm="1">
        <f t="array" ref="J29">IF(AND(M29&gt;0, _xlfn.TEXTJOIN("; ", TRUE, _xlfn._xlws.FILTER('Model output'!G:G, 'Model output'!Z:Z=A29)) &lt;&gt;"", OR(AND(ISNUMBER(SEARCH("level", _xlfn.TEXTJOIN("; ", TRUE, _xlfn._xlws.FILTER('Model output'!G:G, 'Model output'!Z:Z=A29)),1)),OR(ISNUMBER(SEARCH(" II", _xlfn.TEXTJOIN("; ", TRUE, _xlfn._xlws.FILTER('Model output'!G:G, 'Model output'!Z:Z=A29)),1)),ISNUMBER(SEARCH("2", _xlfn.TEXTJOIN("; ", TRUE, _xlfn._xlws.FILTER('Model output'!G:G, 'Model output'!Z:Z=A29)),1)),ISNUMBER(SEARCH("two", _xlfn.TEXTJOIN("; ", TRUE, _xlfn._xlws.FILTER('Model output'!G:G, 'Model output'!Z:Z=A29)),1)),ISNUMBER(SEARCH("III", _xlfn.TEXTJOIN("; ", TRUE, _xlfn._xlws.FILTER('Model output'!G:G, 'Model output'!Z:Z=A29)),1)),ISNUMBER(SEARCH("3", _xlfn.TEXTJOIN("; ", TRUE, _xlfn._xlws.FILTER('Model output'!G:G, 'Model output'!Z:Z=A29)),1)),ISNUMBER(SEARCH("three", _xlfn.TEXTJOIN("; ", TRUE, _xlfn._xlws.FILTER('Model output'!G:G, 'Model output'!Z:Z=A29)),1)),ISNUMBER(SEARCH("IV", _xlfn.TEXTJOIN("; ", TRUE, _xlfn._xlws.FILTER('Model output'!G:G, 'Model output'!Z:Z=A29)),1)),ISNUMBER(SEARCH("4", _xlfn.TEXTJOIN("; ", TRUE, _xlfn._xlws.FILTER('Model output'!G:G, 'Model output'!Z:Z=A29)),1)),ISNUMBER(SEARCH("five", _xlfn.TEXTJOIN("; ", TRUE, _xlfn._xlws.FILTER('Model output'!G:G, 'Model output'!Z:Z=A29)),1)),ISNUMBER(SEARCH("V ", _xlfn.TEXTJOIN("; ", TRUE, _xlfn._xlws.FILTER('Model output'!G:G, 'Model output'!Z:Z=A29)),1)),ISNUMBER(SEARCH("5", _xlfn.TEXTJOIN("; ", TRUE, _xlfn._xlws.FILTER('Model output'!G:G, 'Model output'!Z:Z=A29)),1)),ISNUMBER(SEARCH("five", _xlfn.TEXTJOIN("; ", TRUE, _xlfn._xlws.FILTER('Model output'!G:G, 'Model output'!Z:Z=A29)),1)),ISNUMBER(SEARCH(" lateral", _xlfn.TEXTJOIN("; ", TRUE, _xlfn._xlws.FILTER('Model output'!G:G, 'Model output'!Z:Z=A29)),1)))),ISNUMBER(SEARCH("cervical", _xlfn.TEXTJOIN("; ", TRUE, _xlfn._xlws.FILTER('Model output'!G:G, 'Model output'!Z:Z=A29)),1)),ISNUMBER(SEARCH("jugular", _xlfn.TEXTJOIN("; ", TRUE, _xlfn._xlws.FILTER('Model output'!G:G, 'Model output'!Z:Z=A29)),1)),ISNUMBER(SEARCH("left neck", _xlfn.TEXTJOIN("; ", TRUE, _xlfn._xlws.FILTER('Model output'!G:G, 'Model output'!Z:Z=A29)),1)),ISNUMBER(SEARCH("left anterior neck", _xlfn.TEXTJOIN("; ", TRUE, _xlfn._xlws.FILTER('Model output'!G:G, 'Model output'!Z:Z=A29)),1)),ISNUMBER(SEARCH("left posterior neck", _xlfn.TEXTJOIN("; ", TRUE, _xlfn._xlws.FILTER('Model output'!G:G, 'Model output'!Z:Z=A29)),1)),ISNUMBER(SEARCH("right neck", _xlfn.TEXTJOIN("; ", TRUE, _xlfn._xlws.FILTER('Model output'!G:G, 'Model output'!Z:Z=A29)),1)),ISNUMBER(SEARCH("right anterior neck", _xlfn.TEXTJOIN("; ", TRUE, _xlfn._xlws.FILTER('Model output'!G:G, 'Model output'!Z:Z=A29)),1)),ISNUMBER(SEARCH("right posterior neck", _xlfn.TEXTJOIN("; ", TRUE, _xlfn._xlws.FILTER('Model output'!G:G, 'Model output'!Z:Z=A29)),1)))),"lateral",IF(AND(M29=0, _xlfn.TEXTJOIN("; ", TRUE, _xlfn._xlws.FILTER('Model output'!G:G, 'Model output'!Z:Z=A29))=""),"", "central"))</f>
        <v>central</v>
      </c>
      <c r="K29" s="17" t="str" cm="1">
        <f t="array" ref="K29">IF(OR(ISNUMBER(SEARCH("lymph",_xlfn.TEXTJOIN("; ", TRUE, _xlfn._xlws.FILTER('Model output'!H:H, 'Model output'!Z:Z=A29)),1)), ISNUMBER(SEARCH("Not mentioned",_xlfn.TEXTJOIN("; ", TRUE, _xlfn._xlws.FILTER('Model output'!H:H, 'Model output'!Z:Z=A29)),1)),ISNUMBER(SEARCH("subcutaneous soft tissues",_xlfn.TEXTJOIN("; ", TRUE, _xlfn._xlws.FILTER('Model output'!H:H, 'Model output'!Z:Z=A29)),1)),ISNUMBER(SEARCH("larynx",_xlfn.TEXTJOIN("; ", TRUE, _xlfn._xlws.FILTER('Model output'!H:H, 'Model output'!Z:Z=A29)),1)),ISNUMBER(SEARCH("trachea",_xlfn.TEXTJOIN("; ", TRUE, _xlfn._xlws.FILTER('Model output'!H:H, 'Model output'!Z:Z=A29)),1)),ISNUMBER(SEARCH("esophagus",_xlfn.TEXTJOIN("; ", TRUE, _xlfn._xlws.FILTER('Model output'!H:H, 'Model output'!Z:Z=A29)),1)),ISNUMBER(SEARCH("recurrent laryngeal nerve",_xlfn.TEXTJOIN("; ", TRUE, _xlfn._xlws.FILTER('Model output'!H:H, 'Model output'!Z:Z=A29)),1)),ISNUMBER(SEARCH("strap muscle",_xlfn.TEXTJOIN("; ", TRUE, _xlfn._xlws.FILTER('Model output'!H:H, 'Model output'!Z:Z=A29)),1)),ISNUMBER(SEARCH("thyroid",_xlfn.TEXTJOIN("; ", TRUE, _xlfn._xlws.FILTER('Model output'!H:H, 'Model output'!Z:Z=A29)),1)),ISNUMBER(SEARCH("RLN",_xlfn.TEXTJOIN("; ", TRUE, _xlfn._xlws.FILTER('Model output'!H:H, 'Model output'!Z:Z=A29)),1)),_xlfn.TEXTJOIN("; ", TRUE, _xlfn._xlws.FILTER('Model output'!H:H, 'Model output'!Z:Z=A29))=""),"negative","positive")</f>
        <v>negative</v>
      </c>
      <c r="L29" s="17">
        <f>IF(IFERROR(INDEX('Model output'!I:I, MATCH(A29, 'Model output'!Z:Z, 0)), "") &lt; M29, "", IFERROR(INDEX('Model output'!I:I, MATCH(A29, 'Model output'!Z:Z, 0)), ""))</f>
        <v>2</v>
      </c>
      <c r="M29" s="17">
        <f>IFERROR(INDEX('Model output'!J:J, MATCH(A29, 'Model output'!Z:Z, 0)), "")</f>
        <v>1</v>
      </c>
      <c r="N29" s="18" t="str" cm="1">
        <f t="array" ref="N29">ReplaceTo(ReplaceAnd(SUBSTITUTE(SUBSTITUTE(_xlfn.TEXTJOIN("; ", TRUE, _xlfn._xlws.FILTER('Model output'!K:K, 'Model output'!Z:Z=A29)), " ", ""), ",", ";")))</f>
        <v>2.2mm</v>
      </c>
      <c r="O29" t="str" cm="1">
        <f t="array" ref="O29">IF(LEFT(IF(RIGHT(SUBSTITUTE(FilterWithUnits(N29)&amp; ";" &amp;FilterStringsWithNumericAnd(N29) &amp; ";" &amp; FilterStringsWithX(N29), ";;", ";"),1)=";",LEFT(SUBSTITUTE(FilterWithUnits(N29)&amp; ";" &amp;FilterStringsWithNumericAnd(N29) &amp; ";" &amp; FilterStringsWithX(N29), ";;", ";"),LEN(SUBSTITUTE(FilterWithUnits(N29)&amp; ";" &amp;FilterStringsWithNumericAnd(N29) &amp; ";" &amp; FilterStringsWithX(N29), ";;", ";"))-1),SUBSTITUTE(FilterWithUnits(N29)&amp; ";" &amp;FilterStringsWithNumericAnd(N29) &amp; ";" &amp; FilterStringsWithX(N29), ";;", ";")),1)=";",RIGHT(IF(RIGHT(SUBSTITUTE(FilterWithUnits(N29)&amp; ";" &amp;FilterStringsWithNumericAnd(N29) &amp; ";" &amp; FilterStringsWithX(N29), ";;", ";"),1)=";",LEFT(SUBSTITUTE(FilterWithUnits(N29)&amp; ";" &amp;FilterStringsWithNumericAnd(N29) &amp; ";" &amp; FilterStringsWithX(N29), ";;", ";"),LEN(SUBSTITUTE(FilterWithUnits(N29)&amp; ";" &amp;FilterStringsWithNumericAnd(N29) &amp; ";" &amp; FilterStringsWithX(N29), ";;", ";"))-1),SUBSTITUTE(FilterWithUnits(N29)&amp; ";" &amp;FilterStringsWithNumericAnd(N29) &amp; ";" &amp; FilterStringsWithX(N29), ";;", ";")),LEN(IF(RIGHT(SUBSTITUTE(FilterWithUnits(N29)&amp; ";" &amp;FilterStringsWithNumericAnd(N29) &amp; ";" &amp; FilterStringsWithX(N29), ";;", ";"),1)=";",LEFT(SUBSTITUTE(FilterWithUnits(N29)&amp; ";" &amp;FilterStringsWithNumericAnd(N29) &amp; ";" &amp; FilterStringsWithX(N29), ";;", ";"),LEN(SUBSTITUTE(FilterWithUnits(N29)&amp; ";" &amp;FilterStringsWithNumericAnd(N29) &amp; ";" &amp; FilterStringsWithX(N29), ";;", ";"))-1),SUBSTITUTE(FilterWithUnits(N29)&amp; ";" &amp;FilterStringsWithNumericAnd(N29) &amp; ";" &amp; FilterStringsWithX(N29), ";;", ";")))-1),IF(RIGHT(SUBSTITUTE(FilterWithUnits(N29)&amp; ";" &amp;FilterStringsWithNumericAnd(N29) &amp; ";" &amp; FilterStringsWithX(N29), ";;", ";"),1)=";",LEFT(SUBSTITUTE(FilterWithUnits(N29)&amp; ";" &amp;FilterStringsWithNumericAnd(N29) &amp; ";" &amp; FilterStringsWithX(N29), ";;", ";"),LEN(SUBSTITUTE(FilterWithUnits(N29)&amp; ";" &amp;FilterStringsWithNumericAnd(N29) &amp; ";" &amp; FilterStringsWithX(N29), ";;", ";"))-1),SUBSTITUTE(FilterWithUnits(N29)&amp; ";" &amp;FilterStringsWithNumericAnd(N29) &amp; ";" &amp; FilterStringsWithX(N29), ";;", ";")))</f>
        <v>2.2mm</v>
      </c>
      <c r="P29" cm="1">
        <f t="array" ref="P29">IF(MaxSize((SplitDimensions(O29)))=0, "", MaxSize((SplitDimensions(O29))))</f>
        <v>0.22000000000000003</v>
      </c>
      <c r="Q29" t="str" cm="1">
        <f t="array" ref="Q29">IF(ISERROR(INDEX(_xlfn._xlws.FILTER('Model output'!L:L, ('Model output'!Z:Z=A29)*('Model output'!L:L&lt;&gt;"")), 1)), " ", LOWER(INDEX(_xlfn._xlws.FILTER('Model output'!L:L, ('Model output'!Z:Z=A29)*('Model output'!L:L&lt;&gt;"")), 1)))</f>
        <v>papillary thyroid carcinoma (x2)</v>
      </c>
      <c r="R29" t="str" cm="1">
        <f t="array" ref="R29">IF(ISERROR(INDEX(_xlfn._xlws.FILTER('Model output'!M:M, ('Model output'!Z:Z=A29)*('Model output'!M:M&lt;&gt;"")), 1)), " ", LOWER(INDEX(_xlfn._xlws.FILTER('Model output'!M:M, ('Model output'!Z:Z=A29)*('Model output'!M:M&lt;&gt;"")), 1)))</f>
        <v xml:space="preserve"> </v>
      </c>
      <c r="S29" t="str" cm="1">
        <f t="array" ref="S29">IF(OR(ISNUMBER(SEARCH("ly",SUBSTITUTE(INDEX(_xlfn._xlws.FILTER('Model output'!N:N,('Model output'!Z:Z=A29)*('Model output'!N:N&lt;&gt;"")),1)," ",""),1)), ISNUMBER(SEARCH("pole",SUBSTITUTE(INDEX(_xlfn._xlws.FILTER('Model output'!N:N,('Model output'!Z:Z=A29)*('Model output'!N:N&lt;&gt;"")),1)," ",""),1))),"",SUBSTITUTE(INDEX(_xlfn._xlws.FILTER('Model output'!N:N,('Model output'!Z:Z=A29)*('Model output'!N:N&lt;&gt;"")),1)," ",""))</f>
        <v>Notmentioned</v>
      </c>
      <c r="T29" t="str" cm="1">
        <f t="array" ref="T29">IF(LEFT(IF(RIGHT(SUBSTITUTE(FilterWithUnits(S29)&amp; ";" &amp;FilterStringsWithNumericAnd(S29) &amp; ";" &amp; FilterStringsWithX(S29), ";;", ";"),1)=";",LEFT(SUBSTITUTE(FilterWithUnits(S29)&amp; ";" &amp;FilterStringsWithNumericAnd(S29) &amp; ";" &amp; FilterStringsWithX(S29), ";;", ";"),LEN(SUBSTITUTE(FilterWithUnits(S29)&amp; ";" &amp;FilterStringsWithNumericAnd(S29) &amp; ";" &amp; FilterStringsWithX(S29), ";;", ";"))-1),SUBSTITUTE(FilterWithUnits(S29)&amp; ";" &amp;FilterStringsWithNumericAnd(S29) &amp; ";" &amp; FilterStringsWithX(S29), ";;", ";")),1)=";",RIGHT(IF(RIGHT(SUBSTITUTE(FilterWithUnits(S29)&amp; ";" &amp;FilterStringsWithNumericAnd(S29) &amp; ";" &amp; FilterStringsWithX(S29), ";;", ";"),1)=";",LEFT(SUBSTITUTE(FilterWithUnits(S29)&amp; ";" &amp;FilterStringsWithNumericAnd(S29) &amp; ";" &amp; FilterStringsWithX(S29), ";;", ";"),LEN(SUBSTITUTE(FilterWithUnits(S29)&amp; ";" &amp;FilterStringsWithNumericAnd(S29) &amp; ";" &amp; FilterStringsWithX(S29), ";;", ";"))-1),SUBSTITUTE(FilterWithUnits(S29)&amp; ";" &amp;FilterStringsWithNumericAnd(S29) &amp; ";" &amp; FilterStringsWithX(S29), ";;", ";")),LEN(IF(RIGHT(SUBSTITUTE(FilterWithUnits(S29)&amp; ";" &amp;FilterStringsWithNumericAnd(S29) &amp; ";" &amp; FilterStringsWithX(S29), ";;", ";"),1)=";",LEFT(SUBSTITUTE(FilterWithUnits(S29)&amp; ";" &amp;FilterStringsWithNumericAnd(S29) &amp; ";" &amp; FilterStringsWithX(S29), ";;", ";"),LEN(SUBSTITUTE(FilterWithUnits(S29)&amp; ";" &amp;FilterStringsWithNumericAnd(S29) &amp; ";" &amp; FilterStringsWithX(S29), ";;", ";"))-1),SUBSTITUTE(FilterWithUnits(S29)&amp; ";" &amp;FilterStringsWithNumericAnd(S29) &amp; ";" &amp; FilterStringsWithX(S29), ";;", ";")))-1),IF(RIGHT(SUBSTITUTE(FilterWithUnits(S29)&amp; ";" &amp;FilterStringsWithNumericAnd(S29) &amp; ";" &amp; FilterStringsWithX(S29), ";;", ";"),1)=";",LEFT(SUBSTITUTE(FilterWithUnits(S29)&amp; ";" &amp;FilterStringsWithNumericAnd(S29) &amp; ";" &amp; FilterStringsWithX(S29), ";;", ";"),LEN(SUBSTITUTE(FilterWithUnits(S29)&amp; ";" &amp;FilterStringsWithNumericAnd(S29) &amp; ";" &amp; FilterStringsWithX(S29), ";;", ";"))-1),SUBSTITUTE(FilterWithUnits(S29)&amp; ";" &amp;FilterStringsWithNumericAnd(S29) &amp; ";" &amp; FilterStringsWithX(S29), ";;", ";")))</f>
        <v/>
      </c>
      <c r="U29" t="str" cm="1">
        <f t="array" ref="U29">IF(MaxSize((SplitDimensions(T29)))=0, "", MaxSize((SplitDimensions(T29))))</f>
        <v/>
      </c>
      <c r="V29" s="17" t="str" cm="1">
        <f t="array" ref="V29">IF(ISERROR(INDEX(_xlfn._xlws.FILTER('Model output'!P:P,('Model output'!Z:Z=A29)*('Model output'!P:P&lt;&gt;"")),1)),"negative",IF(OR(ISNUMBER(SEARCH("foc",INDEX(_xlfn._xlws.FILTER('Model output'!P:P,('Model output'!Z:Z=A29)*('Model output'!P:P&lt;&gt;"")),1),1)),ISNUMBER(SEARCH("extensive",INDEX(_xlfn._xlws.FILTER('Model output'!P:P,('Model output'!Z:Z=A29)*('Model output'!P:P&lt;&gt;"")),1),1)),ISNUMBER(SEARCH("present",INDEX(_xlfn._xlws.FILTER('Model output'!P:P,('Model output'!Z:Z=A29)*('Model output'!P:P&lt;&gt;"")),1),1)),ISNUMBER(SEARCH("yes",INDEX(_xlfn._xlws.FILTER('Model output'!P:P,('Model output'!Z:Z=A29)*('Model output'!P:P&lt;&gt;"")),1),1))),"positive","negative"))</f>
        <v>negative</v>
      </c>
      <c r="X29" t="str" cm="1">
        <f t="array" ref="X29">IF(ISNUMBER(SEARCH("4",INDEX(_xlfn._xlws.FILTER('Model output'!P:P,('Model output'!Z:Z=A29)*('Model output'!P:P&lt;&gt;"")),1),1)),INDEX(_xlfn._xlws.FILTER('Model output'!P:P,('Model output'!Z:Z=A29)*('Model output'!P:P&lt;&gt;"")),1),"") &amp; _xlfn.TEXTJOIN("",TRUE,_xlfn._xlws.FILTER('Model output'!Q:Q,'Model output'!Z:Z=A29))</f>
        <v>Not identifiedNot mentioned</v>
      </c>
      <c r="Y29" t="str">
        <f t="shared" si="11"/>
        <v>no</v>
      </c>
      <c r="Z29" t="str" cm="1">
        <f t="array" ref="Z29">IF(OR(ISNUMBER(SEARCH("focal",_xlfn.TEXTJOIN("; ",TRUE,_xlfn._xlws.FILTER('Model output'!R:R,'Model output'!Z:Z=A29)),1)),ISNUMBER(SEARCH("present",_xlfn.TEXTJOIN("; ",TRUE,_xlfn._xlws.FILTER('Model output'!R:R,'Model output'!Z:Z=A29)),1))),"positive",IF(_xlfn.TEXTJOIN("; ",TRUE,_xlfn._xlws.FILTER('Model output'!R:R,'Model output'!Z:Z=A29))="","negative",IF(OR(ISNUMBER(SEARCH("no",_xlfn.TEXTJOIN("; ",TRUE,_xlfn._xlws.FILTER('Model output'!R:R,'Model output'!Z:Z=A29)),1)),ISNUMBER(SEARCH("absent",_xlfn.TEXTJOIN("; ",TRUE,_xlfn._xlws.FILTER('Model output'!R:R,'Model output'!Z:Z=A29)),1))),"negative","positive")))</f>
        <v>negative</v>
      </c>
      <c r="AA29" s="17" t="str">
        <f t="shared" si="12"/>
        <v>negative</v>
      </c>
      <c r="AE29" s="17" t="str">
        <f t="shared" si="14"/>
        <v>negative</v>
      </c>
      <c r="AF29" t="str" cm="1">
        <f t="array" ref="AF29">_xlfn.TEXTJOIN("; ",TRUE,_xlfn._xlws.FILTER('Model output'!S:S,'Model output'!Z:Z=A29))</f>
        <v>Not identified; Not mentioned</v>
      </c>
      <c r="AG29" s="17" t="str" cm="1">
        <f t="array" ref="AG29">IF(OR(ISNUMBER(SEARCH("uninvolved",_xlfn.TEXTJOIN("; ",TRUE,_xlfn._xlws.FILTER('Model output'!V:V,'Model output'!Z:Z=A29)),1)),ISNUMBER(SEARCH("clear",_xlfn.TEXTJOIN("; ",TRUE,_xlfn._xlws.FILTER('Model output'!V:V,'Model output'!Z:Z=A29)),1))*ISNUMBER(SEARCH("not mentioned",_xlfn.TEXTJOIN("; ",TRUE,_xlfn._xlws.FILTER('Model output'!V:V,'Model output'!Z:Z=A29)),1))),"negative",IF(ISNUMBER(SEARCH("cannot be assessed",_xlfn.TEXTJOIN("; ",TRUE,_xlfn._xlws.FILTER('Model output'!V:V,'Model output'!Z:Z=A29)),1)),"unknown","negative"))</f>
        <v>negative</v>
      </c>
      <c r="AI29" s="45" t="str">
        <f t="shared" si="13"/>
        <v>low</v>
      </c>
      <c r="AJ29" s="36" t="str">
        <f t="shared" si="2"/>
        <v>1a</v>
      </c>
      <c r="AK29" s="36" t="str">
        <f t="shared" si="3"/>
        <v>1a</v>
      </c>
      <c r="AL29" s="36">
        <f t="shared" si="4"/>
        <v>0</v>
      </c>
      <c r="AM29" s="36" t="str">
        <f t="shared" si="5"/>
        <v>I</v>
      </c>
      <c r="AN29" s="37" t="s">
        <v>166</v>
      </c>
      <c r="AO29" s="38" t="s">
        <v>203</v>
      </c>
      <c r="AP29" s="38" t="s">
        <v>203</v>
      </c>
      <c r="AQ29" s="38">
        <v>0</v>
      </c>
      <c r="AR29" s="38" t="s">
        <v>31</v>
      </c>
      <c r="AS29" s="37">
        <f t="shared" si="6"/>
        <v>1</v>
      </c>
      <c r="AT29" s="38">
        <f t="shared" si="7"/>
        <v>1</v>
      </c>
      <c r="AU29" s="38">
        <f t="shared" si="8"/>
        <v>1</v>
      </c>
      <c r="AV29" s="38">
        <f t="shared" si="9"/>
        <v>1</v>
      </c>
      <c r="AW29" s="39">
        <f t="shared" si="10"/>
        <v>1</v>
      </c>
    </row>
    <row r="30" spans="1:49">
      <c r="A30" s="13">
        <v>28</v>
      </c>
      <c r="B30" s="16">
        <f>_xlfn.MAXIFS('Model output'!B:B,'Model output'!Z:Z,'Classification result'!$A30)</f>
        <v>45464</v>
      </c>
      <c r="C30" s="16"/>
      <c r="D30" s="16"/>
      <c r="E30" s="17">
        <f>_xlfn.MAXIFS('Model output'!C:C,'Model output'!Z:Z,'Classification result'!$A30)</f>
        <v>57</v>
      </c>
      <c r="F30" s="17" t="str" cm="1">
        <f t="array" ref="F30">LEFT(IF(ISERROR(RIGHT(IF(INDEX(_xlfn._xlws.FILTER('Model output'!D:D,('Model output'!Z:Z=A30)),1)&lt;&gt;"",INDEX(_xlfn._xlws.FILTER('Model output'!D:D,('Model output'!Z:Z=A30)),1),""),LEN(IF(INDEX(_xlfn._xlws.FILTER('Model output'!D:D,('Model output'!Z:Z=A30)),1)&lt;&gt;"",INDEX(_xlfn._xlws.FILTER('Model output'!D:D,('Model output'!Z:Z=A30)),1),""))-FIND("T",IF(INDEX(_xlfn._xlws.FILTER('Model output'!D:D,('Model output'!Z:Z=A30)),1)&lt;&gt;"",INDEX(_xlfn._xlws.FILTER('Model output'!D:D,('Model output'!Z:Z=A30)),1),""),1))),"",(RIGHT(IF(INDEX(_xlfn._xlws.FILTER('Model output'!D:D,('Model output'!Z:Z=A30)),1)&lt;&gt;"",INDEX(_xlfn._xlws.FILTER('Model output'!D:D,('Model output'!Z:Z=A30)),1),""),LEN(IF(INDEX(_xlfn._xlws.FILTER('Model output'!D:D,('Model output'!Z:Z=A30)),1)&lt;&gt;"",INDEX(_xlfn._xlws.FILTER('Model output'!D:D,('Model output'!Z:Z=A30)),1),""))-FIND("T",IF(INDEX(_xlfn._xlws.FILTER('Model output'!D:D,('Model output'!Z:Z=A30)),1)&lt;&gt;"",INDEX(_xlfn._xlws.FILTER('Model output'!D:D,('Model output'!Z:Z=A30)),1)))))),2)</f>
        <v>1a</v>
      </c>
      <c r="G30" s="17" t="str" cm="1">
        <f t="array" ref="G30">IF(ISNUMBER(SEARCH("N",IF(ISNUMBER(SEARCH("present",IF(INDEX(_xlfn._xlws.FILTER('Model output'!E:E,('Model output'!Z:Z=A30)),1)="","",INDEX(_xlfn._xlws.FILTER('Model output'!E:E,('Model output'!Z:Z=A30)),1)),1)),"N1", IF(INDEX(_xlfn._xlws.FILTER('Model output'!E:E,('Model output'!Z:Z=A30)),1)="","",INDEX(_xlfn._xlws.FILTER('Model output'!E:E,('Model output'!Z:Z=A30)),1))),1)),RIGHT(IF(ISNUMBER(SEARCH("present",IF(INDEX(_xlfn._xlws.FILTER('Model output'!E:E,('Model output'!Z:Z=A30)),1)="","",INDEX(_xlfn._xlws.FILTER('Model output'!E:E,('Model output'!Z:Z=A30)),1)),1)),"N1", IF(INDEX(_xlfn._xlws.FILTER('Model output'!E:E,('Model output'!Z:Z=A30)),1)="","",INDEX(_xlfn._xlws.FILTER('Model output'!E:E,('Model output'!Z:Z=A30)),1))),LEN(IF(ISNUMBER(SEARCH("present",IF(INDEX(_xlfn._xlws.FILTER('Model output'!E:E,('Model output'!Z:Z=A30)),1)="","",INDEX(_xlfn._xlws.FILTER('Model output'!E:E,('Model output'!Z:Z=A30)),1)),1)),"N1", IF(INDEX(_xlfn._xlws.FILTER('Model output'!E:E,('Model output'!Z:Z=A30)),1)="","",INDEX(_xlfn._xlws.FILTER('Model output'!E:E,('Model output'!Z:Z=A30)),1))))-FIND("N",IF(ISNUMBER(SEARCH("present",IF(INDEX(_xlfn._xlws.FILTER('Model output'!E:E,('Model output'!Z:Z=A30)),1)="","",INDEX(_xlfn._xlws.FILTER('Model output'!E:E,('Model output'!Z:Z=A30)),1)),1)),"N1", IF(INDEX(_xlfn._xlws.FILTER('Model output'!E:E,('Model output'!Z:Z=A30)),1)="","",INDEX(_xlfn._xlws.FILTER('Model output'!E:E,('Model output'!Z:Z=A30)),1))),1)), "")</f>
        <v/>
      </c>
      <c r="H30" s="17" cm="1">
        <f t="array" ref="H30">IF(AND(SUBSTITUTE(_xlfn.TEXTJOIN("/", TRUE, _xlfn._xlws.FILTER('Model output'!F:F, 'Model output'!Z:Z=A30)),"M", "")="", K30="negative"),0,IF(K30="positive",1,0))</f>
        <v>0</v>
      </c>
      <c r="I30" t="str">
        <f t="shared" si="0"/>
        <v>positive</v>
      </c>
      <c r="J30" t="str" cm="1">
        <f t="array" ref="J30">IF(AND(M30&gt;0, _xlfn.TEXTJOIN("; ", TRUE, _xlfn._xlws.FILTER('Model output'!G:G, 'Model output'!Z:Z=A30)) &lt;&gt;"", OR(AND(ISNUMBER(SEARCH("level", _xlfn.TEXTJOIN("; ", TRUE, _xlfn._xlws.FILTER('Model output'!G:G, 'Model output'!Z:Z=A30)),1)),OR(ISNUMBER(SEARCH(" II", _xlfn.TEXTJOIN("; ", TRUE, _xlfn._xlws.FILTER('Model output'!G:G, 'Model output'!Z:Z=A30)),1)),ISNUMBER(SEARCH("2", _xlfn.TEXTJOIN("; ", TRUE, _xlfn._xlws.FILTER('Model output'!G:G, 'Model output'!Z:Z=A30)),1)),ISNUMBER(SEARCH("two", _xlfn.TEXTJOIN("; ", TRUE, _xlfn._xlws.FILTER('Model output'!G:G, 'Model output'!Z:Z=A30)),1)),ISNUMBER(SEARCH("III", _xlfn.TEXTJOIN("; ", TRUE, _xlfn._xlws.FILTER('Model output'!G:G, 'Model output'!Z:Z=A30)),1)),ISNUMBER(SEARCH("3", _xlfn.TEXTJOIN("; ", TRUE, _xlfn._xlws.FILTER('Model output'!G:G, 'Model output'!Z:Z=A30)),1)),ISNUMBER(SEARCH("three", _xlfn.TEXTJOIN("; ", TRUE, _xlfn._xlws.FILTER('Model output'!G:G, 'Model output'!Z:Z=A30)),1)),ISNUMBER(SEARCH("IV", _xlfn.TEXTJOIN("; ", TRUE, _xlfn._xlws.FILTER('Model output'!G:G, 'Model output'!Z:Z=A30)),1)),ISNUMBER(SEARCH("4", _xlfn.TEXTJOIN("; ", TRUE, _xlfn._xlws.FILTER('Model output'!G:G, 'Model output'!Z:Z=A30)),1)),ISNUMBER(SEARCH("five", _xlfn.TEXTJOIN("; ", TRUE, _xlfn._xlws.FILTER('Model output'!G:G, 'Model output'!Z:Z=A30)),1)),ISNUMBER(SEARCH("V ", _xlfn.TEXTJOIN("; ", TRUE, _xlfn._xlws.FILTER('Model output'!G:G, 'Model output'!Z:Z=A30)),1)),ISNUMBER(SEARCH("5", _xlfn.TEXTJOIN("; ", TRUE, _xlfn._xlws.FILTER('Model output'!G:G, 'Model output'!Z:Z=A30)),1)),ISNUMBER(SEARCH("five", _xlfn.TEXTJOIN("; ", TRUE, _xlfn._xlws.FILTER('Model output'!G:G, 'Model output'!Z:Z=A30)),1)),ISNUMBER(SEARCH(" lateral", _xlfn.TEXTJOIN("; ", TRUE, _xlfn._xlws.FILTER('Model output'!G:G, 'Model output'!Z:Z=A30)),1)))),ISNUMBER(SEARCH("cervical", _xlfn.TEXTJOIN("; ", TRUE, _xlfn._xlws.FILTER('Model output'!G:G, 'Model output'!Z:Z=A30)),1)),ISNUMBER(SEARCH("jugular", _xlfn.TEXTJOIN("; ", TRUE, _xlfn._xlws.FILTER('Model output'!G:G, 'Model output'!Z:Z=A30)),1)),ISNUMBER(SEARCH("left neck", _xlfn.TEXTJOIN("; ", TRUE, _xlfn._xlws.FILTER('Model output'!G:G, 'Model output'!Z:Z=A30)),1)),ISNUMBER(SEARCH("left anterior neck", _xlfn.TEXTJOIN("; ", TRUE, _xlfn._xlws.FILTER('Model output'!G:G, 'Model output'!Z:Z=A30)),1)),ISNUMBER(SEARCH("left posterior neck", _xlfn.TEXTJOIN("; ", TRUE, _xlfn._xlws.FILTER('Model output'!G:G, 'Model output'!Z:Z=A30)),1)),ISNUMBER(SEARCH("right neck", _xlfn.TEXTJOIN("; ", TRUE, _xlfn._xlws.FILTER('Model output'!G:G, 'Model output'!Z:Z=A30)),1)),ISNUMBER(SEARCH("right anterior neck", _xlfn.TEXTJOIN("; ", TRUE, _xlfn._xlws.FILTER('Model output'!G:G, 'Model output'!Z:Z=A30)),1)),ISNUMBER(SEARCH("right posterior neck", _xlfn.TEXTJOIN("; ", TRUE, _xlfn._xlws.FILTER('Model output'!G:G, 'Model output'!Z:Z=A30)),1)))),"lateral",IF(AND(M30=0, _xlfn.TEXTJOIN("; ", TRUE, _xlfn._xlws.FILTER('Model output'!G:G, 'Model output'!Z:Z=A30))=""),"", "central"))</f>
        <v>central</v>
      </c>
      <c r="K30" s="17" t="str" cm="1">
        <f t="array" ref="K30">IF(OR(ISNUMBER(SEARCH("lymph",_xlfn.TEXTJOIN("; ", TRUE, _xlfn._xlws.FILTER('Model output'!H:H, 'Model output'!Z:Z=A30)),1)), ISNUMBER(SEARCH("Not mentioned",_xlfn.TEXTJOIN("; ", TRUE, _xlfn._xlws.FILTER('Model output'!H:H, 'Model output'!Z:Z=A30)),1)),ISNUMBER(SEARCH("subcutaneous soft tissues",_xlfn.TEXTJOIN("; ", TRUE, _xlfn._xlws.FILTER('Model output'!H:H, 'Model output'!Z:Z=A30)),1)),ISNUMBER(SEARCH("larynx",_xlfn.TEXTJOIN("; ", TRUE, _xlfn._xlws.FILTER('Model output'!H:H, 'Model output'!Z:Z=A30)),1)),ISNUMBER(SEARCH("trachea",_xlfn.TEXTJOIN("; ", TRUE, _xlfn._xlws.FILTER('Model output'!H:H, 'Model output'!Z:Z=A30)),1)),ISNUMBER(SEARCH("esophagus",_xlfn.TEXTJOIN("; ", TRUE, _xlfn._xlws.FILTER('Model output'!H:H, 'Model output'!Z:Z=A30)),1)),ISNUMBER(SEARCH("recurrent laryngeal nerve",_xlfn.TEXTJOIN("; ", TRUE, _xlfn._xlws.FILTER('Model output'!H:H, 'Model output'!Z:Z=A30)),1)),ISNUMBER(SEARCH("strap muscle",_xlfn.TEXTJOIN("; ", TRUE, _xlfn._xlws.FILTER('Model output'!H:H, 'Model output'!Z:Z=A30)),1)),ISNUMBER(SEARCH("thyroid",_xlfn.TEXTJOIN("; ", TRUE, _xlfn._xlws.FILTER('Model output'!H:H, 'Model output'!Z:Z=A30)),1)),ISNUMBER(SEARCH("RLN",_xlfn.TEXTJOIN("; ", TRUE, _xlfn._xlws.FILTER('Model output'!H:H, 'Model output'!Z:Z=A30)),1)),_xlfn.TEXTJOIN("; ", TRUE, _xlfn._xlws.FILTER('Model output'!H:H, 'Model output'!Z:Z=A30))=""),"negative","positive")</f>
        <v>negative</v>
      </c>
      <c r="L30" s="17">
        <f>IF(IFERROR(INDEX('Model output'!I:I, MATCH(A30, 'Model output'!Z:Z, 0)), "") &lt; M30, "", IFERROR(INDEX('Model output'!I:I, MATCH(A30, 'Model output'!Z:Z, 0)), ""))</f>
        <v>5</v>
      </c>
      <c r="M30" s="17">
        <f>IFERROR(INDEX('Model output'!J:J, MATCH(A30, 'Model output'!Z:Z, 0)), "")</f>
        <v>1</v>
      </c>
      <c r="N30" s="18" t="str" cm="1">
        <f t="array" ref="N30">ReplaceTo(ReplaceAnd(SUBSTITUTE(SUBSTITUTE(_xlfn.TEXTJOIN("; ", TRUE, _xlfn._xlws.FILTER('Model output'!K:K, 'Model output'!Z:Z=A30)), " ", ""), ",", ";")))</f>
        <v>2.5mm</v>
      </c>
      <c r="O30" t="str" cm="1">
        <f t="array" ref="O30">IF(LEFT(IF(RIGHT(SUBSTITUTE(FilterWithUnits(N30)&amp; ";" &amp;FilterStringsWithNumericAnd(N30) &amp; ";" &amp; FilterStringsWithX(N30), ";;", ";"),1)=";",LEFT(SUBSTITUTE(FilterWithUnits(N30)&amp; ";" &amp;FilterStringsWithNumericAnd(N30) &amp; ";" &amp; FilterStringsWithX(N30), ";;", ";"),LEN(SUBSTITUTE(FilterWithUnits(N30)&amp; ";" &amp;FilterStringsWithNumericAnd(N30) &amp; ";" &amp; FilterStringsWithX(N30), ";;", ";"))-1),SUBSTITUTE(FilterWithUnits(N30)&amp; ";" &amp;FilterStringsWithNumericAnd(N30) &amp; ";" &amp; FilterStringsWithX(N30), ";;", ";")),1)=";",RIGHT(IF(RIGHT(SUBSTITUTE(FilterWithUnits(N30)&amp; ";" &amp;FilterStringsWithNumericAnd(N30) &amp; ";" &amp; FilterStringsWithX(N30), ";;", ";"),1)=";",LEFT(SUBSTITUTE(FilterWithUnits(N30)&amp; ";" &amp;FilterStringsWithNumericAnd(N30) &amp; ";" &amp; FilterStringsWithX(N30), ";;", ";"),LEN(SUBSTITUTE(FilterWithUnits(N30)&amp; ";" &amp;FilterStringsWithNumericAnd(N30) &amp; ";" &amp; FilterStringsWithX(N30), ";;", ";"))-1),SUBSTITUTE(FilterWithUnits(N30)&amp; ";" &amp;FilterStringsWithNumericAnd(N30) &amp; ";" &amp; FilterStringsWithX(N30), ";;", ";")),LEN(IF(RIGHT(SUBSTITUTE(FilterWithUnits(N30)&amp; ";" &amp;FilterStringsWithNumericAnd(N30) &amp; ";" &amp; FilterStringsWithX(N30), ";;", ";"),1)=";",LEFT(SUBSTITUTE(FilterWithUnits(N30)&amp; ";" &amp;FilterStringsWithNumericAnd(N30) &amp; ";" &amp; FilterStringsWithX(N30), ";;", ";"),LEN(SUBSTITUTE(FilterWithUnits(N30)&amp; ";" &amp;FilterStringsWithNumericAnd(N30) &amp; ";" &amp; FilterStringsWithX(N30), ";;", ";"))-1),SUBSTITUTE(FilterWithUnits(N30)&amp; ";" &amp;FilterStringsWithNumericAnd(N30) &amp; ";" &amp; FilterStringsWithX(N30), ";;", ";")))-1),IF(RIGHT(SUBSTITUTE(FilterWithUnits(N30)&amp; ";" &amp;FilterStringsWithNumericAnd(N30) &amp; ";" &amp; FilterStringsWithX(N30), ";;", ";"),1)=";",LEFT(SUBSTITUTE(FilterWithUnits(N30)&amp; ";" &amp;FilterStringsWithNumericAnd(N30) &amp; ";" &amp; FilterStringsWithX(N30), ";;", ";"),LEN(SUBSTITUTE(FilterWithUnits(N30)&amp; ";" &amp;FilterStringsWithNumericAnd(N30) &amp; ";" &amp; FilterStringsWithX(N30), ";;", ";"))-1),SUBSTITUTE(FilterWithUnits(N30)&amp; ";" &amp;FilterStringsWithNumericAnd(N30) &amp; ";" &amp; FilterStringsWithX(N30), ";;", ";")))</f>
        <v>2.5mm</v>
      </c>
      <c r="P30" cm="1">
        <f t="array" ref="P30">IF(MaxSize((SplitDimensions(O30)))=0, "", MaxSize((SplitDimensions(O30))))</f>
        <v>0.25</v>
      </c>
      <c r="Q30" t="str" cm="1">
        <f t="array" ref="Q30">IF(ISERROR(INDEX(_xlfn._xlws.FILTER('Model output'!L:L, ('Model output'!Z:Z=A30)*('Model output'!L:L&lt;&gt;"")), 1)), " ", LOWER(INDEX(_xlfn._xlws.FILTER('Model output'!L:L, ('Model output'!Z:Z=A30)*('Model output'!L:L&lt;&gt;"")), 1)))</f>
        <v>papillary carcinoma</v>
      </c>
      <c r="R30" t="str" cm="1">
        <f t="array" ref="R30">IF(ISERROR(INDEX(_xlfn._xlws.FILTER('Model output'!M:M, ('Model output'!Z:Z=A30)*('Model output'!M:M&lt;&gt;"")), 1)), " ", LOWER(INDEX(_xlfn._xlws.FILTER('Model output'!M:M, ('Model output'!Z:Z=A30)*('Model output'!M:M&lt;&gt;"")), 1)))</f>
        <v>not mentioned</v>
      </c>
      <c r="S30" t="str" cm="1">
        <f t="array" ref="S30">IF(OR(ISNUMBER(SEARCH("ly",SUBSTITUTE(INDEX(_xlfn._xlws.FILTER('Model output'!N:N,('Model output'!Z:Z=A30)*('Model output'!N:N&lt;&gt;"")),1)," ",""),1)), ISNUMBER(SEARCH("pole",SUBSTITUTE(INDEX(_xlfn._xlws.FILTER('Model output'!N:N,('Model output'!Z:Z=A30)*('Model output'!N:N&lt;&gt;"")),1)," ",""),1))),"",SUBSTITUTE(INDEX(_xlfn._xlws.FILTER('Model output'!N:N,('Model output'!Z:Z=A30)*('Model output'!N:N&lt;&gt;"")),1)," ",""))</f>
        <v>Notspecified(mentionedas5mmforonetumorand2.5mmforanother)</v>
      </c>
      <c r="T30" t="str" cm="1">
        <f t="array" ref="T30">IF(LEFT(IF(RIGHT(SUBSTITUTE(FilterWithUnits(S30)&amp; ";" &amp;FilterStringsWithNumericAnd(S30) &amp; ";" &amp; FilterStringsWithX(S30), ";;", ";"),1)=";",LEFT(SUBSTITUTE(FilterWithUnits(S30)&amp; ";" &amp;FilterStringsWithNumericAnd(S30) &amp; ";" &amp; FilterStringsWithX(S30), ";;", ";"),LEN(SUBSTITUTE(FilterWithUnits(S30)&amp; ";" &amp;FilterStringsWithNumericAnd(S30) &amp; ";" &amp; FilterStringsWithX(S30), ";;", ";"))-1),SUBSTITUTE(FilterWithUnits(S30)&amp; ";" &amp;FilterStringsWithNumericAnd(S30) &amp; ";" &amp; FilterStringsWithX(S30), ";;", ";")),1)=";",RIGHT(IF(RIGHT(SUBSTITUTE(FilterWithUnits(S30)&amp; ";" &amp;FilterStringsWithNumericAnd(S30) &amp; ";" &amp; FilterStringsWithX(S30), ";;", ";"),1)=";",LEFT(SUBSTITUTE(FilterWithUnits(S30)&amp; ";" &amp;FilterStringsWithNumericAnd(S30) &amp; ";" &amp; FilterStringsWithX(S30), ";;", ";"),LEN(SUBSTITUTE(FilterWithUnits(S30)&amp; ";" &amp;FilterStringsWithNumericAnd(S30) &amp; ";" &amp; FilterStringsWithX(S30), ";;", ";"))-1),SUBSTITUTE(FilterWithUnits(S30)&amp; ";" &amp;FilterStringsWithNumericAnd(S30) &amp; ";" &amp; FilterStringsWithX(S30), ";;", ";")),LEN(IF(RIGHT(SUBSTITUTE(FilterWithUnits(S30)&amp; ";" &amp;FilterStringsWithNumericAnd(S30) &amp; ";" &amp; FilterStringsWithX(S30), ";;", ";"),1)=";",LEFT(SUBSTITUTE(FilterWithUnits(S30)&amp; ";" &amp;FilterStringsWithNumericAnd(S30) &amp; ";" &amp; FilterStringsWithX(S30), ";;", ";"),LEN(SUBSTITUTE(FilterWithUnits(S30)&amp; ";" &amp;FilterStringsWithNumericAnd(S30) &amp; ";" &amp; FilterStringsWithX(S30), ";;", ";"))-1),SUBSTITUTE(FilterWithUnits(S30)&amp; ";" &amp;FilterStringsWithNumericAnd(S30) &amp; ";" &amp; FilterStringsWithX(S30), ";;", ";")))-1),IF(RIGHT(SUBSTITUTE(FilterWithUnits(S30)&amp; ";" &amp;FilterStringsWithNumericAnd(S30) &amp; ";" &amp; FilterStringsWithX(S30), ";;", ";"),1)=";",LEFT(SUBSTITUTE(FilterWithUnits(S30)&amp; ";" &amp;FilterStringsWithNumericAnd(S30) &amp; ";" &amp; FilterStringsWithX(S30), ";;", ";"),LEN(SUBSTITUTE(FilterWithUnits(S30)&amp; ";" &amp;FilterStringsWithNumericAnd(S30) &amp; ";" &amp; FilterStringsWithX(S30), ";;", ";"))-1),SUBSTITUTE(FilterWithUnits(S30)&amp; ";" &amp;FilterStringsWithNumericAnd(S30) &amp; ";" &amp; FilterStringsWithX(S30), ";;", ";")))</f>
        <v>5mm</v>
      </c>
      <c r="U30" cm="1">
        <f t="array" ref="U30">IF(MaxSize((SplitDimensions(T30)))=0, "", MaxSize((SplitDimensions(T30))))</f>
        <v>0.5</v>
      </c>
      <c r="V30" s="17" t="str" cm="1">
        <f t="array" ref="V30">IF(ISERROR(INDEX(_xlfn._xlws.FILTER('Model output'!P:P,('Model output'!Z:Z=A30)*('Model output'!P:P&lt;&gt;"")),1)),"negative",IF(OR(ISNUMBER(SEARCH("foc",INDEX(_xlfn._xlws.FILTER('Model output'!P:P,('Model output'!Z:Z=A30)*('Model output'!P:P&lt;&gt;"")),1),1)),ISNUMBER(SEARCH("extensive",INDEX(_xlfn._xlws.FILTER('Model output'!P:P,('Model output'!Z:Z=A30)*('Model output'!P:P&lt;&gt;"")),1),1)),ISNUMBER(SEARCH("present",INDEX(_xlfn._xlws.FILTER('Model output'!P:P,('Model output'!Z:Z=A30)*('Model output'!P:P&lt;&gt;"")),1),1)),ISNUMBER(SEARCH("yes",INDEX(_xlfn._xlws.FILTER('Model output'!P:P,('Model output'!Z:Z=A30)*('Model output'!P:P&lt;&gt;"")),1),1))),"positive","negative"))</f>
        <v>negative</v>
      </c>
      <c r="X30" t="str" cm="1">
        <f t="array" ref="X30">IF(ISNUMBER(SEARCH("4",INDEX(_xlfn._xlws.FILTER('Model output'!P:P,('Model output'!Z:Z=A30)*('Model output'!P:P&lt;&gt;"")),1),1)),INDEX(_xlfn._xlws.FILTER('Model output'!P:P,('Model output'!Z:Z=A30)*('Model output'!P:P&lt;&gt;"")),1),"") &amp; _xlfn.TEXTJOIN("",TRUE,_xlfn._xlws.FILTER('Model output'!Q:Q,'Model output'!Z:Z=A30))</f>
        <v/>
      </c>
      <c r="Y30" t="str">
        <f t="shared" si="11"/>
        <v>no</v>
      </c>
      <c r="Z30" t="str" cm="1">
        <f t="array" ref="Z30">IF(OR(ISNUMBER(SEARCH("focal",_xlfn.TEXTJOIN("; ",TRUE,_xlfn._xlws.FILTER('Model output'!R:R,'Model output'!Z:Z=A30)),1)),ISNUMBER(SEARCH("present",_xlfn.TEXTJOIN("; ",TRUE,_xlfn._xlws.FILTER('Model output'!R:R,'Model output'!Z:Z=A30)),1))),"positive",IF(_xlfn.TEXTJOIN("; ",TRUE,_xlfn._xlws.FILTER('Model output'!R:R,'Model output'!Z:Z=A30))="","negative",IF(OR(ISNUMBER(SEARCH("no",_xlfn.TEXTJOIN("; ",TRUE,_xlfn._xlws.FILTER('Model output'!R:R,'Model output'!Z:Z=A30)),1)),ISNUMBER(SEARCH("absent",_xlfn.TEXTJOIN("; ",TRUE,_xlfn._xlws.FILTER('Model output'!R:R,'Model output'!Z:Z=A30)),1))),"negative","positive")))</f>
        <v>negative</v>
      </c>
      <c r="AA30" s="17" t="str">
        <f t="shared" si="12"/>
        <v>negative</v>
      </c>
      <c r="AE30" s="17" t="str">
        <f t="shared" si="14"/>
        <v>negative</v>
      </c>
      <c r="AF30" t="str" cm="1">
        <f t="array" ref="AF30">_xlfn.TEXTJOIN("; ",TRUE,_xlfn._xlws.FILTER('Model output'!S:S,'Model output'!Z:Z=A30))</f>
        <v>Not identified; Not mentioned</v>
      </c>
      <c r="AG30" s="17" t="str" cm="1">
        <f t="array" ref="AG30">IF(OR(ISNUMBER(SEARCH("uninvolved",_xlfn.TEXTJOIN("; ",TRUE,_xlfn._xlws.FILTER('Model output'!V:V,'Model output'!Z:Z=A30)),1)),ISNUMBER(SEARCH("clear",_xlfn.TEXTJOIN("; ",TRUE,_xlfn._xlws.FILTER('Model output'!V:V,'Model output'!Z:Z=A30)),1))*ISNUMBER(SEARCH("not mentioned",_xlfn.TEXTJOIN("; ",TRUE,_xlfn._xlws.FILTER('Model output'!V:V,'Model output'!Z:Z=A30)),1))),"negative",IF(ISNUMBER(SEARCH("cannot be assessed",_xlfn.TEXTJOIN("; ",TRUE,_xlfn._xlws.FILTER('Model output'!V:V,'Model output'!Z:Z=A30)),1)),"unknown","negative"))</f>
        <v>negative</v>
      </c>
      <c r="AI30" s="45" t="str">
        <f t="shared" si="13"/>
        <v>low</v>
      </c>
      <c r="AJ30" s="36" t="str">
        <f t="shared" si="2"/>
        <v>1a</v>
      </c>
      <c r="AK30" s="36" t="str">
        <f t="shared" si="3"/>
        <v>1a</v>
      </c>
      <c r="AL30" s="36">
        <f t="shared" si="4"/>
        <v>0</v>
      </c>
      <c r="AM30" s="36" t="str">
        <f t="shared" si="5"/>
        <v>II</v>
      </c>
      <c r="AN30" s="37" t="s">
        <v>166</v>
      </c>
      <c r="AO30" s="38" t="s">
        <v>203</v>
      </c>
      <c r="AP30" s="38" t="s">
        <v>203</v>
      </c>
      <c r="AQ30" s="38">
        <v>0</v>
      </c>
      <c r="AR30" s="38" t="s">
        <v>44</v>
      </c>
      <c r="AS30" s="37">
        <f t="shared" si="6"/>
        <v>1</v>
      </c>
      <c r="AT30" s="38">
        <f t="shared" si="7"/>
        <v>1</v>
      </c>
      <c r="AU30" s="38">
        <f t="shared" si="8"/>
        <v>1</v>
      </c>
      <c r="AV30" s="38">
        <f t="shared" si="9"/>
        <v>1</v>
      </c>
      <c r="AW30" s="39">
        <f t="shared" si="10"/>
        <v>1</v>
      </c>
    </row>
    <row r="31" spans="1:49">
      <c r="A31" s="13">
        <v>29</v>
      </c>
      <c r="B31" s="16">
        <f>_xlfn.MAXIFS('Model output'!B:B,'Model output'!Z:Z,'Classification result'!$A31)</f>
        <v>45271</v>
      </c>
      <c r="C31" s="16"/>
      <c r="D31" s="16"/>
      <c r="E31" s="17">
        <f>_xlfn.MAXIFS('Model output'!C:C,'Model output'!Z:Z,'Classification result'!$A31)</f>
        <v>63</v>
      </c>
      <c r="F31" s="17" t="str" cm="1">
        <f t="array" ref="F31">LEFT(IF(ISERROR(RIGHT(IF(INDEX(_xlfn._xlws.FILTER('Model output'!D:D,('Model output'!Z:Z=A31)),1)&lt;&gt;"",INDEX(_xlfn._xlws.FILTER('Model output'!D:D,('Model output'!Z:Z=A31)),1),""),LEN(IF(INDEX(_xlfn._xlws.FILTER('Model output'!D:D,('Model output'!Z:Z=A31)),1)&lt;&gt;"",INDEX(_xlfn._xlws.FILTER('Model output'!D:D,('Model output'!Z:Z=A31)),1),""))-FIND("T",IF(INDEX(_xlfn._xlws.FILTER('Model output'!D:D,('Model output'!Z:Z=A31)),1)&lt;&gt;"",INDEX(_xlfn._xlws.FILTER('Model output'!D:D,('Model output'!Z:Z=A31)),1),""),1))),"",(RIGHT(IF(INDEX(_xlfn._xlws.FILTER('Model output'!D:D,('Model output'!Z:Z=A31)),1)&lt;&gt;"",INDEX(_xlfn._xlws.FILTER('Model output'!D:D,('Model output'!Z:Z=A31)),1),""),LEN(IF(INDEX(_xlfn._xlws.FILTER('Model output'!D:D,('Model output'!Z:Z=A31)),1)&lt;&gt;"",INDEX(_xlfn._xlws.FILTER('Model output'!D:D,('Model output'!Z:Z=A31)),1),""))-FIND("T",IF(INDEX(_xlfn._xlws.FILTER('Model output'!D:D,('Model output'!Z:Z=A31)),1)&lt;&gt;"",INDEX(_xlfn._xlws.FILTER('Model output'!D:D,('Model output'!Z:Z=A31)),1)))))),2)</f>
        <v>1a</v>
      </c>
      <c r="G31" s="17" t="str" cm="1">
        <f t="array" ref="G31">IF(ISNUMBER(SEARCH("N",IF(ISNUMBER(SEARCH("present",IF(INDEX(_xlfn._xlws.FILTER('Model output'!E:E,('Model output'!Z:Z=A31)),1)="","",INDEX(_xlfn._xlws.FILTER('Model output'!E:E,('Model output'!Z:Z=A31)),1)),1)),"N1", IF(INDEX(_xlfn._xlws.FILTER('Model output'!E:E,('Model output'!Z:Z=A31)),1)="","",INDEX(_xlfn._xlws.FILTER('Model output'!E:E,('Model output'!Z:Z=A31)),1))),1)),RIGHT(IF(ISNUMBER(SEARCH("present",IF(INDEX(_xlfn._xlws.FILTER('Model output'!E:E,('Model output'!Z:Z=A31)),1)="","",INDEX(_xlfn._xlws.FILTER('Model output'!E:E,('Model output'!Z:Z=A31)),1)),1)),"N1", IF(INDEX(_xlfn._xlws.FILTER('Model output'!E:E,('Model output'!Z:Z=A31)),1)="","",INDEX(_xlfn._xlws.FILTER('Model output'!E:E,('Model output'!Z:Z=A31)),1))),LEN(IF(ISNUMBER(SEARCH("present",IF(INDEX(_xlfn._xlws.FILTER('Model output'!E:E,('Model output'!Z:Z=A31)),1)="","",INDEX(_xlfn._xlws.FILTER('Model output'!E:E,('Model output'!Z:Z=A31)),1)),1)),"N1", IF(INDEX(_xlfn._xlws.FILTER('Model output'!E:E,('Model output'!Z:Z=A31)),1)="","",INDEX(_xlfn._xlws.FILTER('Model output'!E:E,('Model output'!Z:Z=A31)),1))))-FIND("N",IF(ISNUMBER(SEARCH("present",IF(INDEX(_xlfn._xlws.FILTER('Model output'!E:E,('Model output'!Z:Z=A31)),1)="","",INDEX(_xlfn._xlws.FILTER('Model output'!E:E,('Model output'!Z:Z=A31)),1)),1)),"N1", IF(INDEX(_xlfn._xlws.FILTER('Model output'!E:E,('Model output'!Z:Z=A31)),1)="","",INDEX(_xlfn._xlws.FILTER('Model output'!E:E,('Model output'!Z:Z=A31)),1))),1)), "")</f>
        <v/>
      </c>
      <c r="H31" s="17" cm="1">
        <f t="array" ref="H31">IF(AND(SUBSTITUTE(_xlfn.TEXTJOIN("/", TRUE, _xlfn._xlws.FILTER('Model output'!F:F, 'Model output'!Z:Z=A31)),"M", "")="", K31="negative"),0,IF(K31="positive",1,0))</f>
        <v>0</v>
      </c>
      <c r="I31" t="str">
        <f t="shared" si="0"/>
        <v/>
      </c>
      <c r="J31" t="str" cm="1">
        <f t="array" ref="J31">IF(AND(M31&gt;0, _xlfn.TEXTJOIN("; ", TRUE, _xlfn._xlws.FILTER('Model output'!G:G, 'Model output'!Z:Z=A31)) &lt;&gt;"", OR(AND(ISNUMBER(SEARCH("level", _xlfn.TEXTJOIN("; ", TRUE, _xlfn._xlws.FILTER('Model output'!G:G, 'Model output'!Z:Z=A31)),1)),OR(ISNUMBER(SEARCH(" II", _xlfn.TEXTJOIN("; ", TRUE, _xlfn._xlws.FILTER('Model output'!G:G, 'Model output'!Z:Z=A31)),1)),ISNUMBER(SEARCH("2", _xlfn.TEXTJOIN("; ", TRUE, _xlfn._xlws.FILTER('Model output'!G:G, 'Model output'!Z:Z=A31)),1)),ISNUMBER(SEARCH("two", _xlfn.TEXTJOIN("; ", TRUE, _xlfn._xlws.FILTER('Model output'!G:G, 'Model output'!Z:Z=A31)),1)),ISNUMBER(SEARCH("III", _xlfn.TEXTJOIN("; ", TRUE, _xlfn._xlws.FILTER('Model output'!G:G, 'Model output'!Z:Z=A31)),1)),ISNUMBER(SEARCH("3", _xlfn.TEXTJOIN("; ", TRUE, _xlfn._xlws.FILTER('Model output'!G:G, 'Model output'!Z:Z=A31)),1)),ISNUMBER(SEARCH("three", _xlfn.TEXTJOIN("; ", TRUE, _xlfn._xlws.FILTER('Model output'!G:G, 'Model output'!Z:Z=A31)),1)),ISNUMBER(SEARCH("IV", _xlfn.TEXTJOIN("; ", TRUE, _xlfn._xlws.FILTER('Model output'!G:G, 'Model output'!Z:Z=A31)),1)),ISNUMBER(SEARCH("4", _xlfn.TEXTJOIN("; ", TRUE, _xlfn._xlws.FILTER('Model output'!G:G, 'Model output'!Z:Z=A31)),1)),ISNUMBER(SEARCH("five", _xlfn.TEXTJOIN("; ", TRUE, _xlfn._xlws.FILTER('Model output'!G:G, 'Model output'!Z:Z=A31)),1)),ISNUMBER(SEARCH("V ", _xlfn.TEXTJOIN("; ", TRUE, _xlfn._xlws.FILTER('Model output'!G:G, 'Model output'!Z:Z=A31)),1)),ISNUMBER(SEARCH("5", _xlfn.TEXTJOIN("; ", TRUE, _xlfn._xlws.FILTER('Model output'!G:G, 'Model output'!Z:Z=A31)),1)),ISNUMBER(SEARCH("five", _xlfn.TEXTJOIN("; ", TRUE, _xlfn._xlws.FILTER('Model output'!G:G, 'Model output'!Z:Z=A31)),1)),ISNUMBER(SEARCH(" lateral", _xlfn.TEXTJOIN("; ", TRUE, _xlfn._xlws.FILTER('Model output'!G:G, 'Model output'!Z:Z=A31)),1)))),ISNUMBER(SEARCH("cervical", _xlfn.TEXTJOIN("; ", TRUE, _xlfn._xlws.FILTER('Model output'!G:G, 'Model output'!Z:Z=A31)),1)),ISNUMBER(SEARCH("jugular", _xlfn.TEXTJOIN("; ", TRUE, _xlfn._xlws.FILTER('Model output'!G:G, 'Model output'!Z:Z=A31)),1)),ISNUMBER(SEARCH("left neck", _xlfn.TEXTJOIN("; ", TRUE, _xlfn._xlws.FILTER('Model output'!G:G, 'Model output'!Z:Z=A31)),1)),ISNUMBER(SEARCH("left anterior neck", _xlfn.TEXTJOIN("; ", TRUE, _xlfn._xlws.FILTER('Model output'!G:G, 'Model output'!Z:Z=A31)),1)),ISNUMBER(SEARCH("left posterior neck", _xlfn.TEXTJOIN("; ", TRUE, _xlfn._xlws.FILTER('Model output'!G:G, 'Model output'!Z:Z=A31)),1)),ISNUMBER(SEARCH("right neck", _xlfn.TEXTJOIN("; ", TRUE, _xlfn._xlws.FILTER('Model output'!G:G, 'Model output'!Z:Z=A31)),1)),ISNUMBER(SEARCH("right anterior neck", _xlfn.TEXTJOIN("; ", TRUE, _xlfn._xlws.FILTER('Model output'!G:G, 'Model output'!Z:Z=A31)),1)),ISNUMBER(SEARCH("right posterior neck", _xlfn.TEXTJOIN("; ", TRUE, _xlfn._xlws.FILTER('Model output'!G:G, 'Model output'!Z:Z=A31)),1)))),"lateral",IF(AND(M31=0, _xlfn.TEXTJOIN("; ", TRUE, _xlfn._xlws.FILTER('Model output'!G:G, 'Model output'!Z:Z=A31))=""),"", "central"))</f>
        <v/>
      </c>
      <c r="K31" s="17" t="str" cm="1">
        <f t="array" ref="K31">IF(OR(ISNUMBER(SEARCH("lymph",_xlfn.TEXTJOIN("; ", TRUE, _xlfn._xlws.FILTER('Model output'!H:H, 'Model output'!Z:Z=A31)),1)), ISNUMBER(SEARCH("Not mentioned",_xlfn.TEXTJOIN("; ", TRUE, _xlfn._xlws.FILTER('Model output'!H:H, 'Model output'!Z:Z=A31)),1)),ISNUMBER(SEARCH("subcutaneous soft tissues",_xlfn.TEXTJOIN("; ", TRUE, _xlfn._xlws.FILTER('Model output'!H:H, 'Model output'!Z:Z=A31)),1)),ISNUMBER(SEARCH("larynx",_xlfn.TEXTJOIN("; ", TRUE, _xlfn._xlws.FILTER('Model output'!H:H, 'Model output'!Z:Z=A31)),1)),ISNUMBER(SEARCH("trachea",_xlfn.TEXTJOIN("; ", TRUE, _xlfn._xlws.FILTER('Model output'!H:H, 'Model output'!Z:Z=A31)),1)),ISNUMBER(SEARCH("esophagus",_xlfn.TEXTJOIN("; ", TRUE, _xlfn._xlws.FILTER('Model output'!H:H, 'Model output'!Z:Z=A31)),1)),ISNUMBER(SEARCH("recurrent laryngeal nerve",_xlfn.TEXTJOIN("; ", TRUE, _xlfn._xlws.FILTER('Model output'!H:H, 'Model output'!Z:Z=A31)),1)),ISNUMBER(SEARCH("strap muscle",_xlfn.TEXTJOIN("; ", TRUE, _xlfn._xlws.FILTER('Model output'!H:H, 'Model output'!Z:Z=A31)),1)),ISNUMBER(SEARCH("thyroid",_xlfn.TEXTJOIN("; ", TRUE, _xlfn._xlws.FILTER('Model output'!H:H, 'Model output'!Z:Z=A31)),1)),ISNUMBER(SEARCH("RLN",_xlfn.TEXTJOIN("; ", TRUE, _xlfn._xlws.FILTER('Model output'!H:H, 'Model output'!Z:Z=A31)),1)),_xlfn.TEXTJOIN("; ", TRUE, _xlfn._xlws.FILTER('Model output'!H:H, 'Model output'!Z:Z=A31))=""),"negative","positive")</f>
        <v>negative</v>
      </c>
      <c r="L31" s="17">
        <f>IF(IFERROR(INDEX('Model output'!I:I, MATCH(A31, 'Model output'!Z:Z, 0)), "") &lt; M31, "", IFERROR(INDEX('Model output'!I:I, MATCH(A31, 'Model output'!Z:Z, 0)), ""))</f>
        <v>5</v>
      </c>
      <c r="M31" s="17">
        <f>IFERROR(INDEX('Model output'!J:J, MATCH(A31, 'Model output'!Z:Z, 0)), "")</f>
        <v>0</v>
      </c>
      <c r="N31" s="18" t="str" cm="1">
        <f t="array" ref="N31">ReplaceTo(ReplaceAnd(SUBSTITUTE(SUBSTITUTE(_xlfn.TEXTJOIN("; ", TRUE, _xlfn._xlws.FILTER('Model output'!K:K, 'Model output'!Z:Z=A31)), " ", ""), ",", ";")))</f>
        <v/>
      </c>
      <c r="O31" t="str" cm="1">
        <f t="array" ref="O31">IF(LEFT(IF(RIGHT(SUBSTITUTE(FilterWithUnits(N31)&amp; ";" &amp;FilterStringsWithNumericAnd(N31) &amp; ";" &amp; FilterStringsWithX(N31), ";;", ";"),1)=";",LEFT(SUBSTITUTE(FilterWithUnits(N31)&amp; ";" &amp;FilterStringsWithNumericAnd(N31) &amp; ";" &amp; FilterStringsWithX(N31), ";;", ";"),LEN(SUBSTITUTE(FilterWithUnits(N31)&amp; ";" &amp;FilterStringsWithNumericAnd(N31) &amp; ";" &amp; FilterStringsWithX(N31), ";;", ";"))-1),SUBSTITUTE(FilterWithUnits(N31)&amp; ";" &amp;FilterStringsWithNumericAnd(N31) &amp; ";" &amp; FilterStringsWithX(N31), ";;", ";")),1)=";",RIGHT(IF(RIGHT(SUBSTITUTE(FilterWithUnits(N31)&amp; ";" &amp;FilterStringsWithNumericAnd(N31) &amp; ";" &amp; FilterStringsWithX(N31), ";;", ";"),1)=";",LEFT(SUBSTITUTE(FilterWithUnits(N31)&amp; ";" &amp;FilterStringsWithNumericAnd(N31) &amp; ";" &amp; FilterStringsWithX(N31), ";;", ";"),LEN(SUBSTITUTE(FilterWithUnits(N31)&amp; ";" &amp;FilterStringsWithNumericAnd(N31) &amp; ";" &amp; FilterStringsWithX(N31), ";;", ";"))-1),SUBSTITUTE(FilterWithUnits(N31)&amp; ";" &amp;FilterStringsWithNumericAnd(N31) &amp; ";" &amp; FilterStringsWithX(N31), ";;", ";")),LEN(IF(RIGHT(SUBSTITUTE(FilterWithUnits(N31)&amp; ";" &amp;FilterStringsWithNumericAnd(N31) &amp; ";" &amp; FilterStringsWithX(N31), ";;", ";"),1)=";",LEFT(SUBSTITUTE(FilterWithUnits(N31)&amp; ";" &amp;FilterStringsWithNumericAnd(N31) &amp; ";" &amp; FilterStringsWithX(N31), ";;", ";"),LEN(SUBSTITUTE(FilterWithUnits(N31)&amp; ";" &amp;FilterStringsWithNumericAnd(N31) &amp; ";" &amp; FilterStringsWithX(N31), ";;", ";"))-1),SUBSTITUTE(FilterWithUnits(N31)&amp; ";" &amp;FilterStringsWithNumericAnd(N31) &amp; ";" &amp; FilterStringsWithX(N31), ";;", ";")))-1),IF(RIGHT(SUBSTITUTE(FilterWithUnits(N31)&amp; ";" &amp;FilterStringsWithNumericAnd(N31) &amp; ";" &amp; FilterStringsWithX(N31), ";;", ";"),1)=";",LEFT(SUBSTITUTE(FilterWithUnits(N31)&amp; ";" &amp;FilterStringsWithNumericAnd(N31) &amp; ";" &amp; FilterStringsWithX(N31), ";;", ";"),LEN(SUBSTITUTE(FilterWithUnits(N31)&amp; ";" &amp;FilterStringsWithNumericAnd(N31) &amp; ";" &amp; FilterStringsWithX(N31), ";;", ";"))-1),SUBSTITUTE(FilterWithUnits(N31)&amp; ";" &amp;FilterStringsWithNumericAnd(N31) &amp; ";" &amp; FilterStringsWithX(N31), ";;", ";")))</f>
        <v/>
      </c>
      <c r="P31" t="str" cm="1">
        <f t="array" ref="P31">IF(MaxSize((SplitDimensions(O31)))=0, "", MaxSize((SplitDimensions(O31))))</f>
        <v/>
      </c>
      <c r="Q31" t="str" cm="1">
        <f t="array" ref="Q31">IF(ISERROR(INDEX(_xlfn._xlws.FILTER('Model output'!L:L, ('Model output'!Z:Z=A31)*('Model output'!L:L&lt;&gt;"")), 1)), " ", LOWER(INDEX(_xlfn._xlws.FILTER('Model output'!L:L, ('Model output'!Z:Z=A31)*('Model output'!L:L&lt;&gt;"")), 1)))</f>
        <v>papillary carcinoma, classic subtype</v>
      </c>
      <c r="R31" t="str" cm="1">
        <f t="array" ref="R31">IF(ISERROR(INDEX(_xlfn._xlws.FILTER('Model output'!M:M, ('Model output'!Z:Z=A31)*('Model output'!M:M&lt;&gt;"")), 1)), " ", LOWER(INDEX(_xlfn._xlws.FILTER('Model output'!M:M, ('Model output'!Z:Z=A31)*('Model output'!M:M&lt;&gt;"")), 1)))</f>
        <v xml:space="preserve"> </v>
      </c>
      <c r="S31" t="str" cm="1">
        <f t="array" ref="S31">IF(OR(ISNUMBER(SEARCH("ly",SUBSTITUTE(INDEX(_xlfn._xlws.FILTER('Model output'!N:N,('Model output'!Z:Z=A31)*('Model output'!N:N&lt;&gt;"")),1)," ",""),1)), ISNUMBER(SEARCH("pole",SUBSTITUTE(INDEX(_xlfn._xlws.FILTER('Model output'!N:N,('Model output'!Z:Z=A31)*('Model output'!N:N&lt;&gt;"")),1)," ",""),1))),"",SUBSTITUTE(INDEX(_xlfn._xlws.FILTER('Model output'!N:N,('Model output'!Z:Z=A31)*('Model output'!N:N&lt;&gt;"")),1)," ",""))</f>
        <v>7mm(microscopicaldimension)</v>
      </c>
      <c r="T31" t="str" cm="1">
        <f t="array" ref="T31">IF(LEFT(IF(RIGHT(SUBSTITUTE(FilterWithUnits(S31)&amp; ";" &amp;FilterStringsWithNumericAnd(S31) &amp; ";" &amp; FilterStringsWithX(S31), ";;", ";"),1)=";",LEFT(SUBSTITUTE(FilterWithUnits(S31)&amp; ";" &amp;FilterStringsWithNumericAnd(S31) &amp; ";" &amp; FilterStringsWithX(S31), ";;", ";"),LEN(SUBSTITUTE(FilterWithUnits(S31)&amp; ";" &amp;FilterStringsWithNumericAnd(S31) &amp; ";" &amp; FilterStringsWithX(S31), ";;", ";"))-1),SUBSTITUTE(FilterWithUnits(S31)&amp; ";" &amp;FilterStringsWithNumericAnd(S31) &amp; ";" &amp; FilterStringsWithX(S31), ";;", ";")),1)=";",RIGHT(IF(RIGHT(SUBSTITUTE(FilterWithUnits(S31)&amp; ";" &amp;FilterStringsWithNumericAnd(S31) &amp; ";" &amp; FilterStringsWithX(S31), ";;", ";"),1)=";",LEFT(SUBSTITUTE(FilterWithUnits(S31)&amp; ";" &amp;FilterStringsWithNumericAnd(S31) &amp; ";" &amp; FilterStringsWithX(S31), ";;", ";"),LEN(SUBSTITUTE(FilterWithUnits(S31)&amp; ";" &amp;FilterStringsWithNumericAnd(S31) &amp; ";" &amp; FilterStringsWithX(S31), ";;", ";"))-1),SUBSTITUTE(FilterWithUnits(S31)&amp; ";" &amp;FilterStringsWithNumericAnd(S31) &amp; ";" &amp; FilterStringsWithX(S31), ";;", ";")),LEN(IF(RIGHT(SUBSTITUTE(FilterWithUnits(S31)&amp; ";" &amp;FilterStringsWithNumericAnd(S31) &amp; ";" &amp; FilterStringsWithX(S31), ";;", ";"),1)=";",LEFT(SUBSTITUTE(FilterWithUnits(S31)&amp; ";" &amp;FilterStringsWithNumericAnd(S31) &amp; ";" &amp; FilterStringsWithX(S31), ";;", ";"),LEN(SUBSTITUTE(FilterWithUnits(S31)&amp; ";" &amp;FilterStringsWithNumericAnd(S31) &amp; ";" &amp; FilterStringsWithX(S31), ";;", ";"))-1),SUBSTITUTE(FilterWithUnits(S31)&amp; ";" &amp;FilterStringsWithNumericAnd(S31) &amp; ";" &amp; FilterStringsWithX(S31), ";;", ";")))-1),IF(RIGHT(SUBSTITUTE(FilterWithUnits(S31)&amp; ";" &amp;FilterStringsWithNumericAnd(S31) &amp; ";" &amp; FilterStringsWithX(S31), ";;", ";"),1)=";",LEFT(SUBSTITUTE(FilterWithUnits(S31)&amp; ";" &amp;FilterStringsWithNumericAnd(S31) &amp; ";" &amp; FilterStringsWithX(S31), ";;", ";"),LEN(SUBSTITUTE(FilterWithUnits(S31)&amp; ";" &amp;FilterStringsWithNumericAnd(S31) &amp; ";" &amp; FilterStringsWithX(S31), ";;", ";"))-1),SUBSTITUTE(FilterWithUnits(S31)&amp; ";" &amp;FilterStringsWithNumericAnd(S31) &amp; ";" &amp; FilterStringsWithX(S31), ";;", ";")))</f>
        <v>7mm</v>
      </c>
      <c r="U31" cm="1">
        <f t="array" ref="U31">IF(MaxSize((SplitDimensions(T31)))=0, "", MaxSize((SplitDimensions(T31))))</f>
        <v>0.7</v>
      </c>
      <c r="V31" s="17" t="str" cm="1">
        <f t="array" ref="V31">IF(ISERROR(INDEX(_xlfn._xlws.FILTER('Model output'!P:P,('Model output'!Z:Z=A31)*('Model output'!P:P&lt;&gt;"")),1)),"negative",IF(OR(ISNUMBER(SEARCH("foc",INDEX(_xlfn._xlws.FILTER('Model output'!P:P,('Model output'!Z:Z=A31)*('Model output'!P:P&lt;&gt;"")),1),1)),ISNUMBER(SEARCH("extensive",INDEX(_xlfn._xlws.FILTER('Model output'!P:P,('Model output'!Z:Z=A31)*('Model output'!P:P&lt;&gt;"")),1),1)),ISNUMBER(SEARCH("present",INDEX(_xlfn._xlws.FILTER('Model output'!P:P,('Model output'!Z:Z=A31)*('Model output'!P:P&lt;&gt;"")),1),1)),ISNUMBER(SEARCH("yes",INDEX(_xlfn._xlws.FILTER('Model output'!P:P,('Model output'!Z:Z=A31)*('Model output'!P:P&lt;&gt;"")),1),1))),"positive","negative"))</f>
        <v>negative</v>
      </c>
      <c r="X31" t="str" cm="1">
        <f t="array" ref="X31">IF(ISNUMBER(SEARCH("4",INDEX(_xlfn._xlws.FILTER('Model output'!P:P,('Model output'!Z:Z=A31)*('Model output'!P:P&lt;&gt;"")),1),1)),INDEX(_xlfn._xlws.FILTER('Model output'!P:P,('Model output'!Z:Z=A31)*('Model output'!P:P&lt;&gt;"")),1),"") &amp; _xlfn.TEXTJOIN("",TRUE,_xlfn._xlws.FILTER('Model output'!Q:Q,'Model output'!Z:Z=A31))</f>
        <v/>
      </c>
      <c r="Y31" t="str">
        <f t="shared" si="11"/>
        <v>no</v>
      </c>
      <c r="Z31" t="str" cm="1">
        <f t="array" ref="Z31">IF(OR(ISNUMBER(SEARCH("focal",_xlfn.TEXTJOIN("; ",TRUE,_xlfn._xlws.FILTER('Model output'!R:R,'Model output'!Z:Z=A31)),1)),ISNUMBER(SEARCH("present",_xlfn.TEXTJOIN("; ",TRUE,_xlfn._xlws.FILTER('Model output'!R:R,'Model output'!Z:Z=A31)),1))),"positive",IF(_xlfn.TEXTJOIN("; ",TRUE,_xlfn._xlws.FILTER('Model output'!R:R,'Model output'!Z:Z=A31))="","negative",IF(OR(ISNUMBER(SEARCH("no",_xlfn.TEXTJOIN("; ",TRUE,_xlfn._xlws.FILTER('Model output'!R:R,'Model output'!Z:Z=A31)),1)),ISNUMBER(SEARCH("absent",_xlfn.TEXTJOIN("; ",TRUE,_xlfn._xlws.FILTER('Model output'!R:R,'Model output'!Z:Z=A31)),1))),"negative","positive")))</f>
        <v>negative</v>
      </c>
      <c r="AA31" s="17" t="str">
        <f t="shared" si="12"/>
        <v>negative</v>
      </c>
      <c r="AE31" s="17" t="str">
        <f t="shared" si="14"/>
        <v>negative</v>
      </c>
      <c r="AF31" t="str" cm="1">
        <f t="array" ref="AF31">_xlfn.TEXTJOIN("; ",TRUE,_xlfn._xlws.FILTER('Model output'!S:S,'Model output'!Z:Z=A31))</f>
        <v>Not identified</v>
      </c>
      <c r="AG31" s="17" t="str" cm="1">
        <f t="array" ref="AG31">IF(OR(ISNUMBER(SEARCH("uninvolved",_xlfn.TEXTJOIN("; ",TRUE,_xlfn._xlws.FILTER('Model output'!V:V,'Model output'!Z:Z=A31)),1)),ISNUMBER(SEARCH("clear",_xlfn.TEXTJOIN("; ",TRUE,_xlfn._xlws.FILTER('Model output'!V:V,'Model output'!Z:Z=A31)),1))*ISNUMBER(SEARCH("not mentioned",_xlfn.TEXTJOIN("; ",TRUE,_xlfn._xlws.FILTER('Model output'!V:V,'Model output'!Z:Z=A31)),1))),"negative",IF(ISNUMBER(SEARCH("cannot be assessed",_xlfn.TEXTJOIN("; ",TRUE,_xlfn._xlws.FILTER('Model output'!V:V,'Model output'!Z:Z=A31)),1)),"unknown","negative"))</f>
        <v>negative</v>
      </c>
      <c r="AI31" s="45" t="str">
        <f t="shared" si="13"/>
        <v>low</v>
      </c>
      <c r="AJ31" s="36" t="str">
        <f t="shared" si="2"/>
        <v>1a</v>
      </c>
      <c r="AK31" s="36">
        <f t="shared" si="3"/>
        <v>0</v>
      </c>
      <c r="AL31" s="36">
        <f t="shared" si="4"/>
        <v>0</v>
      </c>
      <c r="AM31" s="36" t="str">
        <f t="shared" si="5"/>
        <v>I</v>
      </c>
      <c r="AN31" s="37" t="s">
        <v>166</v>
      </c>
      <c r="AO31" s="38" t="s">
        <v>203</v>
      </c>
      <c r="AP31" s="38" t="s">
        <v>202</v>
      </c>
      <c r="AQ31" s="38">
        <v>0</v>
      </c>
      <c r="AR31" s="38" t="s">
        <v>31</v>
      </c>
      <c r="AS31" s="37">
        <f t="shared" si="6"/>
        <v>1</v>
      </c>
      <c r="AT31" s="38">
        <f t="shared" si="7"/>
        <v>1</v>
      </c>
      <c r="AU31" s="38">
        <f t="shared" si="8"/>
        <v>1</v>
      </c>
      <c r="AV31" s="38">
        <f t="shared" si="9"/>
        <v>1</v>
      </c>
      <c r="AW31" s="39">
        <f t="shared" si="10"/>
        <v>1</v>
      </c>
    </row>
    <row r="32" spans="1:49">
      <c r="A32" s="13">
        <v>30</v>
      </c>
      <c r="B32" s="16">
        <f>_xlfn.MAXIFS('Model output'!B:B,'Model output'!Z:Z,'Classification result'!$A32)</f>
        <v>45287</v>
      </c>
      <c r="C32" s="16"/>
      <c r="D32" s="16"/>
      <c r="E32" s="17">
        <f>_xlfn.MAXIFS('Model output'!C:C,'Model output'!Z:Z,'Classification result'!$A32)</f>
        <v>39</v>
      </c>
      <c r="F32" s="17" t="str" cm="1">
        <f t="array" ref="F32">LEFT(IF(ISERROR(RIGHT(IF(INDEX(_xlfn._xlws.FILTER('Model output'!D:D,('Model output'!Z:Z=A32)),1)&lt;&gt;"",INDEX(_xlfn._xlws.FILTER('Model output'!D:D,('Model output'!Z:Z=A32)),1),""),LEN(IF(INDEX(_xlfn._xlws.FILTER('Model output'!D:D,('Model output'!Z:Z=A32)),1)&lt;&gt;"",INDEX(_xlfn._xlws.FILTER('Model output'!D:D,('Model output'!Z:Z=A32)),1),""))-FIND("T",IF(INDEX(_xlfn._xlws.FILTER('Model output'!D:D,('Model output'!Z:Z=A32)),1)&lt;&gt;"",INDEX(_xlfn._xlws.FILTER('Model output'!D:D,('Model output'!Z:Z=A32)),1),""),1))),"",(RIGHT(IF(INDEX(_xlfn._xlws.FILTER('Model output'!D:D,('Model output'!Z:Z=A32)),1)&lt;&gt;"",INDEX(_xlfn._xlws.FILTER('Model output'!D:D,('Model output'!Z:Z=A32)),1),""),LEN(IF(INDEX(_xlfn._xlws.FILTER('Model output'!D:D,('Model output'!Z:Z=A32)),1)&lt;&gt;"",INDEX(_xlfn._xlws.FILTER('Model output'!D:D,('Model output'!Z:Z=A32)),1),""))-FIND("T",IF(INDEX(_xlfn._xlws.FILTER('Model output'!D:D,('Model output'!Z:Z=A32)),1)&lt;&gt;"",INDEX(_xlfn._xlws.FILTER('Model output'!D:D,('Model output'!Z:Z=A32)),1)))))),2)</f>
        <v>1b</v>
      </c>
      <c r="G32" s="17" t="str" cm="1">
        <f t="array" ref="G32">IF(ISNUMBER(SEARCH("N",IF(ISNUMBER(SEARCH("present",IF(INDEX(_xlfn._xlws.FILTER('Model output'!E:E,('Model output'!Z:Z=A32)),1)="","",INDEX(_xlfn._xlws.FILTER('Model output'!E:E,('Model output'!Z:Z=A32)),1)),1)),"N1", IF(INDEX(_xlfn._xlws.FILTER('Model output'!E:E,('Model output'!Z:Z=A32)),1)="","",INDEX(_xlfn._xlws.FILTER('Model output'!E:E,('Model output'!Z:Z=A32)),1))),1)),RIGHT(IF(ISNUMBER(SEARCH("present",IF(INDEX(_xlfn._xlws.FILTER('Model output'!E:E,('Model output'!Z:Z=A32)),1)="","",INDEX(_xlfn._xlws.FILTER('Model output'!E:E,('Model output'!Z:Z=A32)),1)),1)),"N1", IF(INDEX(_xlfn._xlws.FILTER('Model output'!E:E,('Model output'!Z:Z=A32)),1)="","",INDEX(_xlfn._xlws.FILTER('Model output'!E:E,('Model output'!Z:Z=A32)),1))),LEN(IF(ISNUMBER(SEARCH("present",IF(INDEX(_xlfn._xlws.FILTER('Model output'!E:E,('Model output'!Z:Z=A32)),1)="","",INDEX(_xlfn._xlws.FILTER('Model output'!E:E,('Model output'!Z:Z=A32)),1)),1)),"N1", IF(INDEX(_xlfn._xlws.FILTER('Model output'!E:E,('Model output'!Z:Z=A32)),1)="","",INDEX(_xlfn._xlws.FILTER('Model output'!E:E,('Model output'!Z:Z=A32)),1))))-FIND("N",IF(ISNUMBER(SEARCH("present",IF(INDEX(_xlfn._xlws.FILTER('Model output'!E:E,('Model output'!Z:Z=A32)),1)="","",INDEX(_xlfn._xlws.FILTER('Model output'!E:E,('Model output'!Z:Z=A32)),1)),1)),"N1", IF(INDEX(_xlfn._xlws.FILTER('Model output'!E:E,('Model output'!Z:Z=A32)),1)="","",INDEX(_xlfn._xlws.FILTER('Model output'!E:E,('Model output'!Z:Z=A32)),1))),1)), "")</f>
        <v/>
      </c>
      <c r="H32" s="17" cm="1">
        <f t="array" ref="H32">IF(AND(SUBSTITUTE(_xlfn.TEXTJOIN("/", TRUE, _xlfn._xlws.FILTER('Model output'!F:F, 'Model output'!Z:Z=A32)),"M", "")="", K32="negative"),0,IF(K32="positive",1,0))</f>
        <v>0</v>
      </c>
      <c r="I32" t="str">
        <f t="shared" si="0"/>
        <v>positive</v>
      </c>
      <c r="J32" t="str" cm="1">
        <f t="array" ref="J32">IF(AND(M32&gt;0, _xlfn.TEXTJOIN("; ", TRUE, _xlfn._xlws.FILTER('Model output'!G:G, 'Model output'!Z:Z=A32)) &lt;&gt;"", OR(AND(ISNUMBER(SEARCH("level", _xlfn.TEXTJOIN("; ", TRUE, _xlfn._xlws.FILTER('Model output'!G:G, 'Model output'!Z:Z=A32)),1)),OR(ISNUMBER(SEARCH(" II", _xlfn.TEXTJOIN("; ", TRUE, _xlfn._xlws.FILTER('Model output'!G:G, 'Model output'!Z:Z=A32)),1)),ISNUMBER(SEARCH("2", _xlfn.TEXTJOIN("; ", TRUE, _xlfn._xlws.FILTER('Model output'!G:G, 'Model output'!Z:Z=A32)),1)),ISNUMBER(SEARCH("two", _xlfn.TEXTJOIN("; ", TRUE, _xlfn._xlws.FILTER('Model output'!G:G, 'Model output'!Z:Z=A32)),1)),ISNUMBER(SEARCH("III", _xlfn.TEXTJOIN("; ", TRUE, _xlfn._xlws.FILTER('Model output'!G:G, 'Model output'!Z:Z=A32)),1)),ISNUMBER(SEARCH("3", _xlfn.TEXTJOIN("; ", TRUE, _xlfn._xlws.FILTER('Model output'!G:G, 'Model output'!Z:Z=A32)),1)),ISNUMBER(SEARCH("three", _xlfn.TEXTJOIN("; ", TRUE, _xlfn._xlws.FILTER('Model output'!G:G, 'Model output'!Z:Z=A32)),1)),ISNUMBER(SEARCH("IV", _xlfn.TEXTJOIN("; ", TRUE, _xlfn._xlws.FILTER('Model output'!G:G, 'Model output'!Z:Z=A32)),1)),ISNUMBER(SEARCH("4", _xlfn.TEXTJOIN("; ", TRUE, _xlfn._xlws.FILTER('Model output'!G:G, 'Model output'!Z:Z=A32)),1)),ISNUMBER(SEARCH("five", _xlfn.TEXTJOIN("; ", TRUE, _xlfn._xlws.FILTER('Model output'!G:G, 'Model output'!Z:Z=A32)),1)),ISNUMBER(SEARCH("V ", _xlfn.TEXTJOIN("; ", TRUE, _xlfn._xlws.FILTER('Model output'!G:G, 'Model output'!Z:Z=A32)),1)),ISNUMBER(SEARCH("5", _xlfn.TEXTJOIN("; ", TRUE, _xlfn._xlws.FILTER('Model output'!G:G, 'Model output'!Z:Z=A32)),1)),ISNUMBER(SEARCH("five", _xlfn.TEXTJOIN("; ", TRUE, _xlfn._xlws.FILTER('Model output'!G:G, 'Model output'!Z:Z=A32)),1)),ISNUMBER(SEARCH(" lateral", _xlfn.TEXTJOIN("; ", TRUE, _xlfn._xlws.FILTER('Model output'!G:G, 'Model output'!Z:Z=A32)),1)))),ISNUMBER(SEARCH("cervical", _xlfn.TEXTJOIN("; ", TRUE, _xlfn._xlws.FILTER('Model output'!G:G, 'Model output'!Z:Z=A32)),1)),ISNUMBER(SEARCH("jugular", _xlfn.TEXTJOIN("; ", TRUE, _xlfn._xlws.FILTER('Model output'!G:G, 'Model output'!Z:Z=A32)),1)),ISNUMBER(SEARCH("left neck", _xlfn.TEXTJOIN("; ", TRUE, _xlfn._xlws.FILTER('Model output'!G:G, 'Model output'!Z:Z=A32)),1)),ISNUMBER(SEARCH("left anterior neck", _xlfn.TEXTJOIN("; ", TRUE, _xlfn._xlws.FILTER('Model output'!G:G, 'Model output'!Z:Z=A32)),1)),ISNUMBER(SEARCH("left posterior neck", _xlfn.TEXTJOIN("; ", TRUE, _xlfn._xlws.FILTER('Model output'!G:G, 'Model output'!Z:Z=A32)),1)),ISNUMBER(SEARCH("right neck", _xlfn.TEXTJOIN("; ", TRUE, _xlfn._xlws.FILTER('Model output'!G:G, 'Model output'!Z:Z=A32)),1)),ISNUMBER(SEARCH("right anterior neck", _xlfn.TEXTJOIN("; ", TRUE, _xlfn._xlws.FILTER('Model output'!G:G, 'Model output'!Z:Z=A32)),1)),ISNUMBER(SEARCH("right posterior neck", _xlfn.TEXTJOIN("; ", TRUE, _xlfn._xlws.FILTER('Model output'!G:G, 'Model output'!Z:Z=A32)),1)))),"lateral",IF(AND(M32=0, _xlfn.TEXTJOIN("; ", TRUE, _xlfn._xlws.FILTER('Model output'!G:G, 'Model output'!Z:Z=A32))=""),"", "central"))</f>
        <v>lateral</v>
      </c>
      <c r="K32" s="17" t="str" cm="1">
        <f t="array" ref="K32">IF(OR(ISNUMBER(SEARCH("lymph",_xlfn.TEXTJOIN("; ", TRUE, _xlfn._xlws.FILTER('Model output'!H:H, 'Model output'!Z:Z=A32)),1)), ISNUMBER(SEARCH("Not mentioned",_xlfn.TEXTJOIN("; ", TRUE, _xlfn._xlws.FILTER('Model output'!H:H, 'Model output'!Z:Z=A32)),1)),ISNUMBER(SEARCH("subcutaneous soft tissues",_xlfn.TEXTJOIN("; ", TRUE, _xlfn._xlws.FILTER('Model output'!H:H, 'Model output'!Z:Z=A32)),1)),ISNUMBER(SEARCH("larynx",_xlfn.TEXTJOIN("; ", TRUE, _xlfn._xlws.FILTER('Model output'!H:H, 'Model output'!Z:Z=A32)),1)),ISNUMBER(SEARCH("trachea",_xlfn.TEXTJOIN("; ", TRUE, _xlfn._xlws.FILTER('Model output'!H:H, 'Model output'!Z:Z=A32)),1)),ISNUMBER(SEARCH("esophagus",_xlfn.TEXTJOIN("; ", TRUE, _xlfn._xlws.FILTER('Model output'!H:H, 'Model output'!Z:Z=A32)),1)),ISNUMBER(SEARCH("recurrent laryngeal nerve",_xlfn.TEXTJOIN("; ", TRUE, _xlfn._xlws.FILTER('Model output'!H:H, 'Model output'!Z:Z=A32)),1)),ISNUMBER(SEARCH("strap muscle",_xlfn.TEXTJOIN("; ", TRUE, _xlfn._xlws.FILTER('Model output'!H:H, 'Model output'!Z:Z=A32)),1)),ISNUMBER(SEARCH("thyroid",_xlfn.TEXTJOIN("; ", TRUE, _xlfn._xlws.FILTER('Model output'!H:H, 'Model output'!Z:Z=A32)),1)),ISNUMBER(SEARCH("RLN",_xlfn.TEXTJOIN("; ", TRUE, _xlfn._xlws.FILTER('Model output'!H:H, 'Model output'!Z:Z=A32)),1)),_xlfn.TEXTJOIN("; ", TRUE, _xlfn._xlws.FILTER('Model output'!H:H, 'Model output'!Z:Z=A32))=""),"negative","positive")</f>
        <v>negative</v>
      </c>
      <c r="L32" s="17">
        <f>IF(IFERROR(INDEX('Model output'!I:I, MATCH(A32, 'Model output'!Z:Z, 0)), "") &lt; M32, "", IFERROR(INDEX('Model output'!I:I, MATCH(A32, 'Model output'!Z:Z, 0)), ""))</f>
        <v>24</v>
      </c>
      <c r="M32" s="17">
        <f>IFERROR(INDEX('Model output'!J:J, MATCH(A32, 'Model output'!Z:Z, 0)), "")</f>
        <v>3</v>
      </c>
      <c r="N32" s="18" t="str" cm="1">
        <f t="array" ref="N32">ReplaceTo(ReplaceAnd(SUBSTITUTE(SUBSTITUTE(_xlfn.TEXTJOIN("; ", TRUE, _xlfn._xlws.FILTER('Model output'!K:K, 'Model output'!Z:Z=A32)), " ", ""), ",", ";")))</f>
        <v>4.5mm;Notmentioned</v>
      </c>
      <c r="O32" t="str" cm="1">
        <f t="array" ref="O32">IF(LEFT(IF(RIGHT(SUBSTITUTE(FilterWithUnits(N32)&amp; ";" &amp;FilterStringsWithNumericAnd(N32) &amp; ";" &amp; FilterStringsWithX(N32), ";;", ";"),1)=";",LEFT(SUBSTITUTE(FilterWithUnits(N32)&amp; ";" &amp;FilterStringsWithNumericAnd(N32) &amp; ";" &amp; FilterStringsWithX(N32), ";;", ";"),LEN(SUBSTITUTE(FilterWithUnits(N32)&amp; ";" &amp;FilterStringsWithNumericAnd(N32) &amp; ";" &amp; FilterStringsWithX(N32), ";;", ";"))-1),SUBSTITUTE(FilterWithUnits(N32)&amp; ";" &amp;FilterStringsWithNumericAnd(N32) &amp; ";" &amp; FilterStringsWithX(N32), ";;", ";")),1)=";",RIGHT(IF(RIGHT(SUBSTITUTE(FilterWithUnits(N32)&amp; ";" &amp;FilterStringsWithNumericAnd(N32) &amp; ";" &amp; FilterStringsWithX(N32), ";;", ";"),1)=";",LEFT(SUBSTITUTE(FilterWithUnits(N32)&amp; ";" &amp;FilterStringsWithNumericAnd(N32) &amp; ";" &amp; FilterStringsWithX(N32), ";;", ";"),LEN(SUBSTITUTE(FilterWithUnits(N32)&amp; ";" &amp;FilterStringsWithNumericAnd(N32) &amp; ";" &amp; FilterStringsWithX(N32), ";;", ";"))-1),SUBSTITUTE(FilterWithUnits(N32)&amp; ";" &amp;FilterStringsWithNumericAnd(N32) &amp; ";" &amp; FilterStringsWithX(N32), ";;", ";")),LEN(IF(RIGHT(SUBSTITUTE(FilterWithUnits(N32)&amp; ";" &amp;FilterStringsWithNumericAnd(N32) &amp; ";" &amp; FilterStringsWithX(N32), ";;", ";"),1)=";",LEFT(SUBSTITUTE(FilterWithUnits(N32)&amp; ";" &amp;FilterStringsWithNumericAnd(N32) &amp; ";" &amp; FilterStringsWithX(N32), ";;", ";"),LEN(SUBSTITUTE(FilterWithUnits(N32)&amp; ";" &amp;FilterStringsWithNumericAnd(N32) &amp; ";" &amp; FilterStringsWithX(N32), ";;", ";"))-1),SUBSTITUTE(FilterWithUnits(N32)&amp; ";" &amp;FilterStringsWithNumericAnd(N32) &amp; ";" &amp; FilterStringsWithX(N32), ";;", ";")))-1),IF(RIGHT(SUBSTITUTE(FilterWithUnits(N32)&amp; ";" &amp;FilterStringsWithNumericAnd(N32) &amp; ";" &amp; FilterStringsWithX(N32), ";;", ";"),1)=";",LEFT(SUBSTITUTE(FilterWithUnits(N32)&amp; ";" &amp;FilterStringsWithNumericAnd(N32) &amp; ";" &amp; FilterStringsWithX(N32), ";;", ";"),LEN(SUBSTITUTE(FilterWithUnits(N32)&amp; ";" &amp;FilterStringsWithNumericAnd(N32) &amp; ";" &amp; FilterStringsWithX(N32), ";;", ";"))-1),SUBSTITUTE(FilterWithUnits(N32)&amp; ";" &amp;FilterStringsWithNumericAnd(N32) &amp; ";" &amp; FilterStringsWithX(N32), ";;", ";")))</f>
        <v>4.5mm</v>
      </c>
      <c r="P32" cm="1">
        <f t="array" ref="P32">IF(MaxSize((SplitDimensions(O32)))=0, "", MaxSize((SplitDimensions(O32))))</f>
        <v>0.45</v>
      </c>
      <c r="Q32" t="str" cm="1">
        <f t="array" ref="Q32">IF(ISERROR(INDEX(_xlfn._xlws.FILTER('Model output'!L:L, ('Model output'!Z:Z=A32)*('Model output'!L:L&lt;&gt;"")), 1)), " ", LOWER(INDEX(_xlfn._xlws.FILTER('Model output'!L:L, ('Model output'!Z:Z=A32)*('Model output'!L:L&lt;&gt;"")), 1)))</f>
        <v>papillary carcinoma</v>
      </c>
      <c r="R32" t="str" cm="1">
        <f t="array" ref="R32">IF(ISERROR(INDEX(_xlfn._xlws.FILTER('Model output'!M:M, ('Model output'!Z:Z=A32)*('Model output'!M:M&lt;&gt;"")), 1)), " ", LOWER(INDEX(_xlfn._xlws.FILTER('Model output'!M:M, ('Model output'!Z:Z=A32)*('Model output'!M:M&lt;&gt;"")), 1)))</f>
        <v>infiltrative follicular</v>
      </c>
      <c r="S32" t="str" cm="1">
        <f t="array" ref="S32">IF(OR(ISNUMBER(SEARCH("ly",SUBSTITUTE(INDEX(_xlfn._xlws.FILTER('Model output'!N:N,('Model output'!Z:Z=A32)*('Model output'!N:N&lt;&gt;"")),1)," ",""),1)), ISNUMBER(SEARCH("pole",SUBSTITUTE(INDEX(_xlfn._xlws.FILTER('Model output'!N:N,('Model output'!Z:Z=A32)*('Model output'!N:N&lt;&gt;"")),1)," ",""),1))),"",SUBSTITUTE(INDEX(_xlfn._xlws.FILTER('Model output'!N:N,('Model output'!Z:Z=A32)*('Model output'!N:N&lt;&gt;"")),1)," ",""))</f>
        <v>12mm</v>
      </c>
      <c r="T32" t="str" cm="1">
        <f t="array" ref="T32">IF(LEFT(IF(RIGHT(SUBSTITUTE(FilterWithUnits(S32)&amp; ";" &amp;FilterStringsWithNumericAnd(S32) &amp; ";" &amp; FilterStringsWithX(S32), ";;", ";"),1)=";",LEFT(SUBSTITUTE(FilterWithUnits(S32)&amp; ";" &amp;FilterStringsWithNumericAnd(S32) &amp; ";" &amp; FilterStringsWithX(S32), ";;", ";"),LEN(SUBSTITUTE(FilterWithUnits(S32)&amp; ";" &amp;FilterStringsWithNumericAnd(S32) &amp; ";" &amp; FilterStringsWithX(S32), ";;", ";"))-1),SUBSTITUTE(FilterWithUnits(S32)&amp; ";" &amp;FilterStringsWithNumericAnd(S32) &amp; ";" &amp; FilterStringsWithX(S32), ";;", ";")),1)=";",RIGHT(IF(RIGHT(SUBSTITUTE(FilterWithUnits(S32)&amp; ";" &amp;FilterStringsWithNumericAnd(S32) &amp; ";" &amp; FilterStringsWithX(S32), ";;", ";"),1)=";",LEFT(SUBSTITUTE(FilterWithUnits(S32)&amp; ";" &amp;FilterStringsWithNumericAnd(S32) &amp; ";" &amp; FilterStringsWithX(S32), ";;", ";"),LEN(SUBSTITUTE(FilterWithUnits(S32)&amp; ";" &amp;FilterStringsWithNumericAnd(S32) &amp; ";" &amp; FilterStringsWithX(S32), ";;", ";"))-1),SUBSTITUTE(FilterWithUnits(S32)&amp; ";" &amp;FilterStringsWithNumericAnd(S32) &amp; ";" &amp; FilterStringsWithX(S32), ";;", ";")),LEN(IF(RIGHT(SUBSTITUTE(FilterWithUnits(S32)&amp; ";" &amp;FilterStringsWithNumericAnd(S32) &amp; ";" &amp; FilterStringsWithX(S32), ";;", ";"),1)=";",LEFT(SUBSTITUTE(FilterWithUnits(S32)&amp; ";" &amp;FilterStringsWithNumericAnd(S32) &amp; ";" &amp; FilterStringsWithX(S32), ";;", ";"),LEN(SUBSTITUTE(FilterWithUnits(S32)&amp; ";" &amp;FilterStringsWithNumericAnd(S32) &amp; ";" &amp; FilterStringsWithX(S32), ";;", ";"))-1),SUBSTITUTE(FilterWithUnits(S32)&amp; ";" &amp;FilterStringsWithNumericAnd(S32) &amp; ";" &amp; FilterStringsWithX(S32), ";;", ";")))-1),IF(RIGHT(SUBSTITUTE(FilterWithUnits(S32)&amp; ";" &amp;FilterStringsWithNumericAnd(S32) &amp; ";" &amp; FilterStringsWithX(S32), ";;", ";"),1)=";",LEFT(SUBSTITUTE(FilterWithUnits(S32)&amp; ";" &amp;FilterStringsWithNumericAnd(S32) &amp; ";" &amp; FilterStringsWithX(S32), ";;", ";"),LEN(SUBSTITUTE(FilterWithUnits(S32)&amp; ";" &amp;FilterStringsWithNumericAnd(S32) &amp; ";" &amp; FilterStringsWithX(S32), ";;", ";"))-1),SUBSTITUTE(FilterWithUnits(S32)&amp; ";" &amp;FilterStringsWithNumericAnd(S32) &amp; ";" &amp; FilterStringsWithX(S32), ";;", ";")))</f>
        <v>12mm</v>
      </c>
      <c r="U32" cm="1">
        <f t="array" ref="U32">IF(MaxSize((SplitDimensions(T32)))=0, "", MaxSize((SplitDimensions(T32))))</f>
        <v>1.2</v>
      </c>
      <c r="V32" s="17" t="str" cm="1">
        <f t="array" ref="V32">IF(ISERROR(INDEX(_xlfn._xlws.FILTER('Model output'!P:P,('Model output'!Z:Z=A32)*('Model output'!P:P&lt;&gt;"")),1)),"negative",IF(OR(ISNUMBER(SEARCH("foc",INDEX(_xlfn._xlws.FILTER('Model output'!P:P,('Model output'!Z:Z=A32)*('Model output'!P:P&lt;&gt;"")),1),1)),ISNUMBER(SEARCH("extensive",INDEX(_xlfn._xlws.FILTER('Model output'!P:P,('Model output'!Z:Z=A32)*('Model output'!P:P&lt;&gt;"")),1),1)),ISNUMBER(SEARCH("present",INDEX(_xlfn._xlws.FILTER('Model output'!P:P,('Model output'!Z:Z=A32)*('Model output'!P:P&lt;&gt;"")),1),1)),ISNUMBER(SEARCH("yes",INDEX(_xlfn._xlws.FILTER('Model output'!P:P,('Model output'!Z:Z=A32)*('Model output'!P:P&lt;&gt;"")),1),1))),"positive","negative"))</f>
        <v>positive</v>
      </c>
      <c r="X32" t="str" cm="1">
        <f t="array" ref="X32">IF(ISNUMBER(SEARCH("4",INDEX(_xlfn._xlws.FILTER('Model output'!P:P,('Model output'!Z:Z=A32)*('Model output'!P:P&lt;&gt;"")),1),1)),INDEX(_xlfn._xlws.FILTER('Model output'!P:P,('Model output'!Z:Z=A32)*('Model output'!P:P&lt;&gt;"")),1),"") &amp; _xlfn.TEXTJOIN("",TRUE,_xlfn._xlws.FILTER('Model output'!Q:Q,'Model output'!Z:Z=A32))</f>
        <v>Not mentioned</v>
      </c>
      <c r="Y32" t="str">
        <f t="shared" si="11"/>
        <v>minimal</v>
      </c>
      <c r="Z32" t="str" cm="1">
        <f t="array" ref="Z32">IF(OR(ISNUMBER(SEARCH("focal",_xlfn.TEXTJOIN("; ",TRUE,_xlfn._xlws.FILTER('Model output'!R:R,'Model output'!Z:Z=A32)),1)),ISNUMBER(SEARCH("present",_xlfn.TEXTJOIN("; ",TRUE,_xlfn._xlws.FILTER('Model output'!R:R,'Model output'!Z:Z=A32)),1))),"positive",IF(_xlfn.TEXTJOIN("; ",TRUE,_xlfn._xlws.FILTER('Model output'!R:R,'Model output'!Z:Z=A32))="","negative",IF(OR(ISNUMBER(SEARCH("no",_xlfn.TEXTJOIN("; ",TRUE,_xlfn._xlws.FILTER('Model output'!R:R,'Model output'!Z:Z=A32)),1)),ISNUMBER(SEARCH("absent",_xlfn.TEXTJOIN("; ",TRUE,_xlfn._xlws.FILTER('Model output'!R:R,'Model output'!Z:Z=A32)),1))),"negative","positive")))</f>
        <v>negative</v>
      </c>
      <c r="AA32" s="17" t="str">
        <f t="shared" si="12"/>
        <v>negative</v>
      </c>
      <c r="AE32" s="17" t="str">
        <f t="shared" si="14"/>
        <v>negative</v>
      </c>
      <c r="AF32" t="str" cm="1">
        <f t="array" ref="AF32">_xlfn.TEXTJOIN("; ",TRUE,_xlfn._xlws.FILTER('Model output'!S:S,'Model output'!Z:Z=A32))</f>
        <v>Not identified; Not mentioned</v>
      </c>
      <c r="AG32" s="17" t="str" cm="1">
        <f t="array" ref="AG32">IF(OR(ISNUMBER(SEARCH("uninvolved",_xlfn.TEXTJOIN("; ",TRUE,_xlfn._xlws.FILTER('Model output'!V:V,'Model output'!Z:Z=A32)),1)),ISNUMBER(SEARCH("clear",_xlfn.TEXTJOIN("; ",TRUE,_xlfn._xlws.FILTER('Model output'!V:V,'Model output'!Z:Z=A32)),1))*ISNUMBER(SEARCH("not mentioned",_xlfn.TEXTJOIN("; ",TRUE,_xlfn._xlws.FILTER('Model output'!V:V,'Model output'!Z:Z=A32)),1))),"negative",IF(ISNUMBER(SEARCH("cannot be assessed",_xlfn.TEXTJOIN("; ",TRUE,_xlfn._xlws.FILTER('Model output'!V:V,'Model output'!Z:Z=A32)),1)),"unknown","negative"))</f>
        <v>negative</v>
      </c>
      <c r="AI32" s="45" t="str">
        <f t="shared" si="13"/>
        <v>intermediate</v>
      </c>
      <c r="AJ32" s="36" t="str">
        <f t="shared" ref="AJ32:AJ37" si="15">IF(OR(ISNUMBER(SEARCH("non-invasive follicular",Q32)),ISNUMBER(SEARCH("papillary-like nuclear features",Q32)),ISNUMBER(SEARCH("non-invasive follicular",R32)),ISNUMBER(SEARCH("papillary-like nuclear features",R32))),"NIFTP", IF(OR(F32="4b",AND(AE32="positive",OR(ISNUMBER(SEARCH("prevertebral",AF32)),ISNUMBER(SEARCH("fascia",AF32)),ISNUMBER(SEARCH("carotid artery",AF32)),ISNUMBER(SEARCH("mediastinal",AF32))))),"4b",IF(OR(F32="4a",AND(AE32="positive",OR(ISNUMBER(SEARCH("soft tissue",AF32)),ISNUMBER(SEARCH("larynx",AF32)),ISNUMBER(SEARCH("trachea",AF32)),ISNUMBER(SEARCH("esophagus",AF32)),ISNUMBER(SEARCH("recurrent laryngeal nerve",AF32)),ISNUMBER(SEARCH("RLN",AF32))))),"4a", IF(OR(F32="3b", AE32="positive",ISNUMBER(SEARCH("strap",AF32)),ISNUMBER(SEARCH("sternothyroid",AF32)),ISNUMBER(SEARCH("sternohyoid",AF32)),ISNUMBER(SEARCH("thyrohyoid",AF32)),ISNUMBER(SEARCH("omohyoid",AF32))),"3b",IF(OR(F32="3a", AND(U32&lt;&gt;"",U32&gt;4)),"3a",IF(AND(U32&lt;&gt;"", U32&lt;=4,U32&gt;2),"2",IF(AND(U32&lt;&gt;"",U32&lt;=2,U32&gt;1),"1b",IF(AND(U32&lt;&gt;"",U32&lt;=1),"1a","1a"))))))))</f>
        <v>1b</v>
      </c>
      <c r="AK32" s="36" t="str">
        <f t="shared" si="3"/>
        <v>1b</v>
      </c>
      <c r="AL32" s="36">
        <f t="shared" si="4"/>
        <v>0</v>
      </c>
      <c r="AM32" s="36" t="str">
        <f t="shared" si="5"/>
        <v>I</v>
      </c>
      <c r="AN32" s="37" t="s">
        <v>164</v>
      </c>
      <c r="AO32" s="38" t="s">
        <v>201</v>
      </c>
      <c r="AP32" s="38" t="s">
        <v>201</v>
      </c>
      <c r="AQ32" s="38">
        <v>0</v>
      </c>
      <c r="AR32" s="38" t="s">
        <v>31</v>
      </c>
      <c r="AS32" s="37">
        <f t="shared" si="6"/>
        <v>1</v>
      </c>
      <c r="AT32" s="38">
        <f t="shared" si="7"/>
        <v>1</v>
      </c>
      <c r="AU32" s="38">
        <f t="shared" si="8"/>
        <v>1</v>
      </c>
      <c r="AV32" s="38">
        <f t="shared" si="9"/>
        <v>1</v>
      </c>
      <c r="AW32" s="39">
        <f t="shared" si="10"/>
        <v>1</v>
      </c>
    </row>
    <row r="33" spans="1:50">
      <c r="A33" s="13">
        <v>31</v>
      </c>
      <c r="B33" s="16">
        <f>_xlfn.MAXIFS('Model output'!B:B,'Model output'!Z:Z,'Classification result'!$A33)</f>
        <v>43304</v>
      </c>
      <c r="C33" s="16"/>
      <c r="D33" s="16"/>
      <c r="E33" s="17">
        <f>_xlfn.MAXIFS('Model output'!C:C,'Model output'!Z:Z,'Classification result'!$A33)</f>
        <v>60</v>
      </c>
      <c r="F33" s="17" t="str" cm="1">
        <f t="array" ref="F33">LEFT(IF(ISERROR(RIGHT(IF(INDEX(_xlfn._xlws.FILTER('Model output'!D:D,('Model output'!Z:Z=A33)),1)&lt;&gt;"",INDEX(_xlfn._xlws.FILTER('Model output'!D:D,('Model output'!Z:Z=A33)),1),""),LEN(IF(INDEX(_xlfn._xlws.FILTER('Model output'!D:D,('Model output'!Z:Z=A33)),1)&lt;&gt;"",INDEX(_xlfn._xlws.FILTER('Model output'!D:D,('Model output'!Z:Z=A33)),1),""))-FIND("T",IF(INDEX(_xlfn._xlws.FILTER('Model output'!D:D,('Model output'!Z:Z=A33)),1)&lt;&gt;"",INDEX(_xlfn._xlws.FILTER('Model output'!D:D,('Model output'!Z:Z=A33)),1),""),1))),"",(RIGHT(IF(INDEX(_xlfn._xlws.FILTER('Model output'!D:D,('Model output'!Z:Z=A33)),1)&lt;&gt;"",INDEX(_xlfn._xlws.FILTER('Model output'!D:D,('Model output'!Z:Z=A33)),1),""),LEN(IF(INDEX(_xlfn._xlws.FILTER('Model output'!D:D,('Model output'!Z:Z=A33)),1)&lt;&gt;"",INDEX(_xlfn._xlws.FILTER('Model output'!D:D,('Model output'!Z:Z=A33)),1),""))-FIND("T",IF(INDEX(_xlfn._xlws.FILTER('Model output'!D:D,('Model output'!Z:Z=A33)),1)&lt;&gt;"",INDEX(_xlfn._xlws.FILTER('Model output'!D:D,('Model output'!Z:Z=A33)),1)))))),2)</f>
        <v/>
      </c>
      <c r="G33" s="17" t="str" cm="1">
        <f t="array" ref="G33">IF(ISNUMBER(SEARCH("N",IF(ISNUMBER(SEARCH("present",IF(INDEX(_xlfn._xlws.FILTER('Model output'!E:E,('Model output'!Z:Z=A33)),1)="","",INDEX(_xlfn._xlws.FILTER('Model output'!E:E,('Model output'!Z:Z=A33)),1)),1)),"N1", IF(INDEX(_xlfn._xlws.FILTER('Model output'!E:E,('Model output'!Z:Z=A33)),1)="","",INDEX(_xlfn._xlws.FILTER('Model output'!E:E,('Model output'!Z:Z=A33)),1))),1)),RIGHT(IF(ISNUMBER(SEARCH("present",IF(INDEX(_xlfn._xlws.FILTER('Model output'!E:E,('Model output'!Z:Z=A33)),1)="","",INDEX(_xlfn._xlws.FILTER('Model output'!E:E,('Model output'!Z:Z=A33)),1)),1)),"N1", IF(INDEX(_xlfn._xlws.FILTER('Model output'!E:E,('Model output'!Z:Z=A33)),1)="","",INDEX(_xlfn._xlws.FILTER('Model output'!E:E,('Model output'!Z:Z=A33)),1))),LEN(IF(ISNUMBER(SEARCH("present",IF(INDEX(_xlfn._xlws.FILTER('Model output'!E:E,('Model output'!Z:Z=A33)),1)="","",INDEX(_xlfn._xlws.FILTER('Model output'!E:E,('Model output'!Z:Z=A33)),1)),1)),"N1", IF(INDEX(_xlfn._xlws.FILTER('Model output'!E:E,('Model output'!Z:Z=A33)),1)="","",INDEX(_xlfn._xlws.FILTER('Model output'!E:E,('Model output'!Z:Z=A33)),1))))-FIND("N",IF(ISNUMBER(SEARCH("present",IF(INDEX(_xlfn._xlws.FILTER('Model output'!E:E,('Model output'!Z:Z=A33)),1)="","",INDEX(_xlfn._xlws.FILTER('Model output'!E:E,('Model output'!Z:Z=A33)),1)),1)),"N1", IF(INDEX(_xlfn._xlws.FILTER('Model output'!E:E,('Model output'!Z:Z=A33)),1)="","",INDEX(_xlfn._xlws.FILTER('Model output'!E:E,('Model output'!Z:Z=A33)),1))),1)), "")</f>
        <v/>
      </c>
      <c r="H33" s="17" cm="1">
        <f t="array" ref="H33">IF(AND(SUBSTITUTE(_xlfn.TEXTJOIN("/", TRUE, _xlfn._xlws.FILTER('Model output'!F:F, 'Model output'!Z:Z=A33)),"M", "")="", K33="negative"),0,IF(K33="positive",1,0))</f>
        <v>0</v>
      </c>
      <c r="I33" t="str">
        <f t="shared" si="0"/>
        <v>positive</v>
      </c>
      <c r="J33" t="str" cm="1">
        <f t="array" ref="J33">IF(AND(M33&gt;0, _xlfn.TEXTJOIN("; ", TRUE, _xlfn._xlws.FILTER('Model output'!G:G, 'Model output'!Z:Z=A33)) &lt;&gt;"", OR(AND(ISNUMBER(SEARCH("level", _xlfn.TEXTJOIN("; ", TRUE, _xlfn._xlws.FILTER('Model output'!G:G, 'Model output'!Z:Z=A33)),1)),OR(ISNUMBER(SEARCH(" II", _xlfn.TEXTJOIN("; ", TRUE, _xlfn._xlws.FILTER('Model output'!G:G, 'Model output'!Z:Z=A33)),1)),ISNUMBER(SEARCH("2", _xlfn.TEXTJOIN("; ", TRUE, _xlfn._xlws.FILTER('Model output'!G:G, 'Model output'!Z:Z=A33)),1)),ISNUMBER(SEARCH("two", _xlfn.TEXTJOIN("; ", TRUE, _xlfn._xlws.FILTER('Model output'!G:G, 'Model output'!Z:Z=A33)),1)),ISNUMBER(SEARCH("III", _xlfn.TEXTJOIN("; ", TRUE, _xlfn._xlws.FILTER('Model output'!G:G, 'Model output'!Z:Z=A33)),1)),ISNUMBER(SEARCH("3", _xlfn.TEXTJOIN("; ", TRUE, _xlfn._xlws.FILTER('Model output'!G:G, 'Model output'!Z:Z=A33)),1)),ISNUMBER(SEARCH("three", _xlfn.TEXTJOIN("; ", TRUE, _xlfn._xlws.FILTER('Model output'!G:G, 'Model output'!Z:Z=A33)),1)),ISNUMBER(SEARCH("IV", _xlfn.TEXTJOIN("; ", TRUE, _xlfn._xlws.FILTER('Model output'!G:G, 'Model output'!Z:Z=A33)),1)),ISNUMBER(SEARCH("4", _xlfn.TEXTJOIN("; ", TRUE, _xlfn._xlws.FILTER('Model output'!G:G, 'Model output'!Z:Z=A33)),1)),ISNUMBER(SEARCH("five", _xlfn.TEXTJOIN("; ", TRUE, _xlfn._xlws.FILTER('Model output'!G:G, 'Model output'!Z:Z=A33)),1)),ISNUMBER(SEARCH("V ", _xlfn.TEXTJOIN("; ", TRUE, _xlfn._xlws.FILTER('Model output'!G:G, 'Model output'!Z:Z=A33)),1)),ISNUMBER(SEARCH("5", _xlfn.TEXTJOIN("; ", TRUE, _xlfn._xlws.FILTER('Model output'!G:G, 'Model output'!Z:Z=A33)),1)),ISNUMBER(SEARCH("five", _xlfn.TEXTJOIN("; ", TRUE, _xlfn._xlws.FILTER('Model output'!G:G, 'Model output'!Z:Z=A33)),1)),ISNUMBER(SEARCH(" lateral", _xlfn.TEXTJOIN("; ", TRUE, _xlfn._xlws.FILTER('Model output'!G:G, 'Model output'!Z:Z=A33)),1)))),ISNUMBER(SEARCH("cervical", _xlfn.TEXTJOIN("; ", TRUE, _xlfn._xlws.FILTER('Model output'!G:G, 'Model output'!Z:Z=A33)),1)),ISNUMBER(SEARCH("jugular", _xlfn.TEXTJOIN("; ", TRUE, _xlfn._xlws.FILTER('Model output'!G:G, 'Model output'!Z:Z=A33)),1)),ISNUMBER(SEARCH("left neck", _xlfn.TEXTJOIN("; ", TRUE, _xlfn._xlws.FILTER('Model output'!G:G, 'Model output'!Z:Z=A33)),1)),ISNUMBER(SEARCH("left anterior neck", _xlfn.TEXTJOIN("; ", TRUE, _xlfn._xlws.FILTER('Model output'!G:G, 'Model output'!Z:Z=A33)),1)),ISNUMBER(SEARCH("left posterior neck", _xlfn.TEXTJOIN("; ", TRUE, _xlfn._xlws.FILTER('Model output'!G:G, 'Model output'!Z:Z=A33)),1)),ISNUMBER(SEARCH("right neck", _xlfn.TEXTJOIN("; ", TRUE, _xlfn._xlws.FILTER('Model output'!G:G, 'Model output'!Z:Z=A33)),1)),ISNUMBER(SEARCH("right anterior neck", _xlfn.TEXTJOIN("; ", TRUE, _xlfn._xlws.FILTER('Model output'!G:G, 'Model output'!Z:Z=A33)),1)),ISNUMBER(SEARCH("right posterior neck", _xlfn.TEXTJOIN("; ", TRUE, _xlfn._xlws.FILTER('Model output'!G:G, 'Model output'!Z:Z=A33)),1)))),"lateral",IF(AND(M33=0, _xlfn.TEXTJOIN("; ", TRUE, _xlfn._xlws.FILTER('Model output'!G:G, 'Model output'!Z:Z=A33))=""),"", "central"))</f>
        <v>central</v>
      </c>
      <c r="K33" s="17" t="str" cm="1">
        <f t="array" ref="K33">IF(OR(ISNUMBER(SEARCH("lymph",_xlfn.TEXTJOIN("; ", TRUE, _xlfn._xlws.FILTER('Model output'!H:H, 'Model output'!Z:Z=A33)),1)), ISNUMBER(SEARCH("Not mentioned",_xlfn.TEXTJOIN("; ", TRUE, _xlfn._xlws.FILTER('Model output'!H:H, 'Model output'!Z:Z=A33)),1)),ISNUMBER(SEARCH("subcutaneous soft tissues",_xlfn.TEXTJOIN("; ", TRUE, _xlfn._xlws.FILTER('Model output'!H:H, 'Model output'!Z:Z=A33)),1)),ISNUMBER(SEARCH("larynx",_xlfn.TEXTJOIN("; ", TRUE, _xlfn._xlws.FILTER('Model output'!H:H, 'Model output'!Z:Z=A33)),1)),ISNUMBER(SEARCH("trachea",_xlfn.TEXTJOIN("; ", TRUE, _xlfn._xlws.FILTER('Model output'!H:H, 'Model output'!Z:Z=A33)),1)),ISNUMBER(SEARCH("esophagus",_xlfn.TEXTJOIN("; ", TRUE, _xlfn._xlws.FILTER('Model output'!H:H, 'Model output'!Z:Z=A33)),1)),ISNUMBER(SEARCH("recurrent laryngeal nerve",_xlfn.TEXTJOIN("; ", TRUE, _xlfn._xlws.FILTER('Model output'!H:H, 'Model output'!Z:Z=A33)),1)),ISNUMBER(SEARCH("strap muscle",_xlfn.TEXTJOIN("; ", TRUE, _xlfn._xlws.FILTER('Model output'!H:H, 'Model output'!Z:Z=A33)),1)),ISNUMBER(SEARCH("thyroid",_xlfn.TEXTJOIN("; ", TRUE, _xlfn._xlws.FILTER('Model output'!H:H, 'Model output'!Z:Z=A33)),1)),ISNUMBER(SEARCH("RLN",_xlfn.TEXTJOIN("; ", TRUE, _xlfn._xlws.FILTER('Model output'!H:H, 'Model output'!Z:Z=A33)),1)),_xlfn.TEXTJOIN("; ", TRUE, _xlfn._xlws.FILTER('Model output'!H:H, 'Model output'!Z:Z=A33))=""),"negative","positive")</f>
        <v>negative</v>
      </c>
      <c r="L33" s="17">
        <f>IF(IFERROR(INDEX('Model output'!I:I, MATCH(A33, 'Model output'!Z:Z, 0)), "") &lt; M33, "", IFERROR(INDEX('Model output'!I:I, MATCH(A33, 'Model output'!Z:Z, 0)), ""))</f>
        <v>1</v>
      </c>
      <c r="M33" s="17">
        <f>IFERROR(INDEX('Model output'!J:J, MATCH(A33, 'Model output'!Z:Z, 0)), "")</f>
        <v>1</v>
      </c>
      <c r="N33" s="18" t="str" cm="1">
        <f t="array" ref="N33">ReplaceTo(ReplaceAnd(SUBSTITUTE(SUBSTITUTE(_xlfn.TEXTJOIN("; ", TRUE, _xlfn._xlws.FILTER('Model output'!K:K, 'Model output'!Z:Z=A33)), " ", ""), ",", ";")))</f>
        <v>4mm</v>
      </c>
      <c r="O33" t="str" cm="1">
        <f t="array" ref="O33">IF(LEFT(IF(RIGHT(SUBSTITUTE(FilterWithUnits(N33)&amp; ";" &amp;FilterStringsWithNumericAnd(N33) &amp; ";" &amp; FilterStringsWithX(N33), ";;", ";"),1)=";",LEFT(SUBSTITUTE(FilterWithUnits(N33)&amp; ";" &amp;FilterStringsWithNumericAnd(N33) &amp; ";" &amp; FilterStringsWithX(N33), ";;", ";"),LEN(SUBSTITUTE(FilterWithUnits(N33)&amp; ";" &amp;FilterStringsWithNumericAnd(N33) &amp; ";" &amp; FilterStringsWithX(N33), ";;", ";"))-1),SUBSTITUTE(FilterWithUnits(N33)&amp; ";" &amp;FilterStringsWithNumericAnd(N33) &amp; ";" &amp; FilterStringsWithX(N33), ";;", ";")),1)=";",RIGHT(IF(RIGHT(SUBSTITUTE(FilterWithUnits(N33)&amp; ";" &amp;FilterStringsWithNumericAnd(N33) &amp; ";" &amp; FilterStringsWithX(N33), ";;", ";"),1)=";",LEFT(SUBSTITUTE(FilterWithUnits(N33)&amp; ";" &amp;FilterStringsWithNumericAnd(N33) &amp; ";" &amp; FilterStringsWithX(N33), ";;", ";"),LEN(SUBSTITUTE(FilterWithUnits(N33)&amp; ";" &amp;FilterStringsWithNumericAnd(N33) &amp; ";" &amp; FilterStringsWithX(N33), ";;", ";"))-1),SUBSTITUTE(FilterWithUnits(N33)&amp; ";" &amp;FilterStringsWithNumericAnd(N33) &amp; ";" &amp; FilterStringsWithX(N33), ";;", ";")),LEN(IF(RIGHT(SUBSTITUTE(FilterWithUnits(N33)&amp; ";" &amp;FilterStringsWithNumericAnd(N33) &amp; ";" &amp; FilterStringsWithX(N33), ";;", ";"),1)=";",LEFT(SUBSTITUTE(FilterWithUnits(N33)&amp; ";" &amp;FilterStringsWithNumericAnd(N33) &amp; ";" &amp; FilterStringsWithX(N33), ";;", ";"),LEN(SUBSTITUTE(FilterWithUnits(N33)&amp; ";" &amp;FilterStringsWithNumericAnd(N33) &amp; ";" &amp; FilterStringsWithX(N33), ";;", ";"))-1),SUBSTITUTE(FilterWithUnits(N33)&amp; ";" &amp;FilterStringsWithNumericAnd(N33) &amp; ";" &amp; FilterStringsWithX(N33), ";;", ";")))-1),IF(RIGHT(SUBSTITUTE(FilterWithUnits(N33)&amp; ";" &amp;FilterStringsWithNumericAnd(N33) &amp; ";" &amp; FilterStringsWithX(N33), ";;", ";"),1)=";",LEFT(SUBSTITUTE(FilterWithUnits(N33)&amp; ";" &amp;FilterStringsWithNumericAnd(N33) &amp; ";" &amp; FilterStringsWithX(N33), ";;", ";"),LEN(SUBSTITUTE(FilterWithUnits(N33)&amp; ";" &amp;FilterStringsWithNumericAnd(N33) &amp; ";" &amp; FilterStringsWithX(N33), ";;", ";"))-1),SUBSTITUTE(FilterWithUnits(N33)&amp; ";" &amp;FilterStringsWithNumericAnd(N33) &amp; ";" &amp; FilterStringsWithX(N33), ";;", ";")))</f>
        <v>4mm</v>
      </c>
      <c r="P33" cm="1">
        <f t="array" ref="P33">IF(MaxSize((SplitDimensions(O33)))=0, "", MaxSize((SplitDimensions(O33))))</f>
        <v>0.4</v>
      </c>
      <c r="Q33" t="str" cm="1">
        <f t="array" ref="Q33">IF(ISERROR(INDEX(_xlfn._xlws.FILTER('Model output'!L:L, ('Model output'!Z:Z=A33)*('Model output'!L:L&lt;&gt;"")), 1)), " ", LOWER(INDEX(_xlfn._xlws.FILTER('Model output'!L:L, ('Model output'!Z:Z=A33)*('Model output'!L:L&lt;&gt;"")), 1)))</f>
        <v>papillary</v>
      </c>
      <c r="R33" t="str" cm="1">
        <f t="array" ref="R33">IF(ISERROR(INDEX(_xlfn._xlws.FILTER('Model output'!M:M, ('Model output'!Z:Z=A33)*('Model output'!M:M&lt;&gt;"")), 1)), " ", LOWER(INDEX(_xlfn._xlws.FILTER('Model output'!M:M, ('Model output'!Z:Z=A33)*('Model output'!M:M&lt;&gt;"")), 1)))</f>
        <v>infiltrative follicular</v>
      </c>
      <c r="S33" t="str" cm="1">
        <f t="array" ref="S33">IF(OR(ISNUMBER(SEARCH("ly",SUBSTITUTE(INDEX(_xlfn._xlws.FILTER('Model output'!N:N,('Model output'!Z:Z=A33)*('Model output'!N:N&lt;&gt;"")),1)," ",""),1)), ISNUMBER(SEARCH("pole",SUBSTITUTE(INDEX(_xlfn._xlws.FILTER('Model output'!N:N,('Model output'!Z:Z=A33)*('Model output'!N:N&lt;&gt;"")),1)," ",""),1))),"",SUBSTITUTE(INDEX(_xlfn._xlws.FILTER('Model output'!N:N,('Model output'!Z:Z=A33)*('Model output'!N:N&lt;&gt;"")),1)," ",""))</f>
        <v>4.5x3x2cm(Leftthyroid)</v>
      </c>
      <c r="T33" t="str" cm="1">
        <f t="array" ref="T33">IF(LEFT(IF(RIGHT(SUBSTITUTE(FilterWithUnits(S33)&amp; ";" &amp;FilterStringsWithNumericAnd(S33) &amp; ";" &amp; FilterStringsWithX(S33), ";;", ";"),1)=";",LEFT(SUBSTITUTE(FilterWithUnits(S33)&amp; ";" &amp;FilterStringsWithNumericAnd(S33) &amp; ";" &amp; FilterStringsWithX(S33), ";;", ";"),LEN(SUBSTITUTE(FilterWithUnits(S33)&amp; ";" &amp;FilterStringsWithNumericAnd(S33) &amp; ";" &amp; FilterStringsWithX(S33), ";;", ";"))-1),SUBSTITUTE(FilterWithUnits(S33)&amp; ";" &amp;FilterStringsWithNumericAnd(S33) &amp; ";" &amp; FilterStringsWithX(S33), ";;", ";")),1)=";",RIGHT(IF(RIGHT(SUBSTITUTE(FilterWithUnits(S33)&amp; ";" &amp;FilterStringsWithNumericAnd(S33) &amp; ";" &amp; FilterStringsWithX(S33), ";;", ";"),1)=";",LEFT(SUBSTITUTE(FilterWithUnits(S33)&amp; ";" &amp;FilterStringsWithNumericAnd(S33) &amp; ";" &amp; FilterStringsWithX(S33), ";;", ";"),LEN(SUBSTITUTE(FilterWithUnits(S33)&amp; ";" &amp;FilterStringsWithNumericAnd(S33) &amp; ";" &amp; FilterStringsWithX(S33), ";;", ";"))-1),SUBSTITUTE(FilterWithUnits(S33)&amp; ";" &amp;FilterStringsWithNumericAnd(S33) &amp; ";" &amp; FilterStringsWithX(S33), ";;", ";")),LEN(IF(RIGHT(SUBSTITUTE(FilterWithUnits(S33)&amp; ";" &amp;FilterStringsWithNumericAnd(S33) &amp; ";" &amp; FilterStringsWithX(S33), ";;", ";"),1)=";",LEFT(SUBSTITUTE(FilterWithUnits(S33)&amp; ";" &amp;FilterStringsWithNumericAnd(S33) &amp; ";" &amp; FilterStringsWithX(S33), ";;", ";"),LEN(SUBSTITUTE(FilterWithUnits(S33)&amp; ";" &amp;FilterStringsWithNumericAnd(S33) &amp; ";" &amp; FilterStringsWithX(S33), ";;", ";"))-1),SUBSTITUTE(FilterWithUnits(S33)&amp; ";" &amp;FilterStringsWithNumericAnd(S33) &amp; ";" &amp; FilterStringsWithX(S33), ";;", ";")))-1),IF(RIGHT(SUBSTITUTE(FilterWithUnits(S33)&amp; ";" &amp;FilterStringsWithNumericAnd(S33) &amp; ";" &amp; FilterStringsWithX(S33), ";;", ";"),1)=";",LEFT(SUBSTITUTE(FilterWithUnits(S33)&amp; ";" &amp;FilterStringsWithNumericAnd(S33) &amp; ";" &amp; FilterStringsWithX(S33), ";;", ";"),LEN(SUBSTITUTE(FilterWithUnits(S33)&amp; ";" &amp;FilterStringsWithNumericAnd(S33) &amp; ";" &amp; FilterStringsWithX(S33), ";;", ";"))-1),SUBSTITUTE(FilterWithUnits(S33)&amp; ";" &amp;FilterStringsWithNumericAnd(S33) &amp; ";" &amp; FilterStringsWithX(S33), ";;", ";")))</f>
        <v>4.5x3x2cm(Leftthyroid)</v>
      </c>
      <c r="U33" t="str" cm="1">
        <f t="array" ref="U33">IF(MaxSize((SplitDimensions(T33)))=0, "", MaxSize((SplitDimensions(T33))))</f>
        <v/>
      </c>
      <c r="V33" s="17" t="str" cm="1">
        <f t="array" ref="V33">IF(ISERROR(INDEX(_xlfn._xlws.FILTER('Model output'!P:P,('Model output'!Z:Z=A33)*('Model output'!P:P&lt;&gt;"")),1)),"negative",IF(OR(ISNUMBER(SEARCH("foc",INDEX(_xlfn._xlws.FILTER('Model output'!P:P,('Model output'!Z:Z=A33)*('Model output'!P:P&lt;&gt;"")),1),1)),ISNUMBER(SEARCH("extensive",INDEX(_xlfn._xlws.FILTER('Model output'!P:P,('Model output'!Z:Z=A33)*('Model output'!P:P&lt;&gt;"")),1),1)),ISNUMBER(SEARCH("present",INDEX(_xlfn._xlws.FILTER('Model output'!P:P,('Model output'!Z:Z=A33)*('Model output'!P:P&lt;&gt;"")),1),1)),ISNUMBER(SEARCH("yes",INDEX(_xlfn._xlws.FILTER('Model output'!P:P,('Model output'!Z:Z=A33)*('Model output'!P:P&lt;&gt;"")),1),1))),"positive","negative"))</f>
        <v>positive</v>
      </c>
      <c r="X33" t="str" cm="1">
        <f t="array" ref="X33">IF(ISNUMBER(SEARCH("4",INDEX(_xlfn._xlws.FILTER('Model output'!P:P,('Model output'!Z:Z=A33)*('Model output'!P:P&lt;&gt;"")),1),1)),INDEX(_xlfn._xlws.FILTER('Model output'!P:P,('Model output'!Z:Z=A33)*('Model output'!P:P&lt;&gt;"")),1),"") &amp; _xlfn.TEXTJOIN("",TRUE,_xlfn._xlws.FILTER('Model output'!Q:Q,'Model output'!Z:Z=A33))</f>
        <v>Overlying strap muscle, carotid sheath, RLN at lower pole, esophagus, prevertebral fascia</v>
      </c>
      <c r="Y33" t="str">
        <f t="shared" si="11"/>
        <v>minimal</v>
      </c>
      <c r="Z33" t="str" cm="1">
        <f t="array" ref="Z33">IF(OR(ISNUMBER(SEARCH("focal",_xlfn.TEXTJOIN("; ",TRUE,_xlfn._xlws.FILTER('Model output'!R:R,'Model output'!Z:Z=A33)),1)),ISNUMBER(SEARCH("present",_xlfn.TEXTJOIN("; ",TRUE,_xlfn._xlws.FILTER('Model output'!R:R,'Model output'!Z:Z=A33)),1))),"positive",IF(_xlfn.TEXTJOIN("; ",TRUE,_xlfn._xlws.FILTER('Model output'!R:R,'Model output'!Z:Z=A33))="","negative",IF(OR(ISNUMBER(SEARCH("no",_xlfn.TEXTJOIN("; ",TRUE,_xlfn._xlws.FILTER('Model output'!R:R,'Model output'!Z:Z=A33)),1)),ISNUMBER(SEARCH("absent",_xlfn.TEXTJOIN("; ",TRUE,_xlfn._xlws.FILTER('Model output'!R:R,'Model output'!Z:Z=A33)),1))),"negative","positive")))</f>
        <v>positive</v>
      </c>
      <c r="AA33" s="17" t="str">
        <f t="shared" si="12"/>
        <v>positive</v>
      </c>
      <c r="AE33" s="17" t="str">
        <f t="shared" si="14"/>
        <v>positive</v>
      </c>
      <c r="AF33" t="str" cm="1">
        <f t="array" ref="AF33">_xlfn.TEXTJOIN("; ",TRUE,_xlfn._xlws.FILTER('Model output'!S:S,'Model output'!Z:Z=A33))</f>
        <v>Surrounding striated muscle (Left thyroid); perithyroidal fibradipose tissue, skeletal muscle, subcutaneous soft tissues, larynx, trachea, esophagus, recurrent laryngeal nerve (RLN)</v>
      </c>
      <c r="AG33" s="17" t="str" cm="1">
        <f t="array" ref="AG33">IF(OR(ISNUMBER(SEARCH("uninvolved",_xlfn.TEXTJOIN("; ",TRUE,_xlfn._xlws.FILTER('Model output'!V:V,'Model output'!Z:Z=A33)),1)),ISNUMBER(SEARCH("clear",_xlfn.TEXTJOIN("; ",TRUE,_xlfn._xlws.FILTER('Model output'!V:V,'Model output'!Z:Z=A33)),1))*ISNUMBER(SEARCH("not mentioned",_xlfn.TEXTJOIN("; ",TRUE,_xlfn._xlws.FILTER('Model output'!V:V,'Model output'!Z:Z=A33)),1))),"negative",IF(ISNUMBER(SEARCH("cannot be assessed",_xlfn.TEXTJOIN("; ",TRUE,_xlfn._xlws.FILTER('Model output'!V:V,'Model output'!Z:Z=A33)),1)),"unknown","negative"))</f>
        <v>negative</v>
      </c>
      <c r="AI33" s="45" t="str">
        <f t="shared" si="13"/>
        <v>high</v>
      </c>
      <c r="AJ33" s="36" t="str">
        <f>IF(OR(ISNUMBER(SEARCH("non-invasive follicular",Q33)),ISNUMBER(SEARCH("papillary-like nuclear features",Q33)),ISNUMBER(SEARCH("non-invasive follicular",R33)),ISNUMBER(SEARCH("papillary-like nuclear features",R33))),"NIFTP", IF(OR(F33="4b",AND(AE33="positive",OR(ISNUMBER(SEARCH("prevertebral",AF33)),ISNUMBER(SEARCH("fascia",AF33)),ISNUMBER(SEARCH("carotid artery",AF33)),ISNUMBER(SEARCH("mediastinal",AF33))))),"4b",IF(OR(F33="4a",AND(AE33="positive",OR(ISNUMBER(SEARCH("soft tissue",AF33)),ISNUMBER(SEARCH("larynx",AF33)),ISNUMBER(SEARCH("trachea",AF33)),ISNUMBER(SEARCH("esophagus",AF33)),ISNUMBER(SEARCH("recurrent laryngeal nerve",AF33)),ISNUMBER(SEARCH("RLN",AF33))))),"4a", IF(OR(F33="3b", AE33="positive",ISNUMBER(SEARCH("strap",AF33)),ISNUMBER(SEARCH("sternothyroid",AF33)),ISNUMBER(SEARCH("sternohyoid",AF33)),ISNUMBER(SEARCH("thyrohyoid",AF33)),ISNUMBER(SEARCH("omohyoid",AF33))),"3b",IF(OR(F33="3a", AND(U33&lt;&gt;"",U33&gt;4)),"3a",IF(AND(U33&lt;&gt;"", U33&lt;=4,U33&gt;2),"2",IF(AND(U33&lt;&gt;"",U33&lt;=2,U33&gt;1),"1b",IF(AND(U33&lt;&gt;"",U33&lt;=1),"1a","1a"))))))))</f>
        <v>4a</v>
      </c>
      <c r="AK33" s="36" t="str">
        <f t="shared" si="3"/>
        <v>1a</v>
      </c>
      <c r="AL33" s="36">
        <f t="shared" si="4"/>
        <v>0</v>
      </c>
      <c r="AM33" s="36" t="str">
        <f t="shared" si="5"/>
        <v>III</v>
      </c>
      <c r="AN33" s="37" t="s">
        <v>165</v>
      </c>
      <c r="AO33" s="38" t="s">
        <v>207</v>
      </c>
      <c r="AP33" s="38" t="s">
        <v>203</v>
      </c>
      <c r="AQ33" s="38">
        <v>0</v>
      </c>
      <c r="AR33" s="38" t="s">
        <v>424</v>
      </c>
      <c r="AS33" s="37">
        <f t="shared" si="6"/>
        <v>1</v>
      </c>
      <c r="AT33" s="38">
        <f t="shared" si="7"/>
        <v>0</v>
      </c>
      <c r="AU33" s="38">
        <f t="shared" si="8"/>
        <v>1</v>
      </c>
      <c r="AV33" s="38">
        <f t="shared" si="9"/>
        <v>1</v>
      </c>
      <c r="AW33" s="39">
        <f t="shared" si="10"/>
        <v>0</v>
      </c>
    </row>
    <row r="34" spans="1:50">
      <c r="A34" s="13">
        <v>32</v>
      </c>
      <c r="B34" s="16">
        <f>_xlfn.MAXIFS('Model output'!B:B,'Model output'!Z:Z,'Classification result'!$A34)</f>
        <v>44630</v>
      </c>
      <c r="C34" s="16"/>
      <c r="D34" s="16"/>
      <c r="E34" s="17">
        <f>_xlfn.MAXIFS('Model output'!C:C,'Model output'!Z:Z,'Classification result'!$A34)</f>
        <v>72</v>
      </c>
      <c r="F34" s="17" t="str" cm="1">
        <f t="array" ref="F34">LEFT(IF(ISERROR(RIGHT(IF(INDEX(_xlfn._xlws.FILTER('Model output'!D:D,('Model output'!Z:Z=A34)),1)&lt;&gt;"",INDEX(_xlfn._xlws.FILTER('Model output'!D:D,('Model output'!Z:Z=A34)),1),""),LEN(IF(INDEX(_xlfn._xlws.FILTER('Model output'!D:D,('Model output'!Z:Z=A34)),1)&lt;&gt;"",INDEX(_xlfn._xlws.FILTER('Model output'!D:D,('Model output'!Z:Z=A34)),1),""))-FIND("T",IF(INDEX(_xlfn._xlws.FILTER('Model output'!D:D,('Model output'!Z:Z=A34)),1)&lt;&gt;"",INDEX(_xlfn._xlws.FILTER('Model output'!D:D,('Model output'!Z:Z=A34)),1),""),1))),"",(RIGHT(IF(INDEX(_xlfn._xlws.FILTER('Model output'!D:D,('Model output'!Z:Z=A34)),1)&lt;&gt;"",INDEX(_xlfn._xlws.FILTER('Model output'!D:D,('Model output'!Z:Z=A34)),1),""),LEN(IF(INDEX(_xlfn._xlws.FILTER('Model output'!D:D,('Model output'!Z:Z=A34)),1)&lt;&gt;"",INDEX(_xlfn._xlws.FILTER('Model output'!D:D,('Model output'!Z:Z=A34)),1),""))-FIND("T",IF(INDEX(_xlfn._xlws.FILTER('Model output'!D:D,('Model output'!Z:Z=A34)),1)&lt;&gt;"",INDEX(_xlfn._xlws.FILTER('Model output'!D:D,('Model output'!Z:Z=A34)),1)))))),2)</f>
        <v>4</v>
      </c>
      <c r="G34" s="17" t="str" cm="1">
        <f t="array" ref="G34">IF(ISNUMBER(SEARCH("N",IF(ISNUMBER(SEARCH("present",IF(INDEX(_xlfn._xlws.FILTER('Model output'!E:E,('Model output'!Z:Z=A34)),1)="","",INDEX(_xlfn._xlws.FILTER('Model output'!E:E,('Model output'!Z:Z=A34)),1)),1)),"N1", IF(INDEX(_xlfn._xlws.FILTER('Model output'!E:E,('Model output'!Z:Z=A34)),1)="","",INDEX(_xlfn._xlws.FILTER('Model output'!E:E,('Model output'!Z:Z=A34)),1))),1)),RIGHT(IF(ISNUMBER(SEARCH("present",IF(INDEX(_xlfn._xlws.FILTER('Model output'!E:E,('Model output'!Z:Z=A34)),1)="","",INDEX(_xlfn._xlws.FILTER('Model output'!E:E,('Model output'!Z:Z=A34)),1)),1)),"N1", IF(INDEX(_xlfn._xlws.FILTER('Model output'!E:E,('Model output'!Z:Z=A34)),1)="","",INDEX(_xlfn._xlws.FILTER('Model output'!E:E,('Model output'!Z:Z=A34)),1))),LEN(IF(ISNUMBER(SEARCH("present",IF(INDEX(_xlfn._xlws.FILTER('Model output'!E:E,('Model output'!Z:Z=A34)),1)="","",INDEX(_xlfn._xlws.FILTER('Model output'!E:E,('Model output'!Z:Z=A34)),1)),1)),"N1", IF(INDEX(_xlfn._xlws.FILTER('Model output'!E:E,('Model output'!Z:Z=A34)),1)="","",INDEX(_xlfn._xlws.FILTER('Model output'!E:E,('Model output'!Z:Z=A34)),1))))-FIND("N",IF(ISNUMBER(SEARCH("present",IF(INDEX(_xlfn._xlws.FILTER('Model output'!E:E,('Model output'!Z:Z=A34)),1)="","",INDEX(_xlfn._xlws.FILTER('Model output'!E:E,('Model output'!Z:Z=A34)),1)),1)),"N1", IF(INDEX(_xlfn._xlws.FILTER('Model output'!E:E,('Model output'!Z:Z=A34)),1)="","",INDEX(_xlfn._xlws.FILTER('Model output'!E:E,('Model output'!Z:Z=A34)),1))),1)), "")</f>
        <v>1</v>
      </c>
      <c r="H34" s="17" cm="1">
        <f t="array" ref="H34">IF(AND(SUBSTITUTE(_xlfn.TEXTJOIN("/", TRUE, _xlfn._xlws.FILTER('Model output'!F:F, 'Model output'!Z:Z=A34)),"M", "")="", K34="negative"),0,IF(K34="positive",1,0))</f>
        <v>0</v>
      </c>
      <c r="I34" t="str">
        <f t="shared" si="0"/>
        <v>positive</v>
      </c>
      <c r="J34" t="str" cm="1">
        <f t="array" ref="J34">IF(AND(M34&gt;0, _xlfn.TEXTJOIN("; ", TRUE, _xlfn._xlws.FILTER('Model output'!G:G, 'Model output'!Z:Z=A34)) &lt;&gt;"", OR(AND(ISNUMBER(SEARCH("level", _xlfn.TEXTJOIN("; ", TRUE, _xlfn._xlws.FILTER('Model output'!G:G, 'Model output'!Z:Z=A34)),1)),OR(ISNUMBER(SEARCH(" II", _xlfn.TEXTJOIN("; ", TRUE, _xlfn._xlws.FILTER('Model output'!G:G, 'Model output'!Z:Z=A34)),1)),ISNUMBER(SEARCH("2", _xlfn.TEXTJOIN("; ", TRUE, _xlfn._xlws.FILTER('Model output'!G:G, 'Model output'!Z:Z=A34)),1)),ISNUMBER(SEARCH("two", _xlfn.TEXTJOIN("; ", TRUE, _xlfn._xlws.FILTER('Model output'!G:G, 'Model output'!Z:Z=A34)),1)),ISNUMBER(SEARCH("III", _xlfn.TEXTJOIN("; ", TRUE, _xlfn._xlws.FILTER('Model output'!G:G, 'Model output'!Z:Z=A34)),1)),ISNUMBER(SEARCH("3", _xlfn.TEXTJOIN("; ", TRUE, _xlfn._xlws.FILTER('Model output'!G:G, 'Model output'!Z:Z=A34)),1)),ISNUMBER(SEARCH("three", _xlfn.TEXTJOIN("; ", TRUE, _xlfn._xlws.FILTER('Model output'!G:G, 'Model output'!Z:Z=A34)),1)),ISNUMBER(SEARCH("IV", _xlfn.TEXTJOIN("; ", TRUE, _xlfn._xlws.FILTER('Model output'!G:G, 'Model output'!Z:Z=A34)),1)),ISNUMBER(SEARCH("4", _xlfn.TEXTJOIN("; ", TRUE, _xlfn._xlws.FILTER('Model output'!G:G, 'Model output'!Z:Z=A34)),1)),ISNUMBER(SEARCH("five", _xlfn.TEXTJOIN("; ", TRUE, _xlfn._xlws.FILTER('Model output'!G:G, 'Model output'!Z:Z=A34)),1)),ISNUMBER(SEARCH("V ", _xlfn.TEXTJOIN("; ", TRUE, _xlfn._xlws.FILTER('Model output'!G:G, 'Model output'!Z:Z=A34)),1)),ISNUMBER(SEARCH("5", _xlfn.TEXTJOIN("; ", TRUE, _xlfn._xlws.FILTER('Model output'!G:G, 'Model output'!Z:Z=A34)),1)),ISNUMBER(SEARCH("five", _xlfn.TEXTJOIN("; ", TRUE, _xlfn._xlws.FILTER('Model output'!G:G, 'Model output'!Z:Z=A34)),1)),ISNUMBER(SEARCH(" lateral", _xlfn.TEXTJOIN("; ", TRUE, _xlfn._xlws.FILTER('Model output'!G:G, 'Model output'!Z:Z=A34)),1)))),ISNUMBER(SEARCH("cervical", _xlfn.TEXTJOIN("; ", TRUE, _xlfn._xlws.FILTER('Model output'!G:G, 'Model output'!Z:Z=A34)),1)),ISNUMBER(SEARCH("jugular", _xlfn.TEXTJOIN("; ", TRUE, _xlfn._xlws.FILTER('Model output'!G:G, 'Model output'!Z:Z=A34)),1)),ISNUMBER(SEARCH("left neck", _xlfn.TEXTJOIN("; ", TRUE, _xlfn._xlws.FILTER('Model output'!G:G, 'Model output'!Z:Z=A34)),1)),ISNUMBER(SEARCH("left anterior neck", _xlfn.TEXTJOIN("; ", TRUE, _xlfn._xlws.FILTER('Model output'!G:G, 'Model output'!Z:Z=A34)),1)),ISNUMBER(SEARCH("left posterior neck", _xlfn.TEXTJOIN("; ", TRUE, _xlfn._xlws.FILTER('Model output'!G:G, 'Model output'!Z:Z=A34)),1)),ISNUMBER(SEARCH("right neck", _xlfn.TEXTJOIN("; ", TRUE, _xlfn._xlws.FILTER('Model output'!G:G, 'Model output'!Z:Z=A34)),1)),ISNUMBER(SEARCH("right anterior neck", _xlfn.TEXTJOIN("; ", TRUE, _xlfn._xlws.FILTER('Model output'!G:G, 'Model output'!Z:Z=A34)),1)),ISNUMBER(SEARCH("right posterior neck", _xlfn.TEXTJOIN("; ", TRUE, _xlfn._xlws.FILTER('Model output'!G:G, 'Model output'!Z:Z=A34)),1)))),"lateral",IF(AND(M34=0, _xlfn.TEXTJOIN("; ", TRUE, _xlfn._xlws.FILTER('Model output'!G:G, 'Model output'!Z:Z=A34))=""),"", "central"))</f>
        <v>central</v>
      </c>
      <c r="K34" s="17" t="str" cm="1">
        <f t="array" ref="K34">IF(OR(ISNUMBER(SEARCH("lymph",_xlfn.TEXTJOIN("; ", TRUE, _xlfn._xlws.FILTER('Model output'!H:H, 'Model output'!Z:Z=A34)),1)), ISNUMBER(SEARCH("Not mentioned",_xlfn.TEXTJOIN("; ", TRUE, _xlfn._xlws.FILTER('Model output'!H:H, 'Model output'!Z:Z=A34)),1)),ISNUMBER(SEARCH("subcutaneous soft tissues",_xlfn.TEXTJOIN("; ", TRUE, _xlfn._xlws.FILTER('Model output'!H:H, 'Model output'!Z:Z=A34)),1)),ISNUMBER(SEARCH("larynx",_xlfn.TEXTJOIN("; ", TRUE, _xlfn._xlws.FILTER('Model output'!H:H, 'Model output'!Z:Z=A34)),1)),ISNUMBER(SEARCH("trachea",_xlfn.TEXTJOIN("; ", TRUE, _xlfn._xlws.FILTER('Model output'!H:H, 'Model output'!Z:Z=A34)),1)),ISNUMBER(SEARCH("esophagus",_xlfn.TEXTJOIN("; ", TRUE, _xlfn._xlws.FILTER('Model output'!H:H, 'Model output'!Z:Z=A34)),1)),ISNUMBER(SEARCH("recurrent laryngeal nerve",_xlfn.TEXTJOIN("; ", TRUE, _xlfn._xlws.FILTER('Model output'!H:H, 'Model output'!Z:Z=A34)),1)),ISNUMBER(SEARCH("strap muscle",_xlfn.TEXTJOIN("; ", TRUE, _xlfn._xlws.FILTER('Model output'!H:H, 'Model output'!Z:Z=A34)),1)),ISNUMBER(SEARCH("thyroid",_xlfn.TEXTJOIN("; ", TRUE, _xlfn._xlws.FILTER('Model output'!H:H, 'Model output'!Z:Z=A34)),1)),ISNUMBER(SEARCH("RLN",_xlfn.TEXTJOIN("; ", TRUE, _xlfn._xlws.FILTER('Model output'!H:H, 'Model output'!Z:Z=A34)),1)),_xlfn.TEXTJOIN("; ", TRUE, _xlfn._xlws.FILTER('Model output'!H:H, 'Model output'!Z:Z=A34))=""),"negative","positive")</f>
        <v>negative</v>
      </c>
      <c r="L34" s="17">
        <f>IF(IFERROR(INDEX('Model output'!I:I, MATCH(A34, 'Model output'!Z:Z, 0)), "") &lt; M34, "", IFERROR(INDEX('Model output'!I:I, MATCH(A34, 'Model output'!Z:Z, 0)), ""))</f>
        <v>12</v>
      </c>
      <c r="M34" s="17">
        <f>IFERROR(INDEX('Model output'!J:J, MATCH(A34, 'Model output'!Z:Z, 0)), "")</f>
        <v>5</v>
      </c>
      <c r="N34" s="18" t="str" cm="1">
        <f t="array" ref="N34">ReplaceTo(ReplaceAnd(SUBSTITUTE(SUBSTITUTE(_xlfn.TEXTJOIN("; ", TRUE, _xlfn._xlws.FILTER('Model output'!K:K, 'Model output'!Z:Z=A34)), " ", ""), ",", ";")))</f>
        <v>Notspecified</v>
      </c>
      <c r="O34" t="str" cm="1">
        <f t="array" ref="O34">IF(LEFT(IF(RIGHT(SUBSTITUTE(FilterWithUnits(N34)&amp; ";" &amp;FilterStringsWithNumericAnd(N34) &amp; ";" &amp; FilterStringsWithX(N34), ";;", ";"),1)=";",LEFT(SUBSTITUTE(FilterWithUnits(N34)&amp; ";" &amp;FilterStringsWithNumericAnd(N34) &amp; ";" &amp; FilterStringsWithX(N34), ";;", ";"),LEN(SUBSTITUTE(FilterWithUnits(N34)&amp; ";" &amp;FilterStringsWithNumericAnd(N34) &amp; ";" &amp; FilterStringsWithX(N34), ";;", ";"))-1),SUBSTITUTE(FilterWithUnits(N34)&amp; ";" &amp;FilterStringsWithNumericAnd(N34) &amp; ";" &amp; FilterStringsWithX(N34), ";;", ";")),1)=";",RIGHT(IF(RIGHT(SUBSTITUTE(FilterWithUnits(N34)&amp; ";" &amp;FilterStringsWithNumericAnd(N34) &amp; ";" &amp; FilterStringsWithX(N34), ";;", ";"),1)=";",LEFT(SUBSTITUTE(FilterWithUnits(N34)&amp; ";" &amp;FilterStringsWithNumericAnd(N34) &amp; ";" &amp; FilterStringsWithX(N34), ";;", ";"),LEN(SUBSTITUTE(FilterWithUnits(N34)&amp; ";" &amp;FilterStringsWithNumericAnd(N34) &amp; ";" &amp; FilterStringsWithX(N34), ";;", ";"))-1),SUBSTITUTE(FilterWithUnits(N34)&amp; ";" &amp;FilterStringsWithNumericAnd(N34) &amp; ";" &amp; FilterStringsWithX(N34), ";;", ";")),LEN(IF(RIGHT(SUBSTITUTE(FilterWithUnits(N34)&amp; ";" &amp;FilterStringsWithNumericAnd(N34) &amp; ";" &amp; FilterStringsWithX(N34), ";;", ";"),1)=";",LEFT(SUBSTITUTE(FilterWithUnits(N34)&amp; ";" &amp;FilterStringsWithNumericAnd(N34) &amp; ";" &amp; FilterStringsWithX(N34), ";;", ";"),LEN(SUBSTITUTE(FilterWithUnits(N34)&amp; ";" &amp;FilterStringsWithNumericAnd(N34) &amp; ";" &amp; FilterStringsWithX(N34), ";;", ";"))-1),SUBSTITUTE(FilterWithUnits(N34)&amp; ";" &amp;FilterStringsWithNumericAnd(N34) &amp; ";" &amp; FilterStringsWithX(N34), ";;", ";")))-1),IF(RIGHT(SUBSTITUTE(FilterWithUnits(N34)&amp; ";" &amp;FilterStringsWithNumericAnd(N34) &amp; ";" &amp; FilterStringsWithX(N34), ";;", ";"),1)=";",LEFT(SUBSTITUTE(FilterWithUnits(N34)&amp; ";" &amp;FilterStringsWithNumericAnd(N34) &amp; ";" &amp; FilterStringsWithX(N34), ";;", ";"),LEN(SUBSTITUTE(FilterWithUnits(N34)&amp; ";" &amp;FilterStringsWithNumericAnd(N34) &amp; ";" &amp; FilterStringsWithX(N34), ";;", ";"))-1),SUBSTITUTE(FilterWithUnits(N34)&amp; ";" &amp;FilterStringsWithNumericAnd(N34) &amp; ";" &amp; FilterStringsWithX(N34), ";;", ";")))</f>
        <v/>
      </c>
      <c r="P34" t="str" cm="1">
        <f t="array" ref="P34">IF(MaxSize((SplitDimensions(O34)))=0, "", MaxSize((SplitDimensions(O34))))</f>
        <v/>
      </c>
      <c r="Q34" t="str" cm="1">
        <f t="array" ref="Q34">IF(ISERROR(INDEX(_xlfn._xlws.FILTER('Model output'!L:L, ('Model output'!Z:Z=A34)*('Model output'!L:L&lt;&gt;"")), 1)), " ", LOWER(INDEX(_xlfn._xlws.FILTER('Model output'!L:L, ('Model output'!Z:Z=A34)*('Model output'!L:L&lt;&gt;"")), 1)))</f>
        <v>follicular carcinoma, widely invasive</v>
      </c>
      <c r="R34" t="str" cm="1">
        <f t="array" ref="R34">IF(ISERROR(INDEX(_xlfn._xlws.FILTER('Model output'!M:M, ('Model output'!Z:Z=A34)*('Model output'!M:M&lt;&gt;"")), 1)), " ", LOWER(INDEX(_xlfn._xlws.FILTER('Model output'!M:M, ('Model output'!Z:Z=A34)*('Model output'!M:M&lt;&gt;"")), 1)))</f>
        <v xml:space="preserve"> </v>
      </c>
      <c r="S34" t="str" cm="1">
        <f t="array" ref="S34">IF(OR(ISNUMBER(SEARCH("ly",SUBSTITUTE(INDEX(_xlfn._xlws.FILTER('Model output'!N:N,('Model output'!Z:Z=A34)*('Model output'!N:N&lt;&gt;"")),1)," ",""),1)), ISNUMBER(SEARCH("pole",SUBSTITUTE(INDEX(_xlfn._xlws.FILTER('Model output'!N:N,('Model output'!Z:Z=A34)*('Model output'!N:N&lt;&gt;"")),1)," ",""),1))),"",SUBSTITUTE(INDEX(_xlfn._xlws.FILTER('Model output'!N:N,('Model output'!Z:Z=A34)*('Model output'!N:N&lt;&gt;"")),1)," ",""))</f>
        <v/>
      </c>
      <c r="T34" t="str" cm="1">
        <f t="array" ref="T34">IF(LEFT(IF(RIGHT(SUBSTITUTE(FilterWithUnits(S34)&amp; ";" &amp;FilterStringsWithNumericAnd(S34) &amp; ";" &amp; FilterStringsWithX(S34), ";;", ";"),1)=";",LEFT(SUBSTITUTE(FilterWithUnits(S34)&amp; ";" &amp;FilterStringsWithNumericAnd(S34) &amp; ";" &amp; FilterStringsWithX(S34), ";;", ";"),LEN(SUBSTITUTE(FilterWithUnits(S34)&amp; ";" &amp;FilterStringsWithNumericAnd(S34) &amp; ";" &amp; FilterStringsWithX(S34), ";;", ";"))-1),SUBSTITUTE(FilterWithUnits(S34)&amp; ";" &amp;FilterStringsWithNumericAnd(S34) &amp; ";" &amp; FilterStringsWithX(S34), ";;", ";")),1)=";",RIGHT(IF(RIGHT(SUBSTITUTE(FilterWithUnits(S34)&amp; ";" &amp;FilterStringsWithNumericAnd(S34) &amp; ";" &amp; FilterStringsWithX(S34), ";;", ";"),1)=";",LEFT(SUBSTITUTE(FilterWithUnits(S34)&amp; ";" &amp;FilterStringsWithNumericAnd(S34) &amp; ";" &amp; FilterStringsWithX(S34), ";;", ";"),LEN(SUBSTITUTE(FilterWithUnits(S34)&amp; ";" &amp;FilterStringsWithNumericAnd(S34) &amp; ";" &amp; FilterStringsWithX(S34), ";;", ";"))-1),SUBSTITUTE(FilterWithUnits(S34)&amp; ";" &amp;FilterStringsWithNumericAnd(S34) &amp; ";" &amp; FilterStringsWithX(S34), ";;", ";")),LEN(IF(RIGHT(SUBSTITUTE(FilterWithUnits(S34)&amp; ";" &amp;FilterStringsWithNumericAnd(S34) &amp; ";" &amp; FilterStringsWithX(S34), ";;", ";"),1)=";",LEFT(SUBSTITUTE(FilterWithUnits(S34)&amp; ";" &amp;FilterStringsWithNumericAnd(S34) &amp; ";" &amp; FilterStringsWithX(S34), ";;", ";"),LEN(SUBSTITUTE(FilterWithUnits(S34)&amp; ";" &amp;FilterStringsWithNumericAnd(S34) &amp; ";" &amp; FilterStringsWithX(S34), ";;", ";"))-1),SUBSTITUTE(FilterWithUnits(S34)&amp; ";" &amp;FilterStringsWithNumericAnd(S34) &amp; ";" &amp; FilterStringsWithX(S34), ";;", ";")))-1),IF(RIGHT(SUBSTITUTE(FilterWithUnits(S34)&amp; ";" &amp;FilterStringsWithNumericAnd(S34) &amp; ";" &amp; FilterStringsWithX(S34), ";;", ";"),1)=";",LEFT(SUBSTITUTE(FilterWithUnits(S34)&amp; ";" &amp;FilterStringsWithNumericAnd(S34) &amp; ";" &amp; FilterStringsWithX(S34), ";;", ";"),LEN(SUBSTITUTE(FilterWithUnits(S34)&amp; ";" &amp;FilterStringsWithNumericAnd(S34) &amp; ";" &amp; FilterStringsWithX(S34), ";;", ";"))-1),SUBSTITUTE(FilterWithUnits(S34)&amp; ";" &amp;FilterStringsWithNumericAnd(S34) &amp; ";" &amp; FilterStringsWithX(S34), ";;", ";")))</f>
        <v/>
      </c>
      <c r="U34" t="str" cm="1">
        <f t="array" ref="U34">IF(MaxSize((SplitDimensions(T34)))=0, "", MaxSize((SplitDimensions(T34))))</f>
        <v/>
      </c>
      <c r="V34" s="17" t="str" cm="1">
        <f t="array" ref="V34">IF(ISERROR(INDEX(_xlfn._xlws.FILTER('Model output'!P:P,('Model output'!Z:Z=A34)*('Model output'!P:P&lt;&gt;"")),1)),"negative",IF(OR(ISNUMBER(SEARCH("foc",INDEX(_xlfn._xlws.FILTER('Model output'!P:P,('Model output'!Z:Z=A34)*('Model output'!P:P&lt;&gt;"")),1),1)),ISNUMBER(SEARCH("extensive",INDEX(_xlfn._xlws.FILTER('Model output'!P:P,('Model output'!Z:Z=A34)*('Model output'!P:P&lt;&gt;"")),1),1)),ISNUMBER(SEARCH("present",INDEX(_xlfn._xlws.FILTER('Model output'!P:P,('Model output'!Z:Z=A34)*('Model output'!P:P&lt;&gt;"")),1),1)),ISNUMBER(SEARCH("yes",INDEX(_xlfn._xlws.FILTER('Model output'!P:P,('Model output'!Z:Z=A34)*('Model output'!P:P&lt;&gt;"")),1),1))),"positive","negative"))</f>
        <v>positive</v>
      </c>
      <c r="X34" t="str" cm="1">
        <f t="array" ref="X34">IF(ISNUMBER(SEARCH("4",INDEX(_xlfn._xlws.FILTER('Model output'!P:P,('Model output'!Z:Z=A34)*('Model output'!P:P&lt;&gt;"")),1),1)),INDEX(_xlfn._xlws.FILTER('Model output'!P:P,('Model output'!Z:Z=A34)*('Model output'!P:P&lt;&gt;"")),1),"") &amp; _xlfn.TEXTJOIN("",TRUE,_xlfn._xlws.FILTER('Model output'!Q:Q,'Model output'!Z:Z=A34))</f>
        <v>Extensive (= or &gt; 4 vessels)Not specifiedNot mentioned</v>
      </c>
      <c r="Y34" t="str">
        <f t="shared" si="11"/>
        <v>extensive</v>
      </c>
      <c r="Z34" t="str" cm="1">
        <f t="array" ref="Z34">IF(OR(ISNUMBER(SEARCH("focal",_xlfn.TEXTJOIN("; ",TRUE,_xlfn._xlws.FILTER('Model output'!R:R,'Model output'!Z:Z=A34)),1)),ISNUMBER(SEARCH("present",_xlfn.TEXTJOIN("; ",TRUE,_xlfn._xlws.FILTER('Model output'!R:R,'Model output'!Z:Z=A34)),1))),"positive",IF(_xlfn.TEXTJOIN("; ",TRUE,_xlfn._xlws.FILTER('Model output'!R:R,'Model output'!Z:Z=A34))="","negative",IF(OR(ISNUMBER(SEARCH("no",_xlfn.TEXTJOIN("; ",TRUE,_xlfn._xlws.FILTER('Model output'!R:R,'Model output'!Z:Z=A34)),1)),ISNUMBER(SEARCH("absent",_xlfn.TEXTJOIN("; ",TRUE,_xlfn._xlws.FILTER('Model output'!R:R,'Model output'!Z:Z=A34)),1))),"negative","positive")))</f>
        <v>positive</v>
      </c>
      <c r="AA34" s="17" t="str">
        <f t="shared" si="12"/>
        <v>positive</v>
      </c>
      <c r="AE34" s="17" t="str">
        <f t="shared" si="14"/>
        <v>negative</v>
      </c>
      <c r="AF34" t="str" cm="1">
        <f t="array" ref="AF34">_xlfn.TEXTJOIN("; ",TRUE,_xlfn._xlws.FILTER('Model output'!S:S,'Model output'!Z:Z=A34))</f>
        <v>Focally into adjacent fibroadipose tissue (block B3); Not mentioned</v>
      </c>
      <c r="AG34" s="17" t="str" cm="1">
        <f t="array" ref="AG34">IF(OR(ISNUMBER(SEARCH("uninvolved",_xlfn.TEXTJOIN("; ",TRUE,_xlfn._xlws.FILTER('Model output'!V:V,'Model output'!Z:Z=A34)),1)),ISNUMBER(SEARCH("clear",_xlfn.TEXTJOIN("; ",TRUE,_xlfn._xlws.FILTER('Model output'!V:V,'Model output'!Z:Z=A34)),1))*ISNUMBER(SEARCH("not mentioned",_xlfn.TEXTJOIN("; ",TRUE,_xlfn._xlws.FILTER('Model output'!V:V,'Model output'!Z:Z=A34)),1))),"negative",IF(ISNUMBER(SEARCH("cannot be assessed",_xlfn.TEXTJOIN("; ",TRUE,_xlfn._xlws.FILTER('Model output'!V:V,'Model output'!Z:Z=A34)),1)),"unknown","negative"))</f>
        <v>negative</v>
      </c>
      <c r="AI34" s="45" t="str">
        <f t="shared" si="13"/>
        <v>high</v>
      </c>
      <c r="AJ34" s="36" t="str">
        <f t="shared" si="15"/>
        <v>1a</v>
      </c>
      <c r="AK34" s="36" t="str">
        <f t="shared" si="3"/>
        <v>1a</v>
      </c>
      <c r="AL34" s="36">
        <f t="shared" si="4"/>
        <v>0</v>
      </c>
      <c r="AM34" s="36" t="str">
        <f t="shared" si="5"/>
        <v>II</v>
      </c>
      <c r="AN34" s="37" t="s">
        <v>165</v>
      </c>
      <c r="AO34" s="38" t="s">
        <v>205</v>
      </c>
      <c r="AP34" s="38">
        <v>0</v>
      </c>
      <c r="AQ34" s="38">
        <v>0</v>
      </c>
      <c r="AR34" s="38" t="s">
        <v>44</v>
      </c>
      <c r="AS34" s="37">
        <f t="shared" si="6"/>
        <v>1</v>
      </c>
      <c r="AT34" s="38">
        <f t="shared" si="7"/>
        <v>0</v>
      </c>
      <c r="AU34" s="38">
        <f t="shared" si="8"/>
        <v>0</v>
      </c>
      <c r="AV34" s="38">
        <f t="shared" si="9"/>
        <v>1</v>
      </c>
      <c r="AW34" s="39">
        <f t="shared" si="10"/>
        <v>1</v>
      </c>
    </row>
    <row r="35" spans="1:50">
      <c r="A35" s="13">
        <v>33</v>
      </c>
      <c r="B35" s="16">
        <f>_xlfn.MAXIFS('Model output'!B:B,'Model output'!Z:Z,'Classification result'!$A35)</f>
        <v>44517</v>
      </c>
      <c r="C35" s="16"/>
      <c r="D35" s="16"/>
      <c r="E35" s="17">
        <f>_xlfn.MAXIFS('Model output'!C:C,'Model output'!Z:Z,'Classification result'!$A35)</f>
        <v>41</v>
      </c>
      <c r="F35" s="17" t="str" cm="1">
        <f t="array" ref="F35">LEFT(IF(ISERROR(RIGHT(IF(INDEX(_xlfn._xlws.FILTER('Model output'!D:D,('Model output'!Z:Z=A35)),1)&lt;&gt;"",INDEX(_xlfn._xlws.FILTER('Model output'!D:D,('Model output'!Z:Z=A35)),1),""),LEN(IF(INDEX(_xlfn._xlws.FILTER('Model output'!D:D,('Model output'!Z:Z=A35)),1)&lt;&gt;"",INDEX(_xlfn._xlws.FILTER('Model output'!D:D,('Model output'!Z:Z=A35)),1),""))-FIND("T",IF(INDEX(_xlfn._xlws.FILTER('Model output'!D:D,('Model output'!Z:Z=A35)),1)&lt;&gt;"",INDEX(_xlfn._xlws.FILTER('Model output'!D:D,('Model output'!Z:Z=A35)),1),""),1))),"",(RIGHT(IF(INDEX(_xlfn._xlws.FILTER('Model output'!D:D,('Model output'!Z:Z=A35)),1)&lt;&gt;"",INDEX(_xlfn._xlws.FILTER('Model output'!D:D,('Model output'!Z:Z=A35)),1),""),LEN(IF(INDEX(_xlfn._xlws.FILTER('Model output'!D:D,('Model output'!Z:Z=A35)),1)&lt;&gt;"",INDEX(_xlfn._xlws.FILTER('Model output'!D:D,('Model output'!Z:Z=A35)),1),""))-FIND("T",IF(INDEX(_xlfn._xlws.FILTER('Model output'!D:D,('Model output'!Z:Z=A35)),1)&lt;&gt;"",INDEX(_xlfn._xlws.FILTER('Model output'!D:D,('Model output'!Z:Z=A35)),1)))))),2)</f>
        <v>1a</v>
      </c>
      <c r="G35" s="17" t="str" cm="1">
        <f t="array" ref="G35">IF(ISNUMBER(SEARCH("N",IF(ISNUMBER(SEARCH("present",IF(INDEX(_xlfn._xlws.FILTER('Model output'!E:E,('Model output'!Z:Z=A35)),1)="","",INDEX(_xlfn._xlws.FILTER('Model output'!E:E,('Model output'!Z:Z=A35)),1)),1)),"N1", IF(INDEX(_xlfn._xlws.FILTER('Model output'!E:E,('Model output'!Z:Z=A35)),1)="","",INDEX(_xlfn._xlws.FILTER('Model output'!E:E,('Model output'!Z:Z=A35)),1))),1)),RIGHT(IF(ISNUMBER(SEARCH("present",IF(INDEX(_xlfn._xlws.FILTER('Model output'!E:E,('Model output'!Z:Z=A35)),1)="","",INDEX(_xlfn._xlws.FILTER('Model output'!E:E,('Model output'!Z:Z=A35)),1)),1)),"N1", IF(INDEX(_xlfn._xlws.FILTER('Model output'!E:E,('Model output'!Z:Z=A35)),1)="","",INDEX(_xlfn._xlws.FILTER('Model output'!E:E,('Model output'!Z:Z=A35)),1))),LEN(IF(ISNUMBER(SEARCH("present",IF(INDEX(_xlfn._xlws.FILTER('Model output'!E:E,('Model output'!Z:Z=A35)),1)="","",INDEX(_xlfn._xlws.FILTER('Model output'!E:E,('Model output'!Z:Z=A35)),1)),1)),"N1", IF(INDEX(_xlfn._xlws.FILTER('Model output'!E:E,('Model output'!Z:Z=A35)),1)="","",INDEX(_xlfn._xlws.FILTER('Model output'!E:E,('Model output'!Z:Z=A35)),1))))-FIND("N",IF(ISNUMBER(SEARCH("present",IF(INDEX(_xlfn._xlws.FILTER('Model output'!E:E,('Model output'!Z:Z=A35)),1)="","",INDEX(_xlfn._xlws.FILTER('Model output'!E:E,('Model output'!Z:Z=A35)),1)),1)),"N1", IF(INDEX(_xlfn._xlws.FILTER('Model output'!E:E,('Model output'!Z:Z=A35)),1)="","",INDEX(_xlfn._xlws.FILTER('Model output'!E:E,('Model output'!Z:Z=A35)),1))),1)), "")</f>
        <v/>
      </c>
      <c r="H35" s="17" cm="1">
        <f t="array" ref="H35">IF(AND(SUBSTITUTE(_xlfn.TEXTJOIN("/", TRUE, _xlfn._xlws.FILTER('Model output'!F:F, 'Model output'!Z:Z=A35)),"M", "")="", K35="negative"),0,IF(K35="positive",1,0))</f>
        <v>1</v>
      </c>
      <c r="I35" t="str">
        <f t="shared" si="0"/>
        <v/>
      </c>
      <c r="J35" t="str" cm="1">
        <f t="array" ref="J35">IF(AND(M35&gt;0, _xlfn.TEXTJOIN("; ", TRUE, _xlfn._xlws.FILTER('Model output'!G:G, 'Model output'!Z:Z=A35)) &lt;&gt;"", OR(AND(ISNUMBER(SEARCH("level", _xlfn.TEXTJOIN("; ", TRUE, _xlfn._xlws.FILTER('Model output'!G:G, 'Model output'!Z:Z=A35)),1)),OR(ISNUMBER(SEARCH(" II", _xlfn.TEXTJOIN("; ", TRUE, _xlfn._xlws.FILTER('Model output'!G:G, 'Model output'!Z:Z=A35)),1)),ISNUMBER(SEARCH("2", _xlfn.TEXTJOIN("; ", TRUE, _xlfn._xlws.FILTER('Model output'!G:G, 'Model output'!Z:Z=A35)),1)),ISNUMBER(SEARCH("two", _xlfn.TEXTJOIN("; ", TRUE, _xlfn._xlws.FILTER('Model output'!G:G, 'Model output'!Z:Z=A35)),1)),ISNUMBER(SEARCH("III", _xlfn.TEXTJOIN("; ", TRUE, _xlfn._xlws.FILTER('Model output'!G:G, 'Model output'!Z:Z=A35)),1)),ISNUMBER(SEARCH("3", _xlfn.TEXTJOIN("; ", TRUE, _xlfn._xlws.FILTER('Model output'!G:G, 'Model output'!Z:Z=A35)),1)),ISNUMBER(SEARCH("three", _xlfn.TEXTJOIN("; ", TRUE, _xlfn._xlws.FILTER('Model output'!G:G, 'Model output'!Z:Z=A35)),1)),ISNUMBER(SEARCH("IV", _xlfn.TEXTJOIN("; ", TRUE, _xlfn._xlws.FILTER('Model output'!G:G, 'Model output'!Z:Z=A35)),1)),ISNUMBER(SEARCH("4", _xlfn.TEXTJOIN("; ", TRUE, _xlfn._xlws.FILTER('Model output'!G:G, 'Model output'!Z:Z=A35)),1)),ISNUMBER(SEARCH("five", _xlfn.TEXTJOIN("; ", TRUE, _xlfn._xlws.FILTER('Model output'!G:G, 'Model output'!Z:Z=A35)),1)),ISNUMBER(SEARCH("V ", _xlfn.TEXTJOIN("; ", TRUE, _xlfn._xlws.FILTER('Model output'!G:G, 'Model output'!Z:Z=A35)),1)),ISNUMBER(SEARCH("5", _xlfn.TEXTJOIN("; ", TRUE, _xlfn._xlws.FILTER('Model output'!G:G, 'Model output'!Z:Z=A35)),1)),ISNUMBER(SEARCH("five", _xlfn.TEXTJOIN("; ", TRUE, _xlfn._xlws.FILTER('Model output'!G:G, 'Model output'!Z:Z=A35)),1)),ISNUMBER(SEARCH(" lateral", _xlfn.TEXTJOIN("; ", TRUE, _xlfn._xlws.FILTER('Model output'!G:G, 'Model output'!Z:Z=A35)),1)))),ISNUMBER(SEARCH("cervical", _xlfn.TEXTJOIN("; ", TRUE, _xlfn._xlws.FILTER('Model output'!G:G, 'Model output'!Z:Z=A35)),1)),ISNUMBER(SEARCH("jugular", _xlfn.TEXTJOIN("; ", TRUE, _xlfn._xlws.FILTER('Model output'!G:G, 'Model output'!Z:Z=A35)),1)),ISNUMBER(SEARCH("left neck", _xlfn.TEXTJOIN("; ", TRUE, _xlfn._xlws.FILTER('Model output'!G:G, 'Model output'!Z:Z=A35)),1)),ISNUMBER(SEARCH("left anterior neck", _xlfn.TEXTJOIN("; ", TRUE, _xlfn._xlws.FILTER('Model output'!G:G, 'Model output'!Z:Z=A35)),1)),ISNUMBER(SEARCH("left posterior neck", _xlfn.TEXTJOIN("; ", TRUE, _xlfn._xlws.FILTER('Model output'!G:G, 'Model output'!Z:Z=A35)),1)),ISNUMBER(SEARCH("right neck", _xlfn.TEXTJOIN("; ", TRUE, _xlfn._xlws.FILTER('Model output'!G:G, 'Model output'!Z:Z=A35)),1)),ISNUMBER(SEARCH("right anterior neck", _xlfn.TEXTJOIN("; ", TRUE, _xlfn._xlws.FILTER('Model output'!G:G, 'Model output'!Z:Z=A35)),1)),ISNUMBER(SEARCH("right posterior neck", _xlfn.TEXTJOIN("; ", TRUE, _xlfn._xlws.FILTER('Model output'!G:G, 'Model output'!Z:Z=A35)),1)))),"lateral",IF(AND(M35=0, _xlfn.TEXTJOIN("; ", TRUE, _xlfn._xlws.FILTER('Model output'!G:G, 'Model output'!Z:Z=A35))=""),"", "central"))</f>
        <v/>
      </c>
      <c r="K35" s="17" t="str" cm="1">
        <f t="array" ref="K35">IF(OR(ISNUMBER(SEARCH("lymph",_xlfn.TEXTJOIN("; ", TRUE, _xlfn._xlws.FILTER('Model output'!H:H, 'Model output'!Z:Z=A35)),1)), ISNUMBER(SEARCH("Not mentioned",_xlfn.TEXTJOIN("; ", TRUE, _xlfn._xlws.FILTER('Model output'!H:H, 'Model output'!Z:Z=A35)),1)),ISNUMBER(SEARCH("subcutaneous soft tissues",_xlfn.TEXTJOIN("; ", TRUE, _xlfn._xlws.FILTER('Model output'!H:H, 'Model output'!Z:Z=A35)),1)),ISNUMBER(SEARCH("larynx",_xlfn.TEXTJOIN("; ", TRUE, _xlfn._xlws.FILTER('Model output'!H:H, 'Model output'!Z:Z=A35)),1)),ISNUMBER(SEARCH("trachea",_xlfn.TEXTJOIN("; ", TRUE, _xlfn._xlws.FILTER('Model output'!H:H, 'Model output'!Z:Z=A35)),1)),ISNUMBER(SEARCH("esophagus",_xlfn.TEXTJOIN("; ", TRUE, _xlfn._xlws.FILTER('Model output'!H:H, 'Model output'!Z:Z=A35)),1)),ISNUMBER(SEARCH("recurrent laryngeal nerve",_xlfn.TEXTJOIN("; ", TRUE, _xlfn._xlws.FILTER('Model output'!H:H, 'Model output'!Z:Z=A35)),1)),ISNUMBER(SEARCH("strap muscle",_xlfn.TEXTJOIN("; ", TRUE, _xlfn._xlws.FILTER('Model output'!H:H, 'Model output'!Z:Z=A35)),1)),ISNUMBER(SEARCH("thyroid",_xlfn.TEXTJOIN("; ", TRUE, _xlfn._xlws.FILTER('Model output'!H:H, 'Model output'!Z:Z=A35)),1)),ISNUMBER(SEARCH("RLN",_xlfn.TEXTJOIN("; ", TRUE, _xlfn._xlws.FILTER('Model output'!H:H, 'Model output'!Z:Z=A35)),1)),_xlfn.TEXTJOIN("; ", TRUE, _xlfn._xlws.FILTER('Model output'!H:H, 'Model output'!Z:Z=A35))=""),"negative","positive")</f>
        <v>positive</v>
      </c>
      <c r="L35" s="17">
        <f>IF(IFERROR(INDEX('Model output'!I:I, MATCH(A35, 'Model output'!Z:Z, 0)), "") &lt; M35, "", IFERROR(INDEX('Model output'!I:I, MATCH(A35, 'Model output'!Z:Z, 0)), ""))</f>
        <v>0</v>
      </c>
      <c r="M35" s="17">
        <f>IFERROR(INDEX('Model output'!J:J, MATCH(A35, 'Model output'!Z:Z, 0)), "")</f>
        <v>0</v>
      </c>
      <c r="N35" s="18" t="str" cm="1">
        <f t="array" ref="N35">ReplaceTo(ReplaceAnd(SUBSTITUTE(SUBSTITUTE(_xlfn.TEXTJOIN("; ", TRUE, _xlfn._xlws.FILTER('Model output'!K:K, 'Model output'!Z:Z=A35)), " ", ""), ",", ";")))</f>
        <v/>
      </c>
      <c r="O35" t="str" cm="1">
        <f t="array" ref="O35">IF(LEFT(IF(RIGHT(SUBSTITUTE(FilterWithUnits(N35)&amp; ";" &amp;FilterStringsWithNumericAnd(N35) &amp; ";" &amp; FilterStringsWithX(N35), ";;", ";"),1)=";",LEFT(SUBSTITUTE(FilterWithUnits(N35)&amp; ";" &amp;FilterStringsWithNumericAnd(N35) &amp; ";" &amp; FilterStringsWithX(N35), ";;", ";"),LEN(SUBSTITUTE(FilterWithUnits(N35)&amp; ";" &amp;FilterStringsWithNumericAnd(N35) &amp; ";" &amp; FilterStringsWithX(N35), ";;", ";"))-1),SUBSTITUTE(FilterWithUnits(N35)&amp; ";" &amp;FilterStringsWithNumericAnd(N35) &amp; ";" &amp; FilterStringsWithX(N35), ";;", ";")),1)=";",RIGHT(IF(RIGHT(SUBSTITUTE(FilterWithUnits(N35)&amp; ";" &amp;FilterStringsWithNumericAnd(N35) &amp; ";" &amp; FilterStringsWithX(N35), ";;", ";"),1)=";",LEFT(SUBSTITUTE(FilterWithUnits(N35)&amp; ";" &amp;FilterStringsWithNumericAnd(N35) &amp; ";" &amp; FilterStringsWithX(N35), ";;", ";"),LEN(SUBSTITUTE(FilterWithUnits(N35)&amp; ";" &amp;FilterStringsWithNumericAnd(N35) &amp; ";" &amp; FilterStringsWithX(N35), ";;", ";"))-1),SUBSTITUTE(FilterWithUnits(N35)&amp; ";" &amp;FilterStringsWithNumericAnd(N35) &amp; ";" &amp; FilterStringsWithX(N35), ";;", ";")),LEN(IF(RIGHT(SUBSTITUTE(FilterWithUnits(N35)&amp; ";" &amp;FilterStringsWithNumericAnd(N35) &amp; ";" &amp; FilterStringsWithX(N35), ";;", ";"),1)=";",LEFT(SUBSTITUTE(FilterWithUnits(N35)&amp; ";" &amp;FilterStringsWithNumericAnd(N35) &amp; ";" &amp; FilterStringsWithX(N35), ";;", ";"),LEN(SUBSTITUTE(FilterWithUnits(N35)&amp; ";" &amp;FilterStringsWithNumericAnd(N35) &amp; ";" &amp; FilterStringsWithX(N35), ";;", ";"))-1),SUBSTITUTE(FilterWithUnits(N35)&amp; ";" &amp;FilterStringsWithNumericAnd(N35) &amp; ";" &amp; FilterStringsWithX(N35), ";;", ";")))-1),IF(RIGHT(SUBSTITUTE(FilterWithUnits(N35)&amp; ";" &amp;FilterStringsWithNumericAnd(N35) &amp; ";" &amp; FilterStringsWithX(N35), ";;", ";"),1)=";",LEFT(SUBSTITUTE(FilterWithUnits(N35)&amp; ";" &amp;FilterStringsWithNumericAnd(N35) &amp; ";" &amp; FilterStringsWithX(N35), ";;", ";"),LEN(SUBSTITUTE(FilterWithUnits(N35)&amp; ";" &amp;FilterStringsWithNumericAnd(N35) &amp; ";" &amp; FilterStringsWithX(N35), ";;", ";"))-1),SUBSTITUTE(FilterWithUnits(N35)&amp; ";" &amp;FilterStringsWithNumericAnd(N35) &amp; ";" &amp; FilterStringsWithX(N35), ";;", ";")))</f>
        <v/>
      </c>
      <c r="P35" t="str" cm="1">
        <f t="array" ref="P35">IF(MaxSize((SplitDimensions(O35)))=0, "", MaxSize((SplitDimensions(O35))))</f>
        <v/>
      </c>
      <c r="Q35" t="str" cm="1">
        <f t="array" ref="Q35">IF(ISERROR(INDEX(_xlfn._xlws.FILTER('Model output'!L:L, ('Model output'!Z:Z=A35)*('Model output'!L:L&lt;&gt;"")), 1)), " ", LOWER(INDEX(_xlfn._xlws.FILTER('Model output'!L:L, ('Model output'!Z:Z=A35)*('Model output'!L:L&lt;&gt;"")), 1)))</f>
        <v>papillary</v>
      </c>
      <c r="R35" t="str" cm="1">
        <f t="array" ref="R35">IF(ISERROR(INDEX(_xlfn._xlws.FILTER('Model output'!M:M, ('Model output'!Z:Z=A35)*('Model output'!M:M&lt;&gt;"")), 1)), " ", LOWER(INDEX(_xlfn._xlws.FILTER('Model output'!M:M, ('Model output'!Z:Z=A35)*('Model output'!M:M&lt;&gt;"")), 1)))</f>
        <v>microcarcinoma</v>
      </c>
      <c r="S35" t="str" cm="1">
        <f t="array" ref="S35">IF(OR(ISNUMBER(SEARCH("ly",SUBSTITUTE(INDEX(_xlfn._xlws.FILTER('Model output'!N:N,('Model output'!Z:Z=A35)*('Model output'!N:N&lt;&gt;"")),1)," ",""),1)), ISNUMBER(SEARCH("pole",SUBSTITUTE(INDEX(_xlfn._xlws.FILTER('Model output'!N:N,('Model output'!Z:Z=A35)*('Model output'!N:N&lt;&gt;"")),1)," ",""),1))),"",SUBSTITUTE(INDEX(_xlfn._xlws.FILTER('Model output'!N:N,('Model output'!Z:Z=A35)*('Model output'!N:N&lt;&gt;"")),1)," ",""))</f>
        <v>0.6mm</v>
      </c>
      <c r="T35" t="str" cm="1">
        <f t="array" ref="T35">IF(LEFT(IF(RIGHT(SUBSTITUTE(FilterWithUnits(S35)&amp; ";" &amp;FilterStringsWithNumericAnd(S35) &amp; ";" &amp; FilterStringsWithX(S35), ";;", ";"),1)=";",LEFT(SUBSTITUTE(FilterWithUnits(S35)&amp; ";" &amp;FilterStringsWithNumericAnd(S35) &amp; ";" &amp; FilterStringsWithX(S35), ";;", ";"),LEN(SUBSTITUTE(FilterWithUnits(S35)&amp; ";" &amp;FilterStringsWithNumericAnd(S35) &amp; ";" &amp; FilterStringsWithX(S35), ";;", ";"))-1),SUBSTITUTE(FilterWithUnits(S35)&amp; ";" &amp;FilterStringsWithNumericAnd(S35) &amp; ";" &amp; FilterStringsWithX(S35), ";;", ";")),1)=";",RIGHT(IF(RIGHT(SUBSTITUTE(FilterWithUnits(S35)&amp; ";" &amp;FilterStringsWithNumericAnd(S35) &amp; ";" &amp; FilterStringsWithX(S35), ";;", ";"),1)=";",LEFT(SUBSTITUTE(FilterWithUnits(S35)&amp; ";" &amp;FilterStringsWithNumericAnd(S35) &amp; ";" &amp; FilterStringsWithX(S35), ";;", ";"),LEN(SUBSTITUTE(FilterWithUnits(S35)&amp; ";" &amp;FilterStringsWithNumericAnd(S35) &amp; ";" &amp; FilterStringsWithX(S35), ";;", ";"))-1),SUBSTITUTE(FilterWithUnits(S35)&amp; ";" &amp;FilterStringsWithNumericAnd(S35) &amp; ";" &amp; FilterStringsWithX(S35), ";;", ";")),LEN(IF(RIGHT(SUBSTITUTE(FilterWithUnits(S35)&amp; ";" &amp;FilterStringsWithNumericAnd(S35) &amp; ";" &amp; FilterStringsWithX(S35), ";;", ";"),1)=";",LEFT(SUBSTITUTE(FilterWithUnits(S35)&amp; ";" &amp;FilterStringsWithNumericAnd(S35) &amp; ";" &amp; FilterStringsWithX(S35), ";;", ";"),LEN(SUBSTITUTE(FilterWithUnits(S35)&amp; ";" &amp;FilterStringsWithNumericAnd(S35) &amp; ";" &amp; FilterStringsWithX(S35), ";;", ";"))-1),SUBSTITUTE(FilterWithUnits(S35)&amp; ";" &amp;FilterStringsWithNumericAnd(S35) &amp; ";" &amp; FilterStringsWithX(S35), ";;", ";")))-1),IF(RIGHT(SUBSTITUTE(FilterWithUnits(S35)&amp; ";" &amp;FilterStringsWithNumericAnd(S35) &amp; ";" &amp; FilterStringsWithX(S35), ";;", ";"),1)=";",LEFT(SUBSTITUTE(FilterWithUnits(S35)&amp; ";" &amp;FilterStringsWithNumericAnd(S35) &amp; ";" &amp; FilterStringsWithX(S35), ";;", ";"),LEN(SUBSTITUTE(FilterWithUnits(S35)&amp; ";" &amp;FilterStringsWithNumericAnd(S35) &amp; ";" &amp; FilterStringsWithX(S35), ";;", ";"))-1),SUBSTITUTE(FilterWithUnits(S35)&amp; ";" &amp;FilterStringsWithNumericAnd(S35) &amp; ";" &amp; FilterStringsWithX(S35), ";;", ";")))</f>
        <v>0.6mm</v>
      </c>
      <c r="U35" cm="1">
        <f t="array" ref="U35">IF(MaxSize((SplitDimensions(T35)))=0, "", MaxSize((SplitDimensions(T35))))</f>
        <v>0.06</v>
      </c>
      <c r="V35" s="17" t="str" cm="1">
        <f t="array" ref="V35">IF(ISERROR(INDEX(_xlfn._xlws.FILTER('Model output'!P:P,('Model output'!Z:Z=A35)*('Model output'!P:P&lt;&gt;"")),1)),"negative",IF(OR(ISNUMBER(SEARCH("foc",INDEX(_xlfn._xlws.FILTER('Model output'!P:P,('Model output'!Z:Z=A35)*('Model output'!P:P&lt;&gt;"")),1),1)),ISNUMBER(SEARCH("extensive",INDEX(_xlfn._xlws.FILTER('Model output'!P:P,('Model output'!Z:Z=A35)*('Model output'!P:P&lt;&gt;"")),1),1)),ISNUMBER(SEARCH("present",INDEX(_xlfn._xlws.FILTER('Model output'!P:P,('Model output'!Z:Z=A35)*('Model output'!P:P&lt;&gt;"")),1),1)),ISNUMBER(SEARCH("yes",INDEX(_xlfn._xlws.FILTER('Model output'!P:P,('Model output'!Z:Z=A35)*('Model output'!P:P&lt;&gt;"")),1),1))),"positive","negative"))</f>
        <v>positive</v>
      </c>
      <c r="X35" t="str" cm="1">
        <f t="array" ref="X35">IF(ISNUMBER(SEARCH("4",INDEX(_xlfn._xlws.FILTER('Model output'!P:P,('Model output'!Z:Z=A35)*('Model output'!P:P&lt;&gt;"")),1),1)),INDEX(_xlfn._xlws.FILTER('Model output'!P:P,('Model output'!Z:Z=A35)*('Model output'!P:P&lt;&gt;"")),1),"") &amp; _xlfn.TEXTJOIN("",TRUE,_xlfn._xlws.FILTER('Model output'!Q:Q,'Model output'!Z:Z=A35))</f>
        <v/>
      </c>
      <c r="Y35" t="str">
        <f t="shared" si="11"/>
        <v>minimal</v>
      </c>
      <c r="Z35" t="str" cm="1">
        <f t="array" ref="Z35">IF(OR(ISNUMBER(SEARCH("focal",_xlfn.TEXTJOIN("; ",TRUE,_xlfn._xlws.FILTER('Model output'!R:R,'Model output'!Z:Z=A35)),1)),ISNUMBER(SEARCH("present",_xlfn.TEXTJOIN("; ",TRUE,_xlfn._xlws.FILTER('Model output'!R:R,'Model output'!Z:Z=A35)),1))),"positive",IF(_xlfn.TEXTJOIN("; ",TRUE,_xlfn._xlws.FILTER('Model output'!R:R,'Model output'!Z:Z=A35))="","negative",IF(OR(ISNUMBER(SEARCH("no",_xlfn.TEXTJOIN("; ",TRUE,_xlfn._xlws.FILTER('Model output'!R:R,'Model output'!Z:Z=A35)),1)),ISNUMBER(SEARCH("absent",_xlfn.TEXTJOIN("; ",TRUE,_xlfn._xlws.FILTER('Model output'!R:R,'Model output'!Z:Z=A35)),1))),"negative","positive")))</f>
        <v>negative</v>
      </c>
      <c r="AA35" s="17" t="str">
        <f t="shared" si="12"/>
        <v>negative</v>
      </c>
      <c r="AE35" s="17" t="str">
        <f t="shared" si="14"/>
        <v>negative</v>
      </c>
      <c r="AF35" t="str" cm="1">
        <f t="array" ref="AF35">_xlfn.TEXTJOIN("; ",TRUE,_xlfn._xlws.FILTER('Model output'!S:S,'Model output'!Z:Z=A35))</f>
        <v>Not mentioned</v>
      </c>
      <c r="AG35" s="17" t="str" cm="1">
        <f t="array" ref="AG35">IF(OR(ISNUMBER(SEARCH("uninvolved",_xlfn.TEXTJOIN("; ",TRUE,_xlfn._xlws.FILTER('Model output'!V:V,'Model output'!Z:Z=A35)),1)),ISNUMBER(SEARCH("clear",_xlfn.TEXTJOIN("; ",TRUE,_xlfn._xlws.FILTER('Model output'!V:V,'Model output'!Z:Z=A35)),1))*ISNUMBER(SEARCH("not mentioned",_xlfn.TEXTJOIN("; ",TRUE,_xlfn._xlws.FILTER('Model output'!V:V,'Model output'!Z:Z=A35)),1))),"negative",IF(ISNUMBER(SEARCH("cannot be assessed",_xlfn.TEXTJOIN("; ",TRUE,_xlfn._xlws.FILTER('Model output'!V:V,'Model output'!Z:Z=A35)),1)),"unknown","negative"))</f>
        <v>negative</v>
      </c>
      <c r="AI35" s="45" t="str">
        <f t="shared" si="13"/>
        <v>high</v>
      </c>
      <c r="AJ35" s="36" t="str">
        <f t="shared" si="15"/>
        <v>1a</v>
      </c>
      <c r="AK35" s="36" t="str">
        <f t="shared" si="3"/>
        <v>x</v>
      </c>
      <c r="AL35" s="36">
        <f t="shared" si="4"/>
        <v>1</v>
      </c>
      <c r="AM35" s="36" t="str">
        <f t="shared" si="5"/>
        <v>II</v>
      </c>
      <c r="AN35" s="37" t="s">
        <v>165</v>
      </c>
      <c r="AO35" s="38" t="s">
        <v>203</v>
      </c>
      <c r="AP35" s="38" t="s">
        <v>202</v>
      </c>
      <c r="AQ35" s="38">
        <v>1</v>
      </c>
      <c r="AR35" s="38" t="s">
        <v>44</v>
      </c>
      <c r="AS35" s="37">
        <f t="shared" si="6"/>
        <v>1</v>
      </c>
      <c r="AT35" s="38">
        <f t="shared" si="7"/>
        <v>1</v>
      </c>
      <c r="AU35" s="38">
        <f t="shared" si="8"/>
        <v>1</v>
      </c>
      <c r="AV35" s="38">
        <f t="shared" si="9"/>
        <v>1</v>
      </c>
      <c r="AW35" s="39">
        <f t="shared" si="10"/>
        <v>1</v>
      </c>
    </row>
    <row r="36" spans="1:50">
      <c r="A36" s="13">
        <v>34</v>
      </c>
      <c r="B36" s="16">
        <f>_xlfn.MAXIFS('Model output'!B:B,'Model output'!Z:Z,'Classification result'!$A36)</f>
        <v>44825</v>
      </c>
      <c r="C36" s="16"/>
      <c r="D36" s="16"/>
      <c r="E36" s="17">
        <f>_xlfn.MAXIFS('Model output'!C:C,'Model output'!Z:Z,'Classification result'!$A36)</f>
        <v>63</v>
      </c>
      <c r="F36" s="17" t="str" cm="1">
        <f t="array" ref="F36">LEFT(IF(ISERROR(RIGHT(IF(INDEX(_xlfn._xlws.FILTER('Model output'!D:D,('Model output'!Z:Z=A36)),1)&lt;&gt;"",INDEX(_xlfn._xlws.FILTER('Model output'!D:D,('Model output'!Z:Z=A36)),1),""),LEN(IF(INDEX(_xlfn._xlws.FILTER('Model output'!D:D,('Model output'!Z:Z=A36)),1)&lt;&gt;"",INDEX(_xlfn._xlws.FILTER('Model output'!D:D,('Model output'!Z:Z=A36)),1),""))-FIND("T",IF(INDEX(_xlfn._xlws.FILTER('Model output'!D:D,('Model output'!Z:Z=A36)),1)&lt;&gt;"",INDEX(_xlfn._xlws.FILTER('Model output'!D:D,('Model output'!Z:Z=A36)),1),""),1))),"",(RIGHT(IF(INDEX(_xlfn._xlws.FILTER('Model output'!D:D,('Model output'!Z:Z=A36)),1)&lt;&gt;"",INDEX(_xlfn._xlws.FILTER('Model output'!D:D,('Model output'!Z:Z=A36)),1),""),LEN(IF(INDEX(_xlfn._xlws.FILTER('Model output'!D:D,('Model output'!Z:Z=A36)),1)&lt;&gt;"",INDEX(_xlfn._xlws.FILTER('Model output'!D:D,('Model output'!Z:Z=A36)),1),""))-FIND("T",IF(INDEX(_xlfn._xlws.FILTER('Model output'!D:D,('Model output'!Z:Z=A36)),1)&lt;&gt;"",INDEX(_xlfn._xlws.FILTER('Model output'!D:D,('Model output'!Z:Z=A36)),1)))))),2)</f>
        <v>4a</v>
      </c>
      <c r="G36" s="17" t="str" cm="1">
        <f t="array" ref="G36">IF(ISNUMBER(SEARCH("N",IF(ISNUMBER(SEARCH("present",IF(INDEX(_xlfn._xlws.FILTER('Model output'!E:E,('Model output'!Z:Z=A36)),1)="","",INDEX(_xlfn._xlws.FILTER('Model output'!E:E,('Model output'!Z:Z=A36)),1)),1)),"N1", IF(INDEX(_xlfn._xlws.FILTER('Model output'!E:E,('Model output'!Z:Z=A36)),1)="","",INDEX(_xlfn._xlws.FILTER('Model output'!E:E,('Model output'!Z:Z=A36)),1))),1)),RIGHT(IF(ISNUMBER(SEARCH("present",IF(INDEX(_xlfn._xlws.FILTER('Model output'!E:E,('Model output'!Z:Z=A36)),1)="","",INDEX(_xlfn._xlws.FILTER('Model output'!E:E,('Model output'!Z:Z=A36)),1)),1)),"N1", IF(INDEX(_xlfn._xlws.FILTER('Model output'!E:E,('Model output'!Z:Z=A36)),1)="","",INDEX(_xlfn._xlws.FILTER('Model output'!E:E,('Model output'!Z:Z=A36)),1))),LEN(IF(ISNUMBER(SEARCH("present",IF(INDEX(_xlfn._xlws.FILTER('Model output'!E:E,('Model output'!Z:Z=A36)),1)="","",INDEX(_xlfn._xlws.FILTER('Model output'!E:E,('Model output'!Z:Z=A36)),1)),1)),"N1", IF(INDEX(_xlfn._xlws.FILTER('Model output'!E:E,('Model output'!Z:Z=A36)),1)="","",INDEX(_xlfn._xlws.FILTER('Model output'!E:E,('Model output'!Z:Z=A36)),1))))-FIND("N",IF(ISNUMBER(SEARCH("present",IF(INDEX(_xlfn._xlws.FILTER('Model output'!E:E,('Model output'!Z:Z=A36)),1)="","",INDEX(_xlfn._xlws.FILTER('Model output'!E:E,('Model output'!Z:Z=A36)),1)),1)),"N1", IF(INDEX(_xlfn._xlws.FILTER('Model output'!E:E,('Model output'!Z:Z=A36)),1)="","",INDEX(_xlfn._xlws.FILTER('Model output'!E:E,('Model output'!Z:Z=A36)),1))),1)), "")</f>
        <v>0</v>
      </c>
      <c r="H36" s="17" cm="1">
        <f t="array" ref="H36">IF(AND(SUBSTITUTE(_xlfn.TEXTJOIN("/", TRUE, _xlfn._xlws.FILTER('Model output'!F:F, 'Model output'!Z:Z=A36)),"M", "")="", K36="negative"),0,IF(K36="positive",1,0))</f>
        <v>0</v>
      </c>
      <c r="I36" t="str">
        <f t="shared" si="0"/>
        <v>positive</v>
      </c>
      <c r="J36" t="str" cm="1">
        <f t="array" ref="J36">IF(AND(M36&gt;0, _xlfn.TEXTJOIN("; ", TRUE, _xlfn._xlws.FILTER('Model output'!G:G, 'Model output'!Z:Z=A36)) &lt;&gt;"", OR(AND(ISNUMBER(SEARCH("level", _xlfn.TEXTJOIN("; ", TRUE, _xlfn._xlws.FILTER('Model output'!G:G, 'Model output'!Z:Z=A36)),1)),OR(ISNUMBER(SEARCH(" II", _xlfn.TEXTJOIN("; ", TRUE, _xlfn._xlws.FILTER('Model output'!G:G, 'Model output'!Z:Z=A36)),1)),ISNUMBER(SEARCH("2", _xlfn.TEXTJOIN("; ", TRUE, _xlfn._xlws.FILTER('Model output'!G:G, 'Model output'!Z:Z=A36)),1)),ISNUMBER(SEARCH("two", _xlfn.TEXTJOIN("; ", TRUE, _xlfn._xlws.FILTER('Model output'!G:G, 'Model output'!Z:Z=A36)),1)),ISNUMBER(SEARCH("III", _xlfn.TEXTJOIN("; ", TRUE, _xlfn._xlws.FILTER('Model output'!G:G, 'Model output'!Z:Z=A36)),1)),ISNUMBER(SEARCH("3", _xlfn.TEXTJOIN("; ", TRUE, _xlfn._xlws.FILTER('Model output'!G:G, 'Model output'!Z:Z=A36)),1)),ISNUMBER(SEARCH("three", _xlfn.TEXTJOIN("; ", TRUE, _xlfn._xlws.FILTER('Model output'!G:G, 'Model output'!Z:Z=A36)),1)),ISNUMBER(SEARCH("IV", _xlfn.TEXTJOIN("; ", TRUE, _xlfn._xlws.FILTER('Model output'!G:G, 'Model output'!Z:Z=A36)),1)),ISNUMBER(SEARCH("4", _xlfn.TEXTJOIN("; ", TRUE, _xlfn._xlws.FILTER('Model output'!G:G, 'Model output'!Z:Z=A36)),1)),ISNUMBER(SEARCH("five", _xlfn.TEXTJOIN("; ", TRUE, _xlfn._xlws.FILTER('Model output'!G:G, 'Model output'!Z:Z=A36)),1)),ISNUMBER(SEARCH("V ", _xlfn.TEXTJOIN("; ", TRUE, _xlfn._xlws.FILTER('Model output'!G:G, 'Model output'!Z:Z=A36)),1)),ISNUMBER(SEARCH("5", _xlfn.TEXTJOIN("; ", TRUE, _xlfn._xlws.FILTER('Model output'!G:G, 'Model output'!Z:Z=A36)),1)),ISNUMBER(SEARCH("five", _xlfn.TEXTJOIN("; ", TRUE, _xlfn._xlws.FILTER('Model output'!G:G, 'Model output'!Z:Z=A36)),1)),ISNUMBER(SEARCH(" lateral", _xlfn.TEXTJOIN("; ", TRUE, _xlfn._xlws.FILTER('Model output'!G:G, 'Model output'!Z:Z=A36)),1)))),ISNUMBER(SEARCH("cervical", _xlfn.TEXTJOIN("; ", TRUE, _xlfn._xlws.FILTER('Model output'!G:G, 'Model output'!Z:Z=A36)),1)),ISNUMBER(SEARCH("jugular", _xlfn.TEXTJOIN("; ", TRUE, _xlfn._xlws.FILTER('Model output'!G:G, 'Model output'!Z:Z=A36)),1)),ISNUMBER(SEARCH("left neck", _xlfn.TEXTJOIN("; ", TRUE, _xlfn._xlws.FILTER('Model output'!G:G, 'Model output'!Z:Z=A36)),1)),ISNUMBER(SEARCH("left anterior neck", _xlfn.TEXTJOIN("; ", TRUE, _xlfn._xlws.FILTER('Model output'!G:G, 'Model output'!Z:Z=A36)),1)),ISNUMBER(SEARCH("left posterior neck", _xlfn.TEXTJOIN("; ", TRUE, _xlfn._xlws.FILTER('Model output'!G:G, 'Model output'!Z:Z=A36)),1)),ISNUMBER(SEARCH("right neck", _xlfn.TEXTJOIN("; ", TRUE, _xlfn._xlws.FILTER('Model output'!G:G, 'Model output'!Z:Z=A36)),1)),ISNUMBER(SEARCH("right anterior neck", _xlfn.TEXTJOIN("; ", TRUE, _xlfn._xlws.FILTER('Model output'!G:G, 'Model output'!Z:Z=A36)),1)),ISNUMBER(SEARCH("right posterior neck", _xlfn.TEXTJOIN("; ", TRUE, _xlfn._xlws.FILTER('Model output'!G:G, 'Model output'!Z:Z=A36)),1)))),"lateral",IF(AND(M36=0, _xlfn.TEXTJOIN("; ", TRUE, _xlfn._xlws.FILTER('Model output'!G:G, 'Model output'!Z:Z=A36))=""),"", "central"))</f>
        <v>central</v>
      </c>
      <c r="K36" s="17" t="str" cm="1">
        <f t="array" ref="K36">IF(OR(ISNUMBER(SEARCH("lymph",_xlfn.TEXTJOIN("; ", TRUE, _xlfn._xlws.FILTER('Model output'!H:H, 'Model output'!Z:Z=A36)),1)), ISNUMBER(SEARCH("Not mentioned",_xlfn.TEXTJOIN("; ", TRUE, _xlfn._xlws.FILTER('Model output'!H:H, 'Model output'!Z:Z=A36)),1)),ISNUMBER(SEARCH("subcutaneous soft tissues",_xlfn.TEXTJOIN("; ", TRUE, _xlfn._xlws.FILTER('Model output'!H:H, 'Model output'!Z:Z=A36)),1)),ISNUMBER(SEARCH("larynx",_xlfn.TEXTJOIN("; ", TRUE, _xlfn._xlws.FILTER('Model output'!H:H, 'Model output'!Z:Z=A36)),1)),ISNUMBER(SEARCH("trachea",_xlfn.TEXTJOIN("; ", TRUE, _xlfn._xlws.FILTER('Model output'!H:H, 'Model output'!Z:Z=A36)),1)),ISNUMBER(SEARCH("esophagus",_xlfn.TEXTJOIN("; ", TRUE, _xlfn._xlws.FILTER('Model output'!H:H, 'Model output'!Z:Z=A36)),1)),ISNUMBER(SEARCH("recurrent laryngeal nerve",_xlfn.TEXTJOIN("; ", TRUE, _xlfn._xlws.FILTER('Model output'!H:H, 'Model output'!Z:Z=A36)),1)),ISNUMBER(SEARCH("strap muscle",_xlfn.TEXTJOIN("; ", TRUE, _xlfn._xlws.FILTER('Model output'!H:H, 'Model output'!Z:Z=A36)),1)),ISNUMBER(SEARCH("thyroid",_xlfn.TEXTJOIN("; ", TRUE, _xlfn._xlws.FILTER('Model output'!H:H, 'Model output'!Z:Z=A36)),1)),ISNUMBER(SEARCH("RLN",_xlfn.TEXTJOIN("; ", TRUE, _xlfn._xlws.FILTER('Model output'!H:H, 'Model output'!Z:Z=A36)),1)),_xlfn.TEXTJOIN("; ", TRUE, _xlfn._xlws.FILTER('Model output'!H:H, 'Model output'!Z:Z=A36))=""),"negative","positive")</f>
        <v>negative</v>
      </c>
      <c r="L36" s="17">
        <f>IF(IFERROR(INDEX('Model output'!I:I, MATCH(A36, 'Model output'!Z:Z, 0)), "") &lt; M36, "", IFERROR(INDEX('Model output'!I:I, MATCH(A36, 'Model output'!Z:Z, 0)), ""))</f>
        <v>0</v>
      </c>
      <c r="M36" s="17">
        <f>IFERROR(INDEX('Model output'!J:J, MATCH(A36, 'Model output'!Z:Z, 0)), "")</f>
        <v>0</v>
      </c>
      <c r="N36" s="18" t="str" cm="1">
        <f t="array" ref="N36">ReplaceTo(ReplaceAnd(SUBSTITUTE(SUBSTITUTE(_xlfn.TEXTJOIN("; ", TRUE, _xlfn._xlws.FILTER('Model output'!K:K, 'Model output'!Z:Z=A36)), " ", ""), ",", ";")))</f>
        <v/>
      </c>
      <c r="O36" t="str" cm="1">
        <f t="array" ref="O36">IF(LEFT(IF(RIGHT(SUBSTITUTE(FilterWithUnits(N36)&amp; ";" &amp;FilterStringsWithNumericAnd(N36) &amp; ";" &amp; FilterStringsWithX(N36), ";;", ";"),1)=";",LEFT(SUBSTITUTE(FilterWithUnits(N36)&amp; ";" &amp;FilterStringsWithNumericAnd(N36) &amp; ";" &amp; FilterStringsWithX(N36), ";;", ";"),LEN(SUBSTITUTE(FilterWithUnits(N36)&amp; ";" &amp;FilterStringsWithNumericAnd(N36) &amp; ";" &amp; FilterStringsWithX(N36), ";;", ";"))-1),SUBSTITUTE(FilterWithUnits(N36)&amp; ";" &amp;FilterStringsWithNumericAnd(N36) &amp; ";" &amp; FilterStringsWithX(N36), ";;", ";")),1)=";",RIGHT(IF(RIGHT(SUBSTITUTE(FilterWithUnits(N36)&amp; ";" &amp;FilterStringsWithNumericAnd(N36) &amp; ";" &amp; FilterStringsWithX(N36), ";;", ";"),1)=";",LEFT(SUBSTITUTE(FilterWithUnits(N36)&amp; ";" &amp;FilterStringsWithNumericAnd(N36) &amp; ";" &amp; FilterStringsWithX(N36), ";;", ";"),LEN(SUBSTITUTE(FilterWithUnits(N36)&amp; ";" &amp;FilterStringsWithNumericAnd(N36) &amp; ";" &amp; FilterStringsWithX(N36), ";;", ";"))-1),SUBSTITUTE(FilterWithUnits(N36)&amp; ";" &amp;FilterStringsWithNumericAnd(N36) &amp; ";" &amp; FilterStringsWithX(N36), ";;", ";")),LEN(IF(RIGHT(SUBSTITUTE(FilterWithUnits(N36)&amp; ";" &amp;FilterStringsWithNumericAnd(N36) &amp; ";" &amp; FilterStringsWithX(N36), ";;", ";"),1)=";",LEFT(SUBSTITUTE(FilterWithUnits(N36)&amp; ";" &amp;FilterStringsWithNumericAnd(N36) &amp; ";" &amp; FilterStringsWithX(N36), ";;", ";"),LEN(SUBSTITUTE(FilterWithUnits(N36)&amp; ";" &amp;FilterStringsWithNumericAnd(N36) &amp; ";" &amp; FilterStringsWithX(N36), ";;", ";"))-1),SUBSTITUTE(FilterWithUnits(N36)&amp; ";" &amp;FilterStringsWithNumericAnd(N36) &amp; ";" &amp; FilterStringsWithX(N36), ";;", ";")))-1),IF(RIGHT(SUBSTITUTE(FilterWithUnits(N36)&amp; ";" &amp;FilterStringsWithNumericAnd(N36) &amp; ";" &amp; FilterStringsWithX(N36), ";;", ";"),1)=";",LEFT(SUBSTITUTE(FilterWithUnits(N36)&amp; ";" &amp;FilterStringsWithNumericAnd(N36) &amp; ";" &amp; FilterStringsWithX(N36), ";;", ";"),LEN(SUBSTITUTE(FilterWithUnits(N36)&amp; ";" &amp;FilterStringsWithNumericAnd(N36) &amp; ";" &amp; FilterStringsWithX(N36), ";;", ";"))-1),SUBSTITUTE(FilterWithUnits(N36)&amp; ";" &amp;FilterStringsWithNumericAnd(N36) &amp; ";" &amp; FilterStringsWithX(N36), ";;", ";")))</f>
        <v/>
      </c>
      <c r="P36" t="str" cm="1">
        <f t="array" ref="P36">IF(MaxSize((SplitDimensions(O36)))=0, "", MaxSize((SplitDimensions(O36))))</f>
        <v/>
      </c>
      <c r="Q36" t="str" cm="1">
        <f t="array" ref="Q36">IF(ISERROR(INDEX(_xlfn._xlws.FILTER('Model output'!L:L, ('Model output'!Z:Z=A36)*('Model output'!L:L&lt;&gt;"")), 1)), " ", LOWER(INDEX(_xlfn._xlws.FILTER('Model output'!L:L, ('Model output'!Z:Z=A36)*('Model output'!L:L&lt;&gt;"")), 1)))</f>
        <v>papillary carcinoma</v>
      </c>
      <c r="R36" t="str" cm="1">
        <f t="array" ref="R36">IF(ISERROR(INDEX(_xlfn._xlws.FILTER('Model output'!M:M, ('Model output'!Z:Z=A36)*('Model output'!M:M&lt;&gt;"")), 1)), " ", LOWER(INDEX(_xlfn._xlws.FILTER('Model output'!M:M, ('Model output'!Z:Z=A36)*('Model output'!M:M&lt;&gt;"")), 1)))</f>
        <v>tall cell variant</v>
      </c>
      <c r="S36" t="str" cm="1">
        <f t="array" ref="S36">IF(OR(ISNUMBER(SEARCH("ly",SUBSTITUTE(INDEX(_xlfn._xlws.FILTER('Model output'!N:N,('Model output'!Z:Z=A36)*('Model output'!N:N&lt;&gt;"")),1)," ",""),1)), ISNUMBER(SEARCH("pole",SUBSTITUTE(INDEX(_xlfn._xlws.FILTER('Model output'!N:N,('Model output'!Z:Z=A36)*('Model output'!N:N&lt;&gt;"")),1)," ",""),1))),"",SUBSTITUTE(INDEX(_xlfn._xlws.FILTER('Model output'!N:N,('Model output'!Z:Z=A36)*('Model output'!N:N&lt;&gt;"")),1)," ",""))</f>
        <v>24.5mm</v>
      </c>
      <c r="T36" t="str" cm="1">
        <f t="array" ref="T36">IF(LEFT(IF(RIGHT(SUBSTITUTE(FilterWithUnits(S36)&amp; ";" &amp;FilterStringsWithNumericAnd(S36) &amp; ";" &amp; FilterStringsWithX(S36), ";;", ";"),1)=";",LEFT(SUBSTITUTE(FilterWithUnits(S36)&amp; ";" &amp;FilterStringsWithNumericAnd(S36) &amp; ";" &amp; FilterStringsWithX(S36), ";;", ";"),LEN(SUBSTITUTE(FilterWithUnits(S36)&amp; ";" &amp;FilterStringsWithNumericAnd(S36) &amp; ";" &amp; FilterStringsWithX(S36), ";;", ";"))-1),SUBSTITUTE(FilterWithUnits(S36)&amp; ";" &amp;FilterStringsWithNumericAnd(S36) &amp; ";" &amp; FilterStringsWithX(S36), ";;", ";")),1)=";",RIGHT(IF(RIGHT(SUBSTITUTE(FilterWithUnits(S36)&amp; ";" &amp;FilterStringsWithNumericAnd(S36) &amp; ";" &amp; FilterStringsWithX(S36), ";;", ";"),1)=";",LEFT(SUBSTITUTE(FilterWithUnits(S36)&amp; ";" &amp;FilterStringsWithNumericAnd(S36) &amp; ";" &amp; FilterStringsWithX(S36), ";;", ";"),LEN(SUBSTITUTE(FilterWithUnits(S36)&amp; ";" &amp;FilterStringsWithNumericAnd(S36) &amp; ";" &amp; FilterStringsWithX(S36), ";;", ";"))-1),SUBSTITUTE(FilterWithUnits(S36)&amp; ";" &amp;FilterStringsWithNumericAnd(S36) &amp; ";" &amp; FilterStringsWithX(S36), ";;", ";")),LEN(IF(RIGHT(SUBSTITUTE(FilterWithUnits(S36)&amp; ";" &amp;FilterStringsWithNumericAnd(S36) &amp; ";" &amp; FilterStringsWithX(S36), ";;", ";"),1)=";",LEFT(SUBSTITUTE(FilterWithUnits(S36)&amp; ";" &amp;FilterStringsWithNumericAnd(S36) &amp; ";" &amp; FilterStringsWithX(S36), ";;", ";"),LEN(SUBSTITUTE(FilterWithUnits(S36)&amp; ";" &amp;FilterStringsWithNumericAnd(S36) &amp; ";" &amp; FilterStringsWithX(S36), ";;", ";"))-1),SUBSTITUTE(FilterWithUnits(S36)&amp; ";" &amp;FilterStringsWithNumericAnd(S36) &amp; ";" &amp; FilterStringsWithX(S36), ";;", ";")))-1),IF(RIGHT(SUBSTITUTE(FilterWithUnits(S36)&amp; ";" &amp;FilterStringsWithNumericAnd(S36) &amp; ";" &amp; FilterStringsWithX(S36), ";;", ";"),1)=";",LEFT(SUBSTITUTE(FilterWithUnits(S36)&amp; ";" &amp;FilterStringsWithNumericAnd(S36) &amp; ";" &amp; FilterStringsWithX(S36), ";;", ";"),LEN(SUBSTITUTE(FilterWithUnits(S36)&amp; ";" &amp;FilterStringsWithNumericAnd(S36) &amp; ";" &amp; FilterStringsWithX(S36), ";;", ";"))-1),SUBSTITUTE(FilterWithUnits(S36)&amp; ";" &amp;FilterStringsWithNumericAnd(S36) &amp; ";" &amp; FilterStringsWithX(S36), ";;", ";")))</f>
        <v>24.5mm</v>
      </c>
      <c r="U36" cm="1">
        <f t="array" ref="U36">IF(MaxSize((SplitDimensions(T36)))=0, "", MaxSize((SplitDimensions(T36))))</f>
        <v>2.4500000000000002</v>
      </c>
      <c r="V36" s="17" t="str" cm="1">
        <f t="array" ref="V36">IF(ISERROR(INDEX(_xlfn._xlws.FILTER('Model output'!P:P,('Model output'!Z:Z=A36)*('Model output'!P:P&lt;&gt;"")),1)),"negative",IF(OR(ISNUMBER(SEARCH("foc",INDEX(_xlfn._xlws.FILTER('Model output'!P:P,('Model output'!Z:Z=A36)*('Model output'!P:P&lt;&gt;"")),1),1)),ISNUMBER(SEARCH("extensive",INDEX(_xlfn._xlws.FILTER('Model output'!P:P,('Model output'!Z:Z=A36)*('Model output'!P:P&lt;&gt;"")),1),1)),ISNUMBER(SEARCH("present",INDEX(_xlfn._xlws.FILTER('Model output'!P:P,('Model output'!Z:Z=A36)*('Model output'!P:P&lt;&gt;"")),1),1)),ISNUMBER(SEARCH("yes",INDEX(_xlfn._xlws.FILTER('Model output'!P:P,('Model output'!Z:Z=A36)*('Model output'!P:P&lt;&gt;"")),1),1))),"positive","negative"))</f>
        <v>positive</v>
      </c>
      <c r="X36" t="str" cm="1">
        <f t="array" ref="X36">IF(ISNUMBER(SEARCH("4",INDEX(_xlfn._xlws.FILTER('Model output'!P:P,('Model output'!Z:Z=A36)*('Model output'!P:P&lt;&gt;"")),1),1)),INDEX(_xlfn._xlws.FILTER('Model output'!P:P,('Model output'!Z:Z=A36)*('Model output'!P:P&lt;&gt;"")),1),"") &amp; _xlfn.TEXTJOIN("",TRUE,_xlfn._xlws.FILTER('Model output'!Q:Q,'Model output'!Z:Z=A36))</f>
        <v>Extensive (= or &gt;4 vessels)Extra-thyroidal extension to larynx and part of carotid sheath</v>
      </c>
      <c r="Y36" t="str">
        <f t="shared" si="11"/>
        <v>extensive</v>
      </c>
      <c r="Z36" t="str" cm="1">
        <f t="array" ref="Z36">IF(OR(ISNUMBER(SEARCH("focal",_xlfn.TEXTJOIN("; ",TRUE,_xlfn._xlws.FILTER('Model output'!R:R,'Model output'!Z:Z=A36)),1)),ISNUMBER(SEARCH("present",_xlfn.TEXTJOIN("; ",TRUE,_xlfn._xlws.FILTER('Model output'!R:R,'Model output'!Z:Z=A36)),1))),"positive",IF(_xlfn.TEXTJOIN("; ",TRUE,_xlfn._xlws.FILTER('Model output'!R:R,'Model output'!Z:Z=A36))="","negative",IF(OR(ISNUMBER(SEARCH("no",_xlfn.TEXTJOIN("; ",TRUE,_xlfn._xlws.FILTER('Model output'!R:R,'Model output'!Z:Z=A36)),1)),ISNUMBER(SEARCH("absent",_xlfn.TEXTJOIN("; ",TRUE,_xlfn._xlws.FILTER('Model output'!R:R,'Model output'!Z:Z=A36)),1))),"negative","positive")))</f>
        <v>positive</v>
      </c>
      <c r="AA36" s="17" t="str">
        <f t="shared" si="12"/>
        <v>positive</v>
      </c>
      <c r="AE36" s="17" t="str">
        <f t="shared" si="14"/>
        <v>positive</v>
      </c>
      <c r="AF36" t="str" cm="1">
        <f t="array" ref="AF36">_xlfn.TEXTJOIN("; ",TRUE,_xlfn._xlws.FILTER('Model output'!S:S,'Model output'!Z:Z=A36))</f>
        <v>Invading subcutaneous soft tissues, larynx, trachea, esophagus or recurrent laryngeal nerve; Larynx, part of carotid sheath</v>
      </c>
      <c r="AG36" s="17" t="str" cm="1">
        <f t="array" ref="AG36">IF(OR(ISNUMBER(SEARCH("uninvolved",_xlfn.TEXTJOIN("; ",TRUE,_xlfn._xlws.FILTER('Model output'!V:V,'Model output'!Z:Z=A36)),1)),ISNUMBER(SEARCH("clear",_xlfn.TEXTJOIN("; ",TRUE,_xlfn._xlws.FILTER('Model output'!V:V,'Model output'!Z:Z=A36)),1))*ISNUMBER(SEARCH("not mentioned",_xlfn.TEXTJOIN("; ",TRUE,_xlfn._xlws.FILTER('Model output'!V:V,'Model output'!Z:Z=A36)),1))),"negative",IF(ISNUMBER(SEARCH("cannot be assessed",_xlfn.TEXTJOIN("; ",TRUE,_xlfn._xlws.FILTER('Model output'!V:V,'Model output'!Z:Z=A36)),1)),"unknown","negative"))</f>
        <v>negative</v>
      </c>
      <c r="AI36" s="45" t="str">
        <f t="shared" si="13"/>
        <v>high</v>
      </c>
      <c r="AJ36" s="36" t="str">
        <f t="shared" si="15"/>
        <v>4a</v>
      </c>
      <c r="AK36" s="36" t="str">
        <f t="shared" si="3"/>
        <v>x</v>
      </c>
      <c r="AL36" s="36">
        <f t="shared" si="4"/>
        <v>0</v>
      </c>
      <c r="AM36" s="36" t="str">
        <f t="shared" si="5"/>
        <v>III</v>
      </c>
      <c r="AN36" s="37" t="s">
        <v>165</v>
      </c>
      <c r="AO36" s="38" t="s">
        <v>206</v>
      </c>
      <c r="AP36" s="38">
        <v>0</v>
      </c>
      <c r="AQ36" s="38">
        <v>0</v>
      </c>
      <c r="AR36" s="38" t="s">
        <v>69</v>
      </c>
      <c r="AS36" s="37">
        <f t="shared" si="6"/>
        <v>1</v>
      </c>
      <c r="AT36" s="38">
        <f t="shared" si="7"/>
        <v>1</v>
      </c>
      <c r="AU36" s="38">
        <f t="shared" si="8"/>
        <v>1</v>
      </c>
      <c r="AV36" s="38">
        <f t="shared" si="9"/>
        <v>1</v>
      </c>
      <c r="AW36" s="39">
        <f t="shared" si="10"/>
        <v>1</v>
      </c>
    </row>
    <row r="37" spans="1:50">
      <c r="A37" s="27">
        <v>35</v>
      </c>
      <c r="B37" s="28">
        <f>_xlfn.MAXIFS('Model output'!B:B,'Model output'!Z:Z,'Classification result'!$A37)</f>
        <v>44419</v>
      </c>
      <c r="C37" s="28"/>
      <c r="D37" s="28"/>
      <c r="E37" s="29">
        <f>_xlfn.MAXIFS('Model output'!C:C,'Model output'!Z:Z,'Classification result'!$A37)</f>
        <v>62</v>
      </c>
      <c r="F37" s="29" t="str" cm="1">
        <f t="array" ref="F37">LEFT(IF(ISERROR(RIGHT(IF(INDEX(_xlfn._xlws.FILTER('Model output'!D:D,('Model output'!Z:Z=A37)),1)&lt;&gt;"",INDEX(_xlfn._xlws.FILTER('Model output'!D:D,('Model output'!Z:Z=A37)),1),""),LEN(IF(INDEX(_xlfn._xlws.FILTER('Model output'!D:D,('Model output'!Z:Z=A37)),1)&lt;&gt;"",INDEX(_xlfn._xlws.FILTER('Model output'!D:D,('Model output'!Z:Z=A37)),1),""))-FIND("T",IF(INDEX(_xlfn._xlws.FILTER('Model output'!D:D,('Model output'!Z:Z=A37)),1)&lt;&gt;"",INDEX(_xlfn._xlws.FILTER('Model output'!D:D,('Model output'!Z:Z=A37)),1),""),1))),"",(RIGHT(IF(INDEX(_xlfn._xlws.FILTER('Model output'!D:D,('Model output'!Z:Z=A37)),1)&lt;&gt;"",INDEX(_xlfn._xlws.FILTER('Model output'!D:D,('Model output'!Z:Z=A37)),1),""),LEN(IF(INDEX(_xlfn._xlws.FILTER('Model output'!D:D,('Model output'!Z:Z=A37)),1)&lt;&gt;"",INDEX(_xlfn._xlws.FILTER('Model output'!D:D,('Model output'!Z:Z=A37)),1),""))-FIND("T",IF(INDEX(_xlfn._xlws.FILTER('Model output'!D:D,('Model output'!Z:Z=A37)),1)&lt;&gt;"",INDEX(_xlfn._xlws.FILTER('Model output'!D:D,('Model output'!Z:Z=A37)),1)))))),2)</f>
        <v/>
      </c>
      <c r="G37" s="29" t="str" cm="1">
        <f t="array" ref="G37">IF(ISNUMBER(SEARCH("N",IF(ISNUMBER(SEARCH("present",IF(INDEX(_xlfn._xlws.FILTER('Model output'!E:E,('Model output'!Z:Z=A37)),1)="","",INDEX(_xlfn._xlws.FILTER('Model output'!E:E,('Model output'!Z:Z=A37)),1)),1)),"N1", IF(INDEX(_xlfn._xlws.FILTER('Model output'!E:E,('Model output'!Z:Z=A37)),1)="","",INDEX(_xlfn._xlws.FILTER('Model output'!E:E,('Model output'!Z:Z=A37)),1))),1)),RIGHT(IF(ISNUMBER(SEARCH("present",IF(INDEX(_xlfn._xlws.FILTER('Model output'!E:E,('Model output'!Z:Z=A37)),1)="","",INDEX(_xlfn._xlws.FILTER('Model output'!E:E,('Model output'!Z:Z=A37)),1)),1)),"N1", IF(INDEX(_xlfn._xlws.FILTER('Model output'!E:E,('Model output'!Z:Z=A37)),1)="","",INDEX(_xlfn._xlws.FILTER('Model output'!E:E,('Model output'!Z:Z=A37)),1))),LEN(IF(ISNUMBER(SEARCH("present",IF(INDEX(_xlfn._xlws.FILTER('Model output'!E:E,('Model output'!Z:Z=A37)),1)="","",INDEX(_xlfn._xlws.FILTER('Model output'!E:E,('Model output'!Z:Z=A37)),1)),1)),"N1", IF(INDEX(_xlfn._xlws.FILTER('Model output'!E:E,('Model output'!Z:Z=A37)),1)="","",INDEX(_xlfn._xlws.FILTER('Model output'!E:E,('Model output'!Z:Z=A37)),1))))-FIND("N",IF(ISNUMBER(SEARCH("present",IF(INDEX(_xlfn._xlws.FILTER('Model output'!E:E,('Model output'!Z:Z=A37)),1)="","",INDEX(_xlfn._xlws.FILTER('Model output'!E:E,('Model output'!Z:Z=A37)),1)),1)),"N1", IF(INDEX(_xlfn._xlws.FILTER('Model output'!E:E,('Model output'!Z:Z=A37)),1)="","",INDEX(_xlfn._xlws.FILTER('Model output'!E:E,('Model output'!Z:Z=A37)),1))),1)), "")</f>
        <v/>
      </c>
      <c r="H37" s="29" cm="1">
        <f t="array" ref="H37">IF(AND(SUBSTITUTE(_xlfn.TEXTJOIN("/", TRUE, _xlfn._xlws.FILTER('Model output'!F:F, 'Model output'!Z:Z=A37)),"M", "")="", K37="negative"),0,IF(K37="positive",1,0))</f>
        <v>1</v>
      </c>
      <c r="I37" s="30" t="str">
        <f t="shared" si="0"/>
        <v>positive</v>
      </c>
      <c r="J37" s="30" t="str" cm="1">
        <f t="array" ref="J37">IF(AND(M37&gt;0, _xlfn.TEXTJOIN("; ", TRUE, _xlfn._xlws.FILTER('Model output'!G:G, 'Model output'!Z:Z=A37)) &lt;&gt;"", OR(AND(ISNUMBER(SEARCH("level", _xlfn.TEXTJOIN("; ", TRUE, _xlfn._xlws.FILTER('Model output'!G:G, 'Model output'!Z:Z=A37)),1)),OR(ISNUMBER(SEARCH(" II", _xlfn.TEXTJOIN("; ", TRUE, _xlfn._xlws.FILTER('Model output'!G:G, 'Model output'!Z:Z=A37)),1)),ISNUMBER(SEARCH("2", _xlfn.TEXTJOIN("; ", TRUE, _xlfn._xlws.FILTER('Model output'!G:G, 'Model output'!Z:Z=A37)),1)),ISNUMBER(SEARCH("two", _xlfn.TEXTJOIN("; ", TRUE, _xlfn._xlws.FILTER('Model output'!G:G, 'Model output'!Z:Z=A37)),1)),ISNUMBER(SEARCH("III", _xlfn.TEXTJOIN("; ", TRUE, _xlfn._xlws.FILTER('Model output'!G:G, 'Model output'!Z:Z=A37)),1)),ISNUMBER(SEARCH("3", _xlfn.TEXTJOIN("; ", TRUE, _xlfn._xlws.FILTER('Model output'!G:G, 'Model output'!Z:Z=A37)),1)),ISNUMBER(SEARCH("three", _xlfn.TEXTJOIN("; ", TRUE, _xlfn._xlws.FILTER('Model output'!G:G, 'Model output'!Z:Z=A37)),1)),ISNUMBER(SEARCH("IV", _xlfn.TEXTJOIN("; ", TRUE, _xlfn._xlws.FILTER('Model output'!G:G, 'Model output'!Z:Z=A37)),1)),ISNUMBER(SEARCH("4", _xlfn.TEXTJOIN("; ", TRUE, _xlfn._xlws.FILTER('Model output'!G:G, 'Model output'!Z:Z=A37)),1)),ISNUMBER(SEARCH("five", _xlfn.TEXTJOIN("; ", TRUE, _xlfn._xlws.FILTER('Model output'!G:G, 'Model output'!Z:Z=A37)),1)),ISNUMBER(SEARCH("V ", _xlfn.TEXTJOIN("; ", TRUE, _xlfn._xlws.FILTER('Model output'!G:G, 'Model output'!Z:Z=A37)),1)),ISNUMBER(SEARCH("5", _xlfn.TEXTJOIN("; ", TRUE, _xlfn._xlws.FILTER('Model output'!G:G, 'Model output'!Z:Z=A37)),1)),ISNUMBER(SEARCH("five", _xlfn.TEXTJOIN("; ", TRUE, _xlfn._xlws.FILTER('Model output'!G:G, 'Model output'!Z:Z=A37)),1)),ISNUMBER(SEARCH(" lateral", _xlfn.TEXTJOIN("; ", TRUE, _xlfn._xlws.FILTER('Model output'!G:G, 'Model output'!Z:Z=A37)),1)))),ISNUMBER(SEARCH("cervical", _xlfn.TEXTJOIN("; ", TRUE, _xlfn._xlws.FILTER('Model output'!G:G, 'Model output'!Z:Z=A37)),1)),ISNUMBER(SEARCH("jugular", _xlfn.TEXTJOIN("; ", TRUE, _xlfn._xlws.FILTER('Model output'!G:G, 'Model output'!Z:Z=A37)),1)),ISNUMBER(SEARCH("left neck", _xlfn.TEXTJOIN("; ", TRUE, _xlfn._xlws.FILTER('Model output'!G:G, 'Model output'!Z:Z=A37)),1)),ISNUMBER(SEARCH("left anterior neck", _xlfn.TEXTJOIN("; ", TRUE, _xlfn._xlws.FILTER('Model output'!G:G, 'Model output'!Z:Z=A37)),1)),ISNUMBER(SEARCH("left posterior neck", _xlfn.TEXTJOIN("; ", TRUE, _xlfn._xlws.FILTER('Model output'!G:G, 'Model output'!Z:Z=A37)),1)),ISNUMBER(SEARCH("right neck", _xlfn.TEXTJOIN("; ", TRUE, _xlfn._xlws.FILTER('Model output'!G:G, 'Model output'!Z:Z=A37)),1)),ISNUMBER(SEARCH("right anterior neck", _xlfn.TEXTJOIN("; ", TRUE, _xlfn._xlws.FILTER('Model output'!G:G, 'Model output'!Z:Z=A37)),1)),ISNUMBER(SEARCH("right posterior neck", _xlfn.TEXTJOIN("; ", TRUE, _xlfn._xlws.FILTER('Model output'!G:G, 'Model output'!Z:Z=A37)),1)))),"lateral",IF(AND(M37=0, _xlfn.TEXTJOIN("; ", TRUE, _xlfn._xlws.FILTER('Model output'!G:G, 'Model output'!Z:Z=A37))=""),"", "central"))</f>
        <v>lateral</v>
      </c>
      <c r="K37" s="29" t="str" cm="1">
        <f t="array" ref="K37">IF(OR(ISNUMBER(SEARCH("lymph",_xlfn.TEXTJOIN("; ", TRUE, _xlfn._xlws.FILTER('Model output'!H:H, 'Model output'!Z:Z=A37)),1)), ISNUMBER(SEARCH("Not mentioned",_xlfn.TEXTJOIN("; ", TRUE, _xlfn._xlws.FILTER('Model output'!H:H, 'Model output'!Z:Z=A37)),1)),ISNUMBER(SEARCH("subcutaneous soft tissues",_xlfn.TEXTJOIN("; ", TRUE, _xlfn._xlws.FILTER('Model output'!H:H, 'Model output'!Z:Z=A37)),1)),ISNUMBER(SEARCH("larynx",_xlfn.TEXTJOIN("; ", TRUE, _xlfn._xlws.FILTER('Model output'!H:H, 'Model output'!Z:Z=A37)),1)),ISNUMBER(SEARCH("trachea",_xlfn.TEXTJOIN("; ", TRUE, _xlfn._xlws.FILTER('Model output'!H:H, 'Model output'!Z:Z=A37)),1)),ISNUMBER(SEARCH("esophagus",_xlfn.TEXTJOIN("; ", TRUE, _xlfn._xlws.FILTER('Model output'!H:H, 'Model output'!Z:Z=A37)),1)),ISNUMBER(SEARCH("recurrent laryngeal nerve",_xlfn.TEXTJOIN("; ", TRUE, _xlfn._xlws.FILTER('Model output'!H:H, 'Model output'!Z:Z=A37)),1)),ISNUMBER(SEARCH("strap muscle",_xlfn.TEXTJOIN("; ", TRUE, _xlfn._xlws.FILTER('Model output'!H:H, 'Model output'!Z:Z=A37)),1)),ISNUMBER(SEARCH("thyroid",_xlfn.TEXTJOIN("; ", TRUE, _xlfn._xlws.FILTER('Model output'!H:H, 'Model output'!Z:Z=A37)),1)),ISNUMBER(SEARCH("RLN",_xlfn.TEXTJOIN("; ", TRUE, _xlfn._xlws.FILTER('Model output'!H:H, 'Model output'!Z:Z=A37)),1)),_xlfn.TEXTJOIN("; ", TRUE, _xlfn._xlws.FILTER('Model output'!H:H, 'Model output'!Z:Z=A37))=""),"negative","positive")</f>
        <v>positive</v>
      </c>
      <c r="L37" s="29">
        <f>IF(IFERROR(INDEX('Model output'!I:I, MATCH(A37, 'Model output'!Z:Z, 0)), "") &lt; M37, "", IFERROR(INDEX('Model output'!I:I, MATCH(A37, 'Model output'!Z:Z, 0)), ""))</f>
        <v>35</v>
      </c>
      <c r="M37" s="29">
        <f>IFERROR(INDEX('Model output'!J:J, MATCH(A37, 'Model output'!Z:Z, 0)), "")</f>
        <v>7</v>
      </c>
      <c r="N37" s="31" t="str" cm="1">
        <f t="array" ref="N37">ReplaceTo(ReplaceAnd(SUBSTITUTE(SUBSTITUTE(_xlfn.TEXTJOIN("; ", TRUE, _xlfn._xlws.FILTER('Model output'!K:K, 'Model output'!Z:Z=A37)), " ", ""), ",", ";")))</f>
        <v>Notspecified</v>
      </c>
      <c r="O37" s="30" t="str" cm="1">
        <f t="array" ref="O37">IF(LEFT(IF(RIGHT(SUBSTITUTE(FilterWithUnits(N37)&amp; ";" &amp;FilterStringsWithNumericAnd(N37) &amp; ";" &amp; FilterStringsWithX(N37), ";;", ";"),1)=";",LEFT(SUBSTITUTE(FilterWithUnits(N37)&amp; ";" &amp;FilterStringsWithNumericAnd(N37) &amp; ";" &amp; FilterStringsWithX(N37), ";;", ";"),LEN(SUBSTITUTE(FilterWithUnits(N37)&amp; ";" &amp;FilterStringsWithNumericAnd(N37) &amp; ";" &amp; FilterStringsWithX(N37), ";;", ";"))-1),SUBSTITUTE(FilterWithUnits(N37)&amp; ";" &amp;FilterStringsWithNumericAnd(N37) &amp; ";" &amp; FilterStringsWithX(N37), ";;", ";")),1)=";",RIGHT(IF(RIGHT(SUBSTITUTE(FilterWithUnits(N37)&amp; ";" &amp;FilterStringsWithNumericAnd(N37) &amp; ";" &amp; FilterStringsWithX(N37), ";;", ";"),1)=";",LEFT(SUBSTITUTE(FilterWithUnits(N37)&amp; ";" &amp;FilterStringsWithNumericAnd(N37) &amp; ";" &amp; FilterStringsWithX(N37), ";;", ";"),LEN(SUBSTITUTE(FilterWithUnits(N37)&amp; ";" &amp;FilterStringsWithNumericAnd(N37) &amp; ";" &amp; FilterStringsWithX(N37), ";;", ";"))-1),SUBSTITUTE(FilterWithUnits(N37)&amp; ";" &amp;FilterStringsWithNumericAnd(N37) &amp; ";" &amp; FilterStringsWithX(N37), ";;", ";")),LEN(IF(RIGHT(SUBSTITUTE(FilterWithUnits(N37)&amp; ";" &amp;FilterStringsWithNumericAnd(N37) &amp; ";" &amp; FilterStringsWithX(N37), ";;", ";"),1)=";",LEFT(SUBSTITUTE(FilterWithUnits(N37)&amp; ";" &amp;FilterStringsWithNumericAnd(N37) &amp; ";" &amp; FilterStringsWithX(N37), ";;", ";"),LEN(SUBSTITUTE(FilterWithUnits(N37)&amp; ";" &amp;FilterStringsWithNumericAnd(N37) &amp; ";" &amp; FilterStringsWithX(N37), ";;", ";"))-1),SUBSTITUTE(FilterWithUnits(N37)&amp; ";" &amp;FilterStringsWithNumericAnd(N37) &amp; ";" &amp; FilterStringsWithX(N37), ";;", ";")))-1),IF(RIGHT(SUBSTITUTE(FilterWithUnits(N37)&amp; ";" &amp;FilterStringsWithNumericAnd(N37) &amp; ";" &amp; FilterStringsWithX(N37), ";;", ";"),1)=";",LEFT(SUBSTITUTE(FilterWithUnits(N37)&amp; ";" &amp;FilterStringsWithNumericAnd(N37) &amp; ";" &amp; FilterStringsWithX(N37), ";;", ";"),LEN(SUBSTITUTE(FilterWithUnits(N37)&amp; ";" &amp;FilterStringsWithNumericAnd(N37) &amp; ";" &amp; FilterStringsWithX(N37), ";;", ";"))-1),SUBSTITUTE(FilterWithUnits(N37)&amp; ";" &amp;FilterStringsWithNumericAnd(N37) &amp; ";" &amp; FilterStringsWithX(N37), ";;", ";")))</f>
        <v/>
      </c>
      <c r="P37" s="30" t="str" cm="1">
        <f t="array" ref="P37">IF(MaxSize((SplitDimensions(O37)))=0, "", MaxSize((SplitDimensions(O37))))</f>
        <v/>
      </c>
      <c r="Q37" s="30" t="str" cm="1">
        <f t="array" ref="Q37">IF(ISERROR(INDEX(_xlfn._xlws.FILTER('Model output'!L:L, ('Model output'!Z:Z=A37)*('Model output'!L:L&lt;&gt;"")), 1)), " ", LOWER(INDEX(_xlfn._xlws.FILTER('Model output'!L:L, ('Model output'!Z:Z=A37)*('Model output'!L:L&lt;&gt;"")), 1)))</f>
        <v>papillary</v>
      </c>
      <c r="R37" s="30" t="str" cm="1">
        <f t="array" ref="R37">IF(ISERROR(INDEX(_xlfn._xlws.FILTER('Model output'!M:M, ('Model output'!Z:Z=A37)*('Model output'!M:M&lt;&gt;"")), 1)), " ", LOWER(INDEX(_xlfn._xlws.FILTER('Model output'!M:M, ('Model output'!Z:Z=A37)*('Model output'!M:M&lt;&gt;"")), 1)))</f>
        <v>tall cell</v>
      </c>
      <c r="S37" s="30" t="str" cm="1">
        <f t="array" ref="S37">IF(OR(ISNUMBER(SEARCH("ly",SUBSTITUTE(INDEX(_xlfn._xlws.FILTER('Model output'!N:N,('Model output'!Z:Z=A37)*('Model output'!N:N&lt;&gt;"")),1)," ",""),1)), ISNUMBER(SEARCH("pole",SUBSTITUTE(INDEX(_xlfn._xlws.FILTER('Model output'!N:N,('Model output'!Z:Z=A37)*('Model output'!N:N&lt;&gt;"")),1)," ",""),1))),"",SUBSTITUTE(INDEX(_xlfn._xlws.FILTER('Model output'!N:N,('Model output'!Z:Z=A37)*('Model output'!N:N&lt;&gt;"")),1)," ",""))</f>
        <v>Notspecified</v>
      </c>
      <c r="T37" s="30" t="str" cm="1">
        <f t="array" ref="T37">IF(LEFT(IF(RIGHT(SUBSTITUTE(FilterWithUnits(S37)&amp; ";" &amp;FilterStringsWithNumericAnd(S37) &amp; ";" &amp; FilterStringsWithX(S37), ";;", ";"),1)=";",LEFT(SUBSTITUTE(FilterWithUnits(S37)&amp; ";" &amp;FilterStringsWithNumericAnd(S37) &amp; ";" &amp; FilterStringsWithX(S37), ";;", ";"),LEN(SUBSTITUTE(FilterWithUnits(S37)&amp; ";" &amp;FilterStringsWithNumericAnd(S37) &amp; ";" &amp; FilterStringsWithX(S37), ";;", ";"))-1),SUBSTITUTE(FilterWithUnits(S37)&amp; ";" &amp;FilterStringsWithNumericAnd(S37) &amp; ";" &amp; FilterStringsWithX(S37), ";;", ";")),1)=";",RIGHT(IF(RIGHT(SUBSTITUTE(FilterWithUnits(S37)&amp; ";" &amp;FilterStringsWithNumericAnd(S37) &amp; ";" &amp; FilterStringsWithX(S37), ";;", ";"),1)=";",LEFT(SUBSTITUTE(FilterWithUnits(S37)&amp; ";" &amp;FilterStringsWithNumericAnd(S37) &amp; ";" &amp; FilterStringsWithX(S37), ";;", ";"),LEN(SUBSTITUTE(FilterWithUnits(S37)&amp; ";" &amp;FilterStringsWithNumericAnd(S37) &amp; ";" &amp; FilterStringsWithX(S37), ";;", ";"))-1),SUBSTITUTE(FilterWithUnits(S37)&amp; ";" &amp;FilterStringsWithNumericAnd(S37) &amp; ";" &amp; FilterStringsWithX(S37), ";;", ";")),LEN(IF(RIGHT(SUBSTITUTE(FilterWithUnits(S37)&amp; ";" &amp;FilterStringsWithNumericAnd(S37) &amp; ";" &amp; FilterStringsWithX(S37), ";;", ";"),1)=";",LEFT(SUBSTITUTE(FilterWithUnits(S37)&amp; ";" &amp;FilterStringsWithNumericAnd(S37) &amp; ";" &amp; FilterStringsWithX(S37), ";;", ";"),LEN(SUBSTITUTE(FilterWithUnits(S37)&amp; ";" &amp;FilterStringsWithNumericAnd(S37) &amp; ";" &amp; FilterStringsWithX(S37), ";;", ";"))-1),SUBSTITUTE(FilterWithUnits(S37)&amp; ";" &amp;FilterStringsWithNumericAnd(S37) &amp; ";" &amp; FilterStringsWithX(S37), ";;", ";")))-1),IF(RIGHT(SUBSTITUTE(FilterWithUnits(S37)&amp; ";" &amp;FilterStringsWithNumericAnd(S37) &amp; ";" &amp; FilterStringsWithX(S37), ";;", ";"),1)=";",LEFT(SUBSTITUTE(FilterWithUnits(S37)&amp; ";" &amp;FilterStringsWithNumericAnd(S37) &amp; ";" &amp; FilterStringsWithX(S37), ";;", ";"),LEN(SUBSTITUTE(FilterWithUnits(S37)&amp; ";" &amp;FilterStringsWithNumericAnd(S37) &amp; ";" &amp; FilterStringsWithX(S37), ";;", ";"))-1),SUBSTITUTE(FilterWithUnits(S37)&amp; ";" &amp;FilterStringsWithNumericAnd(S37) &amp; ";" &amp; FilterStringsWithX(S37), ";;", ";")))</f>
        <v/>
      </c>
      <c r="U37" s="30" t="str" cm="1">
        <f t="array" ref="U37">IF(MaxSize((SplitDimensions(T37)))=0, "", MaxSize((SplitDimensions(T37))))</f>
        <v/>
      </c>
      <c r="V37" s="29" t="str" cm="1">
        <f t="array" ref="V37">IF(ISERROR(INDEX(_xlfn._xlws.FILTER('Model output'!P:P,('Model output'!Z:Z=A37)*('Model output'!P:P&lt;&gt;"")),1)),"negative",IF(OR(ISNUMBER(SEARCH("foc",INDEX(_xlfn._xlws.FILTER('Model output'!P:P,('Model output'!Z:Z=A37)*('Model output'!P:P&lt;&gt;"")),1),1)),ISNUMBER(SEARCH("extensive",INDEX(_xlfn._xlws.FILTER('Model output'!P:P,('Model output'!Z:Z=A37)*('Model output'!P:P&lt;&gt;"")),1),1)),ISNUMBER(SEARCH("present",INDEX(_xlfn._xlws.FILTER('Model output'!P:P,('Model output'!Z:Z=A37)*('Model output'!P:P&lt;&gt;"")),1),1)),ISNUMBER(SEARCH("yes",INDEX(_xlfn._xlws.FILTER('Model output'!P:P,('Model output'!Z:Z=A37)*('Model output'!P:P&lt;&gt;"")),1),1))),"positive","negative"))</f>
        <v>positive</v>
      </c>
      <c r="W37" s="29"/>
      <c r="X37" s="30" t="str" cm="1">
        <f t="array" ref="X37">IF(ISNUMBER(SEARCH("4",INDEX(_xlfn._xlws.FILTER('Model output'!P:P,('Model output'!Z:Z=A37)*('Model output'!P:P&lt;&gt;"")),1),1)),INDEX(_xlfn._xlws.FILTER('Model output'!P:P,('Model output'!Z:Z=A37)*('Model output'!P:P&lt;&gt;"")),1),"") &amp; _xlfn.TEXTJOIN("",TRUE,_xlfn._xlws.FILTER('Model output'!Q:Q,'Model output'!Z:Z=A37))</f>
        <v>Not specifiedNot mentioned</v>
      </c>
      <c r="Y37" s="30" t="str">
        <f t="shared" si="11"/>
        <v>minimal</v>
      </c>
      <c r="Z37" s="30" t="str" cm="1">
        <f t="array" ref="Z37">IF(OR(ISNUMBER(SEARCH("focal",_xlfn.TEXTJOIN("; ",TRUE,_xlfn._xlws.FILTER('Model output'!R:R,'Model output'!Z:Z=A37)),1)),ISNUMBER(SEARCH("present",_xlfn.TEXTJOIN("; ",TRUE,_xlfn._xlws.FILTER('Model output'!R:R,'Model output'!Z:Z=A37)),1))),"positive",IF(_xlfn.TEXTJOIN("; ",TRUE,_xlfn._xlws.FILTER('Model output'!R:R,'Model output'!Z:Z=A37))="","negative",IF(OR(ISNUMBER(SEARCH("no",_xlfn.TEXTJOIN("; ",TRUE,_xlfn._xlws.FILTER('Model output'!R:R,'Model output'!Z:Z=A37)),1)),ISNUMBER(SEARCH("absent",_xlfn.TEXTJOIN("; ",TRUE,_xlfn._xlws.FILTER('Model output'!R:R,'Model output'!Z:Z=A37)),1))),"negative","positive")))</f>
        <v>positive</v>
      </c>
      <c r="AA37" s="29" t="str">
        <f t="shared" si="12"/>
        <v>positive</v>
      </c>
      <c r="AB37" s="29"/>
      <c r="AC37" s="29"/>
      <c r="AD37" s="29"/>
      <c r="AE37" s="29" t="str">
        <f t="shared" si="14"/>
        <v>negative</v>
      </c>
      <c r="AF37" s="30" t="str" cm="1">
        <f t="array" ref="AF37">_xlfn.TEXTJOIN("; ",TRUE,_xlfn._xlws.FILTER('Model output'!S:S,'Model output'!Z:Z=A37))</f>
        <v>Antero-inferior pole, extrathyroidal adipose tissue; Not mentioned</v>
      </c>
      <c r="AG37" s="29" t="str" cm="1">
        <f t="array" ref="AG37">IF(OR(ISNUMBER(SEARCH("uninvolved",_xlfn.TEXTJOIN("; ",TRUE,_xlfn._xlws.FILTER('Model output'!V:V,'Model output'!Z:Z=A37)),1)),ISNUMBER(SEARCH("clear",_xlfn.TEXTJOIN("; ",TRUE,_xlfn._xlws.FILTER('Model output'!V:V,'Model output'!Z:Z=A37)),1))*ISNUMBER(SEARCH("not mentioned",_xlfn.TEXTJOIN("; ",TRUE,_xlfn._xlws.FILTER('Model output'!V:V,'Model output'!Z:Z=A37)),1))),"negative",IF(ISNUMBER(SEARCH("cannot be assessed",_xlfn.TEXTJOIN("; ",TRUE,_xlfn._xlws.FILTER('Model output'!V:V,'Model output'!Z:Z=A37)),1)),"unknown","negative"))</f>
        <v>negative</v>
      </c>
      <c r="AH37" s="29"/>
      <c r="AI37" s="46" t="str">
        <f t="shared" si="13"/>
        <v>high</v>
      </c>
      <c r="AJ37" s="40" t="str">
        <f t="shared" si="15"/>
        <v>1a</v>
      </c>
      <c r="AK37" s="40" t="str">
        <f t="shared" si="3"/>
        <v>1b</v>
      </c>
      <c r="AL37" s="40">
        <f t="shared" si="4"/>
        <v>1</v>
      </c>
      <c r="AM37" s="40" t="str">
        <f t="shared" si="5"/>
        <v>IVB</v>
      </c>
      <c r="AN37" s="41" t="s">
        <v>165</v>
      </c>
      <c r="AO37" s="42" t="s">
        <v>423</v>
      </c>
      <c r="AP37" s="42" t="s">
        <v>201</v>
      </c>
      <c r="AQ37" s="42">
        <v>1</v>
      </c>
      <c r="AR37" s="42" t="s">
        <v>425</v>
      </c>
      <c r="AS37" s="41">
        <f t="shared" si="6"/>
        <v>1</v>
      </c>
      <c r="AT37" s="42">
        <f t="shared" si="7"/>
        <v>0</v>
      </c>
      <c r="AU37" s="42">
        <f t="shared" si="8"/>
        <v>1</v>
      </c>
      <c r="AV37" s="42">
        <f t="shared" si="9"/>
        <v>1</v>
      </c>
      <c r="AW37" s="43">
        <f t="shared" si="10"/>
        <v>1</v>
      </c>
    </row>
    <row r="38" spans="1:50">
      <c r="A38" s="13"/>
    </row>
    <row r="39" spans="1:50">
      <c r="A39" s="13"/>
      <c r="F39" s="18"/>
      <c r="G39" s="18"/>
      <c r="Z39" s="12"/>
      <c r="AS39" s="11"/>
      <c r="AT39" s="21"/>
      <c r="AU39" s="21"/>
      <c r="AV39" s="21"/>
      <c r="AW39" s="21"/>
      <c r="AX39" s="12"/>
    </row>
    <row r="40" spans="1:50">
      <c r="A40" s="13"/>
      <c r="F40" s="18"/>
      <c r="G40" t="str">
        <f>IF(ISNUMBER(SEARCH("N",G3,1)),FIND("N",G3,1), "")</f>
        <v/>
      </c>
      <c r="AR40" s="12"/>
      <c r="AS40" s="20"/>
      <c r="AT40" s="20"/>
      <c r="AU40" s="20"/>
      <c r="AV40" s="20"/>
      <c r="AW40" s="20"/>
    </row>
    <row r="41" spans="1:50">
      <c r="A41" s="13"/>
      <c r="F41" s="18"/>
      <c r="G41" t="str">
        <f>IF(ISNUMBER(SEARCH("N",G4,1)),FIND("N",G4,1), "")</f>
        <v/>
      </c>
    </row>
    <row r="42" spans="1:50">
      <c r="A42" s="13"/>
      <c r="F42" s="18"/>
    </row>
    <row r="43" spans="1:50">
      <c r="A43" s="13"/>
      <c r="F43" s="18"/>
    </row>
    <row r="44" spans="1:50">
      <c r="A44" s="13"/>
      <c r="F44" s="18"/>
    </row>
    <row r="45" spans="1:50">
      <c r="A45" s="13"/>
      <c r="F45" s="18"/>
    </row>
    <row r="46" spans="1:50">
      <c r="A46" s="13"/>
      <c r="F46" s="18"/>
    </row>
    <row r="47" spans="1:50">
      <c r="A47" s="13"/>
      <c r="F47" s="18"/>
    </row>
    <row r="48" spans="1:50">
      <c r="A48" s="13"/>
      <c r="F48" s="18"/>
    </row>
    <row r="49" spans="1:6">
      <c r="A49" s="13"/>
      <c r="F49" s="18"/>
    </row>
    <row r="50" spans="1:6">
      <c r="A50" s="13"/>
    </row>
    <row r="51" spans="1:6">
      <c r="A51" s="13"/>
    </row>
    <row r="52" spans="1:6">
      <c r="A52" s="13"/>
    </row>
    <row r="53" spans="1:6">
      <c r="A53" s="13"/>
    </row>
    <row r="54" spans="1:6">
      <c r="A54" s="13"/>
    </row>
    <row r="55" spans="1:6">
      <c r="A55" s="13"/>
    </row>
    <row r="56" spans="1:6">
      <c r="A56" s="13"/>
    </row>
    <row r="57" spans="1:6">
      <c r="A57" s="13"/>
    </row>
    <row r="58" spans="1:6">
      <c r="A58" s="13"/>
    </row>
    <row r="59" spans="1:6">
      <c r="A59" s="13"/>
    </row>
    <row r="60" spans="1:6">
      <c r="A60" s="13"/>
    </row>
    <row r="61" spans="1:6">
      <c r="A61" s="13"/>
    </row>
    <row r="62" spans="1:6">
      <c r="A62" s="13"/>
    </row>
    <row r="63" spans="1:6">
      <c r="A63" s="13"/>
    </row>
    <row r="64" spans="1:6">
      <c r="A64" s="13"/>
    </row>
  </sheetData>
  <mergeCells count="4">
    <mergeCell ref="A1:AG1"/>
    <mergeCell ref="AI1:AM1"/>
    <mergeCell ref="AN1:AR1"/>
    <mergeCell ref="AS1:AW1"/>
  </mergeCells>
  <conditionalFormatting sqref="AL1:AL2">
    <cfRule type="containsText" dxfId="2" priority="8" operator="containsText" text="x">
      <formula>NOT(ISERROR(SEARCH("x",AL1)))</formula>
    </cfRule>
  </conditionalFormatting>
  <conditionalFormatting sqref="AQ1">
    <cfRule type="containsText" dxfId="1" priority="7" operator="containsText" text="x">
      <formula>NOT(ISERROR(SEARCH("x",AQ1)))</formula>
    </cfRule>
  </conditionalFormatting>
  <conditionalFormatting sqref="AV1">
    <cfRule type="containsText" dxfId="0" priority="6" operator="containsText" text="x">
      <formula>NOT(ISERROR(SEARCH("x",AV1)))</formula>
    </cfRule>
  </conditionalFormatting>
  <pageMargins left="0.7" right="0.7" top="0.75" bottom="0.75" header="0.3" footer="0.3"/>
  <pageSetup paperSize="9" orientation="portrait" horizontalDpi="0" verticalDpi="0"/>
  <ignoredErrors>
    <ignoredError sqref="AU3:AU37" formula="1"/>
    <ignoredError sqref="AO4:AR37" numberStoredAsText="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BC90A-B424-8A4C-A32B-07F03E2F7322}">
  <dimension ref="A1:Z72"/>
  <sheetViews>
    <sheetView zoomScale="70" zoomScaleNormal="70" workbookViewId="0">
      <pane xSplit="1" topLeftCell="C1" activePane="topRight" state="frozen"/>
      <selection pane="topRight"/>
    </sheetView>
  </sheetViews>
  <sheetFormatPr defaultColWidth="10.6640625" defaultRowHeight="14.25"/>
  <cols>
    <col min="2" max="2" width="0" hidden="1" customWidth="1"/>
    <col min="4" max="4" width="46.1328125" customWidth="1"/>
    <col min="7" max="7" width="26.59765625" customWidth="1"/>
    <col min="11" max="11" width="37.1328125" customWidth="1"/>
    <col min="14" max="14" width="65" customWidth="1"/>
    <col min="16" max="16" width="21.33203125" customWidth="1"/>
    <col min="18" max="18" width="17" customWidth="1"/>
    <col min="19" max="19" width="32.46484375" customWidth="1"/>
    <col min="22" max="22" width="167.73046875" bestFit="1" customWidth="1"/>
    <col min="23" max="25" width="0" hidden="1" customWidth="1"/>
    <col min="26" max="26" width="0" style="15" hidden="1" customWidth="1"/>
  </cols>
  <sheetData>
    <row r="1" spans="1:26">
      <c r="A1" t="s">
        <v>225</v>
      </c>
      <c r="B1" t="s">
        <v>226</v>
      </c>
      <c r="C1" t="s">
        <v>227</v>
      </c>
      <c r="D1" t="s">
        <v>228</v>
      </c>
      <c r="E1" t="s">
        <v>229</v>
      </c>
      <c r="F1" t="s">
        <v>230</v>
      </c>
      <c r="G1" t="s">
        <v>231</v>
      </c>
      <c r="H1" t="s">
        <v>232</v>
      </c>
      <c r="I1" t="s">
        <v>233</v>
      </c>
      <c r="J1" t="s">
        <v>234</v>
      </c>
      <c r="K1" t="s">
        <v>235</v>
      </c>
      <c r="L1" t="s">
        <v>236</v>
      </c>
      <c r="M1" t="s">
        <v>237</v>
      </c>
      <c r="N1" t="s">
        <v>238</v>
      </c>
      <c r="O1" t="s">
        <v>239</v>
      </c>
      <c r="P1" t="s">
        <v>240</v>
      </c>
      <c r="Q1" t="s">
        <v>241</v>
      </c>
      <c r="R1" t="s">
        <v>242</v>
      </c>
      <c r="S1" t="s">
        <v>263</v>
      </c>
      <c r="T1" t="s">
        <v>243</v>
      </c>
      <c r="U1" t="s">
        <v>244</v>
      </c>
      <c r="V1" t="s">
        <v>245</v>
      </c>
      <c r="W1" t="s">
        <v>246</v>
      </c>
      <c r="X1" t="s">
        <v>247</v>
      </c>
      <c r="Z1" s="14" t="s">
        <v>262</v>
      </c>
    </row>
    <row r="2" spans="1:26">
      <c r="A2" t="s">
        <v>30</v>
      </c>
      <c r="B2" s="22">
        <v>45320</v>
      </c>
      <c r="D2" t="s">
        <v>158</v>
      </c>
      <c r="L2" t="s">
        <v>168</v>
      </c>
      <c r="M2" t="s">
        <v>172</v>
      </c>
      <c r="N2" t="s">
        <v>210</v>
      </c>
      <c r="O2">
        <v>2</v>
      </c>
      <c r="P2" t="s">
        <v>169</v>
      </c>
      <c r="R2" t="s">
        <v>264</v>
      </c>
      <c r="S2" t="s">
        <v>169</v>
      </c>
      <c r="V2" t="s">
        <v>320</v>
      </c>
      <c r="W2">
        <v>1</v>
      </c>
      <c r="X2">
        <v>1</v>
      </c>
      <c r="Z2" s="15" cm="1">
        <f t="array" ref="Z2">VALUE(LEFT(A2, MIN(IFERROR(FIND({"o","p"}, A2), LEN(A2)+1))-1))</f>
        <v>1</v>
      </c>
    </row>
    <row r="3" spans="1:26">
      <c r="A3" t="s">
        <v>35</v>
      </c>
      <c r="C3">
        <v>67</v>
      </c>
      <c r="D3" t="s">
        <v>36</v>
      </c>
      <c r="E3" t="s">
        <v>266</v>
      </c>
      <c r="I3">
        <v>8</v>
      </c>
      <c r="L3" t="s">
        <v>36</v>
      </c>
      <c r="N3" t="s">
        <v>321</v>
      </c>
      <c r="O3">
        <v>2</v>
      </c>
      <c r="P3" t="s">
        <v>271</v>
      </c>
      <c r="Q3" t="s">
        <v>271</v>
      </c>
      <c r="R3" t="s">
        <v>271</v>
      </c>
      <c r="S3" t="s">
        <v>271</v>
      </c>
      <c r="T3" t="s">
        <v>271</v>
      </c>
      <c r="U3" t="s">
        <v>271</v>
      </c>
      <c r="V3" t="s">
        <v>271</v>
      </c>
      <c r="W3">
        <v>1</v>
      </c>
      <c r="X3">
        <v>2</v>
      </c>
      <c r="Z3" s="15" cm="1">
        <f t="array" ref="Z3">VALUE(LEFT(A3, MIN(IFERROR(FIND({"o","p"}, A3), LEN(A3)+1))-1))</f>
        <v>1</v>
      </c>
    </row>
    <row r="4" spans="1:26">
      <c r="A4" t="s">
        <v>37</v>
      </c>
      <c r="B4" s="22">
        <v>45348</v>
      </c>
      <c r="C4">
        <v>39</v>
      </c>
      <c r="D4" t="s">
        <v>218</v>
      </c>
      <c r="I4" t="s">
        <v>271</v>
      </c>
      <c r="J4" t="s">
        <v>271</v>
      </c>
      <c r="L4" t="s">
        <v>185</v>
      </c>
      <c r="N4" t="s">
        <v>38</v>
      </c>
      <c r="O4">
        <v>1</v>
      </c>
      <c r="P4" t="s">
        <v>169</v>
      </c>
      <c r="R4" t="s">
        <v>322</v>
      </c>
      <c r="S4" t="s">
        <v>169</v>
      </c>
      <c r="V4" t="s">
        <v>323</v>
      </c>
      <c r="W4">
        <v>2</v>
      </c>
      <c r="X4">
        <v>1</v>
      </c>
      <c r="Z4" s="15" cm="1">
        <f t="array" ref="Z4">VALUE(LEFT(A4, MIN(IFERROR(FIND({"o","p"}, A4), LEN(A4)+1))-1))</f>
        <v>2</v>
      </c>
    </row>
    <row r="5" spans="1:26">
      <c r="A5" t="s">
        <v>39</v>
      </c>
      <c r="B5" t="s">
        <v>271</v>
      </c>
      <c r="C5">
        <v>39</v>
      </c>
      <c r="D5" t="s">
        <v>36</v>
      </c>
      <c r="E5" t="s">
        <v>266</v>
      </c>
      <c r="F5" t="s">
        <v>267</v>
      </c>
      <c r="I5" t="s">
        <v>271</v>
      </c>
      <c r="J5">
        <v>1</v>
      </c>
      <c r="K5" t="s">
        <v>171</v>
      </c>
      <c r="L5" t="s">
        <v>193</v>
      </c>
      <c r="N5" t="s">
        <v>271</v>
      </c>
      <c r="O5">
        <v>1</v>
      </c>
      <c r="P5" t="s">
        <v>271</v>
      </c>
      <c r="Q5" t="s">
        <v>271</v>
      </c>
      <c r="R5" t="s">
        <v>271</v>
      </c>
      <c r="S5" t="s">
        <v>271</v>
      </c>
      <c r="T5" t="s">
        <v>271</v>
      </c>
      <c r="U5" t="s">
        <v>271</v>
      </c>
      <c r="V5" t="s">
        <v>271</v>
      </c>
      <c r="W5">
        <v>2</v>
      </c>
      <c r="X5">
        <v>2</v>
      </c>
      <c r="Z5" s="15" cm="1">
        <f t="array" ref="Z5">VALUE(LEFT(A5, MIN(IFERROR(FIND({"o","p"}, A5), LEN(A5)+1))-1))</f>
        <v>2</v>
      </c>
    </row>
    <row r="6" spans="1:26">
      <c r="A6" t="s">
        <v>40</v>
      </c>
      <c r="B6" s="22">
        <v>45373</v>
      </c>
      <c r="D6" t="s">
        <v>219</v>
      </c>
      <c r="E6" t="s">
        <v>220</v>
      </c>
      <c r="I6">
        <v>5</v>
      </c>
      <c r="J6">
        <v>1</v>
      </c>
      <c r="K6" t="s">
        <v>41</v>
      </c>
      <c r="L6" t="s">
        <v>168</v>
      </c>
      <c r="M6" t="s">
        <v>172</v>
      </c>
      <c r="N6" t="s">
        <v>268</v>
      </c>
      <c r="O6">
        <v>2</v>
      </c>
      <c r="P6" t="s">
        <v>169</v>
      </c>
      <c r="R6" t="s">
        <v>271</v>
      </c>
      <c r="S6" t="s">
        <v>324</v>
      </c>
      <c r="V6" t="s">
        <v>269</v>
      </c>
      <c r="W6">
        <v>3</v>
      </c>
      <c r="X6">
        <v>1</v>
      </c>
      <c r="Z6" s="15" cm="1">
        <f t="array" ref="Z6">VALUE(LEFT(A6, MIN(IFERROR(FIND({"o","p"}, A6), LEN(A6)+1))-1))</f>
        <v>3</v>
      </c>
    </row>
    <row r="7" spans="1:26">
      <c r="A7" t="s">
        <v>42</v>
      </c>
      <c r="B7" t="s">
        <v>271</v>
      </c>
      <c r="C7">
        <v>52</v>
      </c>
      <c r="I7">
        <v>7</v>
      </c>
      <c r="L7" t="s">
        <v>271</v>
      </c>
      <c r="N7" t="s">
        <v>271</v>
      </c>
      <c r="O7">
        <v>1</v>
      </c>
      <c r="P7" t="s">
        <v>271</v>
      </c>
      <c r="Q7" t="s">
        <v>271</v>
      </c>
      <c r="R7" t="s">
        <v>271</v>
      </c>
      <c r="S7" t="s">
        <v>271</v>
      </c>
      <c r="T7" t="s">
        <v>271</v>
      </c>
      <c r="V7" t="s">
        <v>271</v>
      </c>
      <c r="W7">
        <v>3</v>
      </c>
      <c r="X7">
        <v>2</v>
      </c>
      <c r="Z7" s="15" cm="1">
        <f t="array" ref="Z7">VALUE(LEFT(A7, MIN(IFERROR(FIND({"o","p"}, A7), LEN(A7)+1))-1))</f>
        <v>3</v>
      </c>
    </row>
    <row r="8" spans="1:26">
      <c r="A8" t="s">
        <v>43</v>
      </c>
      <c r="B8" s="22">
        <v>45412</v>
      </c>
      <c r="D8" t="s">
        <v>325</v>
      </c>
      <c r="E8" t="s">
        <v>220</v>
      </c>
      <c r="F8" t="s">
        <v>267</v>
      </c>
      <c r="G8" t="s">
        <v>248</v>
      </c>
      <c r="I8">
        <v>6</v>
      </c>
      <c r="J8">
        <v>3</v>
      </c>
      <c r="K8" t="s">
        <v>326</v>
      </c>
      <c r="L8" t="s">
        <v>185</v>
      </c>
      <c r="N8" t="s">
        <v>45</v>
      </c>
      <c r="O8">
        <v>1</v>
      </c>
      <c r="P8" t="s">
        <v>173</v>
      </c>
      <c r="Q8" t="s">
        <v>169</v>
      </c>
      <c r="R8" t="s">
        <v>34</v>
      </c>
      <c r="S8" t="s">
        <v>270</v>
      </c>
      <c r="V8" t="s">
        <v>327</v>
      </c>
      <c r="W8">
        <v>4</v>
      </c>
      <c r="X8">
        <v>1</v>
      </c>
      <c r="Z8" s="15" cm="1">
        <f t="array" ref="Z8">VALUE(LEFT(A8, MIN(IFERROR(FIND({"o","p"}, A8), LEN(A8)+1))-1))</f>
        <v>4</v>
      </c>
    </row>
    <row r="9" spans="1:26">
      <c r="A9" t="s">
        <v>46</v>
      </c>
      <c r="B9" t="s">
        <v>271</v>
      </c>
      <c r="C9">
        <v>61</v>
      </c>
      <c r="D9" t="s">
        <v>36</v>
      </c>
      <c r="E9" t="s">
        <v>266</v>
      </c>
      <c r="G9" t="s">
        <v>248</v>
      </c>
      <c r="I9" t="s">
        <v>328</v>
      </c>
      <c r="J9" t="s">
        <v>271</v>
      </c>
      <c r="L9" t="s">
        <v>36</v>
      </c>
      <c r="N9" t="s">
        <v>272</v>
      </c>
      <c r="O9" t="s">
        <v>329</v>
      </c>
      <c r="P9" t="s">
        <v>271</v>
      </c>
      <c r="Q9" t="s">
        <v>271</v>
      </c>
      <c r="R9" t="s">
        <v>271</v>
      </c>
      <c r="S9" t="s">
        <v>271</v>
      </c>
      <c r="T9" t="s">
        <v>271</v>
      </c>
      <c r="V9" t="s">
        <v>271</v>
      </c>
      <c r="W9">
        <v>4</v>
      </c>
      <c r="X9">
        <v>2</v>
      </c>
      <c r="Z9" s="15" cm="1">
        <f t="array" ref="Z9">VALUE(LEFT(A9, MIN(IFERROR(FIND({"o","p"}, A9), LEN(A9)+1))-1))</f>
        <v>4</v>
      </c>
    </row>
    <row r="10" spans="1:26">
      <c r="A10" t="s">
        <v>47</v>
      </c>
      <c r="B10" s="22">
        <v>45411</v>
      </c>
      <c r="C10">
        <v>34</v>
      </c>
      <c r="D10" t="s">
        <v>221</v>
      </c>
      <c r="E10" t="s">
        <v>220</v>
      </c>
      <c r="I10">
        <v>5</v>
      </c>
      <c r="J10">
        <v>1</v>
      </c>
      <c r="K10" t="s">
        <v>48</v>
      </c>
      <c r="L10" t="s">
        <v>330</v>
      </c>
      <c r="N10" t="s">
        <v>331</v>
      </c>
      <c r="O10">
        <v>2</v>
      </c>
      <c r="P10" t="s">
        <v>273</v>
      </c>
      <c r="S10" t="s">
        <v>332</v>
      </c>
      <c r="V10" t="s">
        <v>274</v>
      </c>
      <c r="W10">
        <v>5</v>
      </c>
      <c r="X10">
        <v>1</v>
      </c>
      <c r="Z10" s="15" cm="1">
        <f t="array" ref="Z10">VALUE(LEFT(A10, MIN(IFERROR(FIND({"o","p"}, A10), LEN(A10)+1))-1))</f>
        <v>5</v>
      </c>
    </row>
    <row r="11" spans="1:26">
      <c r="A11" t="s">
        <v>49</v>
      </c>
      <c r="B11" s="22">
        <v>45411</v>
      </c>
      <c r="C11">
        <v>34</v>
      </c>
      <c r="E11" t="s">
        <v>161</v>
      </c>
      <c r="G11" t="s">
        <v>175</v>
      </c>
      <c r="I11">
        <v>2</v>
      </c>
      <c r="J11">
        <v>1</v>
      </c>
      <c r="K11" t="s">
        <v>48</v>
      </c>
      <c r="L11" t="s">
        <v>333</v>
      </c>
      <c r="W11">
        <v>5</v>
      </c>
      <c r="X11">
        <v>1</v>
      </c>
      <c r="Z11" s="15" cm="1">
        <f t="array" ref="Z11">VALUE(LEFT(A11, MIN(IFERROR(FIND({"o","p"}, A11), LEN(A11)+1))-1))</f>
        <v>5</v>
      </c>
    </row>
    <row r="12" spans="1:26">
      <c r="A12" t="s">
        <v>50</v>
      </c>
      <c r="B12" t="s">
        <v>271</v>
      </c>
      <c r="C12">
        <v>34</v>
      </c>
      <c r="D12" t="s">
        <v>159</v>
      </c>
      <c r="E12" t="s">
        <v>266</v>
      </c>
      <c r="F12" t="s">
        <v>267</v>
      </c>
      <c r="G12" t="s">
        <v>175</v>
      </c>
      <c r="H12" t="s">
        <v>334</v>
      </c>
      <c r="I12">
        <v>11</v>
      </c>
      <c r="J12" t="s">
        <v>271</v>
      </c>
      <c r="K12" t="s">
        <v>271</v>
      </c>
      <c r="L12" t="s">
        <v>275</v>
      </c>
      <c r="M12" t="s">
        <v>271</v>
      </c>
      <c r="N12" t="s">
        <v>335</v>
      </c>
      <c r="O12">
        <v>2</v>
      </c>
      <c r="P12" t="s">
        <v>34</v>
      </c>
      <c r="Q12" t="s">
        <v>276</v>
      </c>
      <c r="R12" t="s">
        <v>271</v>
      </c>
      <c r="S12" t="s">
        <v>334</v>
      </c>
      <c r="T12" t="s">
        <v>271</v>
      </c>
      <c r="U12" t="s">
        <v>271</v>
      </c>
      <c r="V12" t="s">
        <v>271</v>
      </c>
      <c r="W12">
        <v>5</v>
      </c>
      <c r="X12">
        <v>2</v>
      </c>
      <c r="Z12" s="15" cm="1">
        <f t="array" ref="Z12">VALUE(LEFT(A12, MIN(IFERROR(FIND({"o","p"}, A12), LEN(A12)+1))-1))</f>
        <v>5</v>
      </c>
    </row>
    <row r="13" spans="1:26">
      <c r="A13" t="s">
        <v>51</v>
      </c>
      <c r="B13" s="22">
        <v>45387</v>
      </c>
      <c r="C13">
        <v>66</v>
      </c>
      <c r="I13">
        <v>5</v>
      </c>
      <c r="J13">
        <v>1</v>
      </c>
      <c r="K13" t="s">
        <v>326</v>
      </c>
      <c r="L13" t="s">
        <v>116</v>
      </c>
      <c r="M13" t="s">
        <v>64</v>
      </c>
      <c r="N13" t="s">
        <v>336</v>
      </c>
      <c r="O13">
        <v>1</v>
      </c>
      <c r="P13" t="s">
        <v>212</v>
      </c>
      <c r="R13" t="s">
        <v>34</v>
      </c>
      <c r="V13" t="s">
        <v>337</v>
      </c>
      <c r="W13">
        <v>6</v>
      </c>
      <c r="X13">
        <v>1</v>
      </c>
      <c r="Z13" s="15" cm="1">
        <f t="array" ref="Z13">VALUE(LEFT(A13, MIN(IFERROR(FIND({"o","p"}, A13), LEN(A13)+1))-1))</f>
        <v>6</v>
      </c>
    </row>
    <row r="14" spans="1:26">
      <c r="A14" t="s">
        <v>52</v>
      </c>
      <c r="B14" t="s">
        <v>271</v>
      </c>
      <c r="C14">
        <v>66</v>
      </c>
      <c r="I14" t="s">
        <v>271</v>
      </c>
      <c r="J14" t="s">
        <v>271</v>
      </c>
      <c r="L14" t="s">
        <v>271</v>
      </c>
      <c r="N14" t="s">
        <v>176</v>
      </c>
      <c r="O14">
        <v>1</v>
      </c>
      <c r="P14" t="s">
        <v>271</v>
      </c>
      <c r="Q14" t="s">
        <v>271</v>
      </c>
      <c r="R14" t="s">
        <v>271</v>
      </c>
      <c r="S14" t="s">
        <v>271</v>
      </c>
      <c r="T14" t="s">
        <v>271</v>
      </c>
      <c r="U14" t="s">
        <v>271</v>
      </c>
      <c r="V14" t="s">
        <v>271</v>
      </c>
      <c r="W14">
        <v>6</v>
      </c>
      <c r="X14">
        <v>2</v>
      </c>
      <c r="Z14" s="15" cm="1">
        <f t="array" ref="Z14">VALUE(LEFT(A14, MIN(IFERROR(FIND({"o","p"}, A14), LEN(A14)+1))-1))</f>
        <v>6</v>
      </c>
    </row>
    <row r="15" spans="1:26">
      <c r="A15" t="s">
        <v>53</v>
      </c>
      <c r="B15" s="22">
        <v>45429</v>
      </c>
      <c r="C15">
        <v>67</v>
      </c>
      <c r="D15" t="s">
        <v>157</v>
      </c>
      <c r="I15">
        <v>13</v>
      </c>
      <c r="J15">
        <v>0</v>
      </c>
      <c r="L15" t="s">
        <v>168</v>
      </c>
      <c r="M15" t="s">
        <v>172</v>
      </c>
      <c r="N15" t="s">
        <v>338</v>
      </c>
      <c r="O15">
        <v>2</v>
      </c>
      <c r="P15" t="s">
        <v>169</v>
      </c>
      <c r="R15" t="s">
        <v>169</v>
      </c>
      <c r="S15" t="s">
        <v>169</v>
      </c>
      <c r="V15" t="s">
        <v>269</v>
      </c>
      <c r="W15">
        <v>7</v>
      </c>
      <c r="X15">
        <v>1</v>
      </c>
      <c r="Z15" s="15" cm="1">
        <f t="array" ref="Z15">VALUE(LEFT(A15, MIN(IFERROR(FIND({"o","p"}, A15), LEN(A15)+1))-1))</f>
        <v>7</v>
      </c>
    </row>
    <row r="16" spans="1:26">
      <c r="A16" t="s">
        <v>54</v>
      </c>
      <c r="B16" t="s">
        <v>271</v>
      </c>
      <c r="C16">
        <v>67</v>
      </c>
      <c r="I16" t="s">
        <v>271</v>
      </c>
      <c r="J16">
        <v>0</v>
      </c>
      <c r="L16" t="s">
        <v>249</v>
      </c>
      <c r="M16" t="s">
        <v>271</v>
      </c>
      <c r="N16" t="s">
        <v>339</v>
      </c>
      <c r="O16">
        <v>1</v>
      </c>
      <c r="P16" t="s">
        <v>271</v>
      </c>
      <c r="Q16" t="s">
        <v>271</v>
      </c>
      <c r="R16" t="s">
        <v>271</v>
      </c>
      <c r="S16" t="s">
        <v>271</v>
      </c>
      <c r="T16" t="s">
        <v>271</v>
      </c>
      <c r="U16" t="s">
        <v>271</v>
      </c>
      <c r="V16" t="s">
        <v>271</v>
      </c>
      <c r="W16">
        <v>7</v>
      </c>
      <c r="X16">
        <v>2</v>
      </c>
      <c r="Z16" s="15" cm="1">
        <f t="array" ref="Z16">VALUE(LEFT(A16, MIN(IFERROR(FIND({"o","p"}, A16), LEN(A16)+1))-1))</f>
        <v>7</v>
      </c>
    </row>
    <row r="17" spans="1:26">
      <c r="A17" t="s">
        <v>55</v>
      </c>
      <c r="B17" s="22">
        <v>45443</v>
      </c>
      <c r="C17">
        <v>78</v>
      </c>
      <c r="D17" t="s">
        <v>217</v>
      </c>
      <c r="L17" t="s">
        <v>168</v>
      </c>
      <c r="M17" t="s">
        <v>211</v>
      </c>
      <c r="N17" t="s">
        <v>56</v>
      </c>
      <c r="O17">
        <v>1</v>
      </c>
      <c r="P17" t="s">
        <v>169</v>
      </c>
      <c r="R17" t="s">
        <v>169</v>
      </c>
      <c r="S17" t="s">
        <v>169</v>
      </c>
      <c r="V17" t="s">
        <v>277</v>
      </c>
      <c r="W17">
        <v>8</v>
      </c>
      <c r="X17">
        <v>1</v>
      </c>
      <c r="Z17" s="15" cm="1">
        <f t="array" ref="Z17">VALUE(LEFT(A17, MIN(IFERROR(FIND({"o","p"}, A17), LEN(A17)+1))-1))</f>
        <v>8</v>
      </c>
    </row>
    <row r="18" spans="1:26">
      <c r="A18" t="s">
        <v>57</v>
      </c>
      <c r="B18" t="s">
        <v>271</v>
      </c>
      <c r="C18">
        <v>78</v>
      </c>
      <c r="D18" t="s">
        <v>156</v>
      </c>
      <c r="E18" t="s">
        <v>266</v>
      </c>
      <c r="F18" t="s">
        <v>267</v>
      </c>
      <c r="I18" t="s">
        <v>271</v>
      </c>
      <c r="J18">
        <v>0</v>
      </c>
      <c r="L18" t="s">
        <v>271</v>
      </c>
      <c r="M18" t="s">
        <v>213</v>
      </c>
      <c r="N18" t="s">
        <v>100</v>
      </c>
      <c r="O18">
        <v>1</v>
      </c>
      <c r="P18" t="s">
        <v>271</v>
      </c>
      <c r="R18" t="s">
        <v>271</v>
      </c>
      <c r="T18" t="s">
        <v>271</v>
      </c>
      <c r="V18" t="s">
        <v>271</v>
      </c>
      <c r="W18">
        <v>8</v>
      </c>
      <c r="X18">
        <v>2</v>
      </c>
      <c r="Z18" s="15" cm="1">
        <f t="array" ref="Z18">VALUE(LEFT(A18, MIN(IFERROR(FIND({"o","p"}, A18), LEN(A18)+1))-1))</f>
        <v>8</v>
      </c>
    </row>
    <row r="19" spans="1:26">
      <c r="A19" t="s">
        <v>58</v>
      </c>
      <c r="B19" s="22">
        <v>45331</v>
      </c>
      <c r="C19">
        <v>55</v>
      </c>
      <c r="D19" t="s">
        <v>218</v>
      </c>
      <c r="G19" t="s">
        <v>175</v>
      </c>
      <c r="I19">
        <v>8</v>
      </c>
      <c r="J19">
        <v>4</v>
      </c>
      <c r="L19" t="s">
        <v>250</v>
      </c>
      <c r="M19" t="s">
        <v>340</v>
      </c>
      <c r="N19" t="s">
        <v>341</v>
      </c>
      <c r="O19">
        <v>3</v>
      </c>
      <c r="P19" t="s">
        <v>169</v>
      </c>
      <c r="R19" t="s">
        <v>34</v>
      </c>
      <c r="S19" t="s">
        <v>169</v>
      </c>
      <c r="V19" t="s">
        <v>289</v>
      </c>
      <c r="W19">
        <v>9</v>
      </c>
      <c r="X19">
        <v>1</v>
      </c>
      <c r="Z19" s="15" cm="1">
        <f t="array" ref="Z19">VALUE(LEFT(A19, MIN(IFERROR(FIND({"o","p"}, A19), LEN(A19)+1))-1))</f>
        <v>9</v>
      </c>
    </row>
    <row r="20" spans="1:26">
      <c r="A20" t="s">
        <v>59</v>
      </c>
      <c r="B20" t="s">
        <v>271</v>
      </c>
      <c r="C20">
        <v>55</v>
      </c>
      <c r="G20" t="s">
        <v>342</v>
      </c>
      <c r="I20" t="s">
        <v>278</v>
      </c>
      <c r="J20" t="s">
        <v>271</v>
      </c>
      <c r="K20" t="s">
        <v>111</v>
      </c>
      <c r="L20" t="s">
        <v>333</v>
      </c>
      <c r="N20" t="s">
        <v>271</v>
      </c>
      <c r="O20" t="s">
        <v>343</v>
      </c>
      <c r="P20" t="s">
        <v>271</v>
      </c>
      <c r="Q20" t="s">
        <v>271</v>
      </c>
      <c r="R20" t="s">
        <v>271</v>
      </c>
      <c r="S20" t="s">
        <v>271</v>
      </c>
      <c r="T20" t="s">
        <v>271</v>
      </c>
      <c r="U20" t="s">
        <v>271</v>
      </c>
      <c r="V20" t="s">
        <v>271</v>
      </c>
      <c r="W20">
        <v>9</v>
      </c>
      <c r="X20">
        <v>2</v>
      </c>
      <c r="Z20" s="15" cm="1">
        <f t="array" ref="Z20">VALUE(LEFT(A20, MIN(IFERROR(FIND({"o","p"}, A20), LEN(A20)+1))-1))</f>
        <v>9</v>
      </c>
    </row>
    <row r="21" spans="1:26">
      <c r="A21" t="s">
        <v>60</v>
      </c>
      <c r="B21" s="22">
        <v>45436</v>
      </c>
      <c r="C21">
        <v>24</v>
      </c>
      <c r="D21" t="s">
        <v>217</v>
      </c>
      <c r="I21">
        <v>1</v>
      </c>
      <c r="J21">
        <v>1</v>
      </c>
      <c r="L21" t="s">
        <v>185</v>
      </c>
      <c r="N21" t="s">
        <v>61</v>
      </c>
      <c r="O21">
        <v>1</v>
      </c>
      <c r="P21" t="s">
        <v>169</v>
      </c>
      <c r="R21" t="s">
        <v>279</v>
      </c>
      <c r="S21" t="s">
        <v>169</v>
      </c>
      <c r="V21" t="s">
        <v>344</v>
      </c>
      <c r="W21">
        <v>10</v>
      </c>
      <c r="X21">
        <v>1</v>
      </c>
      <c r="Z21" s="15" cm="1">
        <f t="array" ref="Z21">VALUE(LEFT(A21, MIN(IFERROR(FIND({"o","p"}, A21), LEN(A21)+1))-1))</f>
        <v>10</v>
      </c>
    </row>
    <row r="22" spans="1:26">
      <c r="A22" t="s">
        <v>62</v>
      </c>
      <c r="B22" t="s">
        <v>271</v>
      </c>
      <c r="C22">
        <v>24</v>
      </c>
      <c r="D22" t="s">
        <v>156</v>
      </c>
      <c r="E22" t="s">
        <v>266</v>
      </c>
      <c r="F22" t="s">
        <v>267</v>
      </c>
      <c r="I22" t="s">
        <v>271</v>
      </c>
      <c r="J22" t="s">
        <v>271</v>
      </c>
      <c r="L22" t="s">
        <v>333</v>
      </c>
      <c r="N22" t="s">
        <v>170</v>
      </c>
      <c r="O22">
        <v>1</v>
      </c>
      <c r="P22" t="s">
        <v>271</v>
      </c>
      <c r="Q22" t="s">
        <v>271</v>
      </c>
      <c r="R22" t="s">
        <v>271</v>
      </c>
      <c r="S22" t="s">
        <v>271</v>
      </c>
      <c r="T22" t="s">
        <v>271</v>
      </c>
      <c r="U22" t="s">
        <v>271</v>
      </c>
      <c r="V22" t="s">
        <v>271</v>
      </c>
      <c r="W22">
        <v>10</v>
      </c>
      <c r="X22">
        <v>2</v>
      </c>
      <c r="Z22" s="15" cm="1">
        <f t="array" ref="Z22">VALUE(LEFT(A22, MIN(IFERROR(FIND({"o","p"}, A22), LEN(A22)+1))-1))</f>
        <v>10</v>
      </c>
    </row>
    <row r="23" spans="1:26">
      <c r="A23" t="s">
        <v>63</v>
      </c>
      <c r="B23" s="22">
        <v>45443</v>
      </c>
      <c r="C23">
        <v>70</v>
      </c>
      <c r="D23" t="s">
        <v>222</v>
      </c>
      <c r="I23">
        <v>13</v>
      </c>
      <c r="J23">
        <v>0</v>
      </c>
      <c r="L23" t="s">
        <v>177</v>
      </c>
      <c r="N23" t="s">
        <v>178</v>
      </c>
      <c r="O23">
        <v>2</v>
      </c>
      <c r="P23" t="s">
        <v>169</v>
      </c>
      <c r="R23" t="s">
        <v>34</v>
      </c>
      <c r="S23" t="s">
        <v>169</v>
      </c>
      <c r="V23" t="s">
        <v>269</v>
      </c>
      <c r="W23">
        <v>11</v>
      </c>
      <c r="X23">
        <v>1</v>
      </c>
      <c r="Z23" s="15" cm="1">
        <f t="array" ref="Z23">VALUE(LEFT(A23, MIN(IFERROR(FIND({"o","p"}, A23), LEN(A23)+1))-1))</f>
        <v>11</v>
      </c>
    </row>
    <row r="24" spans="1:26">
      <c r="A24" t="s">
        <v>65</v>
      </c>
      <c r="B24" s="23">
        <v>45443</v>
      </c>
      <c r="C24">
        <v>70</v>
      </c>
      <c r="L24" t="s">
        <v>174</v>
      </c>
      <c r="N24" t="s">
        <v>251</v>
      </c>
      <c r="O24">
        <v>1</v>
      </c>
      <c r="P24" t="s">
        <v>345</v>
      </c>
      <c r="W24">
        <v>11</v>
      </c>
      <c r="X24">
        <v>2</v>
      </c>
      <c r="Z24" s="15" cm="1">
        <f t="array" ref="Z24">VALUE(LEFT(A24, MIN(IFERROR(FIND({"o","p"}, A24), LEN(A24)+1))-1))</f>
        <v>11</v>
      </c>
    </row>
    <row r="25" spans="1:26">
      <c r="A25" t="s">
        <v>66</v>
      </c>
      <c r="B25" s="22">
        <v>45415</v>
      </c>
      <c r="C25">
        <v>67</v>
      </c>
      <c r="D25" t="s">
        <v>222</v>
      </c>
      <c r="I25">
        <v>22</v>
      </c>
      <c r="J25">
        <v>1</v>
      </c>
      <c r="K25" t="s">
        <v>179</v>
      </c>
      <c r="L25" t="s">
        <v>177</v>
      </c>
      <c r="N25" t="s">
        <v>179</v>
      </c>
      <c r="O25">
        <v>1</v>
      </c>
      <c r="P25" t="s">
        <v>34</v>
      </c>
      <c r="Q25" t="s">
        <v>252</v>
      </c>
      <c r="R25" t="s">
        <v>34</v>
      </c>
      <c r="V25" t="s">
        <v>280</v>
      </c>
      <c r="W25">
        <v>12</v>
      </c>
      <c r="X25">
        <v>1</v>
      </c>
      <c r="Z25" s="15" cm="1">
        <f t="array" ref="Z25">VALUE(LEFT(A25, MIN(IFERROR(FIND({"o","p"}, A25), LEN(A25)+1))-1))</f>
        <v>12</v>
      </c>
    </row>
    <row r="26" spans="1:26">
      <c r="A26" t="s">
        <v>67</v>
      </c>
      <c r="B26" t="s">
        <v>271</v>
      </c>
      <c r="C26">
        <v>67</v>
      </c>
      <c r="I26" t="s">
        <v>271</v>
      </c>
      <c r="J26" t="s">
        <v>271</v>
      </c>
      <c r="L26" t="s">
        <v>258</v>
      </c>
      <c r="N26" t="s">
        <v>180</v>
      </c>
      <c r="O26">
        <v>1</v>
      </c>
      <c r="P26" t="s">
        <v>271</v>
      </c>
      <c r="Q26" t="s">
        <v>271</v>
      </c>
      <c r="R26" t="s">
        <v>271</v>
      </c>
      <c r="S26" t="s">
        <v>271</v>
      </c>
      <c r="T26" t="s">
        <v>271</v>
      </c>
      <c r="V26" t="s">
        <v>271</v>
      </c>
      <c r="W26">
        <v>12</v>
      </c>
      <c r="X26">
        <v>2</v>
      </c>
      <c r="Z26" s="15" cm="1">
        <f t="array" ref="Z26">VALUE(LEFT(A26, MIN(IFERROR(FIND({"o","p"}, A26), LEN(A26)+1))-1))</f>
        <v>12</v>
      </c>
    </row>
    <row r="27" spans="1:26">
      <c r="A27" t="s">
        <v>68</v>
      </c>
      <c r="B27" s="22">
        <v>45420</v>
      </c>
      <c r="C27">
        <v>66</v>
      </c>
      <c r="E27" t="s">
        <v>223</v>
      </c>
      <c r="G27" t="s">
        <v>261</v>
      </c>
      <c r="I27">
        <v>19</v>
      </c>
      <c r="J27">
        <v>2</v>
      </c>
      <c r="K27" t="s">
        <v>281</v>
      </c>
      <c r="L27" t="s">
        <v>185</v>
      </c>
      <c r="N27" t="s">
        <v>181</v>
      </c>
      <c r="O27">
        <v>1</v>
      </c>
      <c r="P27" t="s">
        <v>34</v>
      </c>
      <c r="Q27" t="s">
        <v>346</v>
      </c>
      <c r="S27" t="s">
        <v>347</v>
      </c>
      <c r="V27" t="s">
        <v>282</v>
      </c>
      <c r="W27">
        <v>13</v>
      </c>
      <c r="X27">
        <v>1</v>
      </c>
      <c r="Z27" s="15" cm="1">
        <f t="array" ref="Z27">VALUE(LEFT(A27, MIN(IFERROR(FIND({"o","p"}, A27), LEN(A27)+1))-1))</f>
        <v>13</v>
      </c>
    </row>
    <row r="28" spans="1:26">
      <c r="A28" t="s">
        <v>71</v>
      </c>
      <c r="B28" t="s">
        <v>265</v>
      </c>
      <c r="C28">
        <v>66</v>
      </c>
      <c r="D28" t="s">
        <v>159</v>
      </c>
      <c r="E28" t="s">
        <v>161</v>
      </c>
      <c r="F28" t="s">
        <v>162</v>
      </c>
      <c r="G28" t="s">
        <v>348</v>
      </c>
      <c r="H28" t="s">
        <v>265</v>
      </c>
      <c r="I28" t="s">
        <v>265</v>
      </c>
      <c r="J28">
        <v>1</v>
      </c>
      <c r="K28" t="s">
        <v>182</v>
      </c>
      <c r="L28" t="s">
        <v>265</v>
      </c>
      <c r="M28" t="s">
        <v>265</v>
      </c>
      <c r="N28" t="s">
        <v>265</v>
      </c>
      <c r="O28">
        <v>1</v>
      </c>
      <c r="P28" t="s">
        <v>34</v>
      </c>
      <c r="Q28" t="s">
        <v>283</v>
      </c>
      <c r="R28" t="s">
        <v>34</v>
      </c>
      <c r="S28" t="s">
        <v>349</v>
      </c>
      <c r="T28" t="s">
        <v>265</v>
      </c>
      <c r="U28" t="s">
        <v>265</v>
      </c>
      <c r="V28" t="s">
        <v>265</v>
      </c>
      <c r="W28">
        <v>13</v>
      </c>
      <c r="X28">
        <v>2</v>
      </c>
      <c r="Z28" s="15" cm="1">
        <f t="array" ref="Z28">VALUE(LEFT(A28, MIN(IFERROR(FIND({"o","p"}, A28), LEN(A28)+1))-1))</f>
        <v>13</v>
      </c>
    </row>
    <row r="29" spans="1:26">
      <c r="A29" t="s">
        <v>72</v>
      </c>
      <c r="B29" s="22">
        <v>45394</v>
      </c>
      <c r="C29">
        <v>51</v>
      </c>
      <c r="D29" t="s">
        <v>221</v>
      </c>
      <c r="L29" t="s">
        <v>168</v>
      </c>
      <c r="M29" t="s">
        <v>340</v>
      </c>
      <c r="N29" t="s">
        <v>73</v>
      </c>
      <c r="O29">
        <v>1</v>
      </c>
      <c r="P29" t="s">
        <v>34</v>
      </c>
      <c r="Q29" t="s">
        <v>284</v>
      </c>
      <c r="R29" t="s">
        <v>34</v>
      </c>
      <c r="S29" t="s">
        <v>350</v>
      </c>
      <c r="V29" t="s">
        <v>285</v>
      </c>
      <c r="W29">
        <v>14</v>
      </c>
      <c r="X29">
        <v>1</v>
      </c>
      <c r="Z29" s="15" cm="1">
        <f t="array" ref="Z29">VALUE(LEFT(A29, MIN(IFERROR(FIND({"o","p"}, A29), LEN(A29)+1))-1))</f>
        <v>14</v>
      </c>
    </row>
    <row r="30" spans="1:26">
      <c r="A30" t="s">
        <v>74</v>
      </c>
      <c r="B30" t="s">
        <v>271</v>
      </c>
      <c r="C30">
        <v>51</v>
      </c>
      <c r="D30" t="s">
        <v>159</v>
      </c>
      <c r="E30" t="s">
        <v>266</v>
      </c>
      <c r="F30" t="s">
        <v>267</v>
      </c>
      <c r="G30" t="s">
        <v>175</v>
      </c>
      <c r="H30" t="s">
        <v>271</v>
      </c>
      <c r="I30" t="s">
        <v>271</v>
      </c>
      <c r="J30" t="s">
        <v>271</v>
      </c>
      <c r="K30" t="s">
        <v>271</v>
      </c>
      <c r="L30" t="s">
        <v>275</v>
      </c>
      <c r="M30" t="s">
        <v>271</v>
      </c>
      <c r="N30" t="s">
        <v>271</v>
      </c>
      <c r="O30">
        <v>1</v>
      </c>
      <c r="P30" t="s">
        <v>34</v>
      </c>
      <c r="Q30" t="s">
        <v>286</v>
      </c>
      <c r="R30" t="s">
        <v>34</v>
      </c>
      <c r="S30" t="s">
        <v>351</v>
      </c>
      <c r="T30" t="s">
        <v>271</v>
      </c>
      <c r="U30" t="s">
        <v>271</v>
      </c>
      <c r="V30" t="s">
        <v>271</v>
      </c>
      <c r="W30">
        <v>14</v>
      </c>
      <c r="X30">
        <v>2</v>
      </c>
      <c r="Z30" s="15" cm="1">
        <f t="array" ref="Z30">VALUE(LEFT(A30, MIN(IFERROR(FIND({"o","p"}, A30), LEN(A30)+1))-1))</f>
        <v>14</v>
      </c>
    </row>
    <row r="31" spans="1:26">
      <c r="A31" t="s">
        <v>75</v>
      </c>
      <c r="B31" s="22">
        <v>45441</v>
      </c>
      <c r="C31">
        <v>64</v>
      </c>
      <c r="I31">
        <v>7</v>
      </c>
      <c r="J31" s="48" t="s">
        <v>432</v>
      </c>
      <c r="L31" t="s">
        <v>287</v>
      </c>
      <c r="M31" t="s">
        <v>352</v>
      </c>
      <c r="N31" t="s">
        <v>288</v>
      </c>
      <c r="O31">
        <v>1</v>
      </c>
      <c r="P31" t="s">
        <v>212</v>
      </c>
      <c r="R31" t="s">
        <v>212</v>
      </c>
      <c r="T31" t="s">
        <v>34</v>
      </c>
      <c r="U31" t="s">
        <v>353</v>
      </c>
      <c r="V31" t="s">
        <v>289</v>
      </c>
      <c r="W31">
        <v>15</v>
      </c>
      <c r="X31">
        <v>1</v>
      </c>
      <c r="Z31" s="15" cm="1">
        <f t="array" ref="Z31">VALUE(LEFT(A31, MIN(IFERROR(FIND({"o","p"}, A31), LEN(A31)+1))-1))</f>
        <v>15</v>
      </c>
    </row>
    <row r="32" spans="1:26">
      <c r="A32" t="s">
        <v>77</v>
      </c>
      <c r="B32" t="s">
        <v>271</v>
      </c>
      <c r="C32">
        <v>64</v>
      </c>
      <c r="D32" t="s">
        <v>354</v>
      </c>
      <c r="E32" t="s">
        <v>271</v>
      </c>
      <c r="F32" t="s">
        <v>271</v>
      </c>
      <c r="I32" t="s">
        <v>271</v>
      </c>
      <c r="J32" t="s">
        <v>271</v>
      </c>
      <c r="L32" t="s">
        <v>333</v>
      </c>
      <c r="M32" t="s">
        <v>271</v>
      </c>
      <c r="N32" t="s">
        <v>271</v>
      </c>
      <c r="O32">
        <v>1</v>
      </c>
      <c r="P32" t="s">
        <v>271</v>
      </c>
      <c r="R32" t="s">
        <v>271</v>
      </c>
      <c r="S32" t="s">
        <v>271</v>
      </c>
      <c r="T32" t="s">
        <v>271</v>
      </c>
      <c r="U32" t="s">
        <v>271</v>
      </c>
      <c r="V32" t="s">
        <v>271</v>
      </c>
      <c r="W32">
        <v>15</v>
      </c>
      <c r="X32">
        <v>2</v>
      </c>
      <c r="Z32" s="15" cm="1">
        <f t="array" ref="Z32">VALUE(LEFT(A32, MIN(IFERROR(FIND({"o","p"}, A32), LEN(A32)+1))-1))</f>
        <v>15</v>
      </c>
    </row>
    <row r="33" spans="1:26">
      <c r="A33" t="s">
        <v>78</v>
      </c>
      <c r="B33" s="22">
        <v>45331</v>
      </c>
      <c r="D33" t="s">
        <v>218</v>
      </c>
      <c r="I33">
        <v>15</v>
      </c>
      <c r="J33">
        <v>2</v>
      </c>
      <c r="L33" t="s">
        <v>185</v>
      </c>
      <c r="N33" t="s">
        <v>290</v>
      </c>
      <c r="O33">
        <v>2</v>
      </c>
      <c r="P33" t="s">
        <v>253</v>
      </c>
      <c r="R33" t="s">
        <v>34</v>
      </c>
      <c r="S33" t="s">
        <v>169</v>
      </c>
      <c r="V33" t="s">
        <v>355</v>
      </c>
      <c r="W33">
        <v>16</v>
      </c>
      <c r="X33">
        <v>1</v>
      </c>
      <c r="Z33" s="15" cm="1">
        <f t="array" ref="Z33">VALUE(LEFT(A33, MIN(IFERROR(FIND({"o","p"}, A33), LEN(A33)+1))-1))</f>
        <v>16</v>
      </c>
    </row>
    <row r="34" spans="1:26">
      <c r="A34" t="s">
        <v>79</v>
      </c>
      <c r="B34" t="s">
        <v>271</v>
      </c>
      <c r="C34">
        <v>43</v>
      </c>
      <c r="D34" t="s">
        <v>159</v>
      </c>
      <c r="E34" t="s">
        <v>266</v>
      </c>
      <c r="F34" t="s">
        <v>267</v>
      </c>
      <c r="G34" t="s">
        <v>248</v>
      </c>
      <c r="H34" t="s">
        <v>356</v>
      </c>
      <c r="I34">
        <v>1</v>
      </c>
      <c r="J34">
        <v>1</v>
      </c>
      <c r="K34" t="s">
        <v>271</v>
      </c>
      <c r="L34" t="s">
        <v>275</v>
      </c>
      <c r="M34" t="s">
        <v>271</v>
      </c>
      <c r="N34" t="s">
        <v>357</v>
      </c>
      <c r="O34">
        <v>2</v>
      </c>
      <c r="P34" t="s">
        <v>34</v>
      </c>
      <c r="Q34" t="s">
        <v>358</v>
      </c>
      <c r="R34" t="s">
        <v>271</v>
      </c>
      <c r="S34" t="s">
        <v>356</v>
      </c>
      <c r="T34" t="s">
        <v>271</v>
      </c>
      <c r="U34" t="s">
        <v>271</v>
      </c>
      <c r="V34" t="s">
        <v>271</v>
      </c>
      <c r="W34">
        <v>16</v>
      </c>
      <c r="X34">
        <v>2</v>
      </c>
      <c r="Z34" s="15" cm="1">
        <f t="array" ref="Z34">VALUE(LEFT(A34, MIN(IFERROR(FIND({"o","p"}, A34), LEN(A34)+1))-1))</f>
        <v>16</v>
      </c>
    </row>
    <row r="35" spans="1:26">
      <c r="A35" t="s">
        <v>80</v>
      </c>
      <c r="B35" s="22">
        <v>45457</v>
      </c>
      <c r="C35">
        <v>49</v>
      </c>
      <c r="D35" t="s">
        <v>217</v>
      </c>
      <c r="E35" t="s">
        <v>223</v>
      </c>
      <c r="G35" t="s">
        <v>254</v>
      </c>
      <c r="I35">
        <v>21</v>
      </c>
      <c r="J35">
        <v>5</v>
      </c>
      <c r="K35">
        <v>8</v>
      </c>
      <c r="L35" t="s">
        <v>185</v>
      </c>
      <c r="N35" t="s">
        <v>70</v>
      </c>
      <c r="O35">
        <v>1</v>
      </c>
      <c r="P35" t="s">
        <v>169</v>
      </c>
      <c r="R35" t="s">
        <v>359</v>
      </c>
      <c r="S35" t="s">
        <v>169</v>
      </c>
      <c r="V35" t="s">
        <v>360</v>
      </c>
      <c r="W35">
        <v>17</v>
      </c>
      <c r="X35">
        <v>1</v>
      </c>
      <c r="Z35" s="15" cm="1">
        <f t="array" ref="Z35">VALUE(LEFT(A35, MIN(IFERROR(FIND({"o","p"}, A35), LEN(A35)+1))-1))</f>
        <v>17</v>
      </c>
    </row>
    <row r="36" spans="1:26">
      <c r="A36" t="s">
        <v>82</v>
      </c>
      <c r="B36" t="s">
        <v>271</v>
      </c>
      <c r="C36">
        <v>49</v>
      </c>
      <c r="D36" t="s">
        <v>156</v>
      </c>
      <c r="E36" t="s">
        <v>160</v>
      </c>
      <c r="F36" t="s">
        <v>162</v>
      </c>
      <c r="G36" t="s">
        <v>254</v>
      </c>
      <c r="I36" t="s">
        <v>271</v>
      </c>
      <c r="J36" t="s">
        <v>271</v>
      </c>
      <c r="L36" t="s">
        <v>271</v>
      </c>
      <c r="M36" t="s">
        <v>32</v>
      </c>
      <c r="N36" t="s">
        <v>184</v>
      </c>
      <c r="O36">
        <v>1</v>
      </c>
      <c r="P36" t="s">
        <v>271</v>
      </c>
      <c r="R36" t="s">
        <v>271</v>
      </c>
      <c r="S36" t="s">
        <v>271</v>
      </c>
      <c r="T36" t="s">
        <v>271</v>
      </c>
      <c r="V36" t="s">
        <v>271</v>
      </c>
      <c r="W36">
        <v>17</v>
      </c>
      <c r="X36">
        <v>2</v>
      </c>
      <c r="Z36" s="15" cm="1">
        <f t="array" ref="Z36">VALUE(LEFT(A36, MIN(IFERROR(FIND({"o","p"}, A36), LEN(A36)+1))-1))</f>
        <v>17</v>
      </c>
    </row>
    <row r="37" spans="1:26" ht="57">
      <c r="A37" t="s">
        <v>83</v>
      </c>
      <c r="B37" s="22">
        <v>45355</v>
      </c>
      <c r="C37">
        <v>55</v>
      </c>
      <c r="D37" t="s">
        <v>224</v>
      </c>
      <c r="E37" t="s">
        <v>220</v>
      </c>
      <c r="G37" t="s">
        <v>361</v>
      </c>
      <c r="I37">
        <v>4</v>
      </c>
      <c r="J37">
        <v>4</v>
      </c>
      <c r="L37" t="s">
        <v>185</v>
      </c>
      <c r="N37" t="s">
        <v>38</v>
      </c>
      <c r="O37">
        <v>1</v>
      </c>
      <c r="P37" t="s">
        <v>34</v>
      </c>
      <c r="Q37" t="s">
        <v>284</v>
      </c>
      <c r="R37" t="s">
        <v>362</v>
      </c>
      <c r="S37" t="s">
        <v>363</v>
      </c>
      <c r="V37" s="24" t="s">
        <v>364</v>
      </c>
      <c r="W37">
        <v>18</v>
      </c>
      <c r="X37">
        <v>1</v>
      </c>
      <c r="Z37" s="15" cm="1">
        <f t="array" ref="Z37">VALUE(LEFT(A37, MIN(IFERROR(FIND({"o","p"}, A37), LEN(A37)+1))-1))</f>
        <v>18</v>
      </c>
    </row>
    <row r="38" spans="1:26">
      <c r="A38" t="s">
        <v>84</v>
      </c>
      <c r="B38" t="s">
        <v>271</v>
      </c>
      <c r="C38">
        <v>55</v>
      </c>
      <c r="D38" t="s">
        <v>159</v>
      </c>
      <c r="E38" t="s">
        <v>161</v>
      </c>
      <c r="F38" t="s">
        <v>162</v>
      </c>
      <c r="G38" t="s">
        <v>365</v>
      </c>
      <c r="H38" t="s">
        <v>271</v>
      </c>
      <c r="I38">
        <v>12</v>
      </c>
      <c r="J38" t="s">
        <v>271</v>
      </c>
      <c r="K38" t="s">
        <v>271</v>
      </c>
      <c r="L38" t="s">
        <v>275</v>
      </c>
      <c r="M38" t="s">
        <v>271</v>
      </c>
      <c r="N38" t="s">
        <v>271</v>
      </c>
      <c r="O38">
        <v>1</v>
      </c>
      <c r="P38" t="s">
        <v>34</v>
      </c>
      <c r="Q38" t="s">
        <v>366</v>
      </c>
      <c r="R38" t="s">
        <v>34</v>
      </c>
      <c r="S38" t="s">
        <v>365</v>
      </c>
      <c r="T38" t="s">
        <v>271</v>
      </c>
      <c r="U38" t="s">
        <v>271</v>
      </c>
      <c r="V38" t="s">
        <v>367</v>
      </c>
      <c r="W38">
        <v>18</v>
      </c>
      <c r="X38">
        <v>2</v>
      </c>
      <c r="Z38" s="15" cm="1">
        <f t="array" ref="Z38">VALUE(LEFT(A38, MIN(IFERROR(FIND({"o","p"}, A38), LEN(A38)+1))-1))</f>
        <v>18</v>
      </c>
    </row>
    <row r="39" spans="1:26">
      <c r="A39" t="s">
        <v>85</v>
      </c>
      <c r="B39" s="22">
        <v>45457</v>
      </c>
      <c r="C39">
        <v>23</v>
      </c>
      <c r="I39">
        <v>1</v>
      </c>
      <c r="J39">
        <v>0</v>
      </c>
      <c r="L39" t="s">
        <v>168</v>
      </c>
      <c r="M39" t="s">
        <v>368</v>
      </c>
      <c r="N39" t="s">
        <v>186</v>
      </c>
      <c r="O39">
        <v>1</v>
      </c>
      <c r="P39" t="s">
        <v>169</v>
      </c>
      <c r="R39" t="s">
        <v>169</v>
      </c>
      <c r="S39" t="s">
        <v>169</v>
      </c>
      <c r="V39" t="s">
        <v>291</v>
      </c>
      <c r="W39">
        <v>19</v>
      </c>
      <c r="X39">
        <v>1</v>
      </c>
      <c r="Z39" s="15" cm="1">
        <f t="array" ref="Z39">VALUE(LEFT(A39, MIN(IFERROR(FIND({"o","p"}, A39), LEN(A39)+1))-1))</f>
        <v>19</v>
      </c>
    </row>
    <row r="40" spans="1:26">
      <c r="A40" t="s">
        <v>86</v>
      </c>
      <c r="B40" t="s">
        <v>271</v>
      </c>
      <c r="C40">
        <v>23</v>
      </c>
      <c r="I40" t="s">
        <v>271</v>
      </c>
      <c r="J40" t="s">
        <v>271</v>
      </c>
      <c r="L40" t="s">
        <v>271</v>
      </c>
      <c r="N40" t="s">
        <v>292</v>
      </c>
      <c r="O40">
        <v>1</v>
      </c>
      <c r="P40" t="s">
        <v>271</v>
      </c>
      <c r="Q40" t="s">
        <v>271</v>
      </c>
      <c r="R40" t="s">
        <v>271</v>
      </c>
      <c r="S40" t="s">
        <v>271</v>
      </c>
      <c r="T40" t="s">
        <v>271</v>
      </c>
      <c r="V40" t="s">
        <v>271</v>
      </c>
      <c r="W40">
        <v>19</v>
      </c>
      <c r="X40">
        <v>2</v>
      </c>
      <c r="Z40" s="15" cm="1">
        <f t="array" ref="Z40">VALUE(LEFT(A40, MIN(IFERROR(FIND({"o","p"}, A40), LEN(A40)+1))-1))</f>
        <v>19</v>
      </c>
    </row>
    <row r="41" spans="1:26">
      <c r="A41" t="s">
        <v>87</v>
      </c>
      <c r="B41" s="22">
        <v>45373</v>
      </c>
      <c r="C41">
        <v>61</v>
      </c>
      <c r="D41" t="s">
        <v>369</v>
      </c>
      <c r="G41" t="s">
        <v>370</v>
      </c>
      <c r="I41">
        <v>4</v>
      </c>
      <c r="J41">
        <v>3</v>
      </c>
      <c r="L41" t="s">
        <v>168</v>
      </c>
      <c r="M41" t="s">
        <v>371</v>
      </c>
      <c r="N41" t="s">
        <v>372</v>
      </c>
      <c r="O41">
        <v>2</v>
      </c>
      <c r="P41" t="s">
        <v>34</v>
      </c>
      <c r="R41" t="s">
        <v>212</v>
      </c>
      <c r="S41" t="s">
        <v>373</v>
      </c>
      <c r="V41" t="s">
        <v>374</v>
      </c>
      <c r="W41">
        <v>20</v>
      </c>
      <c r="X41">
        <v>1</v>
      </c>
      <c r="Z41" s="15" cm="1">
        <f t="array" ref="Z41">VALUE(LEFT(A41, MIN(IFERROR(FIND({"o","p"}, A41), LEN(A41)+1))-1))</f>
        <v>20</v>
      </c>
    </row>
    <row r="42" spans="1:26">
      <c r="A42" t="s">
        <v>88</v>
      </c>
      <c r="B42" t="s">
        <v>265</v>
      </c>
      <c r="C42">
        <v>61</v>
      </c>
      <c r="I42" t="s">
        <v>265</v>
      </c>
      <c r="J42" t="s">
        <v>265</v>
      </c>
      <c r="L42" t="s">
        <v>183</v>
      </c>
      <c r="N42" t="s">
        <v>265</v>
      </c>
      <c r="O42" t="s">
        <v>265</v>
      </c>
      <c r="P42" t="s">
        <v>265</v>
      </c>
      <c r="R42" t="s">
        <v>265</v>
      </c>
      <c r="S42" t="s">
        <v>265</v>
      </c>
      <c r="T42" t="s">
        <v>265</v>
      </c>
      <c r="V42" t="s">
        <v>265</v>
      </c>
      <c r="W42">
        <v>20</v>
      </c>
      <c r="X42">
        <v>2</v>
      </c>
      <c r="Z42" s="15" cm="1">
        <f t="array" ref="Z42">VALUE(LEFT(A42, MIN(IFERROR(FIND({"o","p"}, A42), LEN(A42)+1))-1))</f>
        <v>20</v>
      </c>
    </row>
    <row r="43" spans="1:26">
      <c r="A43" t="s">
        <v>89</v>
      </c>
      <c r="B43" s="22">
        <v>45296</v>
      </c>
      <c r="C43">
        <v>51</v>
      </c>
      <c r="D43" t="s">
        <v>156</v>
      </c>
      <c r="E43" t="s">
        <v>161</v>
      </c>
      <c r="F43" t="s">
        <v>163</v>
      </c>
      <c r="G43" t="s">
        <v>312</v>
      </c>
      <c r="H43" t="s">
        <v>375</v>
      </c>
      <c r="I43">
        <v>2</v>
      </c>
      <c r="J43">
        <v>4</v>
      </c>
      <c r="L43" t="s">
        <v>255</v>
      </c>
      <c r="N43" t="s">
        <v>90</v>
      </c>
      <c r="O43">
        <v>1</v>
      </c>
      <c r="P43" t="s">
        <v>34</v>
      </c>
      <c r="Q43" t="s">
        <v>376</v>
      </c>
      <c r="S43" t="s">
        <v>376</v>
      </c>
      <c r="T43" t="s">
        <v>271</v>
      </c>
      <c r="U43" t="s">
        <v>271</v>
      </c>
      <c r="V43" t="s">
        <v>377</v>
      </c>
      <c r="W43">
        <v>21</v>
      </c>
      <c r="X43">
        <v>1</v>
      </c>
      <c r="Z43" s="15" cm="1">
        <f t="array" ref="Z43">VALUE(LEFT(A43, MIN(IFERROR(FIND({"o","p"}, A43), LEN(A43)+1))-1))</f>
        <v>21</v>
      </c>
    </row>
    <row r="44" spans="1:26">
      <c r="A44" t="s">
        <v>91</v>
      </c>
      <c r="B44" t="s">
        <v>271</v>
      </c>
      <c r="C44">
        <v>51</v>
      </c>
      <c r="I44" t="s">
        <v>271</v>
      </c>
      <c r="J44" t="s">
        <v>271</v>
      </c>
      <c r="L44" t="s">
        <v>271</v>
      </c>
      <c r="M44" t="s">
        <v>378</v>
      </c>
      <c r="N44" t="s">
        <v>187</v>
      </c>
      <c r="O44">
        <v>1</v>
      </c>
      <c r="P44" t="s">
        <v>271</v>
      </c>
      <c r="Q44" t="s">
        <v>271</v>
      </c>
      <c r="R44" t="s">
        <v>271</v>
      </c>
      <c r="S44" t="s">
        <v>271</v>
      </c>
      <c r="T44" t="s">
        <v>271</v>
      </c>
      <c r="V44" t="s">
        <v>271</v>
      </c>
      <c r="W44">
        <v>21</v>
      </c>
      <c r="X44">
        <v>2</v>
      </c>
      <c r="Z44" s="15" cm="1">
        <f t="array" ref="Z44">VALUE(LEFT(A44, MIN(IFERROR(FIND({"o","p"}, A44), LEN(A44)+1))-1))</f>
        <v>21</v>
      </c>
    </row>
    <row r="45" spans="1:26">
      <c r="A45" t="s">
        <v>92</v>
      </c>
      <c r="B45" s="22">
        <v>45299</v>
      </c>
      <c r="C45">
        <v>50</v>
      </c>
      <c r="D45" t="s">
        <v>219</v>
      </c>
      <c r="F45" t="s">
        <v>162</v>
      </c>
      <c r="I45">
        <v>1</v>
      </c>
      <c r="J45">
        <v>0</v>
      </c>
      <c r="L45" t="s">
        <v>185</v>
      </c>
      <c r="N45" t="s">
        <v>188</v>
      </c>
      <c r="O45">
        <v>1</v>
      </c>
      <c r="P45" t="s">
        <v>169</v>
      </c>
      <c r="R45" t="s">
        <v>293</v>
      </c>
      <c r="S45" t="s">
        <v>169</v>
      </c>
      <c r="V45" t="s">
        <v>379</v>
      </c>
      <c r="W45">
        <v>22</v>
      </c>
      <c r="X45">
        <v>1</v>
      </c>
      <c r="Z45" s="15" cm="1">
        <f t="array" ref="Z45">VALUE(LEFT(A45, MIN(IFERROR(FIND({"o","p"}, A45), LEN(A45)+1))-1))</f>
        <v>22</v>
      </c>
    </row>
    <row r="46" spans="1:26">
      <c r="A46" t="s">
        <v>93</v>
      </c>
      <c r="B46" t="s">
        <v>271</v>
      </c>
      <c r="C46">
        <v>50</v>
      </c>
      <c r="D46" t="s">
        <v>156</v>
      </c>
      <c r="E46" t="s">
        <v>160</v>
      </c>
      <c r="F46" t="s">
        <v>162</v>
      </c>
      <c r="I46" t="s">
        <v>271</v>
      </c>
      <c r="J46" t="s">
        <v>271</v>
      </c>
      <c r="L46" t="s">
        <v>36</v>
      </c>
      <c r="M46" t="s">
        <v>271</v>
      </c>
      <c r="N46" t="s">
        <v>189</v>
      </c>
      <c r="O46">
        <v>1</v>
      </c>
      <c r="P46" t="s">
        <v>271</v>
      </c>
      <c r="Q46" t="s">
        <v>271</v>
      </c>
      <c r="R46" t="s">
        <v>271</v>
      </c>
      <c r="S46" t="s">
        <v>271</v>
      </c>
      <c r="T46" t="s">
        <v>271</v>
      </c>
      <c r="U46" t="s">
        <v>271</v>
      </c>
      <c r="V46" t="s">
        <v>271</v>
      </c>
      <c r="W46">
        <v>22</v>
      </c>
      <c r="X46">
        <v>2</v>
      </c>
      <c r="Z46" s="15" cm="1">
        <f t="array" ref="Z46">VALUE(LEFT(A46, MIN(IFERROR(FIND({"o","p"}, A46), LEN(A46)+1))-1))</f>
        <v>22</v>
      </c>
    </row>
    <row r="47" spans="1:26">
      <c r="A47" t="s">
        <v>94</v>
      </c>
      <c r="B47" s="22">
        <v>45296</v>
      </c>
      <c r="C47">
        <v>61</v>
      </c>
      <c r="D47" t="s">
        <v>156</v>
      </c>
      <c r="E47" t="s">
        <v>160</v>
      </c>
      <c r="I47">
        <v>1</v>
      </c>
      <c r="J47">
        <v>0</v>
      </c>
      <c r="L47" t="s">
        <v>168</v>
      </c>
      <c r="M47" t="s">
        <v>33</v>
      </c>
      <c r="N47" t="s">
        <v>294</v>
      </c>
      <c r="O47">
        <v>2</v>
      </c>
      <c r="R47" t="s">
        <v>380</v>
      </c>
      <c r="S47" t="s">
        <v>381</v>
      </c>
      <c r="V47" t="s">
        <v>295</v>
      </c>
      <c r="W47">
        <v>23</v>
      </c>
      <c r="X47">
        <v>1</v>
      </c>
      <c r="Z47" s="15" cm="1">
        <f t="array" ref="Z47">VALUE(LEFT(A47, MIN(IFERROR(FIND({"o","p"}, A47), LEN(A47)+1))-1))</f>
        <v>23</v>
      </c>
    </row>
    <row r="48" spans="1:26">
      <c r="A48" t="s">
        <v>95</v>
      </c>
      <c r="B48" t="s">
        <v>271</v>
      </c>
      <c r="C48">
        <v>61</v>
      </c>
      <c r="I48">
        <v>6</v>
      </c>
      <c r="J48" t="s">
        <v>271</v>
      </c>
      <c r="L48" t="s">
        <v>258</v>
      </c>
      <c r="N48" t="s">
        <v>271</v>
      </c>
      <c r="O48">
        <v>1</v>
      </c>
      <c r="P48" t="s">
        <v>271</v>
      </c>
      <c r="Q48" t="s">
        <v>271</v>
      </c>
      <c r="R48" t="s">
        <v>271</v>
      </c>
      <c r="S48" t="s">
        <v>271</v>
      </c>
      <c r="T48" t="s">
        <v>271</v>
      </c>
      <c r="U48" t="s">
        <v>271</v>
      </c>
      <c r="V48" t="s">
        <v>271</v>
      </c>
      <c r="W48">
        <v>23</v>
      </c>
      <c r="X48">
        <v>2</v>
      </c>
      <c r="Z48" s="15" cm="1">
        <f t="array" ref="Z48">VALUE(LEFT(A48, MIN(IFERROR(FIND({"o","p"}, A48), LEN(A48)+1))-1))</f>
        <v>23</v>
      </c>
    </row>
    <row r="49" spans="1:26">
      <c r="A49" t="s">
        <v>96</v>
      </c>
      <c r="B49" s="22">
        <v>45301</v>
      </c>
      <c r="C49">
        <v>55</v>
      </c>
      <c r="D49" t="s">
        <v>224</v>
      </c>
      <c r="G49" t="s">
        <v>382</v>
      </c>
      <c r="I49">
        <v>15</v>
      </c>
      <c r="J49">
        <v>9</v>
      </c>
      <c r="K49" t="s">
        <v>256</v>
      </c>
      <c r="L49" t="s">
        <v>190</v>
      </c>
      <c r="N49" t="s">
        <v>296</v>
      </c>
      <c r="O49">
        <v>2</v>
      </c>
      <c r="P49" t="s">
        <v>173</v>
      </c>
      <c r="Q49" t="s">
        <v>297</v>
      </c>
      <c r="R49" t="s">
        <v>257</v>
      </c>
      <c r="S49" t="s">
        <v>298</v>
      </c>
      <c r="V49" t="s">
        <v>192</v>
      </c>
      <c r="W49">
        <v>24</v>
      </c>
      <c r="X49">
        <v>1</v>
      </c>
      <c r="Z49" s="15" cm="1">
        <f t="array" ref="Z49">VALUE(LEFT(A49, MIN(IFERROR(FIND({"o","p"}, A49), LEN(A49)+1))-1))</f>
        <v>24</v>
      </c>
    </row>
    <row r="50" spans="1:26">
      <c r="A50" t="s">
        <v>97</v>
      </c>
      <c r="B50" t="s">
        <v>271</v>
      </c>
      <c r="C50">
        <v>55</v>
      </c>
      <c r="D50" t="s">
        <v>159</v>
      </c>
      <c r="E50" t="s">
        <v>161</v>
      </c>
      <c r="F50" t="s">
        <v>162</v>
      </c>
      <c r="G50" t="s">
        <v>383</v>
      </c>
      <c r="H50" t="s">
        <v>271</v>
      </c>
      <c r="I50" t="s">
        <v>271</v>
      </c>
      <c r="J50" t="s">
        <v>384</v>
      </c>
      <c r="K50" t="s">
        <v>271</v>
      </c>
      <c r="L50" t="s">
        <v>183</v>
      </c>
      <c r="M50" t="s">
        <v>271</v>
      </c>
      <c r="N50" t="s">
        <v>271</v>
      </c>
      <c r="O50" t="s">
        <v>300</v>
      </c>
      <c r="P50" t="s">
        <v>34</v>
      </c>
      <c r="Q50" t="s">
        <v>301</v>
      </c>
      <c r="R50" t="s">
        <v>271</v>
      </c>
      <c r="S50" t="s">
        <v>385</v>
      </c>
      <c r="T50" t="s">
        <v>271</v>
      </c>
      <c r="U50" t="s">
        <v>271</v>
      </c>
      <c r="V50" t="s">
        <v>271</v>
      </c>
      <c r="W50">
        <v>24</v>
      </c>
      <c r="X50">
        <v>2</v>
      </c>
      <c r="Z50" s="15" cm="1">
        <f t="array" ref="Z50">VALUE(LEFT(A50, MIN(IFERROR(FIND({"o","p"}, A50), LEN(A50)+1))-1))</f>
        <v>24</v>
      </c>
    </row>
    <row r="51" spans="1:26">
      <c r="A51" t="s">
        <v>98</v>
      </c>
      <c r="B51" s="22">
        <v>45310</v>
      </c>
      <c r="C51">
        <v>42</v>
      </c>
      <c r="D51" t="s">
        <v>158</v>
      </c>
      <c r="L51" t="s">
        <v>168</v>
      </c>
      <c r="M51" t="s">
        <v>386</v>
      </c>
      <c r="N51" t="s">
        <v>302</v>
      </c>
      <c r="O51">
        <v>1</v>
      </c>
      <c r="P51" t="s">
        <v>191</v>
      </c>
      <c r="R51" t="s">
        <v>191</v>
      </c>
      <c r="S51" t="s">
        <v>191</v>
      </c>
      <c r="V51" t="s">
        <v>303</v>
      </c>
      <c r="W51">
        <v>25</v>
      </c>
      <c r="X51">
        <v>1</v>
      </c>
      <c r="Z51" s="15" cm="1">
        <f t="array" ref="Z51">VALUE(LEFT(A51, MIN(IFERROR(FIND({"o","p"}, A51), LEN(A51)+1))-1))</f>
        <v>25</v>
      </c>
    </row>
    <row r="52" spans="1:26">
      <c r="A52" t="s">
        <v>99</v>
      </c>
      <c r="B52" t="s">
        <v>271</v>
      </c>
      <c r="C52">
        <v>42</v>
      </c>
      <c r="D52" t="s">
        <v>156</v>
      </c>
      <c r="E52" t="s">
        <v>266</v>
      </c>
      <c r="F52" t="s">
        <v>162</v>
      </c>
      <c r="I52" t="s">
        <v>271</v>
      </c>
      <c r="J52" t="s">
        <v>271</v>
      </c>
      <c r="L52" t="s">
        <v>193</v>
      </c>
      <c r="N52" t="s">
        <v>100</v>
      </c>
      <c r="O52">
        <v>1</v>
      </c>
      <c r="P52" t="s">
        <v>271</v>
      </c>
      <c r="Q52" t="s">
        <v>271</v>
      </c>
      <c r="R52" t="s">
        <v>271</v>
      </c>
      <c r="S52" t="s">
        <v>271</v>
      </c>
      <c r="T52" t="s">
        <v>271</v>
      </c>
      <c r="V52" t="s">
        <v>271</v>
      </c>
      <c r="W52">
        <v>25</v>
      </c>
      <c r="X52">
        <v>2</v>
      </c>
      <c r="Z52" s="15" cm="1">
        <f t="array" ref="Z52">VALUE(LEFT(A52, MIN(IFERROR(FIND({"o","p"}, A52), LEN(A52)+1))-1))</f>
        <v>25</v>
      </c>
    </row>
    <row r="53" spans="1:26">
      <c r="A53" t="s">
        <v>101</v>
      </c>
      <c r="B53" s="22">
        <v>45464</v>
      </c>
      <c r="C53">
        <v>73</v>
      </c>
      <c r="D53" t="s">
        <v>156</v>
      </c>
      <c r="I53">
        <v>1</v>
      </c>
      <c r="J53">
        <v>1</v>
      </c>
      <c r="K53" t="s">
        <v>387</v>
      </c>
      <c r="L53" t="s">
        <v>185</v>
      </c>
      <c r="N53" t="s">
        <v>81</v>
      </c>
      <c r="O53">
        <v>1</v>
      </c>
      <c r="P53" t="s">
        <v>34</v>
      </c>
      <c r="Q53" t="s">
        <v>388</v>
      </c>
      <c r="S53" t="s">
        <v>388</v>
      </c>
      <c r="V53" t="s">
        <v>304</v>
      </c>
      <c r="W53">
        <v>26</v>
      </c>
      <c r="X53">
        <v>1</v>
      </c>
      <c r="Z53" s="15" cm="1">
        <f t="array" ref="Z53">VALUE(LEFT(A53, MIN(IFERROR(FIND({"o","p"}, A53), LEN(A53)+1))-1))</f>
        <v>26</v>
      </c>
    </row>
    <row r="54" spans="1:26">
      <c r="A54" t="s">
        <v>102</v>
      </c>
      <c r="B54" t="s">
        <v>271</v>
      </c>
      <c r="C54">
        <v>73</v>
      </c>
      <c r="D54" t="s">
        <v>156</v>
      </c>
      <c r="E54" t="s">
        <v>266</v>
      </c>
      <c r="F54" t="s">
        <v>267</v>
      </c>
      <c r="G54" t="s">
        <v>248</v>
      </c>
      <c r="H54" t="s">
        <v>389</v>
      </c>
      <c r="I54" t="s">
        <v>271</v>
      </c>
      <c r="J54">
        <v>1</v>
      </c>
      <c r="K54" t="s">
        <v>100</v>
      </c>
      <c r="L54" t="s">
        <v>271</v>
      </c>
      <c r="M54" t="s">
        <v>271</v>
      </c>
      <c r="N54" t="s">
        <v>100</v>
      </c>
      <c r="O54">
        <v>1</v>
      </c>
      <c r="P54" t="s">
        <v>34</v>
      </c>
      <c r="Q54" t="s">
        <v>305</v>
      </c>
      <c r="R54" t="s">
        <v>271</v>
      </c>
      <c r="S54" t="s">
        <v>389</v>
      </c>
      <c r="T54" t="s">
        <v>271</v>
      </c>
      <c r="U54" t="s">
        <v>271</v>
      </c>
      <c r="V54" t="s">
        <v>271</v>
      </c>
      <c r="W54">
        <v>26</v>
      </c>
      <c r="X54">
        <v>2</v>
      </c>
      <c r="Z54" s="15" cm="1">
        <f t="array" ref="Z54">VALUE(LEFT(A54, MIN(IFERROR(FIND({"o","p"}, A54), LEN(A54)+1))-1))</f>
        <v>26</v>
      </c>
    </row>
    <row r="55" spans="1:26">
      <c r="A55" t="s">
        <v>103</v>
      </c>
      <c r="B55" s="22">
        <v>45464</v>
      </c>
      <c r="C55">
        <v>39</v>
      </c>
      <c r="D55" t="s">
        <v>219</v>
      </c>
      <c r="G55" t="s">
        <v>306</v>
      </c>
      <c r="I55">
        <v>2</v>
      </c>
      <c r="J55">
        <v>1</v>
      </c>
      <c r="K55" t="s">
        <v>214</v>
      </c>
      <c r="L55" t="s">
        <v>307</v>
      </c>
      <c r="N55" t="s">
        <v>271</v>
      </c>
      <c r="O55">
        <v>2</v>
      </c>
      <c r="P55" t="s">
        <v>169</v>
      </c>
      <c r="Q55" t="s">
        <v>169</v>
      </c>
      <c r="R55" t="s">
        <v>390</v>
      </c>
      <c r="S55" t="s">
        <v>169</v>
      </c>
      <c r="V55" t="s">
        <v>391</v>
      </c>
      <c r="W55">
        <v>27</v>
      </c>
      <c r="X55">
        <v>1</v>
      </c>
      <c r="Z55" s="15" cm="1">
        <f t="array" ref="Z55">VALUE(LEFT(A55, MIN(IFERROR(FIND({"o","p"}, A55), LEN(A55)+1))-1))</f>
        <v>27</v>
      </c>
    </row>
    <row r="56" spans="1:26">
      <c r="A56" t="s">
        <v>104</v>
      </c>
      <c r="B56" t="s">
        <v>271</v>
      </c>
      <c r="C56">
        <v>39</v>
      </c>
      <c r="I56">
        <v>11</v>
      </c>
      <c r="J56">
        <v>1</v>
      </c>
      <c r="L56" t="s">
        <v>194</v>
      </c>
      <c r="N56" t="s">
        <v>176</v>
      </c>
      <c r="O56">
        <v>1</v>
      </c>
      <c r="P56" t="s">
        <v>271</v>
      </c>
      <c r="Q56" t="s">
        <v>271</v>
      </c>
      <c r="R56" t="s">
        <v>271</v>
      </c>
      <c r="S56" t="s">
        <v>271</v>
      </c>
      <c r="T56" t="s">
        <v>271</v>
      </c>
      <c r="V56" t="s">
        <v>271</v>
      </c>
      <c r="W56">
        <v>27</v>
      </c>
      <c r="X56">
        <v>2</v>
      </c>
      <c r="Z56" s="15" cm="1">
        <f t="array" ref="Z56">VALUE(LEFT(A56, MIN(IFERROR(FIND({"o","p"}, A56), LEN(A56)+1))-1))</f>
        <v>27</v>
      </c>
    </row>
    <row r="57" spans="1:26">
      <c r="A57" t="s">
        <v>105</v>
      </c>
      <c r="B57" s="22">
        <v>45464</v>
      </c>
      <c r="C57">
        <v>57</v>
      </c>
      <c r="D57" t="s">
        <v>219</v>
      </c>
      <c r="I57">
        <v>5</v>
      </c>
      <c r="J57">
        <v>1</v>
      </c>
      <c r="K57" t="s">
        <v>106</v>
      </c>
      <c r="L57" t="s">
        <v>168</v>
      </c>
      <c r="N57" t="s">
        <v>392</v>
      </c>
      <c r="O57">
        <v>2</v>
      </c>
      <c r="P57" t="s">
        <v>169</v>
      </c>
      <c r="R57" t="s">
        <v>393</v>
      </c>
      <c r="S57" t="s">
        <v>169</v>
      </c>
      <c r="V57" t="s">
        <v>308</v>
      </c>
      <c r="W57">
        <v>28</v>
      </c>
      <c r="X57">
        <v>1</v>
      </c>
      <c r="Z57" s="15" cm="1">
        <f t="array" ref="Z57">VALUE(LEFT(A57, MIN(IFERROR(FIND({"o","p"}, A57), LEN(A57)+1))-1))</f>
        <v>28</v>
      </c>
    </row>
    <row r="58" spans="1:26">
      <c r="A58" t="s">
        <v>107</v>
      </c>
      <c r="B58" t="s">
        <v>271</v>
      </c>
      <c r="C58">
        <v>57</v>
      </c>
      <c r="D58" t="s">
        <v>156</v>
      </c>
      <c r="E58" t="s">
        <v>266</v>
      </c>
      <c r="F58" t="s">
        <v>267</v>
      </c>
      <c r="I58" t="s">
        <v>271</v>
      </c>
      <c r="J58" t="s">
        <v>271</v>
      </c>
      <c r="L58" t="s">
        <v>183</v>
      </c>
      <c r="M58" t="s">
        <v>271</v>
      </c>
      <c r="N58" t="s">
        <v>187</v>
      </c>
      <c r="O58">
        <v>1</v>
      </c>
      <c r="P58" t="s">
        <v>271</v>
      </c>
      <c r="R58" t="s">
        <v>271</v>
      </c>
      <c r="S58" t="s">
        <v>271</v>
      </c>
      <c r="T58" t="s">
        <v>271</v>
      </c>
      <c r="V58" t="s">
        <v>271</v>
      </c>
      <c r="W58">
        <v>28</v>
      </c>
      <c r="X58">
        <v>2</v>
      </c>
      <c r="Z58" s="15" cm="1">
        <f t="array" ref="Z58">VALUE(LEFT(A58, MIN(IFERROR(FIND({"o","p"}, A58), LEN(A58)+1))-1))</f>
        <v>28</v>
      </c>
    </row>
    <row r="59" spans="1:26">
      <c r="A59" t="s">
        <v>108</v>
      </c>
      <c r="B59" s="22">
        <v>45271</v>
      </c>
      <c r="C59">
        <v>63</v>
      </c>
      <c r="D59" t="s">
        <v>219</v>
      </c>
      <c r="I59">
        <v>5</v>
      </c>
      <c r="J59">
        <v>0</v>
      </c>
      <c r="L59" t="s">
        <v>185</v>
      </c>
      <c r="N59" t="s">
        <v>195</v>
      </c>
      <c r="O59">
        <v>1</v>
      </c>
      <c r="P59" t="s">
        <v>169</v>
      </c>
      <c r="R59" t="s">
        <v>169</v>
      </c>
      <c r="S59" t="s">
        <v>169</v>
      </c>
      <c r="V59" t="s">
        <v>309</v>
      </c>
      <c r="W59">
        <v>29</v>
      </c>
      <c r="X59">
        <v>1</v>
      </c>
      <c r="Z59" s="15" cm="1">
        <f t="array" ref="Z59">VALUE(LEFT(A59, MIN(IFERROR(FIND({"o","p"}, A59), LEN(A59)+1))-1))</f>
        <v>29</v>
      </c>
    </row>
    <row r="60" spans="1:26">
      <c r="A60" t="s">
        <v>109</v>
      </c>
      <c r="C60">
        <v>63</v>
      </c>
      <c r="D60" t="s">
        <v>36</v>
      </c>
      <c r="I60">
        <v>0</v>
      </c>
      <c r="J60">
        <v>0</v>
      </c>
      <c r="L60" t="s">
        <v>36</v>
      </c>
      <c r="N60" t="s">
        <v>187</v>
      </c>
      <c r="O60">
        <v>1</v>
      </c>
      <c r="W60">
        <v>29</v>
      </c>
      <c r="X60">
        <v>2</v>
      </c>
      <c r="Z60" s="15" cm="1">
        <f t="array" ref="Z60">VALUE(LEFT(A60, MIN(IFERROR(FIND({"o","p"}, A60), LEN(A60)+1))-1))</f>
        <v>29</v>
      </c>
    </row>
    <row r="61" spans="1:26">
      <c r="A61" t="s">
        <v>110</v>
      </c>
      <c r="B61" s="22">
        <v>45287</v>
      </c>
      <c r="C61">
        <v>39</v>
      </c>
      <c r="D61" t="s">
        <v>217</v>
      </c>
      <c r="G61" t="s">
        <v>310</v>
      </c>
      <c r="I61">
        <v>24</v>
      </c>
      <c r="J61">
        <v>3</v>
      </c>
      <c r="K61" t="s">
        <v>196</v>
      </c>
      <c r="L61" t="s">
        <v>168</v>
      </c>
      <c r="M61" t="s">
        <v>33</v>
      </c>
      <c r="N61" t="s">
        <v>394</v>
      </c>
      <c r="O61">
        <v>1</v>
      </c>
      <c r="P61" t="s">
        <v>34</v>
      </c>
      <c r="R61" t="s">
        <v>169</v>
      </c>
      <c r="S61" t="s">
        <v>169</v>
      </c>
      <c r="V61" t="s">
        <v>311</v>
      </c>
      <c r="W61">
        <v>30</v>
      </c>
      <c r="X61">
        <v>1</v>
      </c>
      <c r="Z61" s="15" cm="1">
        <f t="array" ref="Z61">VALUE(LEFT(A61, MIN(IFERROR(FIND({"o","p"}, A61), LEN(A61)+1))-1))</f>
        <v>30</v>
      </c>
    </row>
    <row r="62" spans="1:26">
      <c r="A62" t="s">
        <v>112</v>
      </c>
      <c r="B62" t="s">
        <v>271</v>
      </c>
      <c r="C62">
        <v>39</v>
      </c>
      <c r="D62" t="s">
        <v>395</v>
      </c>
      <c r="E62" t="s">
        <v>396</v>
      </c>
      <c r="F62" t="s">
        <v>397</v>
      </c>
      <c r="G62" t="s">
        <v>197</v>
      </c>
      <c r="H62" t="s">
        <v>271</v>
      </c>
      <c r="I62" t="s">
        <v>271</v>
      </c>
      <c r="J62" t="s">
        <v>398</v>
      </c>
      <c r="K62" t="s">
        <v>271</v>
      </c>
      <c r="L62" t="s">
        <v>183</v>
      </c>
      <c r="M62" t="s">
        <v>271</v>
      </c>
      <c r="N62" t="s">
        <v>271</v>
      </c>
      <c r="O62" t="s">
        <v>399</v>
      </c>
      <c r="P62" t="s">
        <v>271</v>
      </c>
      <c r="Q62" t="s">
        <v>271</v>
      </c>
      <c r="R62" t="s">
        <v>271</v>
      </c>
      <c r="S62" t="s">
        <v>271</v>
      </c>
      <c r="T62" t="s">
        <v>271</v>
      </c>
      <c r="U62" t="s">
        <v>271</v>
      </c>
      <c r="V62" t="s">
        <v>271</v>
      </c>
      <c r="W62">
        <v>30</v>
      </c>
      <c r="X62">
        <v>2</v>
      </c>
      <c r="Z62" s="15" cm="1">
        <f t="array" ref="Z62">VALUE(LEFT(A62, MIN(IFERROR(FIND({"o","p"}, A62), LEN(A62)+1))-1))</f>
        <v>30</v>
      </c>
    </row>
    <row r="63" spans="1:26">
      <c r="A63" t="s">
        <v>113</v>
      </c>
      <c r="B63" s="22">
        <v>43304</v>
      </c>
      <c r="I63">
        <v>1</v>
      </c>
      <c r="J63">
        <v>1</v>
      </c>
      <c r="K63" t="s">
        <v>155</v>
      </c>
      <c r="L63" t="s">
        <v>32</v>
      </c>
      <c r="M63" t="s">
        <v>400</v>
      </c>
      <c r="N63" t="s">
        <v>401</v>
      </c>
      <c r="O63" t="s">
        <v>402</v>
      </c>
      <c r="P63" t="s">
        <v>34</v>
      </c>
      <c r="R63" t="s">
        <v>34</v>
      </c>
      <c r="S63" t="s">
        <v>403</v>
      </c>
      <c r="V63" t="s">
        <v>313</v>
      </c>
      <c r="W63">
        <v>31</v>
      </c>
      <c r="X63">
        <v>1</v>
      </c>
      <c r="Z63" s="15" cm="1">
        <f t="array" ref="Z63">VALUE(LEFT(A63, MIN(IFERROR(FIND({"o","p"}, A63), LEN(A63)+1))-1))</f>
        <v>31</v>
      </c>
    </row>
    <row r="64" spans="1:26">
      <c r="A64" t="s">
        <v>114</v>
      </c>
      <c r="B64" s="23">
        <v>43304</v>
      </c>
      <c r="C64">
        <v>60</v>
      </c>
      <c r="D64" t="s">
        <v>159</v>
      </c>
      <c r="G64" t="s">
        <v>404</v>
      </c>
      <c r="M64" t="s">
        <v>393</v>
      </c>
      <c r="N64" t="s">
        <v>182</v>
      </c>
      <c r="O64">
        <v>1</v>
      </c>
      <c r="P64" t="s">
        <v>34</v>
      </c>
      <c r="Q64" t="s">
        <v>405</v>
      </c>
      <c r="R64" t="s">
        <v>34</v>
      </c>
      <c r="S64" t="s">
        <v>406</v>
      </c>
      <c r="V64" t="s">
        <v>393</v>
      </c>
      <c r="W64">
        <v>31</v>
      </c>
      <c r="X64">
        <v>2</v>
      </c>
      <c r="Z64" s="15" cm="1">
        <f t="array" ref="Z64">VALUE(LEFT(A64, MIN(IFERROR(FIND({"o","p"}, A64), LEN(A64)+1))-1))</f>
        <v>31</v>
      </c>
    </row>
    <row r="65" spans="1:26">
      <c r="A65" t="s">
        <v>115</v>
      </c>
      <c r="B65" s="22">
        <v>44630</v>
      </c>
      <c r="D65" t="s">
        <v>159</v>
      </c>
      <c r="E65" t="s">
        <v>161</v>
      </c>
      <c r="F65" t="s">
        <v>267</v>
      </c>
      <c r="G65" t="s">
        <v>407</v>
      </c>
      <c r="I65">
        <v>12</v>
      </c>
      <c r="J65">
        <v>5</v>
      </c>
      <c r="K65" t="s">
        <v>393</v>
      </c>
      <c r="L65" t="s">
        <v>408</v>
      </c>
      <c r="N65" t="s">
        <v>409</v>
      </c>
      <c r="O65">
        <v>1</v>
      </c>
      <c r="P65" t="s">
        <v>215</v>
      </c>
      <c r="Q65" t="s">
        <v>393</v>
      </c>
      <c r="R65" t="s">
        <v>314</v>
      </c>
      <c r="S65" t="s">
        <v>315</v>
      </c>
      <c r="V65" t="s">
        <v>410</v>
      </c>
      <c r="W65">
        <v>32</v>
      </c>
      <c r="X65">
        <v>1</v>
      </c>
      <c r="Z65" s="15" cm="1">
        <f t="array" ref="Z65">VALUE(LEFT(A65, MIN(IFERROR(FIND({"o","p"}, A65), LEN(A65)+1))-1))</f>
        <v>32</v>
      </c>
    </row>
    <row r="66" spans="1:26">
      <c r="A66" t="s">
        <v>117</v>
      </c>
      <c r="B66" s="23">
        <v>44629</v>
      </c>
      <c r="C66">
        <v>72</v>
      </c>
      <c r="D66" t="s">
        <v>159</v>
      </c>
      <c r="E66" t="s">
        <v>266</v>
      </c>
      <c r="F66" t="s">
        <v>163</v>
      </c>
      <c r="H66" t="s">
        <v>411</v>
      </c>
      <c r="L66" t="s">
        <v>258</v>
      </c>
      <c r="N66" t="s">
        <v>412</v>
      </c>
      <c r="O66">
        <v>1</v>
      </c>
      <c r="P66" t="s">
        <v>271</v>
      </c>
      <c r="Q66" t="s">
        <v>271</v>
      </c>
      <c r="R66" t="s">
        <v>271</v>
      </c>
      <c r="S66" t="s">
        <v>271</v>
      </c>
      <c r="T66" t="s">
        <v>271</v>
      </c>
      <c r="U66" t="s">
        <v>271</v>
      </c>
      <c r="V66" t="s">
        <v>271</v>
      </c>
      <c r="W66">
        <v>32</v>
      </c>
      <c r="X66">
        <v>2</v>
      </c>
      <c r="Z66" s="15" cm="1">
        <f t="array" ref="Z66">VALUE(LEFT(A66, MIN(IFERROR(FIND({"o","p"}, A66), LEN(A66)+1))-1))</f>
        <v>32</v>
      </c>
    </row>
    <row r="67" spans="1:26">
      <c r="A67" t="s">
        <v>118</v>
      </c>
      <c r="B67" s="22">
        <v>44517</v>
      </c>
      <c r="D67" t="s">
        <v>157</v>
      </c>
      <c r="L67" t="s">
        <v>32</v>
      </c>
      <c r="M67" t="s">
        <v>413</v>
      </c>
      <c r="N67" t="s">
        <v>48</v>
      </c>
      <c r="O67">
        <v>1</v>
      </c>
      <c r="V67" t="s">
        <v>414</v>
      </c>
      <c r="W67">
        <v>33</v>
      </c>
      <c r="X67">
        <v>1</v>
      </c>
      <c r="Z67" s="15" cm="1">
        <f t="array" ref="Z67">VALUE(LEFT(A67, MIN(IFERROR(FIND({"o","p"}, A67), LEN(A67)+1))-1))</f>
        <v>33</v>
      </c>
    </row>
    <row r="68" spans="1:26">
      <c r="A68" t="s">
        <v>119</v>
      </c>
      <c r="B68" s="23">
        <v>44517</v>
      </c>
      <c r="C68">
        <v>41</v>
      </c>
      <c r="F68" t="s">
        <v>163</v>
      </c>
      <c r="H68" t="s">
        <v>259</v>
      </c>
      <c r="L68" t="s">
        <v>183</v>
      </c>
      <c r="N68" t="s">
        <v>316</v>
      </c>
      <c r="O68">
        <v>2</v>
      </c>
      <c r="P68" t="s">
        <v>34</v>
      </c>
      <c r="R68" t="s">
        <v>271</v>
      </c>
      <c r="S68" t="s">
        <v>271</v>
      </c>
      <c r="T68" t="s">
        <v>271</v>
      </c>
      <c r="U68" t="s">
        <v>271</v>
      </c>
      <c r="V68" t="s">
        <v>271</v>
      </c>
      <c r="W68">
        <v>33</v>
      </c>
      <c r="X68">
        <v>2</v>
      </c>
      <c r="Z68" s="15" cm="1">
        <f t="array" ref="Z68">VALUE(LEFT(A68, MIN(IFERROR(FIND({"o","p"}, A68), LEN(A68)+1))-1))</f>
        <v>33</v>
      </c>
    </row>
    <row r="69" spans="1:26">
      <c r="A69" t="s">
        <v>120</v>
      </c>
      <c r="B69" s="22">
        <v>44825</v>
      </c>
      <c r="D69" t="s">
        <v>224</v>
      </c>
      <c r="E69" t="s">
        <v>160</v>
      </c>
      <c r="F69" t="s">
        <v>267</v>
      </c>
      <c r="L69" t="s">
        <v>168</v>
      </c>
      <c r="M69" t="s">
        <v>415</v>
      </c>
      <c r="N69" t="s">
        <v>198</v>
      </c>
      <c r="O69">
        <v>3</v>
      </c>
      <c r="P69" t="s">
        <v>317</v>
      </c>
      <c r="R69" t="s">
        <v>34</v>
      </c>
      <c r="S69" t="s">
        <v>318</v>
      </c>
      <c r="V69" t="s">
        <v>416</v>
      </c>
      <c r="W69">
        <v>34</v>
      </c>
      <c r="X69">
        <v>1</v>
      </c>
      <c r="Z69" s="15" cm="1">
        <f t="array" ref="Z69">VALUE(LEFT(A69, MIN(IFERROR(FIND({"o","p"}, A69), LEN(A69)+1))-1))</f>
        <v>34</v>
      </c>
    </row>
    <row r="70" spans="1:26">
      <c r="A70" t="s">
        <v>121</v>
      </c>
      <c r="B70" s="23">
        <v>44825</v>
      </c>
      <c r="C70">
        <v>63</v>
      </c>
      <c r="D70" t="s">
        <v>159</v>
      </c>
      <c r="G70" t="s">
        <v>417</v>
      </c>
      <c r="L70" t="s">
        <v>32</v>
      </c>
      <c r="N70" t="s">
        <v>199</v>
      </c>
      <c r="O70">
        <v>1</v>
      </c>
      <c r="P70" t="s">
        <v>34</v>
      </c>
      <c r="Q70" t="s">
        <v>418</v>
      </c>
      <c r="S70" t="s">
        <v>417</v>
      </c>
      <c r="W70">
        <v>34</v>
      </c>
      <c r="X70">
        <v>2</v>
      </c>
      <c r="Z70" s="15" cm="1">
        <f t="array" ref="Z70">VALUE(LEFT(A70, MIN(IFERROR(FIND({"o","p"}, A70), LEN(A70)+1))-1))</f>
        <v>34</v>
      </c>
    </row>
    <row r="71" spans="1:26">
      <c r="A71" t="s">
        <v>122</v>
      </c>
      <c r="B71" s="22">
        <v>44419</v>
      </c>
      <c r="G71" t="s">
        <v>260</v>
      </c>
      <c r="I71">
        <v>35</v>
      </c>
      <c r="J71">
        <v>7</v>
      </c>
      <c r="K71" t="s">
        <v>393</v>
      </c>
      <c r="L71" t="s">
        <v>32</v>
      </c>
      <c r="M71" t="s">
        <v>419</v>
      </c>
      <c r="N71" t="s">
        <v>393</v>
      </c>
      <c r="O71" t="s">
        <v>299</v>
      </c>
      <c r="P71" t="s">
        <v>34</v>
      </c>
      <c r="Q71" t="s">
        <v>393</v>
      </c>
      <c r="R71" t="s">
        <v>34</v>
      </c>
      <c r="S71" t="s">
        <v>420</v>
      </c>
      <c r="V71" t="s">
        <v>421</v>
      </c>
      <c r="W71">
        <v>35</v>
      </c>
      <c r="X71">
        <v>1</v>
      </c>
      <c r="Z71" s="15" cm="1">
        <f t="array" ref="Z71">VALUE(LEFT(A71, MIN(IFERROR(FIND({"o","p"}, A71), LEN(A71)+1))-1))</f>
        <v>35</v>
      </c>
    </row>
    <row r="72" spans="1:26">
      <c r="A72" t="s">
        <v>123</v>
      </c>
      <c r="B72" s="23">
        <v>44419</v>
      </c>
      <c r="C72">
        <v>62</v>
      </c>
      <c r="D72" t="s">
        <v>159</v>
      </c>
      <c r="E72" t="s">
        <v>161</v>
      </c>
      <c r="F72" t="s">
        <v>163</v>
      </c>
      <c r="G72" t="s">
        <v>261</v>
      </c>
      <c r="H72" t="s">
        <v>200</v>
      </c>
      <c r="L72" t="s">
        <v>183</v>
      </c>
      <c r="N72" t="s">
        <v>182</v>
      </c>
      <c r="O72">
        <v>1</v>
      </c>
      <c r="P72" t="s">
        <v>271</v>
      </c>
      <c r="Q72" t="s">
        <v>271</v>
      </c>
      <c r="R72" t="s">
        <v>422</v>
      </c>
      <c r="S72" t="s">
        <v>271</v>
      </c>
      <c r="T72" t="s">
        <v>271</v>
      </c>
      <c r="U72" t="s">
        <v>271</v>
      </c>
      <c r="V72" t="s">
        <v>271</v>
      </c>
      <c r="W72">
        <v>35</v>
      </c>
      <c r="X72">
        <v>2</v>
      </c>
      <c r="Z72" s="15" cm="1">
        <f t="array" ref="Z72">VALUE(LEFT(A72, MIN(IFERROR(FIND({"o","p"}, A72), LEN(A72)+1))-1))</f>
        <v>35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6B7BF-4793-40D9-B3B5-825389DF0028}">
  <sheetPr codeName="Sheet2"/>
  <dimension ref="A1:B28"/>
  <sheetViews>
    <sheetView workbookViewId="0"/>
  </sheetViews>
  <sheetFormatPr defaultColWidth="9" defaultRowHeight="13.9"/>
  <cols>
    <col min="1" max="1" width="16.6640625" style="1" bestFit="1" customWidth="1"/>
    <col min="2" max="2" width="82.1328125" style="1" bestFit="1" customWidth="1"/>
    <col min="3" max="16384" width="9" style="1"/>
  </cols>
  <sheetData>
    <row r="1" spans="1:2">
      <c r="A1" s="2" t="s">
        <v>124</v>
      </c>
      <c r="B1" s="2" t="s">
        <v>125</v>
      </c>
    </row>
    <row r="2" spans="1:2">
      <c r="A2" s="1" t="s">
        <v>2</v>
      </c>
      <c r="B2" s="1" t="s">
        <v>126</v>
      </c>
    </row>
    <row r="3" spans="1:2">
      <c r="A3" s="1" t="s">
        <v>3</v>
      </c>
      <c r="B3" s="1" t="s">
        <v>127</v>
      </c>
    </row>
    <row r="4" spans="1:2">
      <c r="A4" s="1" t="s">
        <v>4</v>
      </c>
      <c r="B4" s="1" t="s">
        <v>128</v>
      </c>
    </row>
    <row r="5" spans="1:2">
      <c r="A5" s="1" t="s">
        <v>5</v>
      </c>
      <c r="B5" s="1" t="s">
        <v>129</v>
      </c>
    </row>
    <row r="6" spans="1:2">
      <c r="A6" s="1" t="s">
        <v>6</v>
      </c>
      <c r="B6" s="1" t="s">
        <v>130</v>
      </c>
    </row>
    <row r="7" spans="1:2">
      <c r="A7" s="1" t="s">
        <v>7</v>
      </c>
      <c r="B7" s="1" t="s">
        <v>131</v>
      </c>
    </row>
    <row r="8" spans="1:2">
      <c r="A8" s="1" t="s">
        <v>10</v>
      </c>
      <c r="B8" s="1" t="s">
        <v>132</v>
      </c>
    </row>
    <row r="9" spans="1:2">
      <c r="A9" s="1" t="s">
        <v>12</v>
      </c>
      <c r="B9" s="1" t="s">
        <v>133</v>
      </c>
    </row>
    <row r="10" spans="1:2">
      <c r="A10" s="1" t="s">
        <v>13</v>
      </c>
      <c r="B10" s="1" t="s">
        <v>134</v>
      </c>
    </row>
    <row r="11" spans="1:2">
      <c r="A11" s="1" t="s">
        <v>14</v>
      </c>
      <c r="B11" s="1" t="s">
        <v>135</v>
      </c>
    </row>
    <row r="12" spans="1:2">
      <c r="A12" s="1" t="s">
        <v>15</v>
      </c>
      <c r="B12" s="1" t="s">
        <v>136</v>
      </c>
    </row>
    <row r="13" spans="1:2">
      <c r="A13" s="1" t="s">
        <v>16</v>
      </c>
      <c r="B13" s="1" t="s">
        <v>137</v>
      </c>
    </row>
    <row r="14" spans="1:2">
      <c r="A14" s="1" t="s">
        <v>18</v>
      </c>
      <c r="B14" s="1" t="s">
        <v>138</v>
      </c>
    </row>
    <row r="15" spans="1:2">
      <c r="A15" s="1" t="s">
        <v>19</v>
      </c>
      <c r="B15" s="1" t="s">
        <v>139</v>
      </c>
    </row>
    <row r="16" spans="1:2">
      <c r="A16" s="1" t="s">
        <v>20</v>
      </c>
      <c r="B16" s="1" t="s">
        <v>140</v>
      </c>
    </row>
    <row r="17" spans="1:2">
      <c r="A17" s="1" t="s">
        <v>21</v>
      </c>
      <c r="B17" s="1" t="s">
        <v>21</v>
      </c>
    </row>
    <row r="18" spans="1:2">
      <c r="A18" s="1" t="s">
        <v>22</v>
      </c>
      <c r="B18" s="1" t="s">
        <v>141</v>
      </c>
    </row>
    <row r="19" spans="1:2">
      <c r="A19" s="1" t="s">
        <v>23</v>
      </c>
      <c r="B19" s="1" t="s">
        <v>142</v>
      </c>
    </row>
    <row r="20" spans="1:2">
      <c r="A20" s="1" t="s">
        <v>24</v>
      </c>
      <c r="B20" s="1" t="s">
        <v>143</v>
      </c>
    </row>
    <row r="21" spans="1:2">
      <c r="A21" s="1" t="s">
        <v>25</v>
      </c>
      <c r="B21" s="1" t="s">
        <v>25</v>
      </c>
    </row>
    <row r="22" spans="1:2">
      <c r="A22" s="1" t="s">
        <v>26</v>
      </c>
      <c r="B22" s="1" t="s">
        <v>144</v>
      </c>
    </row>
    <row r="23" spans="1:2">
      <c r="A23" s="1" t="s">
        <v>27</v>
      </c>
      <c r="B23" s="1" t="s">
        <v>145</v>
      </c>
    </row>
    <row r="24" spans="1:2">
      <c r="A24" s="1" t="s">
        <v>28</v>
      </c>
      <c r="B24" s="1" t="s">
        <v>146</v>
      </c>
    </row>
    <row r="25" spans="1:2">
      <c r="A25" s="2" t="s">
        <v>29</v>
      </c>
      <c r="B25" s="2" t="s">
        <v>147</v>
      </c>
    </row>
    <row r="27" spans="1:2">
      <c r="A27" s="1" t="s">
        <v>148</v>
      </c>
    </row>
    <row r="28" spans="1:2">
      <c r="A28" s="1" t="s">
        <v>149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Classification result</vt:lpstr>
      <vt:lpstr>Model output</vt:lpstr>
      <vt:lpstr>Schema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Eric Tang</dc:creator>
  <cp:keywords/>
  <dc:description/>
  <cp:lastModifiedBy>Eric Tang</cp:lastModifiedBy>
  <cp:revision/>
  <dcterms:created xsi:type="dcterms:W3CDTF">2024-02-07T07:43:00Z</dcterms:created>
  <dcterms:modified xsi:type="dcterms:W3CDTF">2024-12-06T15:53:40Z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6BD3FE08F50D43308719C3E877096B98_12</vt:lpwstr>
  </property>
  <property fmtid="{D5CDD505-2E9C-101B-9397-08002B2CF9AE}" pid="3" name="KSOProductBuildVer">
    <vt:lpwstr>2052-12.1.0.16388</vt:lpwstr>
  </property>
</Properties>
</file>