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C:\Users\erich\Desktop\manuscript\manuscript version\revision\model output &amp; classification results\35 pseudo cases (validation)\mistral\"/>
    </mc:Choice>
  </mc:AlternateContent>
  <xr:revisionPtr revIDLastSave="0" documentId="13_ncr:1_{EAF7A013-1FF3-4261-B8F0-2F3139FBB790}" xr6:coauthVersionLast="47" xr6:coauthVersionMax="47" xr10:uidLastSave="{00000000-0000-0000-0000-000000000000}"/>
  <bookViews>
    <workbookView xWindow="-98" yWindow="-98" windowWidth="21795" windowHeight="11625" xr2:uid="{00000000-000D-0000-FFFF-FFFF00000000}"/>
  </bookViews>
  <sheets>
    <sheet name="Classification result" sheetId="16" r:id="rId1"/>
    <sheet name="Model output" sheetId="15" r:id="rId2"/>
    <sheet name="Schema" sheetId="2" state="hidden" r:id="rId3"/>
  </sheets>
  <functionGroups builtInGroupCount="19"/>
  <definedNames>
    <definedName name="_xlnm._FilterDatabase" localSheetId="0" hidden="1">'Classification result'!$A$2:$AU$37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E4" i="16" l="1" a="1"/>
  <c r="AE4" i="16" s="1"/>
  <c r="AE5" i="16" a="1"/>
  <c r="AE5" i="16" s="1"/>
  <c r="AE6" i="16" a="1"/>
  <c r="AE6" i="16" s="1"/>
  <c r="AE7" i="16" a="1"/>
  <c r="AE7" i="16" s="1"/>
  <c r="AE8" i="16" a="1"/>
  <c r="AE8" i="16" s="1"/>
  <c r="AE9" i="16" a="1"/>
  <c r="AE9" i="16" s="1"/>
  <c r="AE10" i="16" a="1"/>
  <c r="AE10" i="16" s="1"/>
  <c r="AE11" i="16" a="1"/>
  <c r="AE11" i="16" s="1"/>
  <c r="AE12" i="16" a="1"/>
  <c r="AE12" i="16" s="1"/>
  <c r="AE13" i="16" a="1"/>
  <c r="AE13" i="16" s="1"/>
  <c r="AE14" i="16" a="1"/>
  <c r="AE14" i="16" s="1"/>
  <c r="AE15" i="16" a="1"/>
  <c r="AE15" i="16" s="1"/>
  <c r="AE16" i="16" a="1"/>
  <c r="AE16" i="16" s="1"/>
  <c r="AE17" i="16" a="1"/>
  <c r="AE17" i="16" s="1"/>
  <c r="AE18" i="16" a="1"/>
  <c r="AE18" i="16" s="1"/>
  <c r="AE19" i="16" a="1"/>
  <c r="AE19" i="16" s="1"/>
  <c r="AE20" i="16" a="1"/>
  <c r="AE20" i="16" s="1"/>
  <c r="AE21" i="16" a="1"/>
  <c r="AE21" i="16" s="1"/>
  <c r="AE22" i="16" a="1"/>
  <c r="AE22" i="16" s="1"/>
  <c r="AE23" i="16" a="1"/>
  <c r="AE23" i="16" s="1"/>
  <c r="AE24" i="16" a="1"/>
  <c r="AE24" i="16" s="1"/>
  <c r="AE25" i="16" a="1"/>
  <c r="AE25" i="16" s="1"/>
  <c r="AE26" i="16" a="1"/>
  <c r="AE26" i="16" s="1"/>
  <c r="AE27" i="16" a="1"/>
  <c r="AE27" i="16" s="1"/>
  <c r="AE28" i="16" a="1"/>
  <c r="AE28" i="16" s="1"/>
  <c r="AE29" i="16" a="1"/>
  <c r="AE29" i="16" s="1"/>
  <c r="AE30" i="16" a="1"/>
  <c r="AE30" i="16" s="1"/>
  <c r="AE31" i="16" a="1"/>
  <c r="AE31" i="16" s="1"/>
  <c r="AE32" i="16" a="1"/>
  <c r="AE32" i="16" s="1"/>
  <c r="AE33" i="16" a="1"/>
  <c r="AE33" i="16" s="1"/>
  <c r="AE34" i="16" a="1"/>
  <c r="AE34" i="16" s="1"/>
  <c r="AE35" i="16" a="1"/>
  <c r="AE35" i="16" s="1"/>
  <c r="AE36" i="16" a="1"/>
  <c r="AE36" i="16" s="1"/>
  <c r="AE37" i="16" a="1"/>
  <c r="AE37" i="16" s="1"/>
  <c r="AE3" i="16" a="1"/>
  <c r="AE3" i="16" s="1"/>
  <c r="AA3" i="16"/>
  <c r="T4" i="16" a="1"/>
  <c r="T4" i="16" s="1"/>
  <c r="W4" i="16" s="1"/>
  <c r="T5" i="16" a="1"/>
  <c r="T5" i="16" s="1"/>
  <c r="W5" i="16" s="1"/>
  <c r="T6" i="16" a="1"/>
  <c r="T6" i="16" s="1"/>
  <c r="T7" i="16" a="1"/>
  <c r="T7" i="16" s="1"/>
  <c r="T8" i="16" a="1"/>
  <c r="T8" i="16" s="1"/>
  <c r="W8" i="16" s="1"/>
  <c r="T9" i="16" a="1"/>
  <c r="T9" i="16" s="1"/>
  <c r="W9" i="16" s="1"/>
  <c r="T10" i="16" a="1"/>
  <c r="T10" i="16" s="1"/>
  <c r="W10" i="16" s="1"/>
  <c r="T11" i="16" a="1"/>
  <c r="T11" i="16" s="1"/>
  <c r="W11" i="16" s="1"/>
  <c r="T12" i="16" a="1"/>
  <c r="T12" i="16" s="1"/>
  <c r="W12" i="16" s="1"/>
  <c r="T13" i="16" a="1"/>
  <c r="T13" i="16" s="1"/>
  <c r="W13" i="16" s="1"/>
  <c r="T14" i="16" a="1"/>
  <c r="T14" i="16" s="1"/>
  <c r="T15" i="16" a="1"/>
  <c r="T15" i="16" s="1"/>
  <c r="T16" i="16" a="1"/>
  <c r="T16" i="16" s="1"/>
  <c r="T17" i="16" a="1"/>
  <c r="T17" i="16" s="1"/>
  <c r="W17" i="16" s="1"/>
  <c r="T18" i="16" a="1"/>
  <c r="T18" i="16" s="1"/>
  <c r="T19" i="16" a="1"/>
  <c r="T19" i="16" s="1"/>
  <c r="W19" i="16" s="1"/>
  <c r="T20" i="16" a="1"/>
  <c r="T20" i="16" s="1"/>
  <c r="T21" i="16" a="1"/>
  <c r="T21" i="16" s="1"/>
  <c r="W21" i="16" s="1"/>
  <c r="T22" i="16" a="1"/>
  <c r="T22" i="16" s="1"/>
  <c r="T23" i="16" a="1"/>
  <c r="T23" i="16" s="1"/>
  <c r="T24" i="16" a="1"/>
  <c r="T24" i="16" s="1"/>
  <c r="W24" i="16" s="1"/>
  <c r="T25" i="16" a="1"/>
  <c r="T25" i="16" s="1"/>
  <c r="W25" i="16" s="1"/>
  <c r="T26" i="16" a="1"/>
  <c r="T26" i="16" s="1"/>
  <c r="T27" i="16" a="1"/>
  <c r="T27" i="16" s="1"/>
  <c r="W27" i="16" s="1"/>
  <c r="T28" i="16" a="1"/>
  <c r="T28" i="16" s="1"/>
  <c r="W28" i="16" s="1"/>
  <c r="T29" i="16" a="1"/>
  <c r="T29" i="16" s="1"/>
  <c r="W29" i="16" s="1"/>
  <c r="T30" i="16" a="1"/>
  <c r="T30" i="16" s="1"/>
  <c r="W30" i="16" s="1"/>
  <c r="T31" i="16" a="1"/>
  <c r="T31" i="16" s="1"/>
  <c r="W31" i="16" s="1"/>
  <c r="T32" i="16" a="1"/>
  <c r="T32" i="16" s="1"/>
  <c r="T33" i="16" a="1"/>
  <c r="T33" i="16" s="1"/>
  <c r="T34" i="16" a="1"/>
  <c r="T34" i="16" s="1"/>
  <c r="T35" i="16" a="1"/>
  <c r="T35" i="16" s="1"/>
  <c r="W35" i="16" s="1"/>
  <c r="T36" i="16" a="1"/>
  <c r="T36" i="16" s="1"/>
  <c r="T37" i="16" a="1"/>
  <c r="T37" i="16" s="1"/>
  <c r="T3" i="16" a="1"/>
  <c r="T3" i="16" s="1"/>
  <c r="W3" i="16" s="1"/>
  <c r="D7" i="16" a="1"/>
  <c r="D7" i="16" s="1"/>
  <c r="D8" i="16" a="1"/>
  <c r="D8" i="16" s="1"/>
  <c r="D9" i="16" a="1"/>
  <c r="D9" i="16" s="1"/>
  <c r="D10" i="16" a="1"/>
  <c r="D10" i="16" s="1"/>
  <c r="D11" i="16" a="1"/>
  <c r="D11" i="16" s="1"/>
  <c r="D12" i="16" a="1"/>
  <c r="D12" i="16" s="1"/>
  <c r="D13" i="16" a="1"/>
  <c r="D13" i="16" s="1"/>
  <c r="D14" i="16" a="1"/>
  <c r="D14" i="16" s="1"/>
  <c r="D15" i="16" a="1"/>
  <c r="D15" i="16" s="1"/>
  <c r="D16" i="16" a="1"/>
  <c r="D16" i="16" s="1"/>
  <c r="D17" i="16" a="1"/>
  <c r="D17" i="16" s="1"/>
  <c r="D18" i="16" a="1"/>
  <c r="D18" i="16" s="1"/>
  <c r="D19" i="16" a="1"/>
  <c r="D19" i="16" s="1"/>
  <c r="D20" i="16" a="1"/>
  <c r="D20" i="16" s="1"/>
  <c r="D21" i="16" a="1"/>
  <c r="D21" i="16" s="1"/>
  <c r="D22" i="16" a="1"/>
  <c r="D22" i="16" s="1"/>
  <c r="D23" i="16" a="1"/>
  <c r="D23" i="16" s="1"/>
  <c r="D24" i="16" a="1"/>
  <c r="D24" i="16" s="1"/>
  <c r="D25" i="16" a="1"/>
  <c r="D25" i="16" s="1"/>
  <c r="D26" i="16" a="1"/>
  <c r="D26" i="16" s="1"/>
  <c r="D27" i="16" a="1"/>
  <c r="D27" i="16" s="1"/>
  <c r="D28" i="16" a="1"/>
  <c r="D28" i="16" s="1"/>
  <c r="D29" i="16" a="1"/>
  <c r="D29" i="16" s="1"/>
  <c r="D30" i="16" a="1"/>
  <c r="D30" i="16" s="1"/>
  <c r="D31" i="16" a="1"/>
  <c r="D31" i="16" s="1"/>
  <c r="D32" i="16" a="1"/>
  <c r="D32" i="16" s="1"/>
  <c r="D33" i="16" a="1"/>
  <c r="D33" i="16" s="1"/>
  <c r="D34" i="16" a="1"/>
  <c r="D34" i="16" s="1"/>
  <c r="D35" i="16" a="1"/>
  <c r="D35" i="16" s="1"/>
  <c r="D36" i="16" a="1"/>
  <c r="D36" i="16" s="1"/>
  <c r="D37" i="16" a="1"/>
  <c r="D37" i="16" s="1"/>
  <c r="D3" i="16" a="1"/>
  <c r="D3" i="16" s="1"/>
  <c r="D4" i="16" a="1"/>
  <c r="D4" i="16" s="1"/>
  <c r="D5" i="16" a="1"/>
  <c r="D5" i="16" s="1"/>
  <c r="D6" i="16" a="1"/>
  <c r="D6" i="16" s="1"/>
  <c r="I4" i="16" l="1" a="1"/>
  <c r="I4" i="16" s="1"/>
  <c r="I5" i="16" a="1"/>
  <c r="I5" i="16" s="1"/>
  <c r="I6" i="16" a="1"/>
  <c r="I6" i="16" s="1"/>
  <c r="I7" i="16" a="1"/>
  <c r="I7" i="16" s="1"/>
  <c r="I8" i="16" a="1"/>
  <c r="I8" i="16" s="1"/>
  <c r="I9" i="16" a="1"/>
  <c r="I9" i="16" s="1"/>
  <c r="I10" i="16" a="1"/>
  <c r="I10" i="16" s="1"/>
  <c r="I11" i="16" a="1"/>
  <c r="I11" i="16" s="1"/>
  <c r="I12" i="16" a="1"/>
  <c r="I12" i="16" s="1"/>
  <c r="I13" i="16" a="1"/>
  <c r="I13" i="16" s="1"/>
  <c r="I14" i="16" a="1"/>
  <c r="I14" i="16" s="1"/>
  <c r="I15" i="16" a="1"/>
  <c r="I15" i="16" s="1"/>
  <c r="I16" i="16" a="1"/>
  <c r="I16" i="16" s="1"/>
  <c r="I17" i="16" a="1"/>
  <c r="I17" i="16" s="1"/>
  <c r="I18" i="16" a="1"/>
  <c r="I18" i="16" s="1"/>
  <c r="I19" i="16" a="1"/>
  <c r="I19" i="16" s="1"/>
  <c r="I20" i="16" a="1"/>
  <c r="I20" i="16" s="1"/>
  <c r="I21" i="16" a="1"/>
  <c r="I21" i="16" s="1"/>
  <c r="I22" i="16" a="1"/>
  <c r="I22" i="16" s="1"/>
  <c r="I23" i="16" a="1"/>
  <c r="I23" i="16" s="1"/>
  <c r="I24" i="16" a="1"/>
  <c r="I24" i="16" s="1"/>
  <c r="I25" i="16" a="1"/>
  <c r="I25" i="16" s="1"/>
  <c r="I26" i="16" a="1"/>
  <c r="I26" i="16" s="1"/>
  <c r="I27" i="16" a="1"/>
  <c r="I27" i="16" s="1"/>
  <c r="I28" i="16" a="1"/>
  <c r="I28" i="16" s="1"/>
  <c r="I29" i="16" a="1"/>
  <c r="I29" i="16" s="1"/>
  <c r="I30" i="16" a="1"/>
  <c r="I30" i="16" s="1"/>
  <c r="I31" i="16" a="1"/>
  <c r="I31" i="16" s="1"/>
  <c r="I32" i="16" a="1"/>
  <c r="I32" i="16" s="1"/>
  <c r="I33" i="16" a="1"/>
  <c r="I33" i="16" s="1"/>
  <c r="I34" i="16" a="1"/>
  <c r="I34" i="16" s="1"/>
  <c r="I35" i="16" a="1"/>
  <c r="I35" i="16" s="1"/>
  <c r="I36" i="16" a="1"/>
  <c r="I36" i="16" s="1"/>
  <c r="I37" i="16" a="1"/>
  <c r="I37" i="16" s="1"/>
  <c r="I3" i="16" a="1"/>
  <c r="I3" i="16" s="1"/>
  <c r="AD4" i="16" a="1"/>
  <c r="AD4" i="16" s="1"/>
  <c r="AD5" i="16" a="1"/>
  <c r="AD5" i="16" s="1"/>
  <c r="AD6" i="16" a="1"/>
  <c r="AD6" i="16" s="1"/>
  <c r="AD7" i="16" a="1"/>
  <c r="AD7" i="16" s="1"/>
  <c r="AD8" i="16" a="1"/>
  <c r="AD8" i="16" s="1"/>
  <c r="AD9" i="16" a="1"/>
  <c r="AD9" i="16" s="1"/>
  <c r="AD10" i="16" a="1"/>
  <c r="AD10" i="16" s="1"/>
  <c r="AD11" i="16" a="1"/>
  <c r="AD11" i="16" s="1"/>
  <c r="AD12" i="16" a="1"/>
  <c r="AD12" i="16" s="1"/>
  <c r="AD13" i="16" a="1"/>
  <c r="AD13" i="16" s="1"/>
  <c r="AD14" i="16" a="1"/>
  <c r="AD14" i="16" s="1"/>
  <c r="AD15" i="16" a="1"/>
  <c r="AD15" i="16" s="1"/>
  <c r="AD16" i="16" a="1"/>
  <c r="AD16" i="16" s="1"/>
  <c r="AD17" i="16" a="1"/>
  <c r="AD17" i="16" s="1"/>
  <c r="AD18" i="16" a="1"/>
  <c r="AD18" i="16" s="1"/>
  <c r="AD19" i="16" a="1"/>
  <c r="AD19" i="16" s="1"/>
  <c r="AD20" i="16" a="1"/>
  <c r="AD20" i="16" s="1"/>
  <c r="AD21" i="16" a="1"/>
  <c r="AD21" i="16" s="1"/>
  <c r="AD22" i="16" a="1"/>
  <c r="AD22" i="16" s="1"/>
  <c r="AD23" i="16" a="1"/>
  <c r="AD23" i="16" s="1"/>
  <c r="AD24" i="16" a="1"/>
  <c r="AD24" i="16" s="1"/>
  <c r="AD25" i="16" a="1"/>
  <c r="AD25" i="16" s="1"/>
  <c r="AD26" i="16" a="1"/>
  <c r="AD26" i="16" s="1"/>
  <c r="AD27" i="16" a="1"/>
  <c r="AD27" i="16" s="1"/>
  <c r="AD28" i="16" a="1"/>
  <c r="AD28" i="16" s="1"/>
  <c r="AD29" i="16" a="1"/>
  <c r="AD29" i="16" s="1"/>
  <c r="AD30" i="16" a="1"/>
  <c r="AD30" i="16" s="1"/>
  <c r="AD31" i="16" a="1"/>
  <c r="AD31" i="16" s="1"/>
  <c r="AD32" i="16" a="1"/>
  <c r="AD32" i="16" s="1"/>
  <c r="AD33" i="16" a="1"/>
  <c r="AD33" i="16" s="1"/>
  <c r="AD34" i="16" a="1"/>
  <c r="AD34" i="16" s="1"/>
  <c r="AD35" i="16" a="1"/>
  <c r="AD35" i="16" s="1"/>
  <c r="AD36" i="16" a="1"/>
  <c r="AD36" i="16" s="1"/>
  <c r="AD37" i="16" a="1"/>
  <c r="AD37" i="16" s="1"/>
  <c r="AD3" i="16" a="1"/>
  <c r="AD3" i="16" s="1"/>
  <c r="Z3" i="16"/>
  <c r="AC8" i="16" l="1"/>
  <c r="Y8" i="16"/>
  <c r="AC3" i="16"/>
  <c r="Y3" i="16"/>
  <c r="AC18" i="16"/>
  <c r="Y18" i="16"/>
  <c r="AC37" i="16"/>
  <c r="Y37" i="16"/>
  <c r="AC17" i="16"/>
  <c r="Y17" i="16"/>
  <c r="AC16" i="16"/>
  <c r="Y16" i="16"/>
  <c r="AC33" i="16"/>
  <c r="Y33" i="16"/>
  <c r="AC13" i="16"/>
  <c r="Y13" i="16"/>
  <c r="AC31" i="16"/>
  <c r="Y31" i="16"/>
  <c r="AC11" i="16"/>
  <c r="Y11" i="16"/>
  <c r="AC30" i="16"/>
  <c r="Y30" i="16"/>
  <c r="AC10" i="16"/>
  <c r="Y10" i="16"/>
  <c r="AC22" i="16"/>
  <c r="Y22" i="16"/>
  <c r="AC21" i="16"/>
  <c r="Y21" i="16"/>
  <c r="AC19" i="16"/>
  <c r="Y19" i="16"/>
  <c r="AC29" i="16"/>
  <c r="Y29" i="16"/>
  <c r="AC28" i="16"/>
  <c r="Y28" i="16"/>
  <c r="AC36" i="16"/>
  <c r="Y36" i="16"/>
  <c r="AC12" i="16"/>
  <c r="Y12" i="16"/>
  <c r="AC9" i="16"/>
  <c r="Y9" i="16"/>
  <c r="AC27" i="16"/>
  <c r="Y27" i="16"/>
  <c r="Y26" i="16"/>
  <c r="AC26" i="16"/>
  <c r="AC7" i="16"/>
  <c r="Y7" i="16"/>
  <c r="Y25" i="16"/>
  <c r="AC25" i="16"/>
  <c r="AC20" i="16"/>
  <c r="Y20" i="16"/>
  <c r="AC32" i="16"/>
  <c r="Y32" i="16"/>
  <c r="Y6" i="16"/>
  <c r="AC6" i="16"/>
  <c r="Y24" i="16"/>
  <c r="AC24" i="16"/>
  <c r="Y5" i="16"/>
  <c r="AC5" i="16"/>
  <c r="AC23" i="16"/>
  <c r="Y23" i="16"/>
  <c r="Y4" i="16"/>
  <c r="AC4" i="16"/>
  <c r="AC35" i="16"/>
  <c r="Y35" i="16"/>
  <c r="AC15" i="16"/>
  <c r="Y15" i="16"/>
  <c r="AC34" i="16"/>
  <c r="Y34" i="16"/>
  <c r="AC14" i="16"/>
  <c r="Y14" i="16"/>
  <c r="Z3" i="15" l="1" a="1"/>
  <c r="Z3" i="15" s="1"/>
  <c r="Z4" i="15" a="1"/>
  <c r="Z4" i="15" s="1"/>
  <c r="Z5" i="15" a="1"/>
  <c r="Z5" i="15" s="1"/>
  <c r="Z6" i="15" a="1"/>
  <c r="Z6" i="15" s="1"/>
  <c r="Z7" i="15" a="1"/>
  <c r="Z7" i="15" s="1"/>
  <c r="Z8" i="15" a="1"/>
  <c r="Z8" i="15" s="1"/>
  <c r="Z9" i="15" a="1"/>
  <c r="Z9" i="15" s="1"/>
  <c r="Z10" i="15" a="1"/>
  <c r="Z10" i="15" s="1"/>
  <c r="Z11" i="15" a="1"/>
  <c r="Z11" i="15" s="1"/>
  <c r="Z12" i="15" a="1"/>
  <c r="Z12" i="15" s="1"/>
  <c r="Z13" i="15" a="1"/>
  <c r="Z13" i="15" s="1"/>
  <c r="Z14" i="15" a="1"/>
  <c r="Z14" i="15" s="1"/>
  <c r="Z15" i="15" a="1"/>
  <c r="Z15" i="15" s="1"/>
  <c r="Z16" i="15" a="1"/>
  <c r="Z16" i="15" s="1"/>
  <c r="Z17" i="15" a="1"/>
  <c r="Z17" i="15" s="1"/>
  <c r="Z18" i="15" a="1"/>
  <c r="Z18" i="15" s="1"/>
  <c r="Z19" i="15" a="1"/>
  <c r="Z19" i="15" s="1"/>
  <c r="Z20" i="15" a="1"/>
  <c r="Z20" i="15"/>
  <c r="Z21" i="15" a="1"/>
  <c r="Z21" i="15" s="1"/>
  <c r="Z22" i="15" a="1"/>
  <c r="Z22" i="15" s="1"/>
  <c r="Z23" i="15" a="1"/>
  <c r="Z23" i="15" s="1"/>
  <c r="Z24" i="15" a="1"/>
  <c r="Z24" i="15" s="1"/>
  <c r="Z25" i="15" a="1"/>
  <c r="Z25" i="15" s="1"/>
  <c r="Z26" i="15" a="1"/>
  <c r="Z26" i="15" s="1"/>
  <c r="Z27" i="15" a="1"/>
  <c r="Z27" i="15" s="1"/>
  <c r="Z28" i="15" a="1"/>
  <c r="Z28" i="15" s="1"/>
  <c r="Z29" i="15" a="1"/>
  <c r="Z29" i="15" s="1"/>
  <c r="Z30" i="15" a="1"/>
  <c r="Z30" i="15" s="1"/>
  <c r="Z31" i="15" a="1"/>
  <c r="Z31" i="15" s="1"/>
  <c r="Z32" i="15" a="1"/>
  <c r="Z32" i="15" s="1"/>
  <c r="Z33" i="15" a="1"/>
  <c r="Z33" i="15" s="1"/>
  <c r="Z34" i="15" a="1"/>
  <c r="Z34" i="15" s="1"/>
  <c r="Z35" i="15" a="1"/>
  <c r="Z35" i="15" s="1"/>
  <c r="Z36" i="15" a="1"/>
  <c r="Z36" i="15"/>
  <c r="Z37" i="15" a="1"/>
  <c r="Z37" i="15" s="1"/>
  <c r="Z38" i="15" a="1"/>
  <c r="Z38" i="15"/>
  <c r="Z39" i="15" a="1"/>
  <c r="Z39" i="15" s="1"/>
  <c r="Z40" i="15" a="1"/>
  <c r="Z40" i="15"/>
  <c r="Z41" i="15" a="1"/>
  <c r="Z41" i="15" s="1"/>
  <c r="Z42" i="15" a="1"/>
  <c r="Z42" i="15" s="1"/>
  <c r="Z43" i="15" a="1"/>
  <c r="Z43" i="15" s="1"/>
  <c r="Z44" i="15" a="1"/>
  <c r="Z44" i="15" s="1"/>
  <c r="Z45" i="15" a="1"/>
  <c r="Z45" i="15" s="1"/>
  <c r="Z46" i="15" a="1"/>
  <c r="Z46" i="15" s="1"/>
  <c r="Z47" i="15" a="1"/>
  <c r="Z47" i="15" s="1"/>
  <c r="Z48" i="15" a="1"/>
  <c r="Z48" i="15" s="1"/>
  <c r="Z49" i="15" a="1"/>
  <c r="Z49" i="15" s="1"/>
  <c r="Z50" i="15" a="1"/>
  <c r="Z50" i="15" s="1"/>
  <c r="Z51" i="15" a="1"/>
  <c r="Z51" i="15" s="1"/>
  <c r="Z52" i="15" a="1"/>
  <c r="Z52" i="15" s="1"/>
  <c r="Z53" i="15" a="1"/>
  <c r="Z53" i="15" s="1"/>
  <c r="Z54" i="15" a="1"/>
  <c r="Z54" i="15"/>
  <c r="Z55" i="15" a="1"/>
  <c r="Z55" i="15" s="1"/>
  <c r="Z56" i="15" a="1"/>
  <c r="Z56" i="15" s="1"/>
  <c r="Z57" i="15" a="1"/>
  <c r="Z57" i="15" s="1"/>
  <c r="Z58" i="15" a="1"/>
  <c r="Z58" i="15" s="1"/>
  <c r="Z59" i="15" a="1"/>
  <c r="Z59" i="15" s="1"/>
  <c r="Z60" i="15" a="1"/>
  <c r="Z60" i="15" s="1"/>
  <c r="Z61" i="15" a="1"/>
  <c r="Z61" i="15" s="1"/>
  <c r="Z62" i="15" a="1"/>
  <c r="Z62" i="15" s="1"/>
  <c r="Z63" i="15" a="1"/>
  <c r="Z63" i="15" s="1"/>
  <c r="Z64" i="15" a="1"/>
  <c r="Z64" i="15" s="1"/>
  <c r="Z65" i="15" a="1"/>
  <c r="Z65" i="15" s="1"/>
  <c r="Z66" i="15" a="1"/>
  <c r="Z66" i="15" s="1"/>
  <c r="Z67" i="15" a="1"/>
  <c r="Z67" i="15" s="1"/>
  <c r="Z68" i="15" a="1"/>
  <c r="Z68" i="15" s="1"/>
  <c r="Z69" i="15" a="1"/>
  <c r="Z69" i="15" s="1"/>
  <c r="Z70" i="15" a="1"/>
  <c r="Z70" i="15"/>
  <c r="Z71" i="15" a="1"/>
  <c r="Z71" i="15" s="1"/>
  <c r="Z72" i="15" a="1"/>
  <c r="Z72" i="15" s="1"/>
  <c r="Z2" i="15" a="1"/>
  <c r="Z2" i="15" s="1"/>
  <c r="C19" i="16" l="1"/>
  <c r="X16" i="16" a="1"/>
  <c r="X16" i="16" s="1"/>
  <c r="O35" i="16" a="1"/>
  <c r="O35" i="16" s="1"/>
  <c r="O37" i="16" a="1"/>
  <c r="O37" i="16" s="1"/>
  <c r="C9" i="16"/>
  <c r="C29" i="16"/>
  <c r="C20" i="16"/>
  <c r="C10" i="16"/>
  <c r="C30" i="16"/>
  <c r="C4" i="16"/>
  <c r="C24" i="16"/>
  <c r="C23" i="16"/>
  <c r="C6" i="16"/>
  <c r="C26" i="16"/>
  <c r="C8" i="16"/>
  <c r="C28" i="16"/>
  <c r="O33" i="16" a="1"/>
  <c r="O33" i="16" s="1"/>
  <c r="O13" i="16" a="1"/>
  <c r="O13" i="16" s="1"/>
  <c r="F28" i="16" a="1"/>
  <c r="F28" i="16" s="1"/>
  <c r="F8" i="16" a="1"/>
  <c r="F8" i="16" s="1"/>
  <c r="X23" i="16" a="1"/>
  <c r="X23" i="16" s="1"/>
  <c r="C25" i="16"/>
  <c r="C5" i="16"/>
  <c r="O32" i="16" a="1"/>
  <c r="O32" i="16" s="1"/>
  <c r="O12" i="16" a="1"/>
  <c r="O12" i="16" s="1"/>
  <c r="F27" i="16" a="1"/>
  <c r="F27" i="16" s="1"/>
  <c r="F7" i="16" a="1"/>
  <c r="F7" i="16" s="1"/>
  <c r="X22" i="16" a="1"/>
  <c r="X22" i="16" s="1"/>
  <c r="O31" i="16" a="1"/>
  <c r="O31" i="16" s="1"/>
  <c r="O11" i="16" a="1"/>
  <c r="O11" i="16" s="1"/>
  <c r="F26" i="16" a="1"/>
  <c r="F26" i="16" s="1"/>
  <c r="F6" i="16" a="1"/>
  <c r="F6" i="16" s="1"/>
  <c r="X21" i="16" a="1"/>
  <c r="X21" i="16" s="1"/>
  <c r="O30" i="16" a="1"/>
  <c r="O30" i="16" s="1"/>
  <c r="O10" i="16" a="1"/>
  <c r="O10" i="16" s="1"/>
  <c r="F25" i="16" a="1"/>
  <c r="F25" i="16" s="1"/>
  <c r="F5" i="16" a="1"/>
  <c r="F5" i="16" s="1"/>
  <c r="X20" i="16" a="1"/>
  <c r="X20" i="16" s="1"/>
  <c r="C22" i="16"/>
  <c r="O29" i="16" a="1"/>
  <c r="O29" i="16" s="1"/>
  <c r="O9" i="16" a="1"/>
  <c r="O9" i="16" s="1"/>
  <c r="F24" i="16" a="1"/>
  <c r="F24" i="16" s="1"/>
  <c r="F4" i="16" a="1"/>
  <c r="F4" i="16" s="1"/>
  <c r="X19" i="16" a="1"/>
  <c r="X19" i="16" s="1"/>
  <c r="C21" i="16"/>
  <c r="O28" i="16" a="1"/>
  <c r="O28" i="16" s="1"/>
  <c r="O8" i="16" a="1"/>
  <c r="O8" i="16" s="1"/>
  <c r="F23" i="16" a="1"/>
  <c r="F23" i="16" s="1"/>
  <c r="X3" i="16" a="1"/>
  <c r="X3" i="16" s="1"/>
  <c r="X18" i="16" a="1"/>
  <c r="X18" i="16" s="1"/>
  <c r="O27" i="16" a="1"/>
  <c r="O27" i="16" s="1"/>
  <c r="O7" i="16" a="1"/>
  <c r="O7" i="16" s="1"/>
  <c r="F22" i="16" a="1"/>
  <c r="F22" i="16" s="1"/>
  <c r="X37" i="16" a="1"/>
  <c r="X37" i="16" s="1"/>
  <c r="X17" i="16" a="1"/>
  <c r="X17" i="16" s="1"/>
  <c r="O26" i="16" a="1"/>
  <c r="O26" i="16" s="1"/>
  <c r="O6" i="16" a="1"/>
  <c r="O6" i="16" s="1"/>
  <c r="F21" i="16" a="1"/>
  <c r="F21" i="16" s="1"/>
  <c r="X36" i="16" a="1"/>
  <c r="X36" i="16" s="1"/>
  <c r="E37" i="16" a="1"/>
  <c r="E37" i="16" s="1"/>
  <c r="E25" i="16" a="1"/>
  <c r="E25" i="16" s="1"/>
  <c r="E5" i="16" a="1"/>
  <c r="E5" i="16" s="1"/>
  <c r="Q12" i="16" a="1"/>
  <c r="Q12" i="16" s="1"/>
  <c r="Q32" i="16" a="1"/>
  <c r="Q32" i="16" s="1"/>
  <c r="E24" i="16" a="1"/>
  <c r="E24" i="16" s="1"/>
  <c r="E4" i="16" a="1"/>
  <c r="E4" i="16" s="1"/>
  <c r="E41" i="16" s="1"/>
  <c r="Q13" i="16" a="1"/>
  <c r="Q13" i="16" s="1"/>
  <c r="Q33" i="16" a="1"/>
  <c r="Q33" i="16" s="1"/>
  <c r="K21" i="16"/>
  <c r="H21" i="16" s="1" a="1"/>
  <c r="H21" i="16" s="1"/>
  <c r="E36" i="16" a="1"/>
  <c r="E36" i="16" s="1"/>
  <c r="E23" i="16" a="1"/>
  <c r="E23" i="16" s="1"/>
  <c r="Q14" i="16" a="1"/>
  <c r="Q14" i="16" s="1"/>
  <c r="Q34" i="16" a="1"/>
  <c r="Q34" i="16" s="1"/>
  <c r="P18" i="16" a="1"/>
  <c r="P18" i="16" s="1"/>
  <c r="K18" i="16"/>
  <c r="H18" i="16" s="1" a="1"/>
  <c r="H18" i="16" s="1"/>
  <c r="K3" i="16"/>
  <c r="H3" i="16" s="1" a="1"/>
  <c r="H3" i="16" s="1"/>
  <c r="P21" i="16" a="1"/>
  <c r="P21" i="16" s="1"/>
  <c r="E22" i="16" a="1"/>
  <c r="E22" i="16" s="1"/>
  <c r="E3" i="16" a="1"/>
  <c r="E3" i="16" s="1"/>
  <c r="E40" i="16" s="1"/>
  <c r="Q15" i="16" a="1"/>
  <c r="Q15" i="16" s="1"/>
  <c r="Q35" i="16" a="1"/>
  <c r="Q35" i="16" s="1"/>
  <c r="K17" i="16"/>
  <c r="H17" i="16" s="1" a="1"/>
  <c r="H17" i="16" s="1"/>
  <c r="K37" i="16"/>
  <c r="H37" i="16" s="1" a="1"/>
  <c r="H37" i="16" s="1"/>
  <c r="E35" i="16" a="1"/>
  <c r="E35" i="16" s="1"/>
  <c r="E21" i="16" a="1"/>
  <c r="E21" i="16" s="1"/>
  <c r="Q16" i="16" a="1"/>
  <c r="Q16" i="16" s="1"/>
  <c r="Q36" i="16" a="1"/>
  <c r="Q36" i="16" s="1"/>
  <c r="P20" i="16" a="1"/>
  <c r="P20" i="16" s="1"/>
  <c r="E20" i="16" a="1"/>
  <c r="E20" i="16" s="1"/>
  <c r="Q17" i="16" a="1"/>
  <c r="Q17" i="16" s="1"/>
  <c r="Q37" i="16" a="1"/>
  <c r="Q37" i="16" s="1"/>
  <c r="E34" i="16" a="1"/>
  <c r="E34" i="16" s="1"/>
  <c r="E19" i="16" a="1"/>
  <c r="E19" i="16" s="1"/>
  <c r="Q18" i="16" a="1"/>
  <c r="Q18" i="16" s="1"/>
  <c r="Q3" i="16" a="1"/>
  <c r="Q3" i="16" s="1"/>
  <c r="K20" i="16"/>
  <c r="H20" i="16" s="1" a="1"/>
  <c r="H20" i="16" s="1"/>
  <c r="E18" i="16" a="1"/>
  <c r="E18" i="16" s="1"/>
  <c r="Q19" i="16" a="1"/>
  <c r="Q19" i="16" s="1"/>
  <c r="K11" i="16"/>
  <c r="H11" i="16" s="1" a="1"/>
  <c r="H11" i="16" s="1"/>
  <c r="P23" i="16" a="1"/>
  <c r="P23" i="16" s="1"/>
  <c r="E33" i="16" a="1"/>
  <c r="E33" i="16" s="1"/>
  <c r="E17" i="16" a="1"/>
  <c r="E17" i="16" s="1"/>
  <c r="Q20" i="16" a="1"/>
  <c r="Q20" i="16" s="1"/>
  <c r="P4" i="16" a="1"/>
  <c r="P4" i="16" s="1"/>
  <c r="P24" i="16" a="1"/>
  <c r="P24" i="16" s="1"/>
  <c r="E16" i="16" a="1"/>
  <c r="E16" i="16" s="1"/>
  <c r="Q21" i="16" a="1"/>
  <c r="Q21" i="16" s="1"/>
  <c r="P5" i="16" a="1"/>
  <c r="P5" i="16" s="1"/>
  <c r="P25" i="16" a="1"/>
  <c r="P25" i="16" s="1"/>
  <c r="E32" i="16" a="1"/>
  <c r="E32" i="16" s="1"/>
  <c r="E15" i="16" a="1"/>
  <c r="E15" i="16" s="1"/>
  <c r="Q22" i="16" a="1"/>
  <c r="Q22" i="16" s="1"/>
  <c r="P6" i="16" a="1"/>
  <c r="P6" i="16" s="1"/>
  <c r="AJ6" i="16" s="1"/>
  <c r="P26" i="16" a="1"/>
  <c r="P26" i="16" s="1"/>
  <c r="AJ26" i="16" s="1"/>
  <c r="E14" i="16" a="1"/>
  <c r="E14" i="16" s="1"/>
  <c r="Q23" i="16" a="1"/>
  <c r="Q23" i="16" s="1"/>
  <c r="P7" i="16" a="1"/>
  <c r="P7" i="16" s="1"/>
  <c r="AJ7" i="16" s="1"/>
  <c r="P27" i="16" a="1"/>
  <c r="P27" i="16" s="1"/>
  <c r="K5" i="16"/>
  <c r="H5" i="16" s="1" a="1"/>
  <c r="H5" i="16" s="1"/>
  <c r="K25" i="16"/>
  <c r="H25" i="16" s="1" a="1"/>
  <c r="H25" i="16" s="1"/>
  <c r="K6" i="16"/>
  <c r="H6" i="16" s="1" a="1"/>
  <c r="H6" i="16" s="1"/>
  <c r="K26" i="16"/>
  <c r="H26" i="16" s="1" a="1"/>
  <c r="H26" i="16" s="1"/>
  <c r="K7" i="16"/>
  <c r="H7" i="16" s="1" a="1"/>
  <c r="H7" i="16" s="1"/>
  <c r="K27" i="16"/>
  <c r="H27" i="16" s="1" a="1"/>
  <c r="H27" i="16" s="1"/>
  <c r="Q26" i="16" a="1"/>
  <c r="Q26" i="16" s="1"/>
  <c r="K8" i="16"/>
  <c r="H8" i="16" s="1" a="1"/>
  <c r="H8" i="16" s="1"/>
  <c r="K28" i="16"/>
  <c r="H28" i="16" s="1" a="1"/>
  <c r="H28" i="16" s="1"/>
  <c r="P11" i="16" a="1"/>
  <c r="P11" i="16" s="1"/>
  <c r="K16" i="16"/>
  <c r="H16" i="16" s="1" a="1"/>
  <c r="H16" i="16" s="1"/>
  <c r="K36" i="16"/>
  <c r="H36" i="16" s="1" a="1"/>
  <c r="H36" i="16" s="1"/>
  <c r="P19" i="16" a="1"/>
  <c r="P19" i="16" s="1"/>
  <c r="E31" i="16" a="1"/>
  <c r="E31" i="16" s="1"/>
  <c r="E13" i="16" a="1"/>
  <c r="E13" i="16" s="1"/>
  <c r="Q4" i="16" a="1"/>
  <c r="Q4" i="16" s="1"/>
  <c r="Q24" i="16" a="1"/>
  <c r="Q24" i="16" s="1"/>
  <c r="P8" i="16" a="1"/>
  <c r="P8" i="16" s="1"/>
  <c r="P28" i="16" a="1"/>
  <c r="P28" i="16" s="1"/>
  <c r="AJ28" i="16" s="1"/>
  <c r="P10" i="16" a="1"/>
  <c r="P10" i="16" s="1"/>
  <c r="P31" i="16" a="1"/>
  <c r="P31" i="16" s="1"/>
  <c r="P37" i="16" a="1"/>
  <c r="P37" i="16" s="1"/>
  <c r="E12" i="16" a="1"/>
  <c r="E12" i="16" s="1"/>
  <c r="Q5" i="16" a="1"/>
  <c r="Q5" i="16" s="1"/>
  <c r="Q25" i="16" a="1"/>
  <c r="Q25" i="16" s="1"/>
  <c r="P9" i="16" a="1"/>
  <c r="P9" i="16" s="1"/>
  <c r="P29" i="16" a="1"/>
  <c r="P29" i="16" s="1"/>
  <c r="P30" i="16" a="1"/>
  <c r="P30" i="16" s="1"/>
  <c r="K31" i="16"/>
  <c r="H31" i="16" s="1" a="1"/>
  <c r="H31" i="16" s="1"/>
  <c r="E30" i="16" a="1"/>
  <c r="E30" i="16" s="1"/>
  <c r="E11" i="16" a="1"/>
  <c r="E11" i="16" s="1"/>
  <c r="Q6" i="16" a="1"/>
  <c r="Q6" i="16" s="1"/>
  <c r="K9" i="16"/>
  <c r="H9" i="16" s="1" a="1"/>
  <c r="H9" i="16" s="1"/>
  <c r="K29" i="16"/>
  <c r="H29" i="16" s="1" a="1"/>
  <c r="H29" i="16" s="1"/>
  <c r="P32" i="16" a="1"/>
  <c r="P32" i="16" s="1"/>
  <c r="E10" i="16" a="1"/>
  <c r="E10" i="16" s="1"/>
  <c r="Q7" i="16" a="1"/>
  <c r="Q7" i="16" s="1"/>
  <c r="Q27" i="16" a="1"/>
  <c r="Q27" i="16" s="1"/>
  <c r="K19" i="16"/>
  <c r="H19" i="16" s="1" a="1"/>
  <c r="H19" i="16" s="1"/>
  <c r="P22" i="16" a="1"/>
  <c r="P22" i="16" s="1"/>
  <c r="E29" i="16" a="1"/>
  <c r="E29" i="16" s="1"/>
  <c r="E9" i="16" a="1"/>
  <c r="E9" i="16" s="1"/>
  <c r="Q8" i="16" a="1"/>
  <c r="Q8" i="16" s="1"/>
  <c r="Q28" i="16" a="1"/>
  <c r="Q28" i="16" s="1"/>
  <c r="P12" i="16" a="1"/>
  <c r="P12" i="16" s="1"/>
  <c r="AJ12" i="16" s="1"/>
  <c r="K10" i="16"/>
  <c r="H10" i="16" s="1" a="1"/>
  <c r="H10" i="16" s="1"/>
  <c r="K30" i="16"/>
  <c r="H30" i="16" s="1" a="1"/>
  <c r="H30" i="16" s="1"/>
  <c r="P33" i="16" a="1"/>
  <c r="P33" i="16" s="1"/>
  <c r="K4" i="16"/>
  <c r="H4" i="16" s="1" a="1"/>
  <c r="H4" i="16" s="1"/>
  <c r="K24" i="16"/>
  <c r="H24" i="16" s="1" a="1"/>
  <c r="H24" i="16" s="1"/>
  <c r="E28" i="16" a="1"/>
  <c r="E28" i="16" s="1"/>
  <c r="E8" i="16" a="1"/>
  <c r="E8" i="16" s="1"/>
  <c r="Q9" i="16" a="1"/>
  <c r="Q9" i="16" s="1"/>
  <c r="Q29" i="16" a="1"/>
  <c r="Q29" i="16" s="1"/>
  <c r="P13" i="16" a="1"/>
  <c r="P13" i="16" s="1"/>
  <c r="K23" i="16"/>
  <c r="H23" i="16" s="1" a="1"/>
  <c r="H23" i="16" s="1"/>
  <c r="E27" i="16" a="1"/>
  <c r="E27" i="16" s="1"/>
  <c r="E7" i="16" a="1"/>
  <c r="E7" i="16" s="1"/>
  <c r="Q10" i="16" a="1"/>
  <c r="Q10" i="16" s="1"/>
  <c r="Q30" i="16" a="1"/>
  <c r="Q30" i="16" s="1"/>
  <c r="P14" i="16" a="1"/>
  <c r="P14" i="16" s="1"/>
  <c r="P34" i="16" a="1"/>
  <c r="P34" i="16" s="1"/>
  <c r="K12" i="16"/>
  <c r="H12" i="16" s="1" a="1"/>
  <c r="H12" i="16" s="1"/>
  <c r="K32" i="16"/>
  <c r="H32" i="16" s="1" a="1"/>
  <c r="H32" i="16" s="1"/>
  <c r="K13" i="16"/>
  <c r="H13" i="16" s="1" a="1"/>
  <c r="H13" i="16" s="1"/>
  <c r="K33" i="16"/>
  <c r="H33" i="16" s="1" a="1"/>
  <c r="H33" i="16" s="1"/>
  <c r="P16" i="16" a="1"/>
  <c r="P16" i="16" s="1"/>
  <c r="K14" i="16"/>
  <c r="H14" i="16" s="1" a="1"/>
  <c r="H14" i="16" s="1"/>
  <c r="K34" i="16"/>
  <c r="H34" i="16" s="1" a="1"/>
  <c r="H34" i="16" s="1"/>
  <c r="P17" i="16" a="1"/>
  <c r="P17" i="16" s="1"/>
  <c r="E26" i="16" a="1"/>
  <c r="E26" i="16" s="1"/>
  <c r="E6" i="16" a="1"/>
  <c r="E6" i="16" s="1"/>
  <c r="Q11" i="16" a="1"/>
  <c r="Q11" i="16" s="1"/>
  <c r="Q31" i="16" a="1"/>
  <c r="Q31" i="16" s="1"/>
  <c r="P15" i="16" a="1"/>
  <c r="P15" i="16" s="1"/>
  <c r="P35" i="16" a="1"/>
  <c r="P35" i="16" s="1"/>
  <c r="P36" i="16" a="1"/>
  <c r="P36" i="16" s="1"/>
  <c r="K15" i="16"/>
  <c r="H15" i="16" s="1" a="1"/>
  <c r="H15" i="16" s="1"/>
  <c r="K35" i="16"/>
  <c r="H35" i="16" s="1" a="1"/>
  <c r="H35" i="16" s="1"/>
  <c r="K22" i="16"/>
  <c r="H22" i="16" s="1" a="1"/>
  <c r="H22" i="16" s="1"/>
  <c r="V4" i="16" a="1"/>
  <c r="V4" i="16" s="1"/>
  <c r="V24" i="16" a="1"/>
  <c r="V24" i="16" s="1"/>
  <c r="V5" i="16" a="1"/>
  <c r="V5" i="16" s="1"/>
  <c r="V25" i="16" a="1"/>
  <c r="V25" i="16" s="1"/>
  <c r="V6" i="16" a="1"/>
  <c r="V6" i="16" s="1"/>
  <c r="W6" i="16" s="1"/>
  <c r="V26" i="16" a="1"/>
  <c r="V26" i="16" s="1"/>
  <c r="W26" i="16" s="1"/>
  <c r="V7" i="16" a="1"/>
  <c r="V7" i="16" s="1"/>
  <c r="W7" i="16" s="1"/>
  <c r="V27" i="16" a="1"/>
  <c r="V27" i="16" s="1"/>
  <c r="V8" i="16" a="1"/>
  <c r="V8" i="16" s="1"/>
  <c r="V28" i="16" a="1"/>
  <c r="V28" i="16" s="1"/>
  <c r="V9" i="16" a="1"/>
  <c r="V9" i="16" s="1"/>
  <c r="V29" i="16" a="1"/>
  <c r="V29" i="16" s="1"/>
  <c r="V10" i="16" a="1"/>
  <c r="V10" i="16" s="1"/>
  <c r="V30" i="16" a="1"/>
  <c r="V30" i="16" s="1"/>
  <c r="V11" i="16" a="1"/>
  <c r="V11" i="16" s="1"/>
  <c r="V31" i="16" a="1"/>
  <c r="V31" i="16" s="1"/>
  <c r="V12" i="16" a="1"/>
  <c r="V12" i="16" s="1"/>
  <c r="V32" i="16" a="1"/>
  <c r="V32" i="16" s="1"/>
  <c r="W32" i="16" s="1"/>
  <c r="V13" i="16" a="1"/>
  <c r="V13" i="16" s="1"/>
  <c r="V33" i="16" a="1"/>
  <c r="V33" i="16" s="1"/>
  <c r="W33" i="16" s="1"/>
  <c r="V14" i="16" a="1"/>
  <c r="V14" i="16" s="1"/>
  <c r="W14" i="16" s="1"/>
  <c r="V34" i="16" a="1"/>
  <c r="V34" i="16" s="1"/>
  <c r="W34" i="16" s="1"/>
  <c r="V15" i="16" a="1"/>
  <c r="V15" i="16" s="1"/>
  <c r="W15" i="16" s="1"/>
  <c r="V35" i="16" a="1"/>
  <c r="V35" i="16" s="1"/>
  <c r="V16" i="16" a="1"/>
  <c r="V16" i="16" s="1"/>
  <c r="W16" i="16" s="1"/>
  <c r="V36" i="16" a="1"/>
  <c r="V36" i="16" s="1"/>
  <c r="W36" i="16" s="1"/>
  <c r="V17" i="16" a="1"/>
  <c r="V17" i="16" s="1"/>
  <c r="V37" i="16" a="1"/>
  <c r="V37" i="16" s="1"/>
  <c r="W37" i="16" s="1"/>
  <c r="V18" i="16" a="1"/>
  <c r="V18" i="16" s="1"/>
  <c r="W18" i="16" s="1"/>
  <c r="V3" i="16" a="1"/>
  <c r="V3" i="16" s="1"/>
  <c r="V19" i="16" a="1"/>
  <c r="V19" i="16" s="1"/>
  <c r="V20" i="16" a="1"/>
  <c r="V20" i="16" s="1"/>
  <c r="W20" i="16" s="1"/>
  <c r="V21" i="16" a="1"/>
  <c r="V21" i="16" s="1"/>
  <c r="V22" i="16" a="1"/>
  <c r="V22" i="16" s="1"/>
  <c r="W22" i="16" s="1"/>
  <c r="V23" i="16" a="1"/>
  <c r="V23" i="16" s="1"/>
  <c r="W23" i="16" s="1"/>
  <c r="C3" i="16"/>
  <c r="C18" i="16"/>
  <c r="O5" i="16" a="1"/>
  <c r="O5" i="16" s="1"/>
  <c r="F20" i="16" a="1"/>
  <c r="F20" i="16" s="1"/>
  <c r="X35" i="16" a="1"/>
  <c r="X35" i="16" s="1"/>
  <c r="X15" i="16" a="1"/>
  <c r="X15" i="16" s="1"/>
  <c r="O25" i="16" a="1"/>
  <c r="O25" i="16" s="1"/>
  <c r="C37" i="16"/>
  <c r="C17" i="16"/>
  <c r="O24" i="16" a="1"/>
  <c r="O24" i="16" s="1"/>
  <c r="O4" i="16" a="1"/>
  <c r="O4" i="16" s="1"/>
  <c r="F19" i="16" a="1"/>
  <c r="F19" i="16" s="1"/>
  <c r="X34" i="16" a="1"/>
  <c r="X34" i="16" s="1"/>
  <c r="X14" i="16" a="1"/>
  <c r="X14" i="16" s="1"/>
  <c r="O23" i="16" a="1"/>
  <c r="O23" i="16" s="1"/>
  <c r="F3" i="16" a="1"/>
  <c r="F3" i="16" s="1"/>
  <c r="F18" i="16" a="1"/>
  <c r="F18" i="16" s="1"/>
  <c r="X33" i="16" a="1"/>
  <c r="X33" i="16" s="1"/>
  <c r="X13" i="16" a="1"/>
  <c r="X13" i="16" s="1"/>
  <c r="O22" i="16" a="1"/>
  <c r="O22" i="16" s="1"/>
  <c r="F37" i="16" a="1"/>
  <c r="F37" i="16" s="1"/>
  <c r="F17" i="16" a="1"/>
  <c r="F17" i="16" s="1"/>
  <c r="X32" i="16" a="1"/>
  <c r="X32" i="16" s="1"/>
  <c r="X12" i="16" a="1"/>
  <c r="X12" i="16" s="1"/>
  <c r="C36" i="16"/>
  <c r="C16" i="16"/>
  <c r="C34" i="16"/>
  <c r="C14" i="16"/>
  <c r="O21" i="16" a="1"/>
  <c r="O21" i="16" s="1"/>
  <c r="F36" i="16" a="1"/>
  <c r="F36" i="16" s="1"/>
  <c r="F16" i="16" a="1"/>
  <c r="F16" i="16" s="1"/>
  <c r="X31" i="16" a="1"/>
  <c r="X31" i="16" s="1"/>
  <c r="X11" i="16" a="1"/>
  <c r="X11" i="16" s="1"/>
  <c r="C35" i="16"/>
  <c r="C15" i="16"/>
  <c r="C33" i="16"/>
  <c r="C13" i="16"/>
  <c r="O20" i="16" a="1"/>
  <c r="O20" i="16" s="1"/>
  <c r="AH20" i="16" s="1"/>
  <c r="F35" i="16" a="1"/>
  <c r="F35" i="16" s="1"/>
  <c r="F15" i="16" a="1"/>
  <c r="F15" i="16" s="1"/>
  <c r="X30" i="16" a="1"/>
  <c r="X30" i="16" s="1"/>
  <c r="X10" i="16" a="1"/>
  <c r="X10" i="16" s="1"/>
  <c r="C32" i="16"/>
  <c r="C12" i="16"/>
  <c r="O19" i="16" a="1"/>
  <c r="O19" i="16" s="1"/>
  <c r="F34" i="16" a="1"/>
  <c r="F34" i="16" s="1"/>
  <c r="F14" i="16" a="1"/>
  <c r="F14" i="16" s="1"/>
  <c r="X29" i="16" a="1"/>
  <c r="X29" i="16" s="1"/>
  <c r="X9" i="16" a="1"/>
  <c r="X9" i="16" s="1"/>
  <c r="C31" i="16"/>
  <c r="C11" i="16"/>
  <c r="O3" i="16" a="1"/>
  <c r="O3" i="16" s="1"/>
  <c r="O18" i="16" a="1"/>
  <c r="O18" i="16" s="1"/>
  <c r="F33" i="16" a="1"/>
  <c r="F33" i="16" s="1"/>
  <c r="F13" i="16" a="1"/>
  <c r="F13" i="16" s="1"/>
  <c r="X28" i="16" a="1"/>
  <c r="X28" i="16" s="1"/>
  <c r="X8" i="16" a="1"/>
  <c r="X8" i="16" s="1"/>
  <c r="O17" i="16" a="1"/>
  <c r="O17" i="16" s="1"/>
  <c r="F32" i="16" a="1"/>
  <c r="F32" i="16" s="1"/>
  <c r="F12" i="16" a="1"/>
  <c r="F12" i="16" s="1"/>
  <c r="X27" i="16" a="1"/>
  <c r="X27" i="16" s="1"/>
  <c r="X7" i="16" a="1"/>
  <c r="X7" i="16" s="1"/>
  <c r="O36" i="16" a="1"/>
  <c r="O36" i="16" s="1"/>
  <c r="AH36" i="16" s="1"/>
  <c r="O16" i="16" a="1"/>
  <c r="O16" i="16" s="1"/>
  <c r="AH16" i="16" s="1"/>
  <c r="F31" i="16" a="1"/>
  <c r="F31" i="16" s="1"/>
  <c r="F11" i="16" a="1"/>
  <c r="F11" i="16" s="1"/>
  <c r="X26" i="16" a="1"/>
  <c r="X26" i="16" s="1"/>
  <c r="X6" i="16" a="1"/>
  <c r="X6" i="16" s="1"/>
  <c r="O15" i="16" a="1"/>
  <c r="O15" i="16" s="1"/>
  <c r="F30" i="16" a="1"/>
  <c r="F30" i="16" s="1"/>
  <c r="F10" i="16" a="1"/>
  <c r="F10" i="16" s="1"/>
  <c r="X25" i="16" a="1"/>
  <c r="X25" i="16" s="1"/>
  <c r="X5" i="16" a="1"/>
  <c r="X5" i="16" s="1"/>
  <c r="C27" i="16"/>
  <c r="C7" i="16"/>
  <c r="O34" i="16" a="1"/>
  <c r="O34" i="16" s="1"/>
  <c r="O14" i="16" a="1"/>
  <c r="O14" i="16" s="1"/>
  <c r="F29" i="16" a="1"/>
  <c r="F29" i="16" s="1"/>
  <c r="F9" i="16" a="1"/>
  <c r="F9" i="16" s="1"/>
  <c r="X24" i="16" a="1"/>
  <c r="X24" i="16" s="1"/>
  <c r="X4" i="16" a="1"/>
  <c r="X4" i="16" s="1"/>
  <c r="AJ32" i="16"/>
  <c r="AJ27" i="16"/>
  <c r="L4" i="16" a="1"/>
  <c r="R20" i="16" a="1"/>
  <c r="R34" i="16" a="1"/>
  <c r="L13" i="16" a="1"/>
  <c r="R36" i="16" a="1"/>
  <c r="L11" i="16" a="1"/>
  <c r="R15" i="16" a="1"/>
  <c r="R29" i="16" a="1"/>
  <c r="R26" i="16" a="1"/>
  <c r="R19" i="16" a="1"/>
  <c r="L20" i="16" a="1"/>
  <c r="L8" i="16" a="1"/>
  <c r="R18" i="16" a="1"/>
  <c r="R32" i="16" a="1"/>
  <c r="L31" i="16" a="1"/>
  <c r="L37" i="16" a="1"/>
  <c r="L21" i="16" a="1"/>
  <c r="L36" i="16" a="1"/>
  <c r="R17" i="16" a="1"/>
  <c r="L30" i="16" a="1"/>
  <c r="R9" i="16" a="1"/>
  <c r="L22" i="16" a="1"/>
  <c r="L6" i="16" a="1"/>
  <c r="L23" i="16" a="1"/>
  <c r="L34" i="16" a="1"/>
  <c r="L18" i="16" a="1"/>
  <c r="R22" i="16" a="1"/>
  <c r="R16" i="16" a="1"/>
  <c r="L35" i="16" a="1"/>
  <c r="L25" i="16" a="1"/>
  <c r="L17" i="16" a="1"/>
  <c r="R3" i="16" a="1"/>
  <c r="L10" i="16" a="1"/>
  <c r="R30" i="16" a="1"/>
  <c r="R12" i="16" a="1"/>
  <c r="R8" i="16" a="1"/>
  <c r="R4" i="16" a="1"/>
  <c r="R10" i="16" a="1"/>
  <c r="L9" i="16" a="1"/>
  <c r="R14" i="16" a="1"/>
  <c r="L27" i="16" a="1"/>
  <c r="L19" i="16" a="1"/>
  <c r="R28" i="16" a="1"/>
  <c r="L26" i="16" a="1"/>
  <c r="R6" i="16" a="1"/>
  <c r="R7" i="16" a="1"/>
  <c r="R5" i="16" a="1"/>
  <c r="L3" i="16" a="1"/>
  <c r="R33" i="16" a="1"/>
  <c r="L33" i="16" a="1"/>
  <c r="L28" i="16" a="1"/>
  <c r="L24" i="16" a="1"/>
  <c r="R25" i="16" a="1"/>
  <c r="L15" i="16" a="1"/>
  <c r="R13" i="16" a="1"/>
  <c r="L7" i="16" a="1"/>
  <c r="L29" i="16" a="1"/>
  <c r="L14" i="16" a="1"/>
  <c r="L16" i="16" a="1"/>
  <c r="R11" i="16" a="1"/>
  <c r="R21" i="16" a="1"/>
  <c r="L5" i="16" a="1"/>
  <c r="R23" i="16" a="1"/>
  <c r="L32" i="16" a="1"/>
  <c r="R27" i="16" a="1"/>
  <c r="R24" i="16" a="1"/>
  <c r="R37" i="16" a="1"/>
  <c r="L12" i="16" a="1"/>
  <c r="R31" i="16" a="1"/>
  <c r="R35" i="16" a="1"/>
  <c r="AJ8" i="16" l="1"/>
  <c r="AH26" i="16"/>
  <c r="AK26" i="16" s="1"/>
  <c r="AH7" i="16"/>
  <c r="AH28" i="16"/>
  <c r="AJ24" i="16"/>
  <c r="AK24" i="16" s="1"/>
  <c r="AK32" i="16"/>
  <c r="AK7" i="16"/>
  <c r="AK27" i="16"/>
  <c r="AK12" i="16"/>
  <c r="AJ29" i="16"/>
  <c r="AK29" i="16" s="1"/>
  <c r="P3" i="16" a="1"/>
  <c r="P3" i="16" s="1"/>
  <c r="AJ9" i="16"/>
  <c r="AJ25" i="16"/>
  <c r="AJ20" i="16"/>
  <c r="AK20" i="16" s="1"/>
  <c r="AJ36" i="16"/>
  <c r="AK36" i="16" s="1"/>
  <c r="AJ21" i="16"/>
  <c r="AK21" i="16" s="1"/>
  <c r="AJ4" i="16"/>
  <c r="AK4" i="16" s="1"/>
  <c r="AJ18" i="16"/>
  <c r="AK18" i="16" s="1"/>
  <c r="AJ10" i="16"/>
  <c r="AJ19" i="16"/>
  <c r="AK19" i="16" s="1"/>
  <c r="AJ13" i="16"/>
  <c r="AJ14" i="16"/>
  <c r="AJ15" i="16"/>
  <c r="AJ5" i="16"/>
  <c r="AK5" i="16" s="1"/>
  <c r="AJ22" i="16"/>
  <c r="AJ30" i="16"/>
  <c r="AJ35" i="16"/>
  <c r="AK35" i="16" s="1"/>
  <c r="AJ37" i="16"/>
  <c r="AK37" i="16" s="1"/>
  <c r="AJ16" i="16"/>
  <c r="AK16" i="16" s="1"/>
  <c r="AJ23" i="16"/>
  <c r="AK23" i="16" s="1"/>
  <c r="L15" i="16"/>
  <c r="L27" i="16"/>
  <c r="L18" i="16"/>
  <c r="L25" i="16"/>
  <c r="L24" i="16"/>
  <c r="L26" i="16"/>
  <c r="L10" i="16"/>
  <c r="L34" i="16"/>
  <c r="L4" i="16"/>
  <c r="L19" i="16"/>
  <c r="L36" i="16"/>
  <c r="L12" i="16"/>
  <c r="L3" i="16"/>
  <c r="L30" i="16"/>
  <c r="L29" i="16"/>
  <c r="L28" i="16"/>
  <c r="L33" i="16"/>
  <c r="L22" i="16"/>
  <c r="L14" i="16"/>
  <c r="L17" i="16"/>
  <c r="L6" i="16"/>
  <c r="L7" i="16"/>
  <c r="L11" i="16"/>
  <c r="L21" i="16"/>
  <c r="L13" i="16"/>
  <c r="L35" i="16"/>
  <c r="L32" i="16"/>
  <c r="L23" i="16"/>
  <c r="L5" i="16"/>
  <c r="L20" i="16"/>
  <c r="L9" i="16"/>
  <c r="L16" i="16"/>
  <c r="L31" i="16"/>
  <c r="L37" i="16"/>
  <c r="L8" i="16"/>
  <c r="G26" i="16"/>
  <c r="AI26" i="16" s="1"/>
  <c r="J26" i="16"/>
  <c r="G6" i="16"/>
  <c r="AI6" i="16" s="1"/>
  <c r="J6" i="16"/>
  <c r="G25" i="16"/>
  <c r="J25" i="16"/>
  <c r="G20" i="16"/>
  <c r="AI20" i="16" s="1"/>
  <c r="J20" i="16"/>
  <c r="J21" i="16"/>
  <c r="G21" i="16"/>
  <c r="G5" i="16"/>
  <c r="AI5" i="16" s="1"/>
  <c r="J5" i="16"/>
  <c r="J37" i="16"/>
  <c r="G37" i="16"/>
  <c r="AI37" i="16" s="1"/>
  <c r="G23" i="16"/>
  <c r="AI23" i="16" s="1"/>
  <c r="J23" i="16"/>
  <c r="G17" i="16"/>
  <c r="J17" i="16"/>
  <c r="G34" i="16"/>
  <c r="AI34" i="16" s="1"/>
  <c r="J34" i="16"/>
  <c r="AJ11" i="16"/>
  <c r="G14" i="16"/>
  <c r="J14" i="16"/>
  <c r="G19" i="16"/>
  <c r="AI19" i="16" s="1"/>
  <c r="J19" i="16"/>
  <c r="J31" i="16"/>
  <c r="G31" i="16"/>
  <c r="G30" i="16"/>
  <c r="AI30" i="16" s="1"/>
  <c r="J30" i="16"/>
  <c r="J29" i="16"/>
  <c r="G29" i="16"/>
  <c r="AI29" i="16" s="1"/>
  <c r="G13" i="16"/>
  <c r="J13" i="16"/>
  <c r="J22" i="16"/>
  <c r="G22" i="16"/>
  <c r="AI22" i="16" s="1"/>
  <c r="G36" i="16"/>
  <c r="J36" i="16"/>
  <c r="G3" i="16"/>
  <c r="J3" i="16"/>
  <c r="J18" i="16"/>
  <c r="G18" i="16"/>
  <c r="AI18" i="16" s="1"/>
  <c r="J33" i="16"/>
  <c r="G33" i="16"/>
  <c r="AI33" i="16" s="1"/>
  <c r="G35" i="16"/>
  <c r="J35" i="16"/>
  <c r="G32" i="16"/>
  <c r="AI32" i="16" s="1"/>
  <c r="J32" i="16"/>
  <c r="G15" i="16"/>
  <c r="AI15" i="16" s="1"/>
  <c r="J15" i="16"/>
  <c r="G12" i="16"/>
  <c r="AI12" i="16" s="1"/>
  <c r="J12" i="16"/>
  <c r="G24" i="16"/>
  <c r="J24" i="16"/>
  <c r="G8" i="16"/>
  <c r="J8" i="16"/>
  <c r="J11" i="16"/>
  <c r="G11" i="16"/>
  <c r="AI11" i="16" s="1"/>
  <c r="G16" i="16"/>
  <c r="J16" i="16"/>
  <c r="AJ31" i="16"/>
  <c r="J4" i="16"/>
  <c r="G4" i="16"/>
  <c r="G28" i="16"/>
  <c r="J28" i="16"/>
  <c r="AJ33" i="16"/>
  <c r="AJ34" i="16"/>
  <c r="J27" i="16"/>
  <c r="G27" i="16"/>
  <c r="G10" i="16"/>
  <c r="J10" i="16"/>
  <c r="G9" i="16"/>
  <c r="J9" i="16"/>
  <c r="G7" i="16"/>
  <c r="AI7" i="16" s="1"/>
  <c r="J7" i="16"/>
  <c r="R20" i="16"/>
  <c r="R24" i="16"/>
  <c r="R7" i="16"/>
  <c r="R28" i="16"/>
  <c r="R9" i="16"/>
  <c r="R10" i="16"/>
  <c r="R15" i="16"/>
  <c r="R31" i="16"/>
  <c r="R17" i="16"/>
  <c r="R18" i="16"/>
  <c r="R27" i="16"/>
  <c r="R36" i="16"/>
  <c r="R4" i="16"/>
  <c r="R13" i="16"/>
  <c r="R22" i="16"/>
  <c r="R8" i="16"/>
  <c r="R34" i="16"/>
  <c r="R21" i="16"/>
  <c r="R30" i="16"/>
  <c r="R12" i="16"/>
  <c r="R25" i="16"/>
  <c r="R26" i="16"/>
  <c r="R11" i="16"/>
  <c r="R32" i="16"/>
  <c r="R29" i="16"/>
  <c r="R6" i="16"/>
  <c r="R19" i="16"/>
  <c r="R33" i="16"/>
  <c r="R16" i="16"/>
  <c r="R35" i="16"/>
  <c r="R3" i="16"/>
  <c r="R5" i="16"/>
  <c r="R14" i="16"/>
  <c r="R23" i="16"/>
  <c r="R37" i="16"/>
  <c r="M6" i="16" a="1"/>
  <c r="M12" i="16" a="1"/>
  <c r="M26" i="16" a="1"/>
  <c r="S8" i="16" a="1"/>
  <c r="S14" i="16" a="1"/>
  <c r="M13" i="16" a="1"/>
  <c r="S4" i="16" a="1"/>
  <c r="S29" i="16" a="1"/>
  <c r="M28" i="16" a="1"/>
  <c r="S15" i="16" a="1"/>
  <c r="S3" i="16" a="1"/>
  <c r="M5" i="16" a="1"/>
  <c r="M15" i="16" a="1"/>
  <c r="S11" i="16" a="1"/>
  <c r="M31" i="16" a="1"/>
  <c r="M17" i="16" a="1"/>
  <c r="S23" i="16" a="1"/>
  <c r="S12" i="16" a="1"/>
  <c r="S6" i="16" a="1"/>
  <c r="M8" i="16" a="1"/>
  <c r="S18" i="16" a="1"/>
  <c r="M19" i="16" a="1"/>
  <c r="M22" i="16" a="1"/>
  <c r="S7" i="16" a="1"/>
  <c r="S13" i="16" a="1"/>
  <c r="M4" i="16" a="1"/>
  <c r="M23" i="16" a="1"/>
  <c r="M25" i="16" a="1"/>
  <c r="S27" i="16" a="1"/>
  <c r="M7" i="16" a="1"/>
  <c r="M11" i="16" a="1"/>
  <c r="S32" i="16" a="1"/>
  <c r="S5" i="16" a="1"/>
  <c r="M27" i="16" a="1"/>
  <c r="M10" i="16" a="1"/>
  <c r="M16" i="16" a="1"/>
  <c r="S28" i="16" a="1"/>
  <c r="M9" i="16" a="1"/>
  <c r="S10" i="16" a="1"/>
  <c r="S37" i="16" a="1"/>
  <c r="M21" i="16" a="1"/>
  <c r="S31" i="16" a="1"/>
  <c r="S19" i="16" a="1"/>
  <c r="M24" i="16" a="1"/>
  <c r="M35" i="16" a="1"/>
  <c r="M37" i="16" a="1"/>
  <c r="S30" i="16" a="1"/>
  <c r="S22" i="16" a="1"/>
  <c r="S17" i="16" a="1"/>
  <c r="M32" i="16" a="1"/>
  <c r="M20" i="16" a="1"/>
  <c r="S34" i="16" a="1"/>
  <c r="M33" i="16" a="1"/>
  <c r="S21" i="16" a="1"/>
  <c r="S33" i="16" a="1"/>
  <c r="S20" i="16" a="1"/>
  <c r="S16" i="16" a="1"/>
  <c r="S24" i="16" a="1"/>
  <c r="S35" i="16" a="1"/>
  <c r="M36" i="16" a="1"/>
  <c r="S25" i="16" a="1"/>
  <c r="S26" i="16" a="1"/>
  <c r="M30" i="16" a="1"/>
  <c r="M14" i="16" a="1"/>
  <c r="S36" i="16" a="1"/>
  <c r="M3" i="16" a="1"/>
  <c r="M34" i="16" a="1"/>
  <c r="S9" i="16" a="1"/>
  <c r="M29" i="16" a="1"/>
  <c r="M18" i="16" a="1"/>
  <c r="AI4" i="16" l="1"/>
  <c r="AI31" i="16"/>
  <c r="AI35" i="16"/>
  <c r="AI14" i="16"/>
  <c r="AI16" i="16"/>
  <c r="AI8" i="16"/>
  <c r="AI27" i="16"/>
  <c r="AI13" i="16"/>
  <c r="AI21" i="16"/>
  <c r="AI10" i="16"/>
  <c r="AI28" i="16"/>
  <c r="AI25" i="16"/>
  <c r="AI3" i="16"/>
  <c r="AI36" i="16"/>
  <c r="AI24" i="16"/>
  <c r="AI9" i="16"/>
  <c r="AJ3" i="16"/>
  <c r="M17" i="16"/>
  <c r="M14" i="16"/>
  <c r="M22" i="16"/>
  <c r="M33" i="16"/>
  <c r="M28" i="16"/>
  <c r="M8" i="16"/>
  <c r="M29" i="16"/>
  <c r="M37" i="16"/>
  <c r="M30" i="16"/>
  <c r="M31" i="16"/>
  <c r="M3" i="16"/>
  <c r="M16" i="16"/>
  <c r="M12" i="16"/>
  <c r="M9" i="16"/>
  <c r="M36" i="16"/>
  <c r="M20" i="16"/>
  <c r="M19" i="16"/>
  <c r="M5" i="16"/>
  <c r="M4" i="16"/>
  <c r="M23" i="16"/>
  <c r="M34" i="16"/>
  <c r="M32" i="16"/>
  <c r="M10" i="16"/>
  <c r="M35" i="16"/>
  <c r="M26" i="16"/>
  <c r="M13" i="16"/>
  <c r="M24" i="16"/>
  <c r="M21" i="16"/>
  <c r="M25" i="16"/>
  <c r="M11" i="16"/>
  <c r="M18" i="16"/>
  <c r="M7" i="16"/>
  <c r="M27" i="16"/>
  <c r="M6" i="16"/>
  <c r="M15" i="16"/>
  <c r="S25" i="16"/>
  <c r="AH25" i="16" s="1"/>
  <c r="S8" i="16"/>
  <c r="AH8" i="16" s="1"/>
  <c r="S33" i="16"/>
  <c r="AH33" i="16" s="1"/>
  <c r="S31" i="16"/>
  <c r="AH31" i="16" s="1"/>
  <c r="S19" i="16"/>
  <c r="AH19" i="16" s="1"/>
  <c r="S22" i="16"/>
  <c r="AH22" i="16" s="1"/>
  <c r="S15" i="16"/>
  <c r="AH15" i="16" s="1"/>
  <c r="S37" i="16"/>
  <c r="AH37" i="16" s="1"/>
  <c r="S11" i="16"/>
  <c r="AH11" i="16" s="1"/>
  <c r="AK11" i="16" s="1"/>
  <c r="S13" i="16"/>
  <c r="AH13" i="16" s="1"/>
  <c r="AK13" i="16" s="1"/>
  <c r="S24" i="16"/>
  <c r="AH24" i="16" s="1"/>
  <c r="S29" i="16"/>
  <c r="AH29" i="16" s="1"/>
  <c r="S30" i="16"/>
  <c r="AH30" i="16" s="1"/>
  <c r="AK30" i="16" s="1"/>
  <c r="S17" i="16"/>
  <c r="S20" i="16"/>
  <c r="S14" i="16"/>
  <c r="AH14" i="16" s="1"/>
  <c r="AK14" i="16" s="1"/>
  <c r="S35" i="16"/>
  <c r="AH35" i="16" s="1"/>
  <c r="S21" i="16"/>
  <c r="AH21" i="16" s="1"/>
  <c r="S5" i="16"/>
  <c r="AH5" i="16" s="1"/>
  <c r="S16" i="16"/>
  <c r="S3" i="16"/>
  <c r="AH3" i="16" s="1"/>
  <c r="S36" i="16"/>
  <c r="S28" i="16"/>
  <c r="S32" i="16"/>
  <c r="AH32" i="16" s="1"/>
  <c r="S27" i="16"/>
  <c r="AH27" i="16" s="1"/>
  <c r="S7" i="16"/>
  <c r="S6" i="16"/>
  <c r="AH6" i="16" s="1"/>
  <c r="S12" i="16"/>
  <c r="AH12" i="16" s="1"/>
  <c r="S18" i="16"/>
  <c r="AH18" i="16" s="1"/>
  <c r="S10" i="16"/>
  <c r="AH10" i="16" s="1"/>
  <c r="S23" i="16"/>
  <c r="AH23" i="16" s="1"/>
  <c r="S26" i="16"/>
  <c r="S4" i="16"/>
  <c r="AH4" i="16" s="1"/>
  <c r="S9" i="16"/>
  <c r="AH9" i="16" s="1"/>
  <c r="S34" i="16"/>
  <c r="AH34" i="16" s="1"/>
  <c r="AK34" i="16" s="1"/>
  <c r="AT37" i="16"/>
  <c r="AS37" i="16"/>
  <c r="AT36" i="16"/>
  <c r="AT35" i="16"/>
  <c r="AS35" i="16"/>
  <c r="AT34" i="16"/>
  <c r="AS34" i="16"/>
  <c r="AT33" i="16"/>
  <c r="AS33" i="16"/>
  <c r="AS32" i="16"/>
  <c r="AT31" i="16"/>
  <c r="AS31" i="16"/>
  <c r="AT30" i="16"/>
  <c r="AS30" i="16"/>
  <c r="AS29" i="16"/>
  <c r="AT28" i="16"/>
  <c r="AT27" i="16"/>
  <c r="AS27" i="16"/>
  <c r="AT26" i="16"/>
  <c r="AS26" i="16"/>
  <c r="AT25" i="16"/>
  <c r="AS23" i="16"/>
  <c r="AT22" i="16"/>
  <c r="AS22" i="16"/>
  <c r="AT20" i="16"/>
  <c r="AS20" i="16"/>
  <c r="AS19" i="16"/>
  <c r="AS18" i="16"/>
  <c r="N37" i="16" a="1"/>
  <c r="N18" i="16" a="1"/>
  <c r="N24" i="16" a="1"/>
  <c r="N15" i="16" a="1"/>
  <c r="N8" i="16" a="1"/>
  <c r="N21" i="16" a="1"/>
  <c r="N30" i="16" a="1"/>
  <c r="N35" i="16" a="1"/>
  <c r="N16" i="16" a="1"/>
  <c r="N33" i="16" a="1"/>
  <c r="N19" i="16" a="1"/>
  <c r="N12" i="16" a="1"/>
  <c r="N32" i="16" a="1"/>
  <c r="N28" i="16" a="1"/>
  <c r="N9" i="16" a="1"/>
  <c r="N7" i="16" a="1"/>
  <c r="N27" i="16" a="1"/>
  <c r="N6" i="16" a="1"/>
  <c r="N22" i="16" a="1"/>
  <c r="N34" i="16" a="1"/>
  <c r="N26" i="16" a="1"/>
  <c r="N10" i="16" a="1"/>
  <c r="N31" i="16" a="1"/>
  <c r="N36" i="16" a="1"/>
  <c r="N29" i="16" a="1"/>
  <c r="N4" i="16" a="1"/>
  <c r="N5" i="16" a="1"/>
  <c r="N20" i="16" a="1"/>
  <c r="N3" i="16" a="1"/>
  <c r="N17" i="16" a="1"/>
  <c r="N25" i="16" a="1"/>
  <c r="N23" i="16" a="1"/>
  <c r="N14" i="16" a="1"/>
  <c r="N13" i="16" a="1"/>
  <c r="N11" i="16" a="1"/>
  <c r="AK10" i="16" l="1"/>
  <c r="AK31" i="16"/>
  <c r="AK9" i="16"/>
  <c r="AK3" i="16"/>
  <c r="AK33" i="16"/>
  <c r="AK6" i="16"/>
  <c r="AS28" i="16"/>
  <c r="AS24" i="16"/>
  <c r="AK15" i="16"/>
  <c r="AK22" i="16"/>
  <c r="AS36" i="16"/>
  <c r="AS21" i="16"/>
  <c r="AK28" i="16"/>
  <c r="AK8" i="16"/>
  <c r="AK25" i="16"/>
  <c r="AS25" i="16"/>
  <c r="N23" i="16"/>
  <c r="AG23" i="16" s="1"/>
  <c r="N4" i="16"/>
  <c r="AG4" i="16" s="1"/>
  <c r="N5" i="16"/>
  <c r="AG5" i="16" s="1"/>
  <c r="N19" i="16"/>
  <c r="AG19" i="16" s="1"/>
  <c r="N20" i="16"/>
  <c r="AG20" i="16" s="1"/>
  <c r="N15" i="16"/>
  <c r="AG15" i="16" s="1"/>
  <c r="N36" i="16"/>
  <c r="AG36" i="16" s="1"/>
  <c r="N6" i="16"/>
  <c r="AG6" i="16" s="1"/>
  <c r="N9" i="16"/>
  <c r="AG9" i="16" s="1"/>
  <c r="N27" i="16"/>
  <c r="AG27" i="16" s="1"/>
  <c r="N12" i="16"/>
  <c r="AG12" i="16" s="1"/>
  <c r="N7" i="16"/>
  <c r="AG7" i="16" s="1"/>
  <c r="N16" i="16"/>
  <c r="AG16" i="16" s="1"/>
  <c r="N18" i="16"/>
  <c r="AG18" i="16" s="1"/>
  <c r="N3" i="16"/>
  <c r="N11" i="16"/>
  <c r="AG11" i="16" s="1"/>
  <c r="N31" i="16"/>
  <c r="AG31" i="16" s="1"/>
  <c r="N25" i="16"/>
  <c r="AG25" i="16" s="1"/>
  <c r="N30" i="16"/>
  <c r="AG30" i="16" s="1"/>
  <c r="N21" i="16"/>
  <c r="AG21" i="16" s="1"/>
  <c r="N37" i="16"/>
  <c r="AG37" i="16" s="1"/>
  <c r="N24" i="16"/>
  <c r="AG24" i="16" s="1"/>
  <c r="N29" i="16"/>
  <c r="AG29" i="16" s="1"/>
  <c r="N13" i="16"/>
  <c r="AG13" i="16" s="1"/>
  <c r="N8" i="16"/>
  <c r="AG8" i="16" s="1"/>
  <c r="N26" i="16"/>
  <c r="AG26" i="16" s="1"/>
  <c r="N28" i="16"/>
  <c r="AG28" i="16" s="1"/>
  <c r="N35" i="16"/>
  <c r="AG35" i="16" s="1"/>
  <c r="N33" i="16"/>
  <c r="AG33" i="16" s="1"/>
  <c r="N10" i="16"/>
  <c r="AG10" i="16" s="1"/>
  <c r="N22" i="16"/>
  <c r="AG22" i="16" s="1"/>
  <c r="N32" i="16"/>
  <c r="AG32" i="16" s="1"/>
  <c r="N14" i="16"/>
  <c r="AG14" i="16" s="1"/>
  <c r="N34" i="16"/>
  <c r="AG34" i="16" s="1"/>
  <c r="N17" i="16"/>
  <c r="AT18" i="16"/>
  <c r="AT19" i="16"/>
  <c r="AR20" i="16"/>
  <c r="AT21" i="16"/>
  <c r="AT23" i="16"/>
  <c r="AT24" i="16"/>
  <c r="AU27" i="16"/>
  <c r="AT29" i="16"/>
  <c r="AT32" i="16"/>
  <c r="AU35" i="16"/>
  <c r="AU37" i="16"/>
  <c r="AG3" i="16" l="1"/>
  <c r="AB3" i="16" s="1"/>
  <c r="AR33" i="16"/>
  <c r="AR26" i="16"/>
  <c r="AR36" i="16"/>
  <c r="AR30" i="16"/>
  <c r="AR15" i="16"/>
  <c r="AR28" i="16"/>
  <c r="AS4" i="16"/>
  <c r="AS13" i="16"/>
  <c r="AS9" i="16"/>
  <c r="AS7" i="16"/>
  <c r="AT9" i="16"/>
  <c r="AT12" i="16"/>
  <c r="AS15" i="16"/>
  <c r="AS12" i="16"/>
  <c r="AT17" i="16"/>
  <c r="AT6" i="16"/>
  <c r="AS11" i="16"/>
  <c r="AS17" i="16"/>
  <c r="AS5" i="16"/>
  <c r="AT11" i="16"/>
  <c r="AS8" i="16"/>
  <c r="AS3" i="16"/>
  <c r="AS6" i="16"/>
  <c r="AT3" i="16"/>
  <c r="AU12" i="16"/>
  <c r="AS14" i="16"/>
  <c r="AS16" i="16"/>
  <c r="AT14" i="16"/>
  <c r="AT16" i="16"/>
  <c r="AT13" i="16"/>
  <c r="AS10" i="16"/>
  <c r="AU16" i="16"/>
  <c r="AT8" i="16"/>
  <c r="AT10" i="16"/>
  <c r="AU31" i="16"/>
  <c r="AQ18" i="16"/>
  <c r="AQ17" i="16"/>
  <c r="AU17" i="16"/>
  <c r="AT7" i="16"/>
  <c r="AT5" i="16"/>
  <c r="AQ4" i="16"/>
  <c r="AT4" i="16"/>
  <c r="AQ13" i="16"/>
  <c r="AU22" i="16"/>
  <c r="AQ16" i="16"/>
  <c r="AQ28" i="16"/>
  <c r="AT15" i="16"/>
  <c r="AQ15" i="16"/>
  <c r="AQ34" i="16"/>
  <c r="AQ26" i="16"/>
  <c r="AQ31" i="16"/>
  <c r="AQ23" i="16"/>
  <c r="AQ20" i="16"/>
  <c r="AQ12" i="16"/>
  <c r="AQ9" i="16"/>
  <c r="AQ36" i="16"/>
  <c r="AQ6" i="16"/>
  <c r="AQ14" i="16"/>
  <c r="AQ33" i="16"/>
  <c r="AQ25" i="16"/>
  <c r="AQ22" i="16"/>
  <c r="AQ30" i="16"/>
  <c r="AQ19" i="16"/>
  <c r="AQ11" i="16"/>
  <c r="AQ8" i="16"/>
  <c r="AQ5" i="16"/>
  <c r="AQ35" i="16"/>
  <c r="AQ27" i="16"/>
  <c r="AQ32" i="16"/>
  <c r="AQ24" i="16"/>
  <c r="AQ21" i="16"/>
  <c r="AQ10" i="16"/>
  <c r="AQ37" i="16"/>
  <c r="AQ29" i="16"/>
  <c r="AQ7" i="16"/>
  <c r="AU28" i="16"/>
  <c r="AU26" i="16"/>
  <c r="AU20" i="16"/>
  <c r="AU36" i="16"/>
  <c r="AU33" i="16"/>
  <c r="AU32" i="16"/>
  <c r="AU29" i="16"/>
  <c r="AU24" i="16"/>
  <c r="AU23" i="16"/>
  <c r="AU21" i="16"/>
  <c r="AU19" i="16"/>
  <c r="AU18" i="16"/>
  <c r="AR31" i="16" l="1"/>
  <c r="AR21" i="16"/>
  <c r="AR32" i="16"/>
  <c r="AR22" i="16"/>
  <c r="AR23" i="16"/>
  <c r="AR13" i="16"/>
  <c r="AR24" i="16"/>
  <c r="AR12" i="16"/>
  <c r="AR16" i="16"/>
  <c r="AR5" i="16"/>
  <c r="AR25" i="16"/>
  <c r="AR34" i="16"/>
  <c r="AR4" i="16"/>
  <c r="AR3" i="16"/>
  <c r="AR8" i="16"/>
  <c r="AR14" i="16"/>
  <c r="AR18" i="16"/>
  <c r="AR27" i="16"/>
  <c r="AR35" i="16"/>
  <c r="AR9" i="16"/>
  <c r="AR29" i="16"/>
  <c r="AR19" i="16"/>
  <c r="AR7" i="16"/>
  <c r="AR37" i="16"/>
  <c r="AR17" i="16"/>
  <c r="AR10" i="16"/>
  <c r="AR11" i="16"/>
  <c r="AR6" i="16"/>
  <c r="AU11" i="16"/>
  <c r="AU9" i="16"/>
  <c r="AU13" i="16"/>
  <c r="AU10" i="16"/>
  <c r="AU8" i="16"/>
  <c r="AU30" i="16"/>
  <c r="AU6" i="16"/>
  <c r="AU14" i="16"/>
  <c r="AU34" i="16"/>
  <c r="AU25" i="16"/>
  <c r="AU15" i="16"/>
  <c r="AU4" i="16"/>
  <c r="AU5" i="16"/>
  <c r="AU7" i="16"/>
  <c r="AU3" i="16" l="1"/>
  <c r="AQ3" i="1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<sst xmlns="http://schemas.openxmlformats.org/spreadsheetml/2006/main" count="924" uniqueCount="371">
  <si>
    <t>patient_id</t>
  </si>
  <si>
    <t>date_of_note</t>
  </si>
  <si>
    <t>ATARisk</t>
  </si>
  <si>
    <t>AJCC8</t>
  </si>
  <si>
    <t>Age</t>
  </si>
  <si>
    <t>Tstage</t>
  </si>
  <si>
    <t>Nstage</t>
  </si>
  <si>
    <t>Mstage</t>
  </si>
  <si>
    <t>LN</t>
  </si>
  <si>
    <t>Meta</t>
  </si>
  <si>
    <t>NoLNresected</t>
  </si>
  <si>
    <t>NoLNinvolved</t>
  </si>
  <si>
    <t>SizeLN</t>
  </si>
  <si>
    <t>Histo</t>
  </si>
  <si>
    <t>HistoType</t>
  </si>
  <si>
    <t>TumorSize</t>
  </si>
  <si>
    <t>VI</t>
  </si>
  <si>
    <t>Number of tumours</t>
  </si>
  <si>
    <t>NoFociVIFTC</t>
  </si>
  <si>
    <t>CI</t>
  </si>
  <si>
    <t>m-ETE</t>
  </si>
  <si>
    <t>Mutation</t>
  </si>
  <si>
    <t>MutationType</t>
  </si>
  <si>
    <t>RAIMetaFoci</t>
  </si>
  <si>
    <t>gETE</t>
  </si>
  <si>
    <t>Thyroidectomy</t>
  </si>
  <si>
    <t>ThyroidectomyType</t>
  </si>
  <si>
    <t>CompResectSurg</t>
  </si>
  <si>
    <t>CompResectPath</t>
  </si>
  <si>
    <t>PostTg</t>
  </si>
  <si>
    <t>1p</t>
  </si>
  <si>
    <t>I</t>
  </si>
  <si>
    <t>Papillary</t>
  </si>
  <si>
    <t>infiltrative follicular</t>
  </si>
  <si>
    <t>1o</t>
  </si>
  <si>
    <t>PTC</t>
  </si>
  <si>
    <t>2p</t>
  </si>
  <si>
    <t>30 mm</t>
  </si>
  <si>
    <t>2o</t>
  </si>
  <si>
    <t>3p</t>
  </si>
  <si>
    <t>1 mm</t>
  </si>
  <si>
    <t>3o</t>
  </si>
  <si>
    <t>4p</t>
  </si>
  <si>
    <t>II</t>
  </si>
  <si>
    <t>9.5 mm</t>
  </si>
  <si>
    <t>15 mm</t>
  </si>
  <si>
    <t>4o</t>
  </si>
  <si>
    <t>5p1</t>
  </si>
  <si>
    <t>0.6 mm</t>
  </si>
  <si>
    <t>5p2</t>
  </si>
  <si>
    <t>5o</t>
  </si>
  <si>
    <t>6p</t>
  </si>
  <si>
    <t>6o</t>
  </si>
  <si>
    <t>7p</t>
  </si>
  <si>
    <t>7o</t>
  </si>
  <si>
    <t>8p</t>
  </si>
  <si>
    <t>11.5 mm</t>
  </si>
  <si>
    <t>8o</t>
  </si>
  <si>
    <t>9p</t>
  </si>
  <si>
    <t>9o</t>
  </si>
  <si>
    <t>10p</t>
  </si>
  <si>
    <t>1.5 x 0.5 x 0.8 cm</t>
  </si>
  <si>
    <t>10o</t>
  </si>
  <si>
    <t>11p</t>
  </si>
  <si>
    <t>11o</t>
  </si>
  <si>
    <t>12p</t>
  </si>
  <si>
    <t>12o</t>
  </si>
  <si>
    <t>13p</t>
  </si>
  <si>
    <t>III</t>
  </si>
  <si>
    <t>11mm</t>
  </si>
  <si>
    <t>13o</t>
  </si>
  <si>
    <t>14p</t>
  </si>
  <si>
    <t>3.9 cm</t>
  </si>
  <si>
    <t>14o</t>
  </si>
  <si>
    <t>15p</t>
  </si>
  <si>
    <t>NIFTP</t>
  </si>
  <si>
    <t>15o</t>
  </si>
  <si>
    <t>16p</t>
  </si>
  <si>
    <t>16o</t>
  </si>
  <si>
    <t>17p</t>
  </si>
  <si>
    <t>11 mm</t>
  </si>
  <si>
    <t>17o</t>
  </si>
  <si>
    <t>18p</t>
  </si>
  <si>
    <t>18o</t>
  </si>
  <si>
    <t>19p</t>
  </si>
  <si>
    <t>19o</t>
  </si>
  <si>
    <t>20p</t>
  </si>
  <si>
    <t>20o</t>
  </si>
  <si>
    <t>21p</t>
  </si>
  <si>
    <t>1.8 cm</t>
  </si>
  <si>
    <t>21o</t>
  </si>
  <si>
    <t>22p</t>
  </si>
  <si>
    <t>22o</t>
  </si>
  <si>
    <t>23p</t>
  </si>
  <si>
    <t>23o</t>
  </si>
  <si>
    <t>24p</t>
  </si>
  <si>
    <t>24o</t>
  </si>
  <si>
    <t>25p</t>
  </si>
  <si>
    <t>25o</t>
  </si>
  <si>
    <t>1cm</t>
  </si>
  <si>
    <t>26p</t>
  </si>
  <si>
    <t>26o</t>
  </si>
  <si>
    <t>27p</t>
  </si>
  <si>
    <t>27o</t>
  </si>
  <si>
    <t>28p</t>
  </si>
  <si>
    <t>28o</t>
  </si>
  <si>
    <t>29p</t>
  </si>
  <si>
    <t>29o</t>
  </si>
  <si>
    <t>30p</t>
  </si>
  <si>
    <t>30o</t>
  </si>
  <si>
    <t>31p</t>
  </si>
  <si>
    <t>31o</t>
  </si>
  <si>
    <t>32p</t>
  </si>
  <si>
    <t>Follicular</t>
  </si>
  <si>
    <t>32o</t>
  </si>
  <si>
    <t>33p</t>
  </si>
  <si>
    <t>33o</t>
  </si>
  <si>
    <t>34p</t>
  </si>
  <si>
    <t>34o</t>
  </si>
  <si>
    <t>35p</t>
  </si>
  <si>
    <t>35o</t>
  </si>
  <si>
    <t>Name</t>
  </si>
  <si>
    <t>Description</t>
  </si>
  <si>
    <t>ATA risk stratification category</t>
  </si>
  <si>
    <t>8th edition of AJCC cancer staging</t>
  </si>
  <si>
    <t>Age at cancer diagnosis‡</t>
  </si>
  <si>
    <t>Tumor stage‡</t>
  </si>
  <si>
    <t>Lymph node stage†‡</t>
  </si>
  <si>
    <t>Metastasis stage†‡</t>
  </si>
  <si>
    <t>Total number of lymph node resected†</t>
  </si>
  <si>
    <t>Size of largest involved lymph node†</t>
  </si>
  <si>
    <t>Histopathology†</t>
  </si>
  <si>
    <t>Histological subtype†</t>
  </si>
  <si>
    <t>Tumor size‡</t>
  </si>
  <si>
    <t>Vascular invasion†</t>
  </si>
  <si>
    <t>Number of foci of vascular invasion for FTC†</t>
  </si>
  <si>
    <t>Capsular invasion†</t>
  </si>
  <si>
    <t>Microscopic extrathyroidal extension†</t>
  </si>
  <si>
    <t>Mutation type†</t>
  </si>
  <si>
    <t>RAI-avid metastatic foci outside the thyroid bed on the first posttreatment whole-body radioiodine scan†</t>
  </si>
  <si>
    <t>Gross extrathyroidal extension†‡</t>
  </si>
  <si>
    <t>Thyroidectomy type</t>
  </si>
  <si>
    <t>Completeness of resection (surgeon) †</t>
  </si>
  <si>
    <t>Completeness of resection (pathologist) †</t>
  </si>
  <si>
    <t>Postoperative serum thyroglobulin†</t>
  </si>
  <si>
    <t>† Item for American Thyroid Association 2009 risk stratification</t>
  </si>
  <si>
    <t>‡ Item for 8th edition of the American Joint Committee on Cancer TNM staging system of thyroid cancer</t>
  </si>
  <si>
    <t>ATA RISK</t>
  </si>
  <si>
    <t>T</t>
  </si>
  <si>
    <t>N</t>
  </si>
  <si>
    <t>M</t>
  </si>
  <si>
    <t>AJCC 8</t>
  </si>
  <si>
    <t>4mm</t>
  </si>
  <si>
    <t>T1</t>
  </si>
  <si>
    <t>T1a</t>
  </si>
  <si>
    <t>T1b</t>
  </si>
  <si>
    <t>T2</t>
  </si>
  <si>
    <t>T3</t>
  </si>
  <si>
    <t>T4</t>
  </si>
  <si>
    <t>N0</t>
  </si>
  <si>
    <t>N1</t>
  </si>
  <si>
    <t>N1a</t>
  </si>
  <si>
    <t>N1b</t>
  </si>
  <si>
    <t>M0</t>
  </si>
  <si>
    <t>M1</t>
  </si>
  <si>
    <t>2.5cm</t>
  </si>
  <si>
    <t>intermediate</t>
  </si>
  <si>
    <t>high</t>
  </si>
  <si>
    <t>low</t>
  </si>
  <si>
    <t>LN extent</t>
  </si>
  <si>
    <t>Papillary carcinoma</t>
  </si>
  <si>
    <t>Not identified</t>
  </si>
  <si>
    <t>8g</t>
  </si>
  <si>
    <t>23g</t>
  </si>
  <si>
    <t>infiltrative follicular subtype</t>
  </si>
  <si>
    <t>Present</t>
  </si>
  <si>
    <t>2cm</t>
  </si>
  <si>
    <t>Minimally invasive follicular carcinoma</t>
  </si>
  <si>
    <t>50 mm and 30 mm respectively</t>
  </si>
  <si>
    <t>50 mm</t>
  </si>
  <si>
    <t>4cm</t>
  </si>
  <si>
    <t>Cancer of thyroid</t>
  </si>
  <si>
    <t>1.3cm</t>
  </si>
  <si>
    <t>Papillary carcinoma, classic subtype</t>
  </si>
  <si>
    <t>2mm</t>
  </si>
  <si>
    <t>10g</t>
  </si>
  <si>
    <t>10 mm</t>
  </si>
  <si>
    <t>6g</t>
  </si>
  <si>
    <t>Absent</t>
  </si>
  <si>
    <t>Focal involvement by invasive carcinoma at posterior surface</t>
  </si>
  <si>
    <t>7 mm (microscopical dimension)</t>
  </si>
  <si>
    <t>4.5 mm</t>
  </si>
  <si>
    <t>24.5 mm</t>
  </si>
  <si>
    <t>3cm</t>
  </si>
  <si>
    <t>1b</t>
  </si>
  <si>
    <t>x</t>
  </si>
  <si>
    <t>1a</t>
  </si>
  <si>
    <t>3b</t>
  </si>
  <si>
    <t>3a</t>
  </si>
  <si>
    <t>4a</t>
  </si>
  <si>
    <t>4b</t>
  </si>
  <si>
    <t>GROUND TRUTH</t>
  </si>
  <si>
    <t>PERFORMANCE</t>
  </si>
  <si>
    <t>13 mm</t>
  </si>
  <si>
    <t>classic</t>
  </si>
  <si>
    <t>63 mm</t>
  </si>
  <si>
    <t>papillary</t>
  </si>
  <si>
    <t>tall cell</t>
  </si>
  <si>
    <r>
      <t>NoFociVIFTC</t>
    </r>
    <r>
      <rPr>
        <b/>
        <sz val="11"/>
        <rFont val="Calibri (Body)"/>
      </rPr>
      <t xml:space="preserve"> (extensive/minimal)</t>
    </r>
  </si>
  <si>
    <t>pT1b</t>
  </si>
  <si>
    <t>pT2</t>
  </si>
  <si>
    <t>pN1a</t>
  </si>
  <si>
    <t>pT3b</t>
  </si>
  <si>
    <t>pT3a</t>
  </si>
  <si>
    <t>pT4a</t>
  </si>
  <si>
    <t>ID</t>
  </si>
  <si>
    <t>Date of clinical note or operation</t>
  </si>
  <si>
    <t>Age of patient</t>
  </si>
  <si>
    <t>Tumor staging (pT)</t>
  </si>
  <si>
    <t>Regional lymph node staging (pN)</t>
  </si>
  <si>
    <t>Distant metastasis staging (pM)</t>
  </si>
  <si>
    <t>Site of lymph node involved</t>
  </si>
  <si>
    <t>Distant metastasis involvement</t>
  </si>
  <si>
    <t>Number of lymph node resected</t>
  </si>
  <si>
    <t>Number of lymph node involved</t>
  </si>
  <si>
    <t>Greatest dimension of involved lymph node</t>
  </si>
  <si>
    <t>Histological type of thyroid cancer</t>
  </si>
  <si>
    <t>Histological subtype or variant</t>
  </si>
  <si>
    <t>Greatest dimension of tumor size</t>
  </si>
  <si>
    <t>Number of tumor</t>
  </si>
  <si>
    <t>Presence of angioinvasion</t>
  </si>
  <si>
    <t>Extensiveness of angioinvasion</t>
  </si>
  <si>
    <t>Presence of capsular invasion</t>
  </si>
  <si>
    <t>Gene mutation test performed</t>
  </si>
  <si>
    <t>Gene mutation type identified</t>
  </si>
  <si>
    <t>Presence of involved surgical margin</t>
  </si>
  <si>
    <t>IDv2</t>
  </si>
  <si>
    <t>Report</t>
  </si>
  <si>
    <t>Cannot be assessed</t>
  </si>
  <si>
    <t>Multinodular goitre</t>
  </si>
  <si>
    <t>Papillary carcinoma, encapsulated classic subtype</t>
  </si>
  <si>
    <t>Resection margins clear</t>
  </si>
  <si>
    <t>40g</t>
  </si>
  <si>
    <t>Focal (&lt; 4 vessels)</t>
  </si>
  <si>
    <t>Suspicious foci</t>
  </si>
  <si>
    <t>Present (focal)</t>
  </si>
  <si>
    <t>6 cm</t>
  </si>
  <si>
    <t>follicular</t>
  </si>
  <si>
    <t>PATIENT ID</t>
  </si>
  <si>
    <t>Site of extrathyroidal extension</t>
  </si>
  <si>
    <t>NX</t>
  </si>
  <si>
    <t>MX</t>
  </si>
  <si>
    <t>Focally involved by carcinoma (Block 1)</t>
  </si>
  <si>
    <t>Anterior surface : Focally involved by carcinoma (Block 1)</t>
  </si>
  <si>
    <t>8 mm &amp; 2 mm</t>
  </si>
  <si>
    <t>Uninvolved by carcinoma</t>
  </si>
  <si>
    <t>fatty soft tissue at isthmus</t>
  </si>
  <si>
    <t>Not mentioned</t>
  </si>
  <si>
    <t>3 mm (block A7)</t>
  </si>
  <si>
    <t>Anterior surface: &lt; 0.1 mm from carcinoma (block 3)</t>
  </si>
  <si>
    <t>27 x 22 x 17 mm (mid pole tumor)</t>
  </si>
  <si>
    <t>TX</t>
  </si>
  <si>
    <t>Positive</t>
  </si>
  <si>
    <t>The tumour measures less than 0.1 mm from the anterior, posterior and lateral margins</t>
  </si>
  <si>
    <t>Left SCF LN</t>
  </si>
  <si>
    <t>Invading only strap muscles</t>
  </si>
  <si>
    <t>Clear</t>
  </si>
  <si>
    <t>The isthmic margin is clear.</t>
  </si>
  <si>
    <t>Minimal</t>
  </si>
  <si>
    <t>Present (minimal)</t>
  </si>
  <si>
    <t>Right lateral neck LNs</t>
  </si>
  <si>
    <t>2 (upper pole and lower pole)</t>
  </si>
  <si>
    <t>Microscopic extrathyroidal extension to skeletal muscle anterior to the thyroid gland is present (Block B2)</t>
  </si>
  <si>
    <t>Cancer</t>
  </si>
  <si>
    <t>Anterior: 1 mm (block 1), Posterior: 2 mm (block 3), Isthmic: 4 mm (block 3)</t>
  </si>
  <si>
    <t>Anterior and posterior margins focally involved</t>
  </si>
  <si>
    <t>Margin</t>
  </si>
  <si>
    <t>Indeterminate</t>
  </si>
  <si>
    <t>Margins involved</t>
  </si>
  <si>
    <t>Classic</t>
  </si>
  <si>
    <t>Microscopic invasive of the surrounding fat at the 2 mm tumor nodule. No gross invasion was detected. No involvement of skeletal muscle bundles is detected.</t>
  </si>
  <si>
    <t>7g</t>
  </si>
  <si>
    <t>pT1</t>
  </si>
  <si>
    <t>Touched posterior and lateral margins with involvement of extrathyroid soft tissue</t>
  </si>
  <si>
    <t>Several</t>
  </si>
  <si>
    <t>PTC (Papillary Thyroid Cancer)</t>
  </si>
  <si>
    <t>14g (Right thyroid) and 9g (Left thyroid)</t>
  </si>
  <si>
    <t>Oncocytic classic</t>
  </si>
  <si>
    <t>20 mm (Lower pole tumour)</t>
  </si>
  <si>
    <t>Focal Invasion</t>
  </si>
  <si>
    <t>Invading soft tissue and strap muscles</t>
  </si>
  <si>
    <t>Anterior margin: Involved by tumour, Posterior margin: Involved by tumour</t>
  </si>
  <si>
    <t>4 or more</t>
  </si>
  <si>
    <t>Negative</t>
  </si>
  <si>
    <t>15g (Right thyroid) and 9g (Left thyroid)</t>
  </si>
  <si>
    <t>Left, central, compartment, neck, multiple (&gt;5)</t>
  </si>
  <si>
    <t>1 (right lobe)</t>
  </si>
  <si>
    <t>Anterior margin: Involved by invasive carcinoma</t>
  </si>
  <si>
    <t>Margins uninvolved</t>
  </si>
  <si>
    <t>Right thyroid nodule</t>
  </si>
  <si>
    <t>minimally invasive follicular carcinoma</t>
  </si>
  <si>
    <t>&lt;4</t>
  </si>
  <si>
    <t>Uninvolved by carcinoma: 0.3 mm from anterior margin</t>
  </si>
  <si>
    <t>invades surrounding skeletal muscle</t>
  </si>
  <si>
    <t>Encapsulated classic</t>
  </si>
  <si>
    <t>Tumor is present</t>
  </si>
  <si>
    <t>40 x 20 x 20 mm (left thyroid lobe)</t>
  </si>
  <si>
    <t>Suspicious</t>
  </si>
  <si>
    <t>36 x 32 x 26 mm</t>
  </si>
  <si>
    <t>24g (right) and 9g (left)</t>
  </si>
  <si>
    <t>The carcinoma reaches the anterior and anterolateral capsule without breaching the capsule.</t>
  </si>
  <si>
    <t>Involved by carcinoma</t>
  </si>
  <si>
    <t>Anterior margin : 0.3 mm, Posterior margin: involved by carcinoma, Lateral margin  : less than 0.1 mm, Isthmic margin  : More than 10 mm</t>
  </si>
  <si>
    <t>The anterior, posterior and lateral surfaces are clear by 0.4 mm, 0.9 mm and 1.5 mm respectively (Block 2). The superior and inferior surfaces are grossly well clear. The isthmic margin is clear (Block 1)</t>
  </si>
  <si>
    <t>Not applicable</t>
  </si>
  <si>
    <t>4.3 cm</t>
  </si>
  <si>
    <t>9mm</t>
  </si>
  <si>
    <t>Multiple enlarged</t>
  </si>
  <si>
    <t>4 or more (encases right RLN)</t>
  </si>
  <si>
    <t>0.2 mm (block B2)</t>
  </si>
  <si>
    <t>Cancer of thyroid - right lobe</t>
  </si>
  <si>
    <t>Right thyroid 1cm tumour with gross ETE to strap muscle</t>
  </si>
  <si>
    <t>4 cm</t>
  </si>
  <si>
    <t>1 out of 2 lymph nodes involved by papillary carcinoma</t>
  </si>
  <si>
    <t>Hurthle cell</t>
  </si>
  <si>
    <t>5 (middle pole) and 2.5 (isthmus)</t>
  </si>
  <si>
    <t>12 mm</t>
  </si>
  <si>
    <t>4.5 x 3 x 2cm (for left thyroid)</t>
  </si>
  <si>
    <t>1 (for left thyroid)</t>
  </si>
  <si>
    <t>invading to carotid sheath and wrapped around RLN at lower pole</t>
  </si>
  <si>
    <t>Present, posteriorly it invaded to muscular layer of esophagus and prevertebral fascia</t>
  </si>
  <si>
    <t>Left central compartment LN</t>
  </si>
  <si>
    <t>Focally into adjacent fibroadipose tissue</t>
  </si>
  <si>
    <t>Involved</t>
  </si>
  <si>
    <t>28g (left lobe)</t>
  </si>
  <si>
    <t>Lung, Bone</t>
  </si>
  <si>
    <t>16g (Right thyroid), 1g (Left thyroid remnant)</t>
  </si>
  <si>
    <t>Tall cell variant</t>
  </si>
  <si>
    <t>Left lateral level II, III, IV</t>
  </si>
  <si>
    <t>Lung</t>
  </si>
  <si>
    <t>No extranodal extension</t>
  </si>
  <si>
    <t>11g (left) and 5g (right)</t>
  </si>
  <si>
    <t>Encapsulated</t>
  </si>
  <si>
    <t>Tumor focally involves the anterior margins (block 4)</t>
  </si>
  <si>
    <t>&lt; 4</t>
  </si>
  <si>
    <t>Left thyroid tumour occupying almost entire left lobe</t>
  </si>
  <si>
    <t>Identified</t>
  </si>
  <si>
    <t>The capsule is infiltrated by the tumor cells</t>
  </si>
  <si>
    <t>The mid to lower pole tumor measures 0.3 mm from both the anterior and posterior margins</t>
  </si>
  <si>
    <t>12g</t>
  </si>
  <si>
    <t>19g (weight)</t>
  </si>
  <si>
    <t>Microscopic clearance is seen at the posterior and anterior margins, measuring 0.3 mm and 0.5 mm, respectively.</t>
  </si>
  <si>
    <t>5 x 3 x 2 cm</t>
  </si>
  <si>
    <t>Present (lower pole tumour completely encased right RLN)</t>
  </si>
  <si>
    <t>Uninvolved by carcinoma, specify location and distance (mm): 0.5 mm, anterior and posterior aspects of isthmus</t>
  </si>
  <si>
    <t>Left, thyroid gland, 4cm, muscular layer of esophagus, prevertebral fascia</t>
  </si>
  <si>
    <t>Tumor excised en bloc with RLN</t>
  </si>
  <si>
    <t>Free of involvement</t>
  </si>
  <si>
    <t>Extensive (= or &gt;4 vessels)</t>
  </si>
  <si>
    <t>Invading subcutaneous soft tissues, larynx, trachea, esophagus or recurrent laryngeal nerve</t>
  </si>
  <si>
    <t>Tumour present in extrathyroidal adipose tissue (C12) and involves the cauterized margin of antero-inferior pole (C12)</t>
  </si>
  <si>
    <t>2</t>
  </si>
  <si>
    <t>IVA</t>
  </si>
  <si>
    <t>IVB</t>
  </si>
  <si>
    <t>ETE</t>
  </si>
  <si>
    <r>
      <t xml:space="preserve">TumorSize </t>
    </r>
    <r>
      <rPr>
        <b/>
        <sz val="11"/>
        <rFont val="Calibri (Body)"/>
      </rPr>
      <t>clean</t>
    </r>
  </si>
  <si>
    <r>
      <t>TumorSize</t>
    </r>
    <r>
      <rPr>
        <b/>
        <sz val="11"/>
        <rFont val="Calibri (Body)"/>
      </rPr>
      <t xml:space="preserve"> 
(cm)</t>
    </r>
  </si>
  <si>
    <t>EXTRACTED INFORMATION FOR CLASSIFCATION</t>
  </si>
  <si>
    <r>
      <t xml:space="preserve">SizeLN </t>
    </r>
    <r>
      <rPr>
        <b/>
        <sz val="11"/>
        <rFont val="Calibri (Body)"/>
      </rPr>
      <t>clean</t>
    </r>
  </si>
  <si>
    <r>
      <t xml:space="preserve">SizeLN
</t>
    </r>
    <r>
      <rPr>
        <b/>
        <sz val="11"/>
        <rFont val="Calibri (Body)"/>
      </rPr>
      <t xml:space="preserve"> (cm)</t>
    </r>
  </si>
  <si>
    <t>CLASSIFICATION RESULT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</si>
</sst>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6">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Times New Roman"/>
      <family val="1"/>
    </font>
    <font>
      <b/>
      <sz val="11"/>
      <color theme="1"/>
      <name val="Calibri"/>
      <family val="2"/>
      <scheme val="minor"/>
    </font>
    <font>
      <sz val="11"/>
      <color rgb="FFFF0000"/>
      <name val="Calibri"/>
      <family val="2"/>
      <scheme val="minor"/>
    </font>
    <font>
      <sz val="11"/>
      <name val="Calibri"/>
      <family val="2"/>
      <scheme val="minor"/>
    </font>
    <font>
      <sz val="11"/>
      <color theme="1"/>
      <name val="Calibri"/>
      <family val="2"/>
      <scheme val="minor"/>
    </font>
    <font>
      <b/>
      <sz val="11"/>
      <name val="Calibri"/>
      <family val="2"/>
      <scheme val="minor"/>
    </font>
    <font>
      <b/>
      <sz val="11"/>
      <name val="Calibri (Body)"/>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color rgb="FF9C6500"/>
      <name val="Calibri"/>
      <family val="2"/>
      <scheme val="minor"/>
    </font>
  </fonts>
  <fills count="35">
    <fill>
      <patternFill patternType="none"/>
    </fill>
    <fill>
      <patternFill patternType="gray125"/>
    </fill>
    <fill>
      <patternFill patternType="solid">
        <fgColor theme="7" tint="0.79998168889431442"/>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right/>
      <top/>
      <bottom style="thin">
        <color rgb="FF000000"/>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s>
  <cellStyleXfs count="46">
    <xf numFmtId="0" fontId="0" fillId="0" borderId="0"/>
    <xf numFmtId="9" fontId="9" fillId="0" borderId="0" applyFont="0" applyFill="0" applyBorder="0" applyAlignment="0" applyProtection="0"/>
    <xf numFmtId="0" fontId="4" fillId="0" borderId="0"/>
    <xf numFmtId="0" fontId="3" fillId="0" borderId="0"/>
    <xf numFmtId="0" fontId="12" fillId="0" borderId="0" applyNumberFormat="0" applyFill="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6" fillId="4" borderId="0" applyNumberFormat="0" applyBorder="0" applyAlignment="0" applyProtection="0"/>
    <xf numFmtId="0" fontId="17" fillId="5" borderId="0" applyNumberFormat="0" applyBorder="0" applyAlignment="0" applyProtection="0"/>
    <xf numFmtId="0" fontId="18" fillId="7" borderId="8" applyNumberFormat="0" applyAlignment="0" applyProtection="0"/>
    <xf numFmtId="0" fontId="19" fillId="8" borderId="9" applyNumberFormat="0" applyAlignment="0" applyProtection="0"/>
    <xf numFmtId="0" fontId="20" fillId="8" borderId="8" applyNumberFormat="0" applyAlignment="0" applyProtection="0"/>
    <xf numFmtId="0" fontId="21" fillId="0" borderId="10" applyNumberFormat="0" applyFill="0" applyAlignment="0" applyProtection="0"/>
    <xf numFmtId="0" fontId="22" fillId="9" borderId="11" applyNumberFormat="0" applyAlignment="0" applyProtection="0"/>
    <xf numFmtId="0" fontId="7" fillId="0" borderId="0" applyNumberFormat="0" applyFill="0" applyBorder="0" applyAlignment="0" applyProtection="0"/>
    <xf numFmtId="0" fontId="23" fillId="0" borderId="0" applyNumberFormat="0" applyFill="0" applyBorder="0" applyAlignment="0" applyProtection="0"/>
    <xf numFmtId="0" fontId="6" fillId="0" borderId="13" applyNumberFormat="0" applyFill="0" applyAlignment="0" applyProtection="0"/>
    <xf numFmtId="0" fontId="24"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4"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4" fillId="19" borderId="0" applyNumberFormat="0" applyBorder="0" applyAlignment="0" applyProtection="0"/>
    <xf numFmtId="0" fontId="2" fillId="20" borderId="0" applyNumberFormat="0" applyBorder="0" applyAlignment="0" applyProtection="0"/>
    <xf numFmtId="0" fontId="2" fillId="21" borderId="0" applyNumberFormat="0" applyBorder="0" applyAlignment="0" applyProtection="0"/>
    <xf numFmtId="0" fontId="24" fillId="23" borderId="0" applyNumberFormat="0" applyBorder="0" applyAlignment="0" applyProtection="0"/>
    <xf numFmtId="0" fontId="2" fillId="24" borderId="0" applyNumberFormat="0" applyBorder="0" applyAlignment="0" applyProtection="0"/>
    <xf numFmtId="0" fontId="2" fillId="25" borderId="0" applyNumberFormat="0" applyBorder="0" applyAlignment="0" applyProtection="0"/>
    <xf numFmtId="0" fontId="24" fillId="27" borderId="0" applyNumberFormat="0" applyBorder="0" applyAlignment="0" applyProtection="0"/>
    <xf numFmtId="0" fontId="2" fillId="28" borderId="0" applyNumberFormat="0" applyBorder="0" applyAlignment="0" applyProtection="0"/>
    <xf numFmtId="0" fontId="2" fillId="29" borderId="0" applyNumberFormat="0" applyBorder="0" applyAlignment="0" applyProtection="0"/>
    <xf numFmtId="0" fontId="24" fillId="31" borderId="0" applyNumberFormat="0" applyBorder="0" applyAlignment="0" applyProtection="0"/>
    <xf numFmtId="0" fontId="2" fillId="32" borderId="0" applyNumberFormat="0" applyBorder="0" applyAlignment="0" applyProtection="0"/>
    <xf numFmtId="0" fontId="2" fillId="33" borderId="0" applyNumberFormat="0" applyBorder="0" applyAlignment="0" applyProtection="0"/>
    <xf numFmtId="0" fontId="2" fillId="0" borderId="0"/>
    <xf numFmtId="0" fontId="25" fillId="6" borderId="0" applyNumberFormat="0" applyBorder="0" applyAlignment="0" applyProtection="0"/>
    <xf numFmtId="0" fontId="2" fillId="10" borderId="12" applyNumberFormat="0" applyFont="0" applyAlignment="0" applyProtection="0"/>
    <xf numFmtId="0" fontId="24" fillId="14" borderId="0" applyNumberFormat="0" applyBorder="0" applyAlignment="0" applyProtection="0"/>
    <xf numFmtId="0" fontId="24" fillId="18" borderId="0" applyNumberFormat="0" applyBorder="0" applyAlignment="0" applyProtection="0"/>
    <xf numFmtId="0" fontId="24" fillId="22" borderId="0" applyNumberFormat="0" applyBorder="0" applyAlignment="0" applyProtection="0"/>
    <xf numFmtId="0" fontId="24" fillId="26" borderId="0" applyNumberFormat="0" applyBorder="0" applyAlignment="0" applyProtection="0"/>
    <xf numFmtId="0" fontId="24" fillId="30" borderId="0" applyNumberFormat="0" applyBorder="0" applyAlignment="0" applyProtection="0"/>
    <xf numFmtId="0" fontId="24" fillId="34" borderId="0" applyNumberFormat="0" applyBorder="0" applyAlignment="0" applyProtection="0"/>
  </cellStyleXfs>
  <cellXfs count="48">
    <xf numFmtId="0" fontId="0" fillId="0" borderId="0" xfId="0"/>
    <xf numFmtId="0" fontId="5" fillId="0" borderId="0" xfId="0" applyFont="1"/>
    <xf numFmtId="0" fontId="5" fillId="0" borderId="1" xfId="0" applyFont="1" applyBorder="1"/>
    <xf numFmtId="0" fontId="8" fillId="0" borderId="0" xfId="0" applyFont="1" applyAlignment="1">
      <alignment horizontal="center" vertical="center"/>
    </xf>
    <xf numFmtId="0" fontId="10" fillId="0" borderId="0" xfId="0" applyFont="1"/>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10" fillId="0" borderId="0" xfId="0" applyFont="1" applyAlignment="1">
      <alignment horizontal="center" vertical="center"/>
    </xf>
    <xf numFmtId="1" fontId="10" fillId="0" borderId="2" xfId="0" applyNumberFormat="1" applyFont="1" applyBorder="1" applyAlignment="1">
      <alignment horizontal="center" vertical="center"/>
    </xf>
    <xf numFmtId="1" fontId="10" fillId="0" borderId="4" xfId="0" applyNumberFormat="1" applyFont="1" applyBorder="1" applyAlignment="1">
      <alignment horizontal="center" vertical="center" wrapText="1"/>
    </xf>
    <xf numFmtId="1" fontId="8" fillId="0" borderId="3" xfId="0" applyNumberFormat="1" applyFont="1" applyBorder="1" applyAlignment="1">
      <alignment horizontal="center"/>
    </xf>
    <xf numFmtId="10" fontId="8" fillId="0" borderId="0" xfId="1" applyNumberFormat="1" applyFont="1" applyFill="1" applyBorder="1"/>
    <xf numFmtId="0" fontId="3" fillId="0" borderId="0" xfId="0" applyFont="1"/>
    <xf numFmtId="0" fontId="3" fillId="0" borderId="0" xfId="0" applyFont="1" applyAlignment="1">
      <alignment horizontal="center"/>
    </xf>
    <xf numFmtId="0" fontId="3" fillId="2" borderId="0" xfId="0" applyFont="1" applyFill="1" applyAlignment="1">
      <alignment horizontal="center"/>
    </xf>
    <xf numFmtId="0" fontId="0" fillId="2" borderId="0" xfId="0" applyFill="1" applyAlignment="1">
      <alignment horizontal="center"/>
    </xf>
    <xf numFmtId="164" fontId="0" fillId="0" borderId="0" xfId="0" applyNumberFormat="1"/>
    <xf numFmtId="0" fontId="0" fillId="0" borderId="0" xfId="0" applyAlignment="1">
      <alignment horizontal="center"/>
    </xf>
    <xf numFmtId="0" fontId="0" fillId="0" borderId="0" xfId="0" applyAlignment="1">
      <alignment horizontal="left"/>
    </xf>
    <xf numFmtId="0" fontId="10" fillId="0" borderId="0" xfId="0" applyFont="1" applyAlignment="1">
      <alignment horizontal="center"/>
    </xf>
    <xf numFmtId="10" fontId="0" fillId="0" borderId="0" xfId="0" applyNumberFormat="1"/>
    <xf numFmtId="10" fontId="3" fillId="0" borderId="0" xfId="1" applyNumberFormat="1" applyFont="1" applyFill="1" applyBorder="1"/>
    <xf numFmtId="14" fontId="0" fillId="0" borderId="0" xfId="0" applyNumberFormat="1"/>
    <xf numFmtId="15" fontId="0" fillId="0" borderId="0" xfId="0" applyNumberFormat="1"/>
    <xf numFmtId="0" fontId="0" fillId="0" borderId="2" xfId="0" applyBorder="1"/>
    <xf numFmtId="0" fontId="3" fillId="0" borderId="2" xfId="0" applyFont="1" applyBorder="1" applyAlignment="1">
      <alignment horizontal="center"/>
    </xf>
    <xf numFmtId="164" fontId="0" fillId="0" borderId="2" xfId="0" applyNumberFormat="1" applyBorder="1"/>
    <xf numFmtId="0" fontId="0" fillId="0" borderId="2" xfId="0" applyBorder="1" applyAlignment="1">
      <alignment horizontal="center"/>
    </xf>
    <xf numFmtId="0" fontId="0" fillId="0" borderId="2" xfId="0" applyBorder="1" applyAlignment="1">
      <alignment horizontal="left"/>
    </xf>
    <xf numFmtId="1" fontId="8" fillId="0" borderId="4" xfId="0" applyNumberFormat="1" applyFont="1" applyBorder="1" applyAlignment="1">
      <alignment horizontal="center"/>
    </xf>
    <xf numFmtId="1" fontId="8" fillId="0" borderId="2" xfId="0" applyNumberFormat="1" applyFont="1" applyBorder="1" applyAlignment="1">
      <alignment horizontal="center"/>
    </xf>
    <xf numFmtId="1" fontId="10" fillId="0" borderId="4" xfId="0" applyNumberFormat="1" applyFont="1" applyBorder="1" applyAlignment="1">
      <alignment horizontal="center" vertical="center"/>
    </xf>
    <xf numFmtId="1" fontId="8" fillId="0" borderId="0" xfId="0" applyNumberFormat="1" applyFont="1" applyAlignment="1">
      <alignment horizontal="center"/>
    </xf>
    <xf numFmtId="1" fontId="10" fillId="0" borderId="15" xfId="0" applyNumberFormat="1" applyFont="1" applyBorder="1" applyAlignment="1">
      <alignment horizontal="center" vertical="center"/>
    </xf>
    <xf numFmtId="1" fontId="8" fillId="0" borderId="14" xfId="0" applyNumberFormat="1" applyFont="1" applyBorder="1" applyAlignment="1">
      <alignment horizontal="center"/>
    </xf>
    <xf numFmtId="1" fontId="8" fillId="0" borderId="15" xfId="0" applyNumberFormat="1" applyFont="1" applyBorder="1" applyAlignment="1">
      <alignment horizontal="center"/>
    </xf>
    <xf numFmtId="0" fontId="8" fillId="0" borderId="3" xfId="0" applyFont="1" applyBorder="1" applyAlignment="1">
      <alignment horizontal="center"/>
    </xf>
    <xf numFmtId="0" fontId="8" fillId="0" borderId="0" xfId="0" applyFont="1" applyAlignment="1">
      <alignment horizontal="center"/>
    </xf>
    <xf numFmtId="0" fontId="8" fillId="0" borderId="4" xfId="0" applyFont="1" applyBorder="1" applyAlignment="1">
      <alignment horizontal="center"/>
    </xf>
    <xf numFmtId="0" fontId="8" fillId="0" borderId="2" xfId="0" applyFont="1" applyBorder="1" applyAlignment="1">
      <alignment horizontal="center"/>
    </xf>
    <xf numFmtId="2" fontId="10" fillId="0" borderId="2" xfId="0" applyNumberFormat="1" applyFont="1" applyBorder="1" applyAlignment="1">
      <alignment horizontal="center" vertical="center" wrapText="1"/>
    </xf>
    <xf numFmtId="0" fontId="1" fillId="0" borderId="0" xfId="0" applyFont="1"/>
    <xf numFmtId="0" fontId="10" fillId="2" borderId="0" xfId="0" applyFont="1" applyFill="1" applyAlignment="1">
      <alignment horizontal="center"/>
    </xf>
    <xf numFmtId="1" fontId="10" fillId="3" borderId="3" xfId="0" applyNumberFormat="1" applyFont="1" applyFill="1" applyBorder="1" applyAlignment="1">
      <alignment horizontal="center"/>
    </xf>
    <xf numFmtId="1" fontId="10" fillId="3" borderId="0" xfId="0" applyNumberFormat="1" applyFont="1" applyFill="1" applyAlignment="1">
      <alignment horizontal="center"/>
    </xf>
    <xf numFmtId="1" fontId="10" fillId="3" borderId="14" xfId="0" applyNumberFormat="1" applyFont="1" applyFill="1" applyBorder="1" applyAlignment="1">
      <alignment horizontal="center"/>
    </xf>
    <xf numFmtId="0" fontId="0" fillId="0" borderId="16" xfId="0" applyBorder="1" applyAlignment="1">
      <alignment horizontal="center"/>
    </xf>
    <xf numFmtId="0" fontId="0" fillId="0" borderId="0" xfId="0" applyBorder="1" applyAlignment="1">
      <alignment horizontal="center"/>
    </xf>
  </cellXfs>
  <cellStyles count="46">
    <cellStyle name="20% - Accent1" xfId="20" builtinId="30" customBuiltin="1"/>
    <cellStyle name="20% - Accent2" xfId="23" builtinId="34" customBuiltin="1"/>
    <cellStyle name="20% - Accent3" xfId="26" builtinId="38" customBuiltin="1"/>
    <cellStyle name="20% - Accent4" xfId="29" builtinId="42" customBuiltin="1"/>
    <cellStyle name="20% - Accent5" xfId="32" builtinId="46" customBuiltin="1"/>
    <cellStyle name="20% - Accent6" xfId="35" builtinId="50" customBuiltin="1"/>
    <cellStyle name="40% - Accent1" xfId="21" builtinId="31" customBuiltin="1"/>
    <cellStyle name="40% - Accent2" xfId="24" builtinId="35" customBuiltin="1"/>
    <cellStyle name="40% - Accent3" xfId="27" builtinId="39" customBuiltin="1"/>
    <cellStyle name="40% - Accent4" xfId="30" builtinId="43" customBuiltin="1"/>
    <cellStyle name="40% - Accent5" xfId="33" builtinId="47" customBuiltin="1"/>
    <cellStyle name="40% - Accent6" xfId="36" builtinId="51" customBuiltin="1"/>
    <cellStyle name="60% - Accent1 2" xfId="40" xr:uid="{0C43852C-115E-475F-996E-2E6B552A787A}"/>
    <cellStyle name="60% - Accent2 2" xfId="41" xr:uid="{18396898-0E43-47C8-AF3B-CE3B414DA01F}"/>
    <cellStyle name="60% - Accent3 2" xfId="42" xr:uid="{41988CE8-561A-4068-AB58-BDC32D7BC003}"/>
    <cellStyle name="60% - Accent4 2" xfId="43" xr:uid="{2C1DA9D9-C699-46CC-8F46-0AAFB6D4D2CC}"/>
    <cellStyle name="60% - Accent5 2" xfId="44" xr:uid="{B850B3EC-7518-4C4C-9AC4-406062816E07}"/>
    <cellStyle name="60% - Accent6 2" xfId="45" xr:uid="{BE985310-0348-4A0E-B58F-BB6E420F3A46}"/>
    <cellStyle name="Accent1" xfId="19" builtinId="29" customBuiltin="1"/>
    <cellStyle name="Accent2" xfId="22" builtinId="33" customBuiltin="1"/>
    <cellStyle name="Accent3" xfId="25" builtinId="37" customBuiltin="1"/>
    <cellStyle name="Accent4" xfId="28" builtinId="41" customBuiltin="1"/>
    <cellStyle name="Accent5" xfId="31" builtinId="45" customBuiltin="1"/>
    <cellStyle name="Accent6" xfId="34" builtinId="49" customBuiltin="1"/>
    <cellStyle name="Bad" xfId="10" builtinId="27" customBuiltin="1"/>
    <cellStyle name="Calculation" xfId="13" builtinId="22" customBuiltin="1"/>
    <cellStyle name="Check Cell" xfId="15" builtinId="23" customBuiltin="1"/>
    <cellStyle name="Explanatory Text" xfId="17"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Input" xfId="11" builtinId="20" customBuiltin="1"/>
    <cellStyle name="Linked Cell" xfId="14" builtinId="24" customBuiltin="1"/>
    <cellStyle name="Neutral 2" xfId="38" xr:uid="{4C4AF6F1-E759-42BD-A947-3D51191B37A0}"/>
    <cellStyle name="Normal" xfId="0" builtinId="0"/>
    <cellStyle name="Normal 2" xfId="2" xr:uid="{266EB89C-DF2D-482B-91DC-BD609FF311D0}"/>
    <cellStyle name="Normal 3" xfId="3" xr:uid="{487789B2-E6F5-48EB-A123-3C12300ABE75}"/>
    <cellStyle name="Normal 4" xfId="37" xr:uid="{8933903E-25B0-40DD-B280-C5ED34D225D7}"/>
    <cellStyle name="Note 2" xfId="39" xr:uid="{229BDDF4-8816-40CB-B8F6-A1B6E2DC4ADF}"/>
    <cellStyle name="Output" xfId="12" builtinId="21" customBuiltin="1"/>
    <cellStyle name="Percent" xfId="1" builtinId="5"/>
    <cellStyle name="Title" xfId="4" builtinId="15" customBuiltin="1"/>
    <cellStyle name="Total" xfId="18" builtinId="25" customBuiltin="1"/>
    <cellStyle name="Warning Text" xfId="16" builtinId="11" customBuiltin="1"/>
  </cellStyles>
  <dxfs count="3">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65DEB-A405-FD42-8A3F-BEDB5F4341EF}">
  <dimension ref="A1:AV64"/>
  <sheetViews>
    <sheetView tabSelected="1" zoomScale="70" zoomScaleNormal="70" workbookViewId="0">
      <pane xSplit="1" ySplit="2" topLeftCell="AD3" activePane="bottomRight" state="frozen"/>
      <selection pane="topRight"/>
      <selection pane="bottomLeft"/>
      <selection pane="bottomRight" activeCell="AG1" sqref="AG1:AK1"/>
    </sheetView>
  </sheetViews>
  <sheetFormatPr defaultColWidth="10.6640625" defaultRowHeight="14.25"/>
  <cols>
    <col min="2" max="2" width="11.33203125" hidden="1" customWidth="1"/>
    <col min="3" max="3" width="10.796875" style="17"/>
    <col min="4" max="4" width="11.73046875" customWidth="1"/>
    <col min="5" max="5" width="10.46484375" customWidth="1"/>
    <col min="6" max="6" width="10.796875" style="17"/>
    <col min="8" max="8" width="12.33203125" customWidth="1"/>
    <col min="9" max="9" width="11.796875" style="17" customWidth="1"/>
    <col min="10" max="10" width="12.53125" style="17" bestFit="1" customWidth="1"/>
    <col min="11" max="11" width="12.46484375" style="17" bestFit="1" customWidth="1"/>
    <col min="12" max="12" width="10.796875" hidden="1" customWidth="1"/>
    <col min="13" max="13" width="13.33203125" hidden="1" customWidth="1"/>
    <col min="14" max="14" width="9.6640625" customWidth="1"/>
    <col min="15" max="15" width="26.33203125" customWidth="1"/>
    <col min="16" max="16" width="24.796875" customWidth="1"/>
    <col min="17" max="17" width="17.6640625" hidden="1" customWidth="1"/>
    <col min="18" max="18" width="0" hidden="1" customWidth="1"/>
    <col min="20" max="20" width="14.6640625" style="17" customWidth="1"/>
    <col min="21" max="21" width="14.6640625" style="17" hidden="1" customWidth="1"/>
    <col min="22" max="22" width="23.53125" customWidth="1"/>
    <col min="23" max="23" width="11.86328125" customWidth="1"/>
    <col min="25" max="25" width="14.1328125" style="17" customWidth="1"/>
    <col min="26" max="28" width="14.1328125" style="17" hidden="1" customWidth="1"/>
    <col min="29" max="29" width="14.33203125" customWidth="1"/>
    <col min="30" max="30" width="86.73046875" customWidth="1"/>
    <col min="32" max="32" width="10.796875" style="17"/>
    <col min="33" max="33" width="13.265625" customWidth="1"/>
    <col min="34" max="37" width="10.796875" customWidth="1"/>
    <col min="38" max="38" width="11.33203125" bestFit="1" customWidth="1"/>
    <col min="39" max="44" width="10.796875" customWidth="1"/>
    <col min="45" max="47" width="10.6640625" customWidth="1"/>
  </cols>
  <sheetData>
    <row r="1" spans="1:47" s="4" customFormat="1">
      <c r="A1" s="42" t="s">
        <v>367</v>
      </c>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19"/>
      <c r="AG1" s="43" t="s">
        <v>370</v>
      </c>
      <c r="AH1" s="44"/>
      <c r="AI1" s="44"/>
      <c r="AJ1" s="44"/>
      <c r="AK1" s="44"/>
      <c r="AL1" s="43" t="s">
        <v>201</v>
      </c>
      <c r="AM1" s="44"/>
      <c r="AN1" s="44"/>
      <c r="AO1" s="44"/>
      <c r="AP1" s="44"/>
      <c r="AQ1" s="43" t="s">
        <v>202</v>
      </c>
      <c r="AR1" s="44"/>
      <c r="AS1" s="44"/>
      <c r="AT1" s="44"/>
      <c r="AU1" s="45"/>
    </row>
    <row r="2" spans="1:47" s="3" customFormat="1" ht="42">
      <c r="A2" s="5" t="s">
        <v>0</v>
      </c>
      <c r="B2" s="5" t="s">
        <v>1</v>
      </c>
      <c r="C2" s="5" t="s">
        <v>4</v>
      </c>
      <c r="D2" s="5" t="s">
        <v>5</v>
      </c>
      <c r="E2" s="5" t="s">
        <v>6</v>
      </c>
      <c r="F2" s="5" t="s">
        <v>7</v>
      </c>
      <c r="G2" s="5" t="s">
        <v>8</v>
      </c>
      <c r="H2" s="5" t="s">
        <v>169</v>
      </c>
      <c r="I2" s="5" t="s">
        <v>9</v>
      </c>
      <c r="J2" s="5" t="s">
        <v>10</v>
      </c>
      <c r="K2" s="5" t="s">
        <v>11</v>
      </c>
      <c r="L2" s="5" t="s">
        <v>12</v>
      </c>
      <c r="M2" s="5" t="s">
        <v>368</v>
      </c>
      <c r="N2" s="40" t="s">
        <v>369</v>
      </c>
      <c r="O2" s="5" t="s">
        <v>13</v>
      </c>
      <c r="P2" s="5" t="s">
        <v>14</v>
      </c>
      <c r="Q2" s="5" t="s">
        <v>15</v>
      </c>
      <c r="R2" s="6" t="s">
        <v>365</v>
      </c>
      <c r="S2" s="40" t="s">
        <v>366</v>
      </c>
      <c r="T2" s="5" t="s">
        <v>16</v>
      </c>
      <c r="U2" s="5" t="s">
        <v>17</v>
      </c>
      <c r="V2" s="5" t="s">
        <v>18</v>
      </c>
      <c r="W2" s="6" t="s">
        <v>208</v>
      </c>
      <c r="X2" s="5" t="s">
        <v>19</v>
      </c>
      <c r="Y2" s="5" t="s">
        <v>20</v>
      </c>
      <c r="Z2" s="5" t="s">
        <v>21</v>
      </c>
      <c r="AA2" s="5" t="s">
        <v>22</v>
      </c>
      <c r="AB2" s="6" t="s">
        <v>23</v>
      </c>
      <c r="AC2" s="5" t="s">
        <v>24</v>
      </c>
      <c r="AD2" s="6" t="s">
        <v>364</v>
      </c>
      <c r="AE2" s="5" t="s">
        <v>276</v>
      </c>
      <c r="AF2" s="7"/>
      <c r="AG2" s="31" t="s">
        <v>147</v>
      </c>
      <c r="AH2" s="8" t="s">
        <v>148</v>
      </c>
      <c r="AI2" s="8" t="s">
        <v>149</v>
      </c>
      <c r="AJ2" s="8" t="s">
        <v>150</v>
      </c>
      <c r="AK2" s="8" t="s">
        <v>151</v>
      </c>
      <c r="AL2" s="9" t="s">
        <v>147</v>
      </c>
      <c r="AM2" s="8" t="s">
        <v>148</v>
      </c>
      <c r="AN2" s="8" t="s">
        <v>149</v>
      </c>
      <c r="AO2" s="8" t="s">
        <v>150</v>
      </c>
      <c r="AP2" s="8" t="s">
        <v>151</v>
      </c>
      <c r="AQ2" s="9" t="s">
        <v>147</v>
      </c>
      <c r="AR2" s="8" t="s">
        <v>148</v>
      </c>
      <c r="AS2" s="8" t="s">
        <v>149</v>
      </c>
      <c r="AT2" s="8" t="s">
        <v>150</v>
      </c>
      <c r="AU2" s="33" t="s">
        <v>151</v>
      </c>
    </row>
    <row r="3" spans="1:47">
      <c r="A3" s="13">
        <v>1</v>
      </c>
      <c r="B3" s="16"/>
      <c r="C3" s="17">
        <f>_xlfn.MAXIFS('Model output'!C:C,'Model output'!Z:Z,'Classification result'!$A3)</f>
        <v>67</v>
      </c>
      <c r="D3" s="17" t="str" cm="1">
        <f t="array" ref="D3">LEFT(IF(ISERROR(RIGHT(IF(INDEX(_xlfn._xlws.FILTER('Model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output'!Z:Z=A3)),1),""),1))),"",(RIGHT(IF(INDEX(_xlfn._xlws.FILTER('Model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output'!Z:Z=A3)),1)))))),2)</f>
        <v>1b</v>
      </c>
      <c r="E3" s="17" t="str" cm="1">
        <f t="array" ref="E3">IF(ISNUMBER(SEARCH("N",IF(ISNUMBER(SEARCH("present",IF(INDEX(_xlfn._xlws.FILTER('Model output'!E:E,('Model output'!Z:Z=A3)),1)="","",INDEX(_xlfn._xlws.FILTER('Model output'!E:E,('Model output'!Z:Z=A3)),1)),1)),"N1", IF(INDEX(_xlfn._xlws.FILTER('Model output'!E:E,('Model output'!Z:Z=A3)),1)="","",INDEX(_xlfn._xlws.FILTER('Model output'!E:E,('Model output'!Z:Z=A3)),1))),1)),RIGHT(IF(ISNUMBER(SEARCH("present",IF(INDEX(_xlfn._xlws.FILTER('Model output'!E:E,('Model output'!Z:Z=A3)),1)="","",INDEX(_xlfn._xlws.FILTER('Model output'!E:E,('Model output'!Z:Z=A3)),1)),1)),"N1", IF(INDEX(_xlfn._xlws.FILTER('Model output'!E:E,('Model output'!Z:Z=A3)),1)="","",INDEX(_xlfn._xlws.FILTER('Model output'!E:E,('Model output'!Z:Z=A3)),1))),LEN(IF(ISNUMBER(SEARCH("present",IF(INDEX(_xlfn._xlws.FILTER('Model output'!E:E,('Model output'!Z:Z=A3)),1)="","",INDEX(_xlfn._xlws.FILTER('Model output'!E:E,('Model output'!Z:Z=A3)),1)),1)),"N1", IF(INDEX(_xlfn._xlws.FILTER('Model output'!E:E,('Model output'!Z:Z=A3)),1)="","",INDEX(_xlfn._xlws.FILTER('Model output'!E:E,('Model output'!Z:Z=A3)),1))))-FIND("N",IF(ISNUMBER(SEARCH("present",IF(INDEX(_xlfn._xlws.FILTER('Model output'!E:E,('Model output'!Z:Z=A3)),1)="","",INDEX(_xlfn._xlws.FILTER('Model output'!E:E,('Model output'!Z:Z=A3)),1)),1)),"N1", IF(INDEX(_xlfn._xlws.FILTER('Model output'!E:E,('Model output'!Z:Z=A3)),1)="","",INDEX(_xlfn._xlws.FILTER('Model output'!E:E,('Model output'!Z:Z=A3)),1))),1)), "")</f>
        <v/>
      </c>
      <c r="F3" s="17" cm="1">
        <f t="array" ref="F3">IF(AND(SUBSTITUTE(_xlfn.TEXTJOIN("/", TRUE, _xlfn._xlws.FILTER('Model output'!F:F, 'Model output'!Z:Z=A3)),"M", "")="", I3="negative"),0,IF(I3="positive",1,0))</f>
        <v>0</v>
      </c>
      <c r="G3" t="str">
        <f t="shared" ref="G3:G37" si="0">IF(OR(H3&lt;&gt;"",AND(K3&lt;&gt;"",K3&gt;0)),"positive","")</f>
        <v/>
      </c>
      <c r="H3" t="str" cm="1">
        <f t="array" ref="H3">IF(AND(K3&gt;0, _xlfn.TEXTJOIN("; ", TRUE, _xlfn._xlws.FILTER('Model output'!G:G, 'Model output'!Z:Z=A3)) &lt;&gt;"", OR(AND(ISNUMBER(SEARCH("level", _xlfn.TEXTJOIN("; ", TRUE, _xlfn._xlws.FILTER('Model output'!G:G, 'Model output'!Z:Z=A3)),1)),OR(ISNUMBER(SEARCH(" II", _xlfn.TEXTJOIN("; ", TRUE, _xlfn._xlws.FILTER('Model output'!G:G, 'Model output'!Z:Z=A3)),1)),ISNUMBER(SEARCH("2", _xlfn.TEXTJOIN("; ", TRUE, _xlfn._xlws.FILTER('Model output'!G:G, 'Model output'!Z:Z=A3)),1)),ISNUMBER(SEARCH("two", _xlfn.TEXTJOIN("; ", TRUE, _xlfn._xlws.FILTER('Model output'!G:G, 'Model output'!Z:Z=A3)),1)),ISNUMBER(SEARCH("III", _xlfn.TEXTJOIN("; ", TRUE, _xlfn._xlws.FILTER('Model output'!G:G, 'Model output'!Z:Z=A3)),1)),ISNUMBER(SEARCH("3", _xlfn.TEXTJOIN("; ", TRUE, _xlfn._xlws.FILTER('Model output'!G:G, 'Model output'!Z:Z=A3)),1)),ISNUMBER(SEARCH("three", _xlfn.TEXTJOIN("; ", TRUE, _xlfn._xlws.FILTER('Model output'!G:G, 'Model output'!Z:Z=A3)),1)),ISNUMBER(SEARCH("IV", _xlfn.TEXTJOIN("; ", TRUE, _xlfn._xlws.FILTER('Model output'!G:G, 'Model output'!Z:Z=A3)),1)),ISNUMBER(SEARCH("4", _xlfn.TEXTJOIN("; ", TRUE, _xlfn._xlws.FILTER('Model output'!G:G, 'Model output'!Z:Z=A3)),1)),ISNUMBER(SEARCH("five", _xlfn.TEXTJOIN("; ", TRUE, _xlfn._xlws.FILTER('Model output'!G:G, 'Model output'!Z:Z=A3)),1)),ISNUMBER(SEARCH("V ", _xlfn.TEXTJOIN("; ", TRUE, _xlfn._xlws.FILTER('Model output'!G:G, 'Model output'!Z:Z=A3)),1)),ISNUMBER(SEARCH("5", _xlfn.TEXTJOIN("; ", TRUE, _xlfn._xlws.FILTER('Model output'!G:G, 'Model output'!Z:Z=A3)),1)),ISNUMBER(SEARCH("five", _xlfn.TEXTJOIN("; ", TRUE, _xlfn._xlws.FILTER('Model output'!G:G, 'Model output'!Z:Z=A3)),1)),ISNUMBER(SEARCH(" lateral", _xlfn.TEXTJOIN("; ", TRUE, _xlfn._xlws.FILTER('Model output'!G:G, 'Model output'!Z:Z=A3)),1)))),ISNUMBER(SEARCH("cervical", _xlfn.TEXTJOIN("; ", TRUE, _xlfn._xlws.FILTER('Model output'!G:G, 'Model output'!Z:Z=A3)),1)),ISNUMBER(SEARCH("jugular", _xlfn.TEXTJOIN("; ", TRUE, _xlfn._xlws.FILTER('Model output'!G:G, 'Model output'!Z:Z=A3)),1)),ISNUMBER(SEARCH("left neck", _xlfn.TEXTJOIN("; ", TRUE, _xlfn._xlws.FILTER('Model output'!G:G, 'Model output'!Z:Z=A3)),1)),ISNUMBER(SEARCH("left anterior neck", _xlfn.TEXTJOIN("; ", TRUE, _xlfn._xlws.FILTER('Model output'!G:G, 'Model output'!Z:Z=A3)),1)),ISNUMBER(SEARCH("left posterior neck", _xlfn.TEXTJOIN("; ", TRUE, _xlfn._xlws.FILTER('Model output'!G:G, 'Model output'!Z:Z=A3)),1)),ISNUMBER(SEARCH("right neck", _xlfn.TEXTJOIN("; ", TRUE, _xlfn._xlws.FILTER('Model output'!G:G, 'Model output'!Z:Z=A3)),1)),ISNUMBER(SEARCH("right anterior neck", _xlfn.TEXTJOIN("; ", TRUE, _xlfn._xlws.FILTER('Model output'!G:G, 'Model output'!Z:Z=A3)),1)),ISNUMBER(SEARCH("right posterior neck", _xlfn.TEXTJOIN("; ", TRUE, _xlfn._xlws.FILTER('Model output'!G:G, 'Model output'!Z:Z=A3)),1)))),"lateral",IF(AND(K3=0, _xlfn.TEXTJOIN("; ", TRUE, _xlfn._xlws.FILTER('Model output'!G:G, 'Model output'!Z:Z=A3))=""),"", "central"))</f>
        <v/>
      </c>
      <c r="I3" s="17" t="str" cm="1">
        <f t="array" ref="I3">IF(OR(ISNUMBER(SEARCH("lymph",_xlfn.TEXTJOIN("; ", TRUE, _xlfn._xlws.FILTER('Model output'!H:H, 'Model output'!Z:Z=A3)),1)), ISNUMBER(SEARCH("Not mentioned",_xlfn.TEXTJOIN("; ", TRUE, _xlfn._xlws.FILTER('Model output'!H:H, 'Model output'!Z:Z=A3)),1)),ISNUMBER(SEARCH("subcutaneous soft tissues",_xlfn.TEXTJOIN("; ", TRUE, _xlfn._xlws.FILTER('Model output'!H:H, 'Model output'!Z:Z=A3)),1)),ISNUMBER(SEARCH("larynx",_xlfn.TEXTJOIN("; ", TRUE, _xlfn._xlws.FILTER('Model output'!H:H, 'Model output'!Z:Z=A3)),1)),ISNUMBER(SEARCH("trachea",_xlfn.TEXTJOIN("; ", TRUE, _xlfn._xlws.FILTER('Model output'!H:H, 'Model output'!Z:Z=A3)),1)),ISNUMBER(SEARCH("esophagus",_xlfn.TEXTJOIN("; ", TRUE, _xlfn._xlws.FILTER('Model output'!H:H, 'Model output'!Z:Z=A3)),1)),ISNUMBER(SEARCH("recurrent laryngeal nerve",_xlfn.TEXTJOIN("; ", TRUE, _xlfn._xlws.FILTER('Model output'!H:H, 'Model output'!Z:Z=A3)),1)),ISNUMBER(SEARCH("RLN",_xlfn.TEXTJOIN("; ", TRUE, _xlfn._xlws.FILTER('Model output'!H:H, 'Model output'!Z:Z=A3)),1)),_xlfn.TEXTJOIN("; ", TRUE, _xlfn._xlws.FILTER('Model output'!H:H, 'Model output'!Z:Z=A3))=""),"negative","positive")</f>
        <v>negative</v>
      </c>
      <c r="J3" s="17">
        <f>IF(IFERROR(INDEX('Model output'!I:I, MATCH(A3, 'Model output'!Z:Z, 0)), "") &lt; K3, "", IFERROR(INDEX('Model output'!I:I, MATCH(A3, 'Model output'!Z:Z, 0)), ""))</f>
        <v>0</v>
      </c>
      <c r="K3" s="17">
        <f>IFERROR(INDEX('Model output'!J:J, MATCH(A3, 'Model output'!Z:Z, 0)), "")</f>
        <v>0</v>
      </c>
      <c r="L3" s="18" t="str" cm="1">
        <f t="array" ref="L3">ReplaceTo(ReplaceAnd(SUBSTITUTE(SUBSTITUTE(_xlfn.TEXTJOIN("; ", TRUE, _xlfn._xlws.FILTER('Model output'!K:K, 'Model output'!Z:Z=A3)), " ", ""), ",", ";")))</f>
        <v/>
      </c>
      <c r="M3" t="str" cm="1">
        <f t="array" ref="M3">IF(LEFT(IF(RIGHT(SUBSTITUTE(FilterWithUnits(L3)&amp;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";")),1)=";",RIGHT(IF(RIGHT(SUBSTITUTE(FilterWithUnits(L3)&amp;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";")),LEN(IF(RIGHT(SUBSTITUTE(FilterWithUnits(L3)&amp;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";")))-1),IF(RIGHT(SUBSTITUTE(FilterWithUnits(L3)&amp;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f>
        <v/>
      </c>
      <c r="N3" t="str" cm="1">
        <f t="array" ref="N3">IF(MaxSize((SplitDimensions(M3)))=0, "", MaxSize((SplitDimensions(M3))))</f>
        <v/>
      </c>
      <c r="O3" t="str" cm="1">
        <f t="array" ref="O3">IF(ISERROR(INDEX(_xlfn._xlws.FILTER('Model output'!L:L, ('Model output'!Z:Z=A3)*('Model output'!L:L&lt;&gt;"")), 1)), " ", LOWER(INDEX(_xlfn._xlws.FILTER('Model output'!L:L, ('Model output'!Z:Z=A3)*('Model output'!L:L&lt;&gt;"")), 1)))</f>
        <v>papillary</v>
      </c>
      <c r="P3" t="str" cm="1">
        <f t="array" ref="P3">O3 &amp; " " &amp;IF(ISERROR(INDEX(_xlfn._xlws.FILTER('Model output'!M:M, ('Model output'!Z:Z=A3)*('Model output'!M:M&lt;&gt;"")), 1)), " ", LOWER(INDEX(_xlfn._xlws.FILTER('Model output'!M:M, ('Model output'!Z:Z=A3)*('Model output'!M:M&lt;&gt;"")), 1)))</f>
        <v>papillary infiltrative follicular</v>
      </c>
      <c r="Q3" t="str" cm="1">
        <f t="array" ref="Q3">IF(OR(ISNUMBER(SEARCH("ly",SUBSTITUTE(INDEX(_xlfn._xlws.FILTER('Model output'!N:N,('Model output'!Z:Z=A3)*('Model output'!N:N&lt;&gt;"")),1)," ",""),1)), ISNUMBER(SEARCH("pole",SUBSTITUTE(INDEX(_xlfn._xlws.FILTER('Model output'!N:N,('Model output'!Z:Z=A3)*('Model output'!N:N&lt;&gt;"")),1)," ",""),1))),"",SUBSTITUTE(INDEX(_xlfn._xlws.FILTER('Model output'!N:N,('Model output'!Z:Z=A3)*('Model output'!N:N&lt;&gt;"")),1)," ",""))</f>
        <v>13mm</v>
      </c>
      <c r="R3" t="str" cm="1">
        <f t="array" ref="R3">IF(LEFT(IF(RIGHT(SUBSTITUTE(FilterWithUnits(Q3)&amp;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";")),1)=";",RIGHT(IF(RIGHT(SUBSTITUTE(FilterWithUnits(Q3)&amp;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";")),LEN(IF(RIGHT(SUBSTITUTE(FilterWithUnits(Q3)&amp;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";")))-1),IF(RIGHT(SUBSTITUTE(FilterWithUnits(Q3)&amp;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f>
        <v>13mm</v>
      </c>
      <c r="S3" cm="1">
        <f t="array" ref="S3">IF(MaxSize((SplitDimensions(R3)))=0, "", MaxSize((SplitDimensions(R3))))</f>
        <v>1.3</v>
      </c>
      <c r="T3" s="17" t="str" cm="1">
        <f t="array" ref="T3">IF(ISERROR(INDEX(_xlfn._xlws.FILTER('Model output'!P:P,('Model output'!Z:Z=A3)*('Model output'!P:P&lt;&gt;"")),1)),"negative",IF(OR(ISNUMBER(SEARCH("foc",INDEX(_xlfn._xlws.FILTER('Model output'!P:P,('Model output'!Z:Z=A3)*('Model output'!P:P&lt;&gt;"")),1),1)),ISNUMBER(SEARCH("extensive",INDEX(_xlfn._xlws.FILTER('Model output'!P:P,('Model output'!Z:Z=A3)*('Model output'!P:P&lt;&gt;"")),1),1)),ISNUMBER(SEARCH("present",INDEX(_xlfn._xlws.FILTER('Model output'!P:P,('Model output'!Z:Z=A3)*('Model output'!P:P&lt;&gt;"")),1),1)),ISNUMBER(SEARCH("yes",INDEX(_xlfn._xlws.FILTER('Model output'!P:P,('Model output'!Z:Z=A3)*('Model output'!P:P&lt;&gt;"")),1),1))),"positive","negative"))</f>
        <v>negative</v>
      </c>
      <c r="V3" t="str" cm="1">
        <f t="array" ref="V3">IF(ISNUMBER(SEARCH("4",INDEX(_xlfn._xlws.FILTER('Model output'!P:P,('Model output'!Z:Z=A3)*('Model output'!P:P&lt;&gt;"")),1),1)),INDEX(_xlfn._xlws.FILTER('Model output'!P:P,('Model output'!Z:Z=A3)*('Model output'!P:P&lt;&gt;"")),1),"") &amp; _xlfn.TEXTJOIN("",TRUE,_xlfn._xlws.FILTER('Model output'!Q:Q,'Model output'!Z:Z=A3))</f>
        <v/>
      </c>
      <c r="W3" t="str">
        <f>IF(T3="negative","no",IF(OR(ISNUMBER(SEARCH("&gt; 4",V3,1)),ISNUMBER(SEARCH("&gt;4",V3,1)),ISNUMBER(SEARCH("4 or more",V3,1)),ISNUMBER(SEARCH("extensive",V3,1))),"extensive","minimal"))</f>
        <v>no</v>
      </c>
      <c r="X3" t="str" cm="1">
        <f t="array" ref="X3">IF(OR(ISNUMBER(SEARCH("focal",_xlfn.TEXTJOIN("; ",TRUE,_xlfn._xlws.FILTER('Model output'!R:R,'Model output'!Z:Z=A3)),1)),ISNUMBER(SEARCH("present",_xlfn.TEXTJOIN("; ",TRUE,_xlfn._xlws.FILTER('Model output'!R:R,'Model output'!Z:Z=A3)),1))),"positive",IF(_xlfn.TEXTJOIN("; ",TRUE,_xlfn._xlws.FILTER('Model output'!R:R,'Model output'!Z:Z=A3))="","negative",IF(OR(ISNUMBER(SEARCH("no",_xlfn.TEXTJOIN("; ",TRUE,_xlfn._xlws.FILTER('Model output'!R:R,'Model output'!Z:Z=A3)),1)),ISNUMBER(SEARCH("absent",_xlfn.TEXTJOIN("; ",TRUE,_xlfn._xlws.FILTER('Model output'!R:R,'Model output'!Z:Z=A3)),1))),"negative","positive")))</f>
        <v>positive</v>
      </c>
      <c r="Y3" s="17" t="str">
        <f>IF(OR(ISNUMBER(SEARCH("soft tissue", AD3)), ISNUMBER(SEARCH("adipose tissue", AD3)), ISNUMBER(SEARCH("muscles", AD3)), ISNUMBER(SEARCH("microscopic", AD3)), ISNUMBER(SEARCH("minimal", AD3)), ISNUMBER(SEARCH("surrounding fat", AD3)), ISNUMBER(SEARCH("present", AD3)), ISNUMBER(SEARCH("yes", AD3))), "positive", "negative")</f>
        <v>positive</v>
      </c>
      <c r="Z3" s="17" t="str">
        <f t="shared" ref="Z3:AB3" si="1">IF(OR(ISNUMBER(SEARCH("soft tissue", AE3)), ISNUMBER(SEARCH("adipose tissue", AE3)), ISNUMBER(SEARCH("muscles", AE3)), ISNUMBER(SEARCH("microscopic", AE3)), ISNUMBER(SEARCH("minimal", AE3)), ISNUMBER(SEARCH("surrounding fat", AE3)), ISNUMBER(SEARCH("present", AE3)), ISNUMBER(SEARCH("yes", AE3))), "positive", "negative")</f>
        <v>negative</v>
      </c>
      <c r="AA3" s="17" t="str">
        <f t="shared" si="1"/>
        <v>negative</v>
      </c>
      <c r="AB3" s="17" t="str">
        <f t="shared" si="1"/>
        <v>negative</v>
      </c>
      <c r="AC3" s="17" t="str">
        <f>IF(OR(ISNUMBER(SEARCH("subcutaneous soft tissues", AD3)),ISNUMBER(SEARCH("strap muscle", AD3)), ISNUMBER(SEARCH("larynx", AD3)),ISNUMBER(SEARCH("trachea", AD3)),ISNUMBER(SEARCH("esophagus", AD3)), ISNUMBER(SEARCH("recurrent laryngeal nerve", AD3)), ISNUMBER(SEARCH("RLN", AD3))), "positive", "negative")</f>
        <v>negative</v>
      </c>
      <c r="AD3" t="str" cm="1">
        <f t="array" ref="AD3">_xlfn.TEXTJOIN("; ",TRUE,_xlfn._xlws.FILTER('Model output'!S:S,'Model output'!Z:Z=A3))</f>
        <v>Not identified; Present</v>
      </c>
      <c r="AE3" s="46" t="str" cm="1">
        <f t="array" ref="AE3">IF(OR(ISNUMBER(SEARCH("uninvolved",_xlfn.TEXTJOIN("; ",TRUE,_xlfn._xlws.FILTER('Model output'!V:V,'Model output'!Z:Z=A3)),1)),ISNUMBER(SEARCH("clear",_xlfn.TEXTJOIN("; ",TRUE,_xlfn._xlws.FILTER('Model output'!V:V,'Model output'!Z:Z=A3)),1))*ISNUMBER(SEARCH("not mentioned",_xlfn.TEXTJOIN("; ",TRUE,_xlfn._xlws.FILTER('Model output'!V:V,'Model output'!Z:Z=A3)),1))),"negative",IF(ISNUMBER(SEARCH("cannot be assessed",_xlfn.TEXTJOIN("; ",TRUE,_xlfn._xlws.FILTER('Model output'!V:V,'Model output'!Z:Z=A3)),1)),"negative","negative"))</f>
        <v>negative</v>
      </c>
      <c r="AG3" s="36" t="str">
        <f>IF(OR(ISNUMBER(SEARCH("non-invasive follicular",O3,1)),ISNUMBER(SEARCH("non-invasive follicular",P3,1))),"NIFTP", IF(OR(I3="positive",AC3="positive",AND(OR(ISNUMBER(SEARCH("follicular", O3)),ISNUMBER(SEARCH("FTC", O3))),W3="extensive"),AND(G3="positive",ISNUMBER(N3),N3&gt;3),AJ3=1),"high",IF(OR(ISNUMBER(SEARCH("positive",Y3,1)),ISNUMBER(SEARCH("tall",P3,1)),ISNUMBER(SEARCH("hobnail",P3,1)),ISNUMBER(SEARCH("cribriform",P3,1)),ISNUMBER(SEARCH("diffuse",P3,1)),ISNUMBER(SEARCH("columnar",P3,1)),ISNUMBER(SEARCH("solid",P3,1)),ISNUMBER(SEARCH("tall",O3,1)),ISNUMBER(SEARCH("hobnail",O3,1)),ISNUMBER(SEARCH("cribriform",O3,1)),ISNUMBER(SEARCH("diffuse",O3,1)),ISNUMBER(SEARCH("columnar",O3,1)),ISNUMBER(SEARCH("solid",O3,1)),AND(OR(ISNUMBER(SEARCH("papillary carcinoma",O3,1)),ISNUMBER(SEARCH("papillary microcarcinoma",O3,1))),T3="positive"),,AND(AND(ISNUMBER(K3),K3&gt;=5),N3=""),AND(AND(ISNUMBER(K3),K3&gt;=5),AND(ISNUMBER(N3),N3&gt;=1)),H3="lateral"),"intermediate","low")))</f>
        <v>intermediate</v>
      </c>
      <c r="AH3" s="37" t="str">
        <f t="shared" ref="AH3:AH31" si="2">IF(OR(ISNUMBER(SEARCH("non-invasive follicular",O3)),ISNUMBER(SEARCH("papillary-like nuclear features",O3)),ISNUMBER(SEARCH("non-invasive follicular",P3)),ISNUMBER(SEARCH("papillary-like nuclear features",P3))),"NIFTP", IF(OR(D3="4b",AND(AC3="positive",OR(ISNUMBER(SEARCH("prevertebral",AD3)),ISNUMBER(SEARCH("fascia",AD3)),ISNUMBER(SEARCH("carotid artery",AD3)),ISNUMBER(SEARCH("mediastinal",AD3))))),"4b",IF(OR(D3="4a",AND(AC3="positive",OR(ISNUMBER(SEARCH("soft tissue",AD3)),ISNUMBER(SEARCH("larynx",AD3)),ISNUMBER(SEARCH("trachea",AD3)),ISNUMBER(SEARCH("esophagus",AD3)),ISNUMBER(SEARCH("recurrent laryngeal nerve",AD3)),ISNUMBER(SEARCH("RLN",AD3))))),"4a", IF(OR(D3="3b", AC3="positive",ISNUMBER(SEARCH("strap",AD3)),ISNUMBER(SEARCH("sternothyroid",AD3)),ISNUMBER(SEARCH("sternohyoid",AD3)),ISNUMBER(SEARCH("thyrohyoid",AD3)),ISNUMBER(SEARCH("omohyoid",AD3))),"3b",IF(OR(D3="3a", AND(S3&lt;&gt;"",S3&gt;4)),"3a",IF(AND(S3&lt;&gt;"", S3&lt;=4,S3&gt;2),"2",IF(AND(S3&lt;&gt;"",S3&lt;=2,S3&gt;1),"1b",IF(AND(S3&lt;&gt;"",S3&lt;=1),"1a","1a"))))))))</f>
        <v>1b</v>
      </c>
      <c r="AI3" s="37" t="str">
        <f t="shared" ref="AI3:AI16" si="3">IF(OR(ISNUMBER(SEARCH("non-invasive follicular",O3,1)),ISNUMBER(SEARCH("non-invasive follicular",P3,1))),"NIFTP",IF(AND(K3&gt;0,G3="positive",H3="central"),"1a",IF(AND(K3&gt;0,G3="positive",H3="lateral"),"1b",IF(AND(K3=0,J3=0),"x",0))))</f>
        <v>x</v>
      </c>
      <c r="AJ3" s="37">
        <f t="shared" ref="AJ3:AJ16" si="4">IF(OR(ISNUMBER(SEARCH("non-invasive follicular",O3,1)),ISNUMBER(SEARCH("non-invasive follicular",P3,1))),"NIFTP",IF(I3="unknown","x",IF(I3="negative",0,1)))</f>
        <v>0</v>
      </c>
      <c r="AK3" s="37" t="str">
        <f t="shared" ref="AK3:AK16" si="5">IF(OR(ISNUMBER(SEARCH("non-invasive follicular",O3,1)),ISNUMBER(SEARCH("non-invasive follicular",P3,1))),"NIFTP",IF(AND(C3&lt;55,AJ3=0),"I",IF(AND(C3&lt;55,AJ3=1),"II",IF(AJ3=1,"IVB",IF(AND(AH3="4b",AJ3=0),"IVA",IF(AND(AH3="4a",AJ3=0),"III",IF(AND(OR(AH3="3a",AH3="3b"),AJ3=0),"II",IF(AND(AH3="2",OR(AI3="1",AI3="1a",AI3="1b"),AJ3=0),"II",IF(AND(OR(AH3="1a",AH3="1b",AH3="1",AH3="1 "),OR(AI3="1",AI3="1a",AI3="1b"),AJ3=0),"II","I")))))))))</f>
        <v>I</v>
      </c>
      <c r="AL3" s="10" t="s">
        <v>168</v>
      </c>
      <c r="AM3" s="32" t="s">
        <v>194</v>
      </c>
      <c r="AN3" s="32" t="s">
        <v>195</v>
      </c>
      <c r="AO3" s="32">
        <v>0</v>
      </c>
      <c r="AP3" s="32" t="s">
        <v>31</v>
      </c>
      <c r="AQ3" s="10">
        <f t="shared" ref="AQ3:AQ37" si="6">IF(AL3=AG3,1,0)</f>
        <v>0</v>
      </c>
      <c r="AR3" s="32">
        <f t="shared" ref="AR3:AR37" si="7">IF(AM3=AH3,1,0)</f>
        <v>1</v>
      </c>
      <c r="AS3" s="32">
        <f t="shared" ref="AS3:AS37" si="8">IF(AI3=AN3,1,IF(OR(AND(AN3="x",AI3=0),AND(AI3="x",AN3=0)),1,0))</f>
        <v>1</v>
      </c>
      <c r="AT3" s="32">
        <f t="shared" ref="AT3:AT37" si="9">IF(AO3=AJ3,1,0)</f>
        <v>1</v>
      </c>
      <c r="AU3" s="34">
        <f t="shared" ref="AU3:AU37" si="10">IF(AP3=AK3,1,0)</f>
        <v>1</v>
      </c>
    </row>
    <row r="4" spans="1:47">
      <c r="A4" s="13">
        <v>2</v>
      </c>
      <c r="B4" s="16"/>
      <c r="C4" s="17">
        <f>_xlfn.MAXIFS('Model output'!C:C,'Model output'!Z:Z,'Classification result'!$A4)</f>
        <v>39</v>
      </c>
      <c r="D4" s="17" t="str" cm="1">
        <f t="array" ref="D4">LEFT(IF(ISERROR(RIGHT(IF(INDEX(_xlfn._xlws.FILTER('Model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output'!Z:Z=A4)),1),""),1))),"",(RIGHT(IF(INDEX(_xlfn._xlws.FILTER('Model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output'!Z:Z=A4)),1)))))),2)</f>
        <v>2</v>
      </c>
      <c r="E4" s="17" t="str" cm="1">
        <f t="array" ref="E4">IF(ISNUMBER(SEARCH("N",IF(ISNUMBER(SEARCH("present",IF(INDEX(_xlfn._xlws.FILTER('Model output'!E:E,('Model output'!Z:Z=A4)),1)="","",INDEX(_xlfn._xlws.FILTER('Model output'!E:E,('Model output'!Z:Z=A4)),1)),1)),"N1", IF(INDEX(_xlfn._xlws.FILTER('Model output'!E:E,('Model output'!Z:Z=A4)),1)="","",INDEX(_xlfn._xlws.FILTER('Model output'!E:E,('Model output'!Z:Z=A4)),1))),1)),RIGHT(IF(ISNUMBER(SEARCH("present",IF(INDEX(_xlfn._xlws.FILTER('Model output'!E:E,('Model output'!Z:Z=A4)),1)="","",INDEX(_xlfn._xlws.FILTER('Model output'!E:E,('Model output'!Z:Z=A4)),1)),1)),"N1", IF(INDEX(_xlfn._xlws.FILTER('Model output'!E:E,('Model output'!Z:Z=A4)),1)="","",INDEX(_xlfn._xlws.FILTER('Model output'!E:E,('Model output'!Z:Z=A4)),1))),LEN(IF(ISNUMBER(SEARCH("present",IF(INDEX(_xlfn._xlws.FILTER('Model output'!E:E,('Model output'!Z:Z=A4)),1)="","",INDEX(_xlfn._xlws.FILTER('Model output'!E:E,('Model output'!Z:Z=A4)),1)),1)),"N1", IF(INDEX(_xlfn._xlws.FILTER('Model output'!E:E,('Model output'!Z:Z=A4)),1)="","",INDEX(_xlfn._xlws.FILTER('Model output'!E:E,('Model output'!Z:Z=A4)),1))))-FIND("N",IF(ISNUMBER(SEARCH("present",IF(INDEX(_xlfn._xlws.FILTER('Model output'!E:E,('Model output'!Z:Z=A4)),1)="","",INDEX(_xlfn._xlws.FILTER('Model output'!E:E,('Model output'!Z:Z=A4)),1)),1)),"N1", IF(INDEX(_xlfn._xlws.FILTER('Model output'!E:E,('Model output'!Z:Z=A4)),1)="","",INDEX(_xlfn._xlws.FILTER('Model output'!E:E,('Model output'!Z:Z=A4)),1))),1)), "")</f>
        <v/>
      </c>
      <c r="F4" s="17" cm="1">
        <f t="array" ref="F4">IF(AND(SUBSTITUTE(_xlfn.TEXTJOIN("/", TRUE, _xlfn._xlws.FILTER('Model output'!F:F, 'Model output'!Z:Z=A4)),"M", "")="", I4="negative"),0,IF(I4="positive",1,0))</f>
        <v>0</v>
      </c>
      <c r="G4" t="str">
        <f t="shared" si="0"/>
        <v/>
      </c>
      <c r="H4" t="str" cm="1">
        <f t="array" ref="H4">IF(AND(K4&gt;0, _xlfn.TEXTJOIN("; ", TRUE, _xlfn._xlws.FILTER('Model output'!G:G, 'Model output'!Z:Z=A4)) &lt;&gt;"", OR(AND(ISNUMBER(SEARCH("level", _xlfn.TEXTJOIN("; ", TRUE, _xlfn._xlws.FILTER('Model output'!G:G, 'Model output'!Z:Z=A4)),1)),OR(ISNUMBER(SEARCH(" II", _xlfn.TEXTJOIN("; ", TRUE, _xlfn._xlws.FILTER('Model output'!G:G, 'Model output'!Z:Z=A4)),1)),ISNUMBER(SEARCH("2", _xlfn.TEXTJOIN("; ", TRUE, _xlfn._xlws.FILTER('Model output'!G:G, 'Model output'!Z:Z=A4)),1)),ISNUMBER(SEARCH("two", _xlfn.TEXTJOIN("; ", TRUE, _xlfn._xlws.FILTER('Model output'!G:G, 'Model output'!Z:Z=A4)),1)),ISNUMBER(SEARCH("III", _xlfn.TEXTJOIN("; ", TRUE, _xlfn._xlws.FILTER('Model output'!G:G, 'Model output'!Z:Z=A4)),1)),ISNUMBER(SEARCH("3", _xlfn.TEXTJOIN("; ", TRUE, _xlfn._xlws.FILTER('Model output'!G:G, 'Model output'!Z:Z=A4)),1)),ISNUMBER(SEARCH("three", _xlfn.TEXTJOIN("; ", TRUE, _xlfn._xlws.FILTER('Model output'!G:G, 'Model output'!Z:Z=A4)),1)),ISNUMBER(SEARCH("IV", _xlfn.TEXTJOIN("; ", TRUE, _xlfn._xlws.FILTER('Model output'!G:G, 'Model output'!Z:Z=A4)),1)),ISNUMBER(SEARCH("4", _xlfn.TEXTJOIN("; ", TRUE, _xlfn._xlws.FILTER('Model output'!G:G, 'Model output'!Z:Z=A4)),1)),ISNUMBER(SEARCH("five", _xlfn.TEXTJOIN("; ", TRUE, _xlfn._xlws.FILTER('Model output'!G:G, 'Model output'!Z:Z=A4)),1)),ISNUMBER(SEARCH("V ", _xlfn.TEXTJOIN("; ", TRUE, _xlfn._xlws.FILTER('Model output'!G:G, 'Model output'!Z:Z=A4)),1)),ISNUMBER(SEARCH("5", _xlfn.TEXTJOIN("; ", TRUE, _xlfn._xlws.FILTER('Model output'!G:G, 'Model output'!Z:Z=A4)),1)),ISNUMBER(SEARCH("five", _xlfn.TEXTJOIN("; ", TRUE, _xlfn._xlws.FILTER('Model output'!G:G, 'Model output'!Z:Z=A4)),1)),ISNUMBER(SEARCH(" lateral", _xlfn.TEXTJOIN("; ", TRUE, _xlfn._xlws.FILTER('Model output'!G:G, 'Model output'!Z:Z=A4)),1)))),ISNUMBER(SEARCH("cervical", _xlfn.TEXTJOIN("; ", TRUE, _xlfn._xlws.FILTER('Model output'!G:G, 'Model output'!Z:Z=A4)),1)),ISNUMBER(SEARCH("jugular", _xlfn.TEXTJOIN("; ", TRUE, _xlfn._xlws.FILTER('Model output'!G:G, 'Model output'!Z:Z=A4)),1)),ISNUMBER(SEARCH("left neck", _xlfn.TEXTJOIN("; ", TRUE, _xlfn._xlws.FILTER('Model output'!G:G, 'Model output'!Z:Z=A4)),1)),ISNUMBER(SEARCH("left anterior neck", _xlfn.TEXTJOIN("; ", TRUE, _xlfn._xlws.FILTER('Model output'!G:G, 'Model output'!Z:Z=A4)),1)),ISNUMBER(SEARCH("left posterior neck", _xlfn.TEXTJOIN("; ", TRUE, _xlfn._xlws.FILTER('Model output'!G:G, 'Model output'!Z:Z=A4)),1)),ISNUMBER(SEARCH("right neck", _xlfn.TEXTJOIN("; ", TRUE, _xlfn._xlws.FILTER('Model output'!G:G, 'Model output'!Z:Z=A4)),1)),ISNUMBER(SEARCH("right anterior neck", _xlfn.TEXTJOIN("; ", TRUE, _xlfn._xlws.FILTER('Model output'!G:G, 'Model output'!Z:Z=A4)),1)),ISNUMBER(SEARCH("right posterior neck", _xlfn.TEXTJOIN("; ", TRUE, _xlfn._xlws.FILTER('Model output'!G:G, 'Model output'!Z:Z=A4)),1)))),"lateral",IF(AND(K4=0, _xlfn.TEXTJOIN("; ", TRUE, _xlfn._xlws.FILTER('Model output'!G:G, 'Model output'!Z:Z=A4))=""),"", "central"))</f>
        <v/>
      </c>
      <c r="I4" s="17" t="str" cm="1">
        <f t="array" ref="I4">IF(OR(ISNUMBER(SEARCH("lymph",_xlfn.TEXTJOIN("; ", TRUE, _xlfn._xlws.FILTER('Model output'!H:H, 'Model output'!Z:Z=A4)),1)), ISNUMBER(SEARCH("Not mentioned",_xlfn.TEXTJOIN("; ", TRUE, _xlfn._xlws.FILTER('Model output'!H:H, 'Model output'!Z:Z=A4)),1)),ISNUMBER(SEARCH("subcutaneous soft tissues",_xlfn.TEXTJOIN("; ", TRUE, _xlfn._xlws.FILTER('Model output'!H:H, 'Model output'!Z:Z=A4)),1)),ISNUMBER(SEARCH("larynx",_xlfn.TEXTJOIN("; ", TRUE, _xlfn._xlws.FILTER('Model output'!H:H, 'Model output'!Z:Z=A4)),1)),ISNUMBER(SEARCH("trachea",_xlfn.TEXTJOIN("; ", TRUE, _xlfn._xlws.FILTER('Model output'!H:H, 'Model output'!Z:Z=A4)),1)),ISNUMBER(SEARCH("esophagus",_xlfn.TEXTJOIN("; ", TRUE, _xlfn._xlws.FILTER('Model output'!H:H, 'Model output'!Z:Z=A4)),1)),ISNUMBER(SEARCH("recurrent laryngeal nerve",_xlfn.TEXTJOIN("; ", TRUE, _xlfn._xlws.FILTER('Model output'!H:H, 'Model output'!Z:Z=A4)),1)),ISNUMBER(SEARCH("RLN",_xlfn.TEXTJOIN("; ", TRUE, _xlfn._xlws.FILTER('Model output'!H:H, 'Model output'!Z:Z=A4)),1)),_xlfn.TEXTJOIN("; ", TRUE, _xlfn._xlws.FILTER('Model output'!H:H, 'Model output'!Z:Z=A4))=""),"negative","positive")</f>
        <v>negative</v>
      </c>
      <c r="J4" s="17">
        <f>IF(IFERROR(INDEX('Model output'!I:I, MATCH(A4, 'Model output'!Z:Z, 0)), "") &lt; K4, "", IFERROR(INDEX('Model output'!I:I, MATCH(A4, 'Model output'!Z:Z, 0)), ""))</f>
        <v>0</v>
      </c>
      <c r="K4" s="17">
        <f>IFERROR(INDEX('Model output'!J:J, MATCH(A4, 'Model output'!Z:Z, 0)), "")</f>
        <v>0</v>
      </c>
      <c r="L4" s="18" t="str" cm="1">
        <f t="array" ref="L4">ReplaceTo(ReplaceAnd(SUBSTITUTE(SUBSTITUTE(_xlfn.TEXTJOIN("; ", TRUE, _xlfn._xlws.FILTER('Model output'!K:K, 'Model output'!Z:Z=A4)), " ", ""), ",", ";")))</f>
        <v/>
      </c>
      <c r="M4" t="str" cm="1">
        <f t="array" ref="M4">IF(LEFT(IF(RIGHT(SUBSTITUTE(FilterWithUnits(L4)&amp;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";")),1)=";",RIGHT(IF(RIGHT(SUBSTITUTE(FilterWithUnits(L4)&amp;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";")),LEN(IF(RIGHT(SUBSTITUTE(FilterWithUnits(L4)&amp;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";")))-1),IF(RIGHT(SUBSTITUTE(FilterWithUnits(L4)&amp;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f>
        <v/>
      </c>
      <c r="N4" t="str" cm="1">
        <f t="array" ref="N4">IF(MaxSize((SplitDimensions(M4)))=0, "", MaxSize((SplitDimensions(M4))))</f>
        <v/>
      </c>
      <c r="O4" t="str" cm="1">
        <f t="array" ref="O4">IF(ISERROR(INDEX(_xlfn._xlws.FILTER('Model output'!L:L, ('Model output'!Z:Z=A4)*('Model output'!L:L&lt;&gt;"")), 1)), " ", LOWER(INDEX(_xlfn._xlws.FILTER('Model output'!L:L, ('Model output'!Z:Z=A4)*('Model output'!L:L&lt;&gt;"")), 1)))</f>
        <v>papillary</v>
      </c>
      <c r="P4" t="str" cm="1">
        <f t="array" ref="P4">IF(ISERROR(INDEX(_xlfn._xlws.FILTER('Model output'!M:M, ('Model output'!Z:Z=A4)*('Model output'!M:M&lt;&gt;"")), 1)), " ", LOWER(INDEX(_xlfn._xlws.FILTER('Model output'!M:M, ('Model output'!Z:Z=A4)*('Model output'!M:M&lt;&gt;"")), 1)))</f>
        <v>classic</v>
      </c>
      <c r="Q4" t="str" cm="1">
        <f t="array" ref="Q4">IF(OR(ISNUMBER(SEARCH("ly",SUBSTITUTE(INDEX(_xlfn._xlws.FILTER('Model output'!N:N,('Model output'!Z:Z=A4)*('Model output'!N:N&lt;&gt;"")),1)," ",""),1)), ISNUMBER(SEARCH("pole",SUBSTITUTE(INDEX(_xlfn._xlws.FILTER('Model output'!N:N,('Model output'!Z:Z=A4)*('Model output'!N:N&lt;&gt;"")),1)," ",""),1))),"",SUBSTITUTE(INDEX(_xlfn._xlws.FILTER('Model output'!N:N,('Model output'!Z:Z=A4)*('Model output'!N:N&lt;&gt;"")),1)," ",""))</f>
        <v>30mm</v>
      </c>
      <c r="R4" t="str" cm="1">
        <f t="array" ref="R4">IF(LEFT(IF(RIGHT(SUBSTITUTE(FilterWithUnits(Q4)&amp;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";")),1)=";",RIGHT(IF(RIGHT(SUBSTITUTE(FilterWithUnits(Q4)&amp;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";")),LEN(IF(RIGHT(SUBSTITUTE(FilterWithUnits(Q4)&amp;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";")))-1),IF(RIGHT(SUBSTITUTE(FilterWithUnits(Q4)&amp;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f>
        <v>30mm</v>
      </c>
      <c r="S4" cm="1">
        <f t="array" ref="S4">IF(MaxSize((SplitDimensions(R4)))=0, "", MaxSize((SplitDimensions(R4))))</f>
        <v>3</v>
      </c>
      <c r="T4" s="17" t="str" cm="1">
        <f t="array" ref="T4">IF(ISERROR(INDEX(_xlfn._xlws.FILTER('Model output'!P:P,('Model output'!Z:Z=A4)*('Model output'!P:P&lt;&gt;"")),1)),"negative",IF(OR(ISNUMBER(SEARCH("foc",INDEX(_xlfn._xlws.FILTER('Model output'!P:P,('Model output'!Z:Z=A4)*('Model output'!P:P&lt;&gt;"")),1),1)),ISNUMBER(SEARCH("extensive",INDEX(_xlfn._xlws.FILTER('Model output'!P:P,('Model output'!Z:Z=A4)*('Model output'!P:P&lt;&gt;"")),1),1)),ISNUMBER(SEARCH("present",INDEX(_xlfn._xlws.FILTER('Model output'!P:P,('Model output'!Z:Z=A4)*('Model output'!P:P&lt;&gt;"")),1),1)),ISNUMBER(SEARCH("yes",INDEX(_xlfn._xlws.FILTER('Model output'!P:P,('Model output'!Z:Z=A4)*('Model output'!P:P&lt;&gt;"")),1),1))),"positive","negative"))</f>
        <v>negative</v>
      </c>
      <c r="V4" t="str" cm="1">
        <f t="array" ref="V4">IF(ISNUMBER(SEARCH("4",INDEX(_xlfn._xlws.FILTER('Model output'!P:P,('Model output'!Z:Z=A4)*('Model output'!P:P&lt;&gt;"")),1),1)),INDEX(_xlfn._xlws.FILTER('Model output'!P:P,('Model output'!Z:Z=A4)*('Model output'!P:P&lt;&gt;"")),1),"") &amp; _xlfn.TEXTJOIN("",TRUE,_xlfn._xlws.FILTER('Model output'!Q:Q,'Model output'!Z:Z=A4))</f>
        <v>Not mentioned</v>
      </c>
      <c r="W4" t="str">
        <f t="shared" ref="W4:W37" si="11">IF(T4="negative","no",IF(OR(ISNUMBER(SEARCH("&gt; 4",V4,1)),ISNUMBER(SEARCH("&gt;4",V4,1)),ISNUMBER(SEARCH("4 or more",V4,1)),ISNUMBER(SEARCH("extensive",V4,1))),"extensive","minimal"))</f>
        <v>no</v>
      </c>
      <c r="X4" t="str" cm="1">
        <f t="array" ref="X4">IF(OR(ISNUMBER(SEARCH("focal",_xlfn.TEXTJOIN("; ",TRUE,_xlfn._xlws.FILTER('Model output'!R:R,'Model output'!Z:Z=A4)),1)),ISNUMBER(SEARCH("present",_xlfn.TEXTJOIN("; ",TRUE,_xlfn._xlws.FILTER('Model output'!R:R,'Model output'!Z:Z=A4)),1))),"positive",IF(_xlfn.TEXTJOIN("; ",TRUE,_xlfn._xlws.FILTER('Model output'!R:R,'Model output'!Z:Z=A4))="","negative",IF(OR(ISNUMBER(SEARCH("no",_xlfn.TEXTJOIN("; ",TRUE,_xlfn._xlws.FILTER('Model output'!R:R,'Model output'!Z:Z=A4)),1)),ISNUMBER(SEARCH("absent",_xlfn.TEXTJOIN("; ",TRUE,_xlfn._xlws.FILTER('Model output'!R:R,'Model output'!Z:Z=A4)),1))),"negative","positive")))</f>
        <v>positive</v>
      </c>
      <c r="Y4" s="17" t="str">
        <f t="shared" ref="Y4:Y37" si="12">IF(OR(ISNUMBER(SEARCH("soft tissue", AD4)), ISNUMBER(SEARCH("adipose tissue", AD4)), ISNUMBER(SEARCH("muscles", AD4)), ISNUMBER(SEARCH("microscopic", AD4)), ISNUMBER(SEARCH("minimal", AD4)), ISNUMBER(SEARCH("surrounding fat", AD4)), ISNUMBER(SEARCH("present", AD4)), ISNUMBER(SEARCH("yes", AD4))), "positive", "negative")</f>
        <v>negative</v>
      </c>
      <c r="AC4" s="17" t="str">
        <f t="shared" ref="AC4:AC37" si="13">IF(OR(ISNUMBER(SEARCH("subcutaneous soft tissues", AD4)),ISNUMBER(SEARCH("strap muscle", AD4)), ISNUMBER(SEARCH("larynx", AD4)),ISNUMBER(SEARCH("trachea", AD4)),ISNUMBER(SEARCH("esophagus", AD4)), ISNUMBER(SEARCH("recurrent laryngeal nerve", AD4)), ISNUMBER(SEARCH("RLN", AD4))), "positive", "negative")</f>
        <v>negative</v>
      </c>
      <c r="AD4" t="str" cm="1">
        <f t="array" ref="AD4">_xlfn.TEXTJOIN("; ",TRUE,_xlfn._xlws.FILTER('Model output'!S:S,'Model output'!Z:Z=A4))</f>
        <v>Not identified; Not mentioned</v>
      </c>
      <c r="AE4" s="47" t="str" cm="1">
        <f t="array" ref="AE4">IF(OR(ISNUMBER(SEARCH("uninvolved",_xlfn.TEXTJOIN("; ",TRUE,_xlfn._xlws.FILTER('Model output'!V:V,'Model output'!Z:Z=A4)),1)),ISNUMBER(SEARCH("clear",_xlfn.TEXTJOIN("; ",TRUE,_xlfn._xlws.FILTER('Model output'!V:V,'Model output'!Z:Z=A4)),1))*ISNUMBER(SEARCH("not mentioned",_xlfn.TEXTJOIN("; ",TRUE,_xlfn._xlws.FILTER('Model output'!V:V,'Model output'!Z:Z=A4)),1))),"negative",IF(ISNUMBER(SEARCH("cannot be assessed",_xlfn.TEXTJOIN("; ",TRUE,_xlfn._xlws.FILTER('Model output'!V:V,'Model output'!Z:Z=A4)),1)),"negative","negative"))</f>
        <v>negative</v>
      </c>
      <c r="AG4" s="36" t="str">
        <f>IF(OR(ISNUMBER(SEARCH("non-invasive follicular",O4,1)),ISNUMBER(SEARCH("non-invasive follicular",P4,1))),"NIFTP", IF(OR(I4="positive",AC4="positive",AND(OR(ISNUMBER(SEARCH("follicular", O4)),ISNUMBER(SEARCH("FTC", O4))),W4="extensive"),AND(G4="positive",ISNUMBER(N4),N4&gt;3),AJ4=1),"high",IF(OR(ISNUMBER(SEARCH("positive",Y4,1)),ISNUMBER(SEARCH("tall",P4,1)),ISNUMBER(SEARCH("hobnail",P4,1)),ISNUMBER(SEARCH("cribriform",P4,1)),ISNUMBER(SEARCH("diffuse",P4,1)),ISNUMBER(SEARCH("columnar",P4,1)),ISNUMBER(SEARCH("solid",P4,1)),ISNUMBER(SEARCH("tall",O4,1)),ISNUMBER(SEARCH("hobnail",O4,1)),ISNUMBER(SEARCH("cribriform",O4,1)),ISNUMBER(SEARCH("diffuse",O4,1)),ISNUMBER(SEARCH("columnar",O4,1)),ISNUMBER(SEARCH("solid",O4,1)),AND(OR(ISNUMBER(SEARCH("papillary carcinoma",O4,1)),ISNUMBER(SEARCH("papillary microcarcinoma",O4,1))),T4="positive"),,AND(AND(ISNUMBER(K4),K4&gt;=5),N4=""),AND(AND(ISNUMBER(K4),K4&gt;=5),AND(ISNUMBER(N4),N4&gt;=1)),H4="lateral"),"intermediate","low")))</f>
        <v>low</v>
      </c>
      <c r="AH4" s="37" t="str">
        <f t="shared" si="2"/>
        <v>2</v>
      </c>
      <c r="AI4" s="37" t="str">
        <f t="shared" si="3"/>
        <v>x</v>
      </c>
      <c r="AJ4" s="37">
        <f t="shared" si="4"/>
        <v>0</v>
      </c>
      <c r="AK4" s="37" t="str">
        <f t="shared" si="5"/>
        <v>I</v>
      </c>
      <c r="AL4" s="10" t="s">
        <v>168</v>
      </c>
      <c r="AM4" s="32" t="s">
        <v>361</v>
      </c>
      <c r="AN4" s="32" t="s">
        <v>195</v>
      </c>
      <c r="AO4" s="32">
        <v>0</v>
      </c>
      <c r="AP4" s="32" t="s">
        <v>31</v>
      </c>
      <c r="AQ4" s="10">
        <f t="shared" si="6"/>
        <v>1</v>
      </c>
      <c r="AR4" s="32">
        <f t="shared" si="7"/>
        <v>1</v>
      </c>
      <c r="AS4" s="32">
        <f t="shared" si="8"/>
        <v>1</v>
      </c>
      <c r="AT4" s="32">
        <f t="shared" si="9"/>
        <v>1</v>
      </c>
      <c r="AU4" s="34">
        <f t="shared" si="10"/>
        <v>1</v>
      </c>
    </row>
    <row r="5" spans="1:47">
      <c r="A5" s="13">
        <v>3</v>
      </c>
      <c r="B5" s="16"/>
      <c r="C5" s="17">
        <f>_xlfn.MAXIFS('Model output'!C:C,'Model output'!Z:Z,'Classification result'!$A5)</f>
        <v>52</v>
      </c>
      <c r="D5" s="17" t="str" cm="1">
        <f t="array" ref="D5">LEFT(IF(ISERROR(RIGHT(IF(INDEX(_xlfn._xlws.FILTER('Model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output'!Z:Z=A5)),1),""),1))),"",(RIGHT(IF(INDEX(_xlfn._xlws.FILTER('Model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output'!Z:Z=A5)),1)))))),2)</f>
        <v>1a</v>
      </c>
      <c r="E5" s="17" t="str" cm="1">
        <f t="array" ref="E5">IF(ISNUMBER(SEARCH("N",IF(ISNUMBER(SEARCH("present",IF(INDEX(_xlfn._xlws.FILTER('Model output'!E:E,('Model output'!Z:Z=A5)),1)="","",INDEX(_xlfn._xlws.FILTER('Model output'!E:E,('Model output'!Z:Z=A5)),1)),1)),"N1", IF(INDEX(_xlfn._xlws.FILTER('Model output'!E:E,('Model output'!Z:Z=A5)),1)="","",INDEX(_xlfn._xlws.FILTER('Model output'!E:E,('Model output'!Z:Z=A5)),1))),1)),RIGHT(IF(ISNUMBER(SEARCH("present",IF(INDEX(_xlfn._xlws.FILTER('Model output'!E:E,('Model output'!Z:Z=A5)),1)="","",INDEX(_xlfn._xlws.FILTER('Model output'!E:E,('Model output'!Z:Z=A5)),1)),1)),"N1", IF(INDEX(_xlfn._xlws.FILTER('Model output'!E:E,('Model output'!Z:Z=A5)),1)="","",INDEX(_xlfn._xlws.FILTER('Model output'!E:E,('Model output'!Z:Z=A5)),1))),LEN(IF(ISNUMBER(SEARCH("present",IF(INDEX(_xlfn._xlws.FILTER('Model output'!E:E,('Model output'!Z:Z=A5)),1)="","",INDEX(_xlfn._xlws.FILTER('Model output'!E:E,('Model output'!Z:Z=A5)),1)),1)),"N1", IF(INDEX(_xlfn._xlws.FILTER('Model output'!E:E,('Model output'!Z:Z=A5)),1)="","",INDEX(_xlfn._xlws.FILTER('Model output'!E:E,('Model output'!Z:Z=A5)),1))))-FIND("N",IF(ISNUMBER(SEARCH("present",IF(INDEX(_xlfn._xlws.FILTER('Model output'!E:E,('Model output'!Z:Z=A5)),1)="","",INDEX(_xlfn._xlws.FILTER('Model output'!E:E,('Model output'!Z:Z=A5)),1)),1)),"N1", IF(INDEX(_xlfn._xlws.FILTER('Model output'!E:E,('Model output'!Z:Z=A5)),1)="","",INDEX(_xlfn._xlws.FILTER('Model output'!E:E,('Model output'!Z:Z=A5)),1))),1)), "")</f>
        <v>1a</v>
      </c>
      <c r="F5" s="17" cm="1">
        <f t="array" ref="F5">IF(AND(SUBSTITUTE(_xlfn.TEXTJOIN("/", TRUE, _xlfn._xlws.FILTER('Model output'!F:F, 'Model output'!Z:Z=A5)),"M", "")="", I5="negative"),0,IF(I5="positive",1,0))</f>
        <v>0</v>
      </c>
      <c r="G5" t="str">
        <f t="shared" si="0"/>
        <v>positive</v>
      </c>
      <c r="H5" t="str" cm="1">
        <f t="array" ref="H5">IF(AND(K5&gt;0, _xlfn.TEXTJOIN("; ", TRUE, _xlfn._xlws.FILTER('Model output'!G:G, 'Model output'!Z:Z=A5)) &lt;&gt;"", OR(AND(ISNUMBER(SEARCH("level", _xlfn.TEXTJOIN("; ", TRUE, _xlfn._xlws.FILTER('Model output'!G:G, 'Model output'!Z:Z=A5)),1)),OR(ISNUMBER(SEARCH(" II", _xlfn.TEXTJOIN("; ", TRUE, _xlfn._xlws.FILTER('Model output'!G:G, 'Model output'!Z:Z=A5)),1)),ISNUMBER(SEARCH("2", _xlfn.TEXTJOIN("; ", TRUE, _xlfn._xlws.FILTER('Model output'!G:G, 'Model output'!Z:Z=A5)),1)),ISNUMBER(SEARCH("two", _xlfn.TEXTJOIN("; ", TRUE, _xlfn._xlws.FILTER('Model output'!G:G, 'Model output'!Z:Z=A5)),1)),ISNUMBER(SEARCH("III", _xlfn.TEXTJOIN("; ", TRUE, _xlfn._xlws.FILTER('Model output'!G:G, 'Model output'!Z:Z=A5)),1)),ISNUMBER(SEARCH("3", _xlfn.TEXTJOIN("; ", TRUE, _xlfn._xlws.FILTER('Model output'!G:G, 'Model output'!Z:Z=A5)),1)),ISNUMBER(SEARCH("three", _xlfn.TEXTJOIN("; ", TRUE, _xlfn._xlws.FILTER('Model output'!G:G, 'Model output'!Z:Z=A5)),1)),ISNUMBER(SEARCH("IV", _xlfn.TEXTJOIN("; ", TRUE, _xlfn._xlws.FILTER('Model output'!G:G, 'Model output'!Z:Z=A5)),1)),ISNUMBER(SEARCH("4", _xlfn.TEXTJOIN("; ", TRUE, _xlfn._xlws.FILTER('Model output'!G:G, 'Model output'!Z:Z=A5)),1)),ISNUMBER(SEARCH("five", _xlfn.TEXTJOIN("; ", TRUE, _xlfn._xlws.FILTER('Model output'!G:G, 'Model output'!Z:Z=A5)),1)),ISNUMBER(SEARCH("V ", _xlfn.TEXTJOIN("; ", TRUE, _xlfn._xlws.FILTER('Model output'!G:G, 'Model output'!Z:Z=A5)),1)),ISNUMBER(SEARCH("5", _xlfn.TEXTJOIN("; ", TRUE, _xlfn._xlws.FILTER('Model output'!G:G, 'Model output'!Z:Z=A5)),1)),ISNUMBER(SEARCH("five", _xlfn.TEXTJOIN("; ", TRUE, _xlfn._xlws.FILTER('Model output'!G:G, 'Model output'!Z:Z=A5)),1)),ISNUMBER(SEARCH(" lateral", _xlfn.TEXTJOIN("; ", TRUE, _xlfn._xlws.FILTER('Model output'!G:G, 'Model output'!Z:Z=A5)),1)))),ISNUMBER(SEARCH("cervical", _xlfn.TEXTJOIN("; ", TRUE, _xlfn._xlws.FILTER('Model output'!G:G, 'Model output'!Z:Z=A5)),1)),ISNUMBER(SEARCH("jugular", _xlfn.TEXTJOIN("; ", TRUE, _xlfn._xlws.FILTER('Model output'!G:G, 'Model output'!Z:Z=A5)),1)),ISNUMBER(SEARCH("left neck", _xlfn.TEXTJOIN("; ", TRUE, _xlfn._xlws.FILTER('Model output'!G:G, 'Model output'!Z:Z=A5)),1)),ISNUMBER(SEARCH("left anterior neck", _xlfn.TEXTJOIN("; ", TRUE, _xlfn._xlws.FILTER('Model output'!G:G, 'Model output'!Z:Z=A5)),1)),ISNUMBER(SEARCH("left posterior neck", _xlfn.TEXTJOIN("; ", TRUE, _xlfn._xlws.FILTER('Model output'!G:G, 'Model output'!Z:Z=A5)),1)),ISNUMBER(SEARCH("right neck", _xlfn.TEXTJOIN("; ", TRUE, _xlfn._xlws.FILTER('Model output'!G:G, 'Model output'!Z:Z=A5)),1)),ISNUMBER(SEARCH("right anterior neck", _xlfn.TEXTJOIN("; ", TRUE, _xlfn._xlws.FILTER('Model output'!G:G, 'Model output'!Z:Z=A5)),1)),ISNUMBER(SEARCH("right posterior neck", _xlfn.TEXTJOIN("; ", TRUE, _xlfn._xlws.FILTER('Model output'!G:G, 'Model output'!Z:Z=A5)),1)))),"lateral",IF(AND(K5=0, _xlfn.TEXTJOIN("; ", TRUE, _xlfn._xlws.FILTER('Model output'!G:G, 'Model output'!Z:Z=A5))=""),"", "central"))</f>
        <v>central</v>
      </c>
      <c r="I5" s="17" t="str" cm="1">
        <f t="array" ref="I5">IF(OR(ISNUMBER(SEARCH("lymph",_xlfn.TEXTJOIN("; ", TRUE, _xlfn._xlws.FILTER('Model output'!H:H, 'Model output'!Z:Z=A5)),1)), ISNUMBER(SEARCH("Not mentioned",_xlfn.TEXTJOIN("; ", TRUE, _xlfn._xlws.FILTER('Model output'!H:H, 'Model output'!Z:Z=A5)),1)),ISNUMBER(SEARCH("subcutaneous soft tissues",_xlfn.TEXTJOIN("; ", TRUE, _xlfn._xlws.FILTER('Model output'!H:H, 'Model output'!Z:Z=A5)),1)),ISNUMBER(SEARCH("larynx",_xlfn.TEXTJOIN("; ", TRUE, _xlfn._xlws.FILTER('Model output'!H:H, 'Model output'!Z:Z=A5)),1)),ISNUMBER(SEARCH("trachea",_xlfn.TEXTJOIN("; ", TRUE, _xlfn._xlws.FILTER('Model output'!H:H, 'Model output'!Z:Z=A5)),1)),ISNUMBER(SEARCH("esophagus",_xlfn.TEXTJOIN("; ", TRUE, _xlfn._xlws.FILTER('Model output'!H:H, 'Model output'!Z:Z=A5)),1)),ISNUMBER(SEARCH("recurrent laryngeal nerve",_xlfn.TEXTJOIN("; ", TRUE, _xlfn._xlws.FILTER('Model output'!H:H, 'Model output'!Z:Z=A5)),1)),ISNUMBER(SEARCH("RLN",_xlfn.TEXTJOIN("; ", TRUE, _xlfn._xlws.FILTER('Model output'!H:H, 'Model output'!Z:Z=A5)),1)),_xlfn.TEXTJOIN("; ", TRUE, _xlfn._xlws.FILTER('Model output'!H:H, 'Model output'!Z:Z=A5))=""),"negative","positive")</f>
        <v>negative</v>
      </c>
      <c r="J5" s="17">
        <f>IF(IFERROR(INDEX('Model output'!I:I, MATCH(A5, 'Model output'!Z:Z, 0)), "") &lt; K5, "", IFERROR(INDEX('Model output'!I:I, MATCH(A5, 'Model output'!Z:Z, 0)), ""))</f>
        <v>5</v>
      </c>
      <c r="K5" s="17">
        <f>IFERROR(INDEX('Model output'!J:J, MATCH(A5, 'Model output'!Z:Z, 0)), "")</f>
        <v>1</v>
      </c>
      <c r="L5" s="18" t="str" cm="1">
        <f t="array" ref="L5">ReplaceTo(ReplaceAnd(SUBSTITUTE(SUBSTITUTE(_xlfn.TEXTJOIN("; ", TRUE, _xlfn._xlws.FILTER('Model output'!K:K, 'Model output'!Z:Z=A5)), " ", ""), ",", ";")))</f>
        <v>1mm</v>
      </c>
      <c r="M5" t="str" cm="1">
        <f t="array" ref="M5">IF(LEFT(IF(RIGHT(SUBSTITUTE(FilterWithUnits(L5)&amp;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";")),1)=";",RIGHT(IF(RIGHT(SUBSTITUTE(FilterWithUnits(L5)&amp;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";")),LEN(IF(RIGHT(SUBSTITUTE(FilterWithUnits(L5)&amp;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";")))-1),IF(RIGHT(SUBSTITUTE(FilterWithUnits(L5)&amp;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f>
        <v>1mm</v>
      </c>
      <c r="N5" cm="1">
        <f t="array" ref="N5">IF(MaxSize((SplitDimensions(M5)))=0, "", MaxSize((SplitDimensions(M5))))</f>
        <v>0.1</v>
      </c>
      <c r="O5" t="str" cm="1">
        <f t="array" ref="O5">IF(ISERROR(INDEX(_xlfn._xlws.FILTER('Model output'!L:L, ('Model output'!Z:Z=A5)*('Model output'!L:L&lt;&gt;"")), 1)), " ", LOWER(INDEX(_xlfn._xlws.FILTER('Model output'!L:L, ('Model output'!Z:Z=A5)*('Model output'!L:L&lt;&gt;"")), 1)))</f>
        <v>papillary carcinoma</v>
      </c>
      <c r="P5" t="str" cm="1">
        <f t="array" ref="P5">IF(ISERROR(INDEX(_xlfn._xlws.FILTER('Model output'!M:M, ('Model output'!Z:Z=A5)*('Model output'!M:M&lt;&gt;"")), 1)), " ", LOWER(INDEX(_xlfn._xlws.FILTER('Model output'!M:M, ('Model output'!Z:Z=A5)*('Model output'!M:M&lt;&gt;"")), 1)))</f>
        <v>infiltrative follicular subtype</v>
      </c>
      <c r="Q5" t="str" cm="1">
        <f t="array" ref="Q5">IF(OR(ISNUMBER(SEARCH("ly",SUBSTITUTE(INDEX(_xlfn._xlws.FILTER('Model output'!N:N,('Model output'!Z:Z=A5)*('Model output'!N:N&lt;&gt;"")),1)," ",""),1)), ISNUMBER(SEARCH("pole",SUBSTITUTE(INDEX(_xlfn._xlws.FILTER('Model output'!N:N,('Model output'!Z:Z=A5)*('Model output'!N:N&lt;&gt;"")),1)," ",""),1))),"",SUBSTITUTE(INDEX(_xlfn._xlws.FILTER('Model output'!N:N,('Model output'!Z:Z=A5)*('Model output'!N:N&lt;&gt;"")),1)," ",""))</f>
        <v>8mm&amp;2mm</v>
      </c>
      <c r="R5" t="str" cm="1">
        <f t="array" ref="R5">IF(LEFT(IF(RIGHT(SUBSTITUTE(FilterWithUnits(Q5)&amp;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";")),1)=";",RIGHT(IF(RIGHT(SUBSTITUTE(FilterWithUnits(Q5)&amp;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";")),LEN(IF(RIGHT(SUBSTITUTE(FilterWithUnits(Q5)&amp;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";")))-1),IF(RIGHT(SUBSTITUTE(FilterWithUnits(Q5)&amp;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f>
        <v>8mm</v>
      </c>
      <c r="S5" cm="1">
        <f t="array" ref="S5">IF(MaxSize((SplitDimensions(R5)))=0, "", MaxSize((SplitDimensions(R5))))</f>
        <v>0.8</v>
      </c>
      <c r="T5" s="17" t="str" cm="1">
        <f t="array" ref="T5">IF(ISERROR(INDEX(_xlfn._xlws.FILTER('Model output'!P:P,('Model output'!Z:Z=A5)*('Model output'!P:P&lt;&gt;"")),1)),"negative",IF(OR(ISNUMBER(SEARCH("foc",INDEX(_xlfn._xlws.FILTER('Model output'!P:P,('Model output'!Z:Z=A5)*('Model output'!P:P&lt;&gt;"")),1),1)),ISNUMBER(SEARCH("extensive",INDEX(_xlfn._xlws.FILTER('Model output'!P:P,('Model output'!Z:Z=A5)*('Model output'!P:P&lt;&gt;"")),1),1)),ISNUMBER(SEARCH("present",INDEX(_xlfn._xlws.FILTER('Model output'!P:P,('Model output'!Z:Z=A5)*('Model output'!P:P&lt;&gt;"")),1),1)),ISNUMBER(SEARCH("yes",INDEX(_xlfn._xlws.FILTER('Model output'!P:P,('Model output'!Z:Z=A5)*('Model output'!P:P&lt;&gt;"")),1),1))),"positive","negative"))</f>
        <v>negative</v>
      </c>
      <c r="V5" t="str" cm="1">
        <f t="array" ref="V5">IF(ISNUMBER(SEARCH("4",INDEX(_xlfn._xlws.FILTER('Model output'!P:P,('Model output'!Z:Z=A5)*('Model output'!P:P&lt;&gt;"")),1),1)),INDEX(_xlfn._xlws.FILTER('Model output'!P:P,('Model output'!Z:Z=A5)*('Model output'!P:P&lt;&gt;"")),1),"") &amp; _xlfn.TEXTJOIN("",TRUE,_xlfn._xlws.FILTER('Model output'!Q:Q,'Model output'!Z:Z=A5))</f>
        <v/>
      </c>
      <c r="W5" t="str">
        <f t="shared" si="11"/>
        <v>no</v>
      </c>
      <c r="X5" t="str" cm="1">
        <f t="array" ref="X5">IF(OR(ISNUMBER(SEARCH("focal",_xlfn.TEXTJOIN("; ",TRUE,_xlfn._xlws.FILTER('Model output'!R:R,'Model output'!Z:Z=A5)),1)),ISNUMBER(SEARCH("present",_xlfn.TEXTJOIN("; ",TRUE,_xlfn._xlws.FILTER('Model output'!R:R,'Model output'!Z:Z=A5)),1))),"positive",IF(_xlfn.TEXTJOIN("; ",TRUE,_xlfn._xlws.FILTER('Model output'!R:R,'Model output'!Z:Z=A5))="","negative",IF(OR(ISNUMBER(SEARCH("no",_xlfn.TEXTJOIN("; ",TRUE,_xlfn._xlws.FILTER('Model output'!R:R,'Model output'!Z:Z=A5)),1)),ISNUMBER(SEARCH("absent",_xlfn.TEXTJOIN("; ",TRUE,_xlfn._xlws.FILTER('Model output'!R:R,'Model output'!Z:Z=A5)),1))),"negative","positive")))</f>
        <v>negative</v>
      </c>
      <c r="Y5" s="17" t="str">
        <f t="shared" si="12"/>
        <v>positive</v>
      </c>
      <c r="AC5" s="17" t="str">
        <f t="shared" si="13"/>
        <v>negative</v>
      </c>
      <c r="AD5" t="str" cm="1">
        <f t="array" ref="AD5">_xlfn.TEXTJOIN("; ",TRUE,_xlfn._xlws.FILTER('Model output'!S:S,'Model output'!Z:Z=A5))</f>
        <v>Microscopic invasive of the surrounding fat at the 2 mm tumor nodule. No gross invasion was detected. No involvement of skeletal muscle bundles is detected.; Not mentioned</v>
      </c>
      <c r="AE5" s="47" t="str" cm="1">
        <f t="array" ref="AE5">IF(OR(ISNUMBER(SEARCH("uninvolved",_xlfn.TEXTJOIN("; ",TRUE,_xlfn._xlws.FILTER('Model output'!V:V,'Model output'!Z:Z=A5)),1)),ISNUMBER(SEARCH("clear",_xlfn.TEXTJOIN("; ",TRUE,_xlfn._xlws.FILTER('Model output'!V:V,'Model output'!Z:Z=A5)),1))*ISNUMBER(SEARCH("not mentioned",_xlfn.TEXTJOIN("; ",TRUE,_xlfn._xlws.FILTER('Model output'!V:V,'Model output'!Z:Z=A5)),1))),"negative",IF(ISNUMBER(SEARCH("cannot be assessed",_xlfn.TEXTJOIN("; ",TRUE,_xlfn._xlws.FILTER('Model output'!V:V,'Model output'!Z:Z=A5)),1)),"negative","negative"))</f>
        <v>negative</v>
      </c>
      <c r="AG5" s="36" t="str">
        <f t="shared" ref="AG5:AG37" si="14">IF(OR(ISNUMBER(SEARCH("non-invasive follicular",O5,1)),ISNUMBER(SEARCH("non-invasive follicular",P5,1))),"NIFTP", IF(OR(I5="positive",AC5="positive",AND(OR(ISNUMBER(SEARCH("follicular", O5)),ISNUMBER(SEARCH("FTC", O5))),W5="extensive"),AND(G5="positive",ISNUMBER(N5),N5&gt;3),AJ5=1),"high",IF(OR(ISNUMBER(SEARCH("positive",Y5,1)),ISNUMBER(SEARCH("tall",P5,1)),ISNUMBER(SEARCH("hobnail",P5,1)),ISNUMBER(SEARCH("cribriform",P5,1)),ISNUMBER(SEARCH("diffuse",P5,1)),ISNUMBER(SEARCH("columnar",P5,1)),ISNUMBER(SEARCH("solid",P5,1)),ISNUMBER(SEARCH("tall",O5,1)),ISNUMBER(SEARCH("hobnail",O5,1)),ISNUMBER(SEARCH("cribriform",O5,1)),ISNUMBER(SEARCH("diffuse",O5,1)),ISNUMBER(SEARCH("columnar",O5,1)),ISNUMBER(SEARCH("solid",O5,1)),AND(OR(ISNUMBER(SEARCH("papillary carcinoma",O5,1)),ISNUMBER(SEARCH("papillary microcarcinoma",O5,1))),T5="positive"),,AND(AND(ISNUMBER(K5),K5&gt;=5),N5=""),AND(AND(ISNUMBER(K5),K5&gt;=5),AND(ISNUMBER(N5),N5&gt;=1)),H5="lateral"),"intermediate","low")))</f>
        <v>intermediate</v>
      </c>
      <c r="AH5" s="37" t="str">
        <f t="shared" si="2"/>
        <v>1a</v>
      </c>
      <c r="AI5" s="37" t="str">
        <f t="shared" si="3"/>
        <v>1a</v>
      </c>
      <c r="AJ5" s="37">
        <f t="shared" si="4"/>
        <v>0</v>
      </c>
      <c r="AK5" s="37" t="str">
        <f t="shared" si="5"/>
        <v>I</v>
      </c>
      <c r="AL5" s="10" t="s">
        <v>166</v>
      </c>
      <c r="AM5" s="32" t="s">
        <v>196</v>
      </c>
      <c r="AN5" s="32" t="s">
        <v>196</v>
      </c>
      <c r="AO5" s="32">
        <v>0</v>
      </c>
      <c r="AP5" s="32" t="s">
        <v>31</v>
      </c>
      <c r="AQ5" s="10">
        <f t="shared" si="6"/>
        <v>1</v>
      </c>
      <c r="AR5" s="32">
        <f t="shared" si="7"/>
        <v>1</v>
      </c>
      <c r="AS5" s="32">
        <f t="shared" si="8"/>
        <v>1</v>
      </c>
      <c r="AT5" s="32">
        <f t="shared" si="9"/>
        <v>1</v>
      </c>
      <c r="AU5" s="34">
        <f t="shared" si="10"/>
        <v>1</v>
      </c>
    </row>
    <row r="6" spans="1:47">
      <c r="A6" s="13">
        <v>4</v>
      </c>
      <c r="B6" s="16"/>
      <c r="C6" s="17">
        <f>_xlfn.MAXIFS('Model output'!C:C,'Model output'!Z:Z,'Classification result'!$A6)</f>
        <v>61</v>
      </c>
      <c r="D6" s="17" t="str" cm="1">
        <f t="array" ref="D6">LEFT(IF(ISERROR(RIGHT(IF(INDEX(_xlfn._xlws.FILTER('Model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output'!Z:Z=A6)),1),""),1))),"",(RIGHT(IF(INDEX(_xlfn._xlws.FILTER('Model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output'!Z:Z=A6)),1)))))),2)</f>
        <v>1</v>
      </c>
      <c r="E6" s="17" t="str" cm="1">
        <f t="array" ref="E6">IF(ISNUMBER(SEARCH("N",IF(ISNUMBER(SEARCH("present",IF(INDEX(_xlfn._xlws.FILTER('Model output'!E:E,('Model output'!Z:Z=A6)),1)="","",INDEX(_xlfn._xlws.FILTER('Model output'!E:E,('Model output'!Z:Z=A6)),1)),1)),"N1", IF(INDEX(_xlfn._xlws.FILTER('Model output'!E:E,('Model output'!Z:Z=A6)),1)="","",INDEX(_xlfn._xlws.FILTER('Model output'!E:E,('Model output'!Z:Z=A6)),1))),1)),RIGHT(IF(ISNUMBER(SEARCH("present",IF(INDEX(_xlfn._xlws.FILTER('Model output'!E:E,('Model output'!Z:Z=A6)),1)="","",INDEX(_xlfn._xlws.FILTER('Model output'!E:E,('Model output'!Z:Z=A6)),1)),1)),"N1", IF(INDEX(_xlfn._xlws.FILTER('Model output'!E:E,('Model output'!Z:Z=A6)),1)="","",INDEX(_xlfn._xlws.FILTER('Model output'!E:E,('Model output'!Z:Z=A6)),1))),LEN(IF(ISNUMBER(SEARCH("present",IF(INDEX(_xlfn._xlws.FILTER('Model output'!E:E,('Model output'!Z:Z=A6)),1)="","",INDEX(_xlfn._xlws.FILTER('Model output'!E:E,('Model output'!Z:Z=A6)),1)),1)),"N1", IF(INDEX(_xlfn._xlws.FILTER('Model output'!E:E,('Model output'!Z:Z=A6)),1)="","",INDEX(_xlfn._xlws.FILTER('Model output'!E:E,('Model output'!Z:Z=A6)),1))))-FIND("N",IF(ISNUMBER(SEARCH("present",IF(INDEX(_xlfn._xlws.FILTER('Model output'!E:E,('Model output'!Z:Z=A6)),1)="","",INDEX(_xlfn._xlws.FILTER('Model output'!E:E,('Model output'!Z:Z=A6)),1)),1)),"N1", IF(INDEX(_xlfn._xlws.FILTER('Model output'!E:E,('Model output'!Z:Z=A6)),1)="","",INDEX(_xlfn._xlws.FILTER('Model output'!E:E,('Model output'!Z:Z=A6)),1))),1)), "")</f>
        <v>1a</v>
      </c>
      <c r="F6" s="17" cm="1">
        <f t="array" ref="F6">IF(AND(SUBSTITUTE(_xlfn.TEXTJOIN("/", TRUE, _xlfn._xlws.FILTER('Model output'!F:F, 'Model output'!Z:Z=A6)),"M", "")="", I6="negative"),0,IF(I6="positive",1,0))</f>
        <v>0</v>
      </c>
      <c r="G6" t="str">
        <f t="shared" si="0"/>
        <v>positive</v>
      </c>
      <c r="H6" t="str" cm="1">
        <f t="array" ref="H6">IF(AND(K6&gt;0, _xlfn.TEXTJOIN("; ", TRUE, _xlfn._xlws.FILTER('Model output'!G:G, 'Model output'!Z:Z=A6)) &lt;&gt;"", OR(AND(ISNUMBER(SEARCH("level", _xlfn.TEXTJOIN("; ", TRUE, _xlfn._xlws.FILTER('Model output'!G:G, 'Model output'!Z:Z=A6)),1)),OR(ISNUMBER(SEARCH(" II", _xlfn.TEXTJOIN("; ", TRUE, _xlfn._xlws.FILTER('Model output'!G:G, 'Model output'!Z:Z=A6)),1)),ISNUMBER(SEARCH("2", _xlfn.TEXTJOIN("; ", TRUE, _xlfn._xlws.FILTER('Model output'!G:G, 'Model output'!Z:Z=A6)),1)),ISNUMBER(SEARCH("two", _xlfn.TEXTJOIN("; ", TRUE, _xlfn._xlws.FILTER('Model output'!G:G, 'Model output'!Z:Z=A6)),1)),ISNUMBER(SEARCH("III", _xlfn.TEXTJOIN("; ", TRUE, _xlfn._xlws.FILTER('Model output'!G:G, 'Model output'!Z:Z=A6)),1)),ISNUMBER(SEARCH("3", _xlfn.TEXTJOIN("; ", TRUE, _xlfn._xlws.FILTER('Model output'!G:G, 'Model output'!Z:Z=A6)),1)),ISNUMBER(SEARCH("three", _xlfn.TEXTJOIN("; ", TRUE, _xlfn._xlws.FILTER('Model output'!G:G, 'Model output'!Z:Z=A6)),1)),ISNUMBER(SEARCH("IV", _xlfn.TEXTJOIN("; ", TRUE, _xlfn._xlws.FILTER('Model output'!G:G, 'Model output'!Z:Z=A6)),1)),ISNUMBER(SEARCH("4", _xlfn.TEXTJOIN("; ", TRUE, _xlfn._xlws.FILTER('Model output'!G:G, 'Model output'!Z:Z=A6)),1)),ISNUMBER(SEARCH("five", _xlfn.TEXTJOIN("; ", TRUE, _xlfn._xlws.FILTER('Model output'!G:G, 'Model output'!Z:Z=A6)),1)),ISNUMBER(SEARCH("V ", _xlfn.TEXTJOIN("; ", TRUE, _xlfn._xlws.FILTER('Model output'!G:G, 'Model output'!Z:Z=A6)),1)),ISNUMBER(SEARCH("5", _xlfn.TEXTJOIN("; ", TRUE, _xlfn._xlws.FILTER('Model output'!G:G, 'Model output'!Z:Z=A6)),1)),ISNUMBER(SEARCH("five", _xlfn.TEXTJOIN("; ", TRUE, _xlfn._xlws.FILTER('Model output'!G:G, 'Model output'!Z:Z=A6)),1)),ISNUMBER(SEARCH(" lateral", _xlfn.TEXTJOIN("; ", TRUE, _xlfn._xlws.FILTER('Model output'!G:G, 'Model output'!Z:Z=A6)),1)))),ISNUMBER(SEARCH("cervical", _xlfn.TEXTJOIN("; ", TRUE, _xlfn._xlws.FILTER('Model output'!G:G, 'Model output'!Z:Z=A6)),1)),ISNUMBER(SEARCH("jugular", _xlfn.TEXTJOIN("; ", TRUE, _xlfn._xlws.FILTER('Model output'!G:G, 'Model output'!Z:Z=A6)),1)),ISNUMBER(SEARCH("left neck", _xlfn.TEXTJOIN("; ", TRUE, _xlfn._xlws.FILTER('Model output'!G:G, 'Model output'!Z:Z=A6)),1)),ISNUMBER(SEARCH("left anterior neck", _xlfn.TEXTJOIN("; ", TRUE, _xlfn._xlws.FILTER('Model output'!G:G, 'Model output'!Z:Z=A6)),1)),ISNUMBER(SEARCH("left posterior neck", _xlfn.TEXTJOIN("; ", TRUE, _xlfn._xlws.FILTER('Model output'!G:G, 'Model output'!Z:Z=A6)),1)),ISNUMBER(SEARCH("right neck", _xlfn.TEXTJOIN("; ", TRUE, _xlfn._xlws.FILTER('Model output'!G:G, 'Model output'!Z:Z=A6)),1)),ISNUMBER(SEARCH("right anterior neck", _xlfn.TEXTJOIN("; ", TRUE, _xlfn._xlws.FILTER('Model output'!G:G, 'Model output'!Z:Z=A6)),1)),ISNUMBER(SEARCH("right posterior neck", _xlfn.TEXTJOIN("; ", TRUE, _xlfn._xlws.FILTER('Model output'!G:G, 'Model output'!Z:Z=A6)),1)))),"lateral",IF(AND(K6=0, _xlfn.TEXTJOIN("; ", TRUE, _xlfn._xlws.FILTER('Model output'!G:G, 'Model output'!Z:Z=A6))=""),"", "central"))</f>
        <v>central</v>
      </c>
      <c r="I6" s="17" t="str" cm="1">
        <f t="array" ref="I6">IF(OR(ISNUMBER(SEARCH("lymph",_xlfn.TEXTJOIN("; ", TRUE, _xlfn._xlws.FILTER('Model output'!H:H, 'Model output'!Z:Z=A6)),1)), ISNUMBER(SEARCH("Not mentioned",_xlfn.TEXTJOIN("; ", TRUE, _xlfn._xlws.FILTER('Model output'!H:H, 'Model output'!Z:Z=A6)),1)),ISNUMBER(SEARCH("subcutaneous soft tissues",_xlfn.TEXTJOIN("; ", TRUE, _xlfn._xlws.FILTER('Model output'!H:H, 'Model output'!Z:Z=A6)),1)),ISNUMBER(SEARCH("larynx",_xlfn.TEXTJOIN("; ", TRUE, _xlfn._xlws.FILTER('Model output'!H:H, 'Model output'!Z:Z=A6)),1)),ISNUMBER(SEARCH("trachea",_xlfn.TEXTJOIN("; ", TRUE, _xlfn._xlws.FILTER('Model output'!H:H, 'Model output'!Z:Z=A6)),1)),ISNUMBER(SEARCH("esophagus",_xlfn.TEXTJOIN("; ", TRUE, _xlfn._xlws.FILTER('Model output'!H:H, 'Model output'!Z:Z=A6)),1)),ISNUMBER(SEARCH("recurrent laryngeal nerve",_xlfn.TEXTJOIN("; ", TRUE, _xlfn._xlws.FILTER('Model output'!H:H, 'Model output'!Z:Z=A6)),1)),ISNUMBER(SEARCH("RLN",_xlfn.TEXTJOIN("; ", TRUE, _xlfn._xlws.FILTER('Model output'!H:H, 'Model output'!Z:Z=A6)),1)),_xlfn.TEXTJOIN("; ", TRUE, _xlfn._xlws.FILTER('Model output'!H:H, 'Model output'!Z:Z=A6))=""),"negative","positive")</f>
        <v>negative</v>
      </c>
      <c r="J6" s="17">
        <f>IF(IFERROR(INDEX('Model output'!I:I, MATCH(A6, 'Model output'!Z:Z, 0)), "") &lt; K6, "", IFERROR(INDEX('Model output'!I:I, MATCH(A6, 'Model output'!Z:Z, 0)), ""))</f>
        <v>4</v>
      </c>
      <c r="K6" s="17">
        <f>IFERROR(INDEX('Model output'!J:J, MATCH(A6, 'Model output'!Z:Z, 0)), "")</f>
        <v>1</v>
      </c>
      <c r="L6" s="18" t="str" cm="1">
        <f t="array" ref="L6">ReplaceTo(ReplaceAnd(SUBSTITUTE(SUBSTITUTE(_xlfn.TEXTJOIN("; ", TRUE, _xlfn._xlws.FILTER('Model output'!K:K, 'Model output'!Z:Z=A6)), " ", ""), ",", ";")))</f>
        <v>9.5mm</v>
      </c>
      <c r="M6" t="str" cm="1">
        <f t="array" ref="M6">IF(LEFT(IF(RIGHT(SUBSTITUTE(FilterWithUnits(L6)&amp;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";")),1)=";",RIGHT(IF(RIGHT(SUBSTITUTE(FilterWithUnits(L6)&amp;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";")),LEN(IF(RIGHT(SUBSTITUTE(FilterWithUnits(L6)&amp;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";")))-1),IF(RIGHT(SUBSTITUTE(FilterWithUnits(L6)&amp;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f>
        <v>9.5mm</v>
      </c>
      <c r="N6" cm="1">
        <f t="array" ref="N6">IF(MaxSize((SplitDimensions(M6)))=0, "", MaxSize((SplitDimensions(M6))))</f>
        <v>0.95</v>
      </c>
      <c r="O6" t="str" cm="1">
        <f t="array" ref="O6">IF(ISERROR(INDEX(_xlfn._xlws.FILTER('Model output'!L:L, ('Model output'!Z:Z=A6)*('Model output'!L:L&lt;&gt;"")), 1)), " ", LOWER(INDEX(_xlfn._xlws.FILTER('Model output'!L:L, ('Model output'!Z:Z=A6)*('Model output'!L:L&lt;&gt;"")), 1)))</f>
        <v>papillary carcinoma</v>
      </c>
      <c r="P6" t="str" cm="1">
        <f t="array" ref="P6">IF(ISERROR(INDEX(_xlfn._xlws.FILTER('Model output'!M:M, ('Model output'!Z:Z=A6)*('Model output'!M:M&lt;&gt;"")), 1)), " ", LOWER(INDEX(_xlfn._xlws.FILTER('Model output'!M:M, ('Model output'!Z:Z=A6)*('Model output'!M:M&lt;&gt;"")), 1)))</f>
        <v>classic</v>
      </c>
      <c r="Q6" t="str" cm="1">
        <f t="array" ref="Q6">IF(OR(ISNUMBER(SEARCH("ly",SUBSTITUTE(INDEX(_xlfn._xlws.FILTER('Model output'!N:N,('Model output'!Z:Z=A6)*('Model output'!N:N&lt;&gt;"")),1)," ",""),1)), ISNUMBER(SEARCH("pole",SUBSTITUTE(INDEX(_xlfn._xlws.FILTER('Model output'!N:N,('Model output'!Z:Z=A6)*('Model output'!N:N&lt;&gt;"")),1)," ",""),1))),"",SUBSTITUTE(INDEX(_xlfn._xlws.FILTER('Model output'!N:N,('Model output'!Z:Z=A6)*('Model output'!N:N&lt;&gt;"")),1)," ",""))</f>
        <v>15mm</v>
      </c>
      <c r="R6" t="str" cm="1">
        <f t="array" ref="R6">IF(LEFT(IF(RIGHT(SUBSTITUTE(FilterWithUnits(Q6)&amp;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";")),1)=";",RIGHT(IF(RIGHT(SUBSTITUTE(FilterWithUnits(Q6)&amp;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";")),LEN(IF(RIGHT(SUBSTITUTE(FilterWithUnits(Q6)&amp;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";")))-1),IF(RIGHT(SUBSTITUTE(FilterWithUnits(Q6)&amp;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f>
        <v>15mm</v>
      </c>
      <c r="S6" cm="1">
        <f t="array" ref="S6">IF(MaxSize((SplitDimensions(R6)))=0, "", MaxSize((SplitDimensions(R6))))</f>
        <v>1.5</v>
      </c>
      <c r="T6" s="17" t="str" cm="1">
        <f t="array" ref="T6">IF(ISERROR(INDEX(_xlfn._xlws.FILTER('Model output'!P:P,('Model output'!Z:Z=A6)*('Model output'!P:P&lt;&gt;"")),1)),"negative",IF(OR(ISNUMBER(SEARCH("foc",INDEX(_xlfn._xlws.FILTER('Model output'!P:P,('Model output'!Z:Z=A6)*('Model output'!P:P&lt;&gt;"")),1),1)),ISNUMBER(SEARCH("extensive",INDEX(_xlfn._xlws.FILTER('Model output'!P:P,('Model output'!Z:Z=A6)*('Model output'!P:P&lt;&gt;"")),1),1)),ISNUMBER(SEARCH("present",INDEX(_xlfn._xlws.FILTER('Model output'!P:P,('Model output'!Z:Z=A6)*('Model output'!P:P&lt;&gt;"")),1),1)),ISNUMBER(SEARCH("yes",INDEX(_xlfn._xlws.FILTER('Model output'!P:P,('Model output'!Z:Z=A6)*('Model output'!P:P&lt;&gt;"")),1),1))),"positive","negative"))</f>
        <v>positive</v>
      </c>
      <c r="V6" t="str" cm="1">
        <f t="array" ref="V6">IF(ISNUMBER(SEARCH("4",INDEX(_xlfn._xlws.FILTER('Model output'!P:P,('Model output'!Z:Z=A6)*('Model output'!P:P&lt;&gt;"")),1),1)),INDEX(_xlfn._xlws.FILTER('Model output'!P:P,('Model output'!Z:Z=A6)*('Model output'!P:P&lt;&gt;"")),1),"") &amp; _xlfn.TEXTJOIN("",TRUE,_xlfn._xlws.FILTER('Model output'!Q:Q,'Model output'!Z:Z=A6))</f>
        <v>Not identified</v>
      </c>
      <c r="W6" t="str">
        <f t="shared" si="11"/>
        <v>minimal</v>
      </c>
      <c r="X6" t="str" cm="1">
        <f t="array" ref="X6">IF(OR(ISNUMBER(SEARCH("focal",_xlfn.TEXTJOIN("; ",TRUE,_xlfn._xlws.FILTER('Model output'!R:R,'Model output'!Z:Z=A6)),1)),ISNUMBER(SEARCH("present",_xlfn.TEXTJOIN("; ",TRUE,_xlfn._xlws.FILTER('Model output'!R:R,'Model output'!Z:Z=A6)),1))),"positive",IF(_xlfn.TEXTJOIN("; ",TRUE,_xlfn._xlws.FILTER('Model output'!R:R,'Model output'!Z:Z=A6))="","negative",IF(OR(ISNUMBER(SEARCH("no",_xlfn.TEXTJOIN("; ",TRUE,_xlfn._xlws.FILTER('Model output'!R:R,'Model output'!Z:Z=A6)),1)),ISNUMBER(SEARCH("absent",_xlfn.TEXTJOIN("; ",TRUE,_xlfn._xlws.FILTER('Model output'!R:R,'Model output'!Z:Z=A6)),1))),"negative","positive")))</f>
        <v>positive</v>
      </c>
      <c r="Y6" s="17" t="str">
        <f t="shared" si="12"/>
        <v>positive</v>
      </c>
      <c r="AC6" s="17" t="str">
        <f t="shared" si="13"/>
        <v>negative</v>
      </c>
      <c r="AD6" t="str" cm="1">
        <f t="array" ref="AD6">_xlfn.TEXTJOIN("; ",TRUE,_xlfn._xlws.FILTER('Model output'!S:S,'Model output'!Z:Z=A6))</f>
        <v>fatty soft tissue at isthmus; Not mentioned</v>
      </c>
      <c r="AE6" s="47" t="str" cm="1">
        <f t="array" ref="AE6">IF(OR(ISNUMBER(SEARCH("uninvolved",_xlfn.TEXTJOIN("; ",TRUE,_xlfn._xlws.FILTER('Model output'!V:V,'Model output'!Z:Z=A6)),1)),ISNUMBER(SEARCH("clear",_xlfn.TEXTJOIN("; ",TRUE,_xlfn._xlws.FILTER('Model output'!V:V,'Model output'!Z:Z=A6)),1))*ISNUMBER(SEARCH("not mentioned",_xlfn.TEXTJOIN("; ",TRUE,_xlfn._xlws.FILTER('Model output'!V:V,'Model output'!Z:Z=A6)),1))),"negative",IF(ISNUMBER(SEARCH("cannot be assessed",_xlfn.TEXTJOIN("; ",TRUE,_xlfn._xlws.FILTER('Model output'!V:V,'Model output'!Z:Z=A6)),1)),"negative","negative"))</f>
        <v>negative</v>
      </c>
      <c r="AG6" s="36" t="str">
        <f t="shared" si="14"/>
        <v>intermediate</v>
      </c>
      <c r="AH6" s="37" t="str">
        <f t="shared" si="2"/>
        <v>1b</v>
      </c>
      <c r="AI6" s="37" t="str">
        <f t="shared" si="3"/>
        <v>1a</v>
      </c>
      <c r="AJ6" s="37">
        <f t="shared" si="4"/>
        <v>0</v>
      </c>
      <c r="AK6" s="37" t="str">
        <f t="shared" si="5"/>
        <v>II</v>
      </c>
      <c r="AL6" s="10" t="s">
        <v>166</v>
      </c>
      <c r="AM6" s="37" t="s">
        <v>194</v>
      </c>
      <c r="AN6" s="32" t="s">
        <v>196</v>
      </c>
      <c r="AO6" s="32">
        <v>0</v>
      </c>
      <c r="AP6" s="32" t="s">
        <v>43</v>
      </c>
      <c r="AQ6" s="10">
        <f t="shared" si="6"/>
        <v>1</v>
      </c>
      <c r="AR6" s="32">
        <f t="shared" si="7"/>
        <v>1</v>
      </c>
      <c r="AS6" s="32">
        <f t="shared" si="8"/>
        <v>1</v>
      </c>
      <c r="AT6" s="32">
        <f t="shared" si="9"/>
        <v>1</v>
      </c>
      <c r="AU6" s="34">
        <f t="shared" si="10"/>
        <v>1</v>
      </c>
    </row>
    <row r="7" spans="1:47">
      <c r="A7" s="13">
        <v>5</v>
      </c>
      <c r="B7" s="16"/>
      <c r="C7" s="17">
        <f>_xlfn.MAXIFS('Model output'!C:C,'Model output'!Z:Z,'Classification result'!$A7)</f>
        <v>34</v>
      </c>
      <c r="D7" s="17" t="str" cm="1">
        <f t="array" ref="D7">LEFT(IF(ISERROR(RIGHT(IF(INDEX(_xlfn._xlws.FILTER('Model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output'!Z:Z=A7)),1),""),1))),"",(RIGHT(IF(INDEX(_xlfn._xlws.FILTER('Model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output'!Z:Z=A7)),1)))))),2)</f>
        <v>3b</v>
      </c>
      <c r="E7" s="17" t="str" cm="1">
        <f t="array" ref="E7">IF(ISNUMBER(SEARCH("N",IF(ISNUMBER(SEARCH("present",IF(INDEX(_xlfn._xlws.FILTER('Model output'!E:E,('Model output'!Z:Z=A7)),1)="","",INDEX(_xlfn._xlws.FILTER('Model output'!E:E,('Model output'!Z:Z=A7)),1)),1)),"N1", IF(INDEX(_xlfn._xlws.FILTER('Model output'!E:E,('Model output'!Z:Z=A7)),1)="","",INDEX(_xlfn._xlws.FILTER('Model output'!E:E,('Model output'!Z:Z=A7)),1))),1)),RIGHT(IF(ISNUMBER(SEARCH("present",IF(INDEX(_xlfn._xlws.FILTER('Model output'!E:E,('Model output'!Z:Z=A7)),1)="","",INDEX(_xlfn._xlws.FILTER('Model output'!E:E,('Model output'!Z:Z=A7)),1)),1)),"N1", IF(INDEX(_xlfn._xlws.FILTER('Model output'!E:E,('Model output'!Z:Z=A7)),1)="","",INDEX(_xlfn._xlws.FILTER('Model output'!E:E,('Model output'!Z:Z=A7)),1))),LEN(IF(ISNUMBER(SEARCH("present",IF(INDEX(_xlfn._xlws.FILTER('Model output'!E:E,('Model output'!Z:Z=A7)),1)="","",INDEX(_xlfn._xlws.FILTER('Model output'!E:E,('Model output'!Z:Z=A7)),1)),1)),"N1", IF(INDEX(_xlfn._xlws.FILTER('Model output'!E:E,('Model output'!Z:Z=A7)),1)="","",INDEX(_xlfn._xlws.FILTER('Model output'!E:E,('Model output'!Z:Z=A7)),1))))-FIND("N",IF(ISNUMBER(SEARCH("present",IF(INDEX(_xlfn._xlws.FILTER('Model output'!E:E,('Model output'!Z:Z=A7)),1)="","",INDEX(_xlfn._xlws.FILTER('Model output'!E:E,('Model output'!Z:Z=A7)),1)),1)),"N1", IF(INDEX(_xlfn._xlws.FILTER('Model output'!E:E,('Model output'!Z:Z=A7)),1)="","",INDEX(_xlfn._xlws.FILTER('Model output'!E:E,('Model output'!Z:Z=A7)),1))),1)), "")</f>
        <v>1a</v>
      </c>
      <c r="F7" s="17" cm="1">
        <f t="array" ref="F7">IF(AND(SUBSTITUTE(_xlfn.TEXTJOIN("/", TRUE, _xlfn._xlws.FILTER('Model output'!F:F, 'Model output'!Z:Z=A7)),"M", "")="", I7="negative"),0,IF(I7="positive",1,0))</f>
        <v>0</v>
      </c>
      <c r="G7" t="str">
        <f t="shared" si="0"/>
        <v>positive</v>
      </c>
      <c r="H7" t="str" cm="1">
        <f t="array" ref="H7">IF(AND(K7&gt;0, _xlfn.TEXTJOIN("; ", TRUE, _xlfn._xlws.FILTER('Model output'!G:G, 'Model output'!Z:Z=A7)) &lt;&gt;"", OR(AND(ISNUMBER(SEARCH("level", _xlfn.TEXTJOIN("; ", TRUE, _xlfn._xlws.FILTER('Model output'!G:G, 'Model output'!Z:Z=A7)),1)),OR(ISNUMBER(SEARCH(" II", _xlfn.TEXTJOIN("; ", TRUE, _xlfn._xlws.FILTER('Model output'!G:G, 'Model output'!Z:Z=A7)),1)),ISNUMBER(SEARCH("2", _xlfn.TEXTJOIN("; ", TRUE, _xlfn._xlws.FILTER('Model output'!G:G, 'Model output'!Z:Z=A7)),1)),ISNUMBER(SEARCH("two", _xlfn.TEXTJOIN("; ", TRUE, _xlfn._xlws.FILTER('Model output'!G:G, 'Model output'!Z:Z=A7)),1)),ISNUMBER(SEARCH("III", _xlfn.TEXTJOIN("; ", TRUE, _xlfn._xlws.FILTER('Model output'!G:G, 'Model output'!Z:Z=A7)),1)),ISNUMBER(SEARCH("3", _xlfn.TEXTJOIN("; ", TRUE, _xlfn._xlws.FILTER('Model output'!G:G, 'Model output'!Z:Z=A7)),1)),ISNUMBER(SEARCH("three", _xlfn.TEXTJOIN("; ", TRUE, _xlfn._xlws.FILTER('Model output'!G:G, 'Model output'!Z:Z=A7)),1)),ISNUMBER(SEARCH("IV", _xlfn.TEXTJOIN("; ", TRUE, _xlfn._xlws.FILTER('Model output'!G:G, 'Model output'!Z:Z=A7)),1)),ISNUMBER(SEARCH("4", _xlfn.TEXTJOIN("; ", TRUE, _xlfn._xlws.FILTER('Model output'!G:G, 'Model output'!Z:Z=A7)),1)),ISNUMBER(SEARCH("five", _xlfn.TEXTJOIN("; ", TRUE, _xlfn._xlws.FILTER('Model output'!G:G, 'Model output'!Z:Z=A7)),1)),ISNUMBER(SEARCH("V ", _xlfn.TEXTJOIN("; ", TRUE, _xlfn._xlws.FILTER('Model output'!G:G, 'Model output'!Z:Z=A7)),1)),ISNUMBER(SEARCH("5", _xlfn.TEXTJOIN("; ", TRUE, _xlfn._xlws.FILTER('Model output'!G:G, 'Model output'!Z:Z=A7)),1)),ISNUMBER(SEARCH("five", _xlfn.TEXTJOIN("; ", TRUE, _xlfn._xlws.FILTER('Model output'!G:G, 'Model output'!Z:Z=A7)),1)),ISNUMBER(SEARCH(" lateral", _xlfn.TEXTJOIN("; ", TRUE, _xlfn._xlws.FILTER('Model output'!G:G, 'Model output'!Z:Z=A7)),1)))),ISNUMBER(SEARCH("cervical", _xlfn.TEXTJOIN("; ", TRUE, _xlfn._xlws.FILTER('Model output'!G:G, 'Model output'!Z:Z=A7)),1)),ISNUMBER(SEARCH("jugular", _xlfn.TEXTJOIN("; ", TRUE, _xlfn._xlws.FILTER('Model output'!G:G, 'Model output'!Z:Z=A7)),1)),ISNUMBER(SEARCH("left neck", _xlfn.TEXTJOIN("; ", TRUE, _xlfn._xlws.FILTER('Model output'!G:G, 'Model output'!Z:Z=A7)),1)),ISNUMBER(SEARCH("left anterior neck", _xlfn.TEXTJOIN("; ", TRUE, _xlfn._xlws.FILTER('Model output'!G:G, 'Model output'!Z:Z=A7)),1)),ISNUMBER(SEARCH("left posterior neck", _xlfn.TEXTJOIN("; ", TRUE, _xlfn._xlws.FILTER('Model output'!G:G, 'Model output'!Z:Z=A7)),1)),ISNUMBER(SEARCH("right neck", _xlfn.TEXTJOIN("; ", TRUE, _xlfn._xlws.FILTER('Model output'!G:G, 'Model output'!Z:Z=A7)),1)),ISNUMBER(SEARCH("right anterior neck", _xlfn.TEXTJOIN("; ", TRUE, _xlfn._xlws.FILTER('Model output'!G:G, 'Model output'!Z:Z=A7)),1)),ISNUMBER(SEARCH("right posterior neck", _xlfn.TEXTJOIN("; ", TRUE, _xlfn._xlws.FILTER('Model output'!G:G, 'Model output'!Z:Z=A7)),1)))),"lateral",IF(AND(K7=0, _xlfn.TEXTJOIN("; ", TRUE, _xlfn._xlws.FILTER('Model output'!G:G, 'Model output'!Z:Z=A7))=""),"", "central"))</f>
        <v>central</v>
      </c>
      <c r="I7" s="17" t="str" cm="1">
        <f t="array" ref="I7">IF(OR(ISNUMBER(SEARCH("lymph",_xlfn.TEXTJOIN("; ", TRUE, _xlfn._xlws.FILTER('Model output'!H:H, 'Model output'!Z:Z=A7)),1)), ISNUMBER(SEARCH("Not mentioned",_xlfn.TEXTJOIN("; ", TRUE, _xlfn._xlws.FILTER('Model output'!H:H, 'Model output'!Z:Z=A7)),1)),ISNUMBER(SEARCH("subcutaneous soft tissues",_xlfn.TEXTJOIN("; ", TRUE, _xlfn._xlws.FILTER('Model output'!H:H, 'Model output'!Z:Z=A7)),1)),ISNUMBER(SEARCH("larynx",_xlfn.TEXTJOIN("; ", TRUE, _xlfn._xlws.FILTER('Model output'!H:H, 'Model output'!Z:Z=A7)),1)),ISNUMBER(SEARCH("trachea",_xlfn.TEXTJOIN("; ", TRUE, _xlfn._xlws.FILTER('Model output'!H:H, 'Model output'!Z:Z=A7)),1)),ISNUMBER(SEARCH("esophagus",_xlfn.TEXTJOIN("; ", TRUE, _xlfn._xlws.FILTER('Model output'!H:H, 'Model output'!Z:Z=A7)),1)),ISNUMBER(SEARCH("recurrent laryngeal nerve",_xlfn.TEXTJOIN("; ", TRUE, _xlfn._xlws.FILTER('Model output'!H:H, 'Model output'!Z:Z=A7)),1)),ISNUMBER(SEARCH("RLN",_xlfn.TEXTJOIN("; ", TRUE, _xlfn._xlws.FILTER('Model output'!H:H, 'Model output'!Z:Z=A7)),1)),_xlfn.TEXTJOIN("; ", TRUE, _xlfn._xlws.FILTER('Model output'!H:H, 'Model output'!Z:Z=A7))=""),"negative","positive")</f>
        <v>negative</v>
      </c>
      <c r="J7" s="17">
        <f>IF(IFERROR(INDEX('Model output'!I:I, MATCH(A7, 'Model output'!Z:Z, 0)), "") &lt; K7, "", IFERROR(INDEX('Model output'!I:I, MATCH(A7, 'Model output'!Z:Z, 0)), ""))</f>
        <v>5</v>
      </c>
      <c r="K7" s="17">
        <f>IFERROR(INDEX('Model output'!J:J, MATCH(A7, 'Model output'!Z:Z, 0)), "")</f>
        <v>1</v>
      </c>
      <c r="L7" s="18" t="str" cm="1">
        <f t="array" ref="L7">ReplaceTo(ReplaceAnd(SUBSTITUTE(SUBSTITUTE(_xlfn.TEXTJOIN("; ", TRUE, _xlfn._xlws.FILTER('Model output'!K:K, 'Model output'!Z:Z=A7)), " ", ""), ",", ";")))</f>
        <v>0.6mm;Notmentioned</v>
      </c>
      <c r="M7" t="str" cm="1">
        <f t="array" ref="M7">IF(LEFT(IF(RIGHT(SUBSTITUTE(FilterWithUnits(L7)&amp;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";")),1)=";",RIGHT(IF(RIGHT(SUBSTITUTE(FilterWithUnits(L7)&amp;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";")),LEN(IF(RIGHT(SUBSTITUTE(FilterWithUnits(L7)&amp;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";")))-1),IF(RIGHT(SUBSTITUTE(FilterWithUnits(L7)&amp;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f>
        <v>0.6mm</v>
      </c>
      <c r="N7" cm="1">
        <f t="array" ref="N7">IF(MaxSize((SplitDimensions(M7)))=0, "", MaxSize((SplitDimensions(M7))))</f>
        <v>0.06</v>
      </c>
      <c r="O7" t="str" cm="1">
        <f t="array" ref="O7">IF(ISERROR(INDEX(_xlfn._xlws.FILTER('Model output'!L:L, ('Model output'!Z:Z=A7)*('Model output'!L:L&lt;&gt;"")), 1)), " ", LOWER(INDEX(_xlfn._xlws.FILTER('Model output'!L:L, ('Model output'!Z:Z=A7)*('Model output'!L:L&lt;&gt;"")), 1)))</f>
        <v>papillary</v>
      </c>
      <c r="P7" t="str" cm="1">
        <f t="array" ref="P7">IF(ISERROR(INDEX(_xlfn._xlws.FILTER('Model output'!M:M, ('Model output'!Z:Z=A7)*('Model output'!M:M&lt;&gt;"")), 1)), " ", LOWER(INDEX(_xlfn._xlws.FILTER('Model output'!M:M, ('Model output'!Z:Z=A7)*('Model output'!M:M&lt;&gt;"")), 1)))</f>
        <v>oncocytic classic</v>
      </c>
      <c r="Q7" t="str" cm="1">
        <f t="array" ref="Q7">IF(OR(ISNUMBER(SEARCH("ly",SUBSTITUTE(INDEX(_xlfn._xlws.FILTER('Model output'!N:N,('Model output'!Z:Z=A7)*('Model output'!N:N&lt;&gt;"")),1)," ",""),1)), ISNUMBER(SEARCH("pole",SUBSTITUTE(INDEX(_xlfn._xlws.FILTER('Model output'!N:N,('Model output'!Z:Z=A7)*('Model output'!N:N&lt;&gt;"")),1)," ",""),1))),"",SUBSTITUTE(INDEX(_xlfn._xlws.FILTER('Model output'!N:N,('Model output'!Z:Z=A7)*('Model output'!N:N&lt;&gt;"")),1)," ",""))</f>
        <v/>
      </c>
      <c r="R7" t="str" cm="1">
        <f t="array" ref="R7">IF(LEFT(IF(RIGHT(SUBSTITUTE(FilterWithUnits(Q7)&amp;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";")),1)=";",RIGHT(IF(RIGHT(SUBSTITUTE(FilterWithUnits(Q7)&amp;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";")),LEN(IF(RIGHT(SUBSTITUTE(FilterWithUnits(Q7)&amp;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";")))-1),IF(RIGHT(SUBSTITUTE(FilterWithUnits(Q7)&amp;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f>
        <v/>
      </c>
      <c r="S7" t="str" cm="1">
        <f t="array" ref="S7">IF(MaxSize((SplitDimensions(R7)))=0, "", MaxSize((SplitDimensions(R7))))</f>
        <v/>
      </c>
      <c r="T7" s="17" t="str" cm="1">
        <f t="array" ref="T7">IF(ISERROR(INDEX(_xlfn._xlws.FILTER('Model output'!P:P,('Model output'!Z:Z=A7)*('Model output'!P:P&lt;&gt;"")),1)),"negative",IF(OR(ISNUMBER(SEARCH("foc",INDEX(_xlfn._xlws.FILTER('Model output'!P:P,('Model output'!Z:Z=A7)*('Model output'!P:P&lt;&gt;"")),1),1)),ISNUMBER(SEARCH("extensive",INDEX(_xlfn._xlws.FILTER('Model output'!P:P,('Model output'!Z:Z=A7)*('Model output'!P:P&lt;&gt;"")),1),1)),ISNUMBER(SEARCH("present",INDEX(_xlfn._xlws.FILTER('Model output'!P:P,('Model output'!Z:Z=A7)*('Model output'!P:P&lt;&gt;"")),1),1)),ISNUMBER(SEARCH("yes",INDEX(_xlfn._xlws.FILTER('Model output'!P:P,('Model output'!Z:Z=A7)*('Model output'!P:P&lt;&gt;"")),1),1))),"positive","negative"))</f>
        <v>positive</v>
      </c>
      <c r="V7" t="str" cm="1">
        <f t="array" ref="V7">IF(ISNUMBER(SEARCH("4",INDEX(_xlfn._xlws.FILTER('Model output'!P:P,('Model output'!Z:Z=A7)*('Model output'!P:P&lt;&gt;"")),1),1)),INDEX(_xlfn._xlws.FILTER('Model output'!P:P,('Model output'!Z:Z=A7)*('Model output'!P:P&lt;&gt;"")),1),"") &amp; _xlfn.TEXTJOIN("",TRUE,_xlfn._xlws.FILTER('Model output'!Q:Q,'Model output'!Z:Z=A7))</f>
        <v>4 or moreNot mentioned</v>
      </c>
      <c r="W7" t="str">
        <f t="shared" si="11"/>
        <v>extensive</v>
      </c>
      <c r="X7" t="str" cm="1">
        <f t="array" ref="X7">IF(OR(ISNUMBER(SEARCH("focal",_xlfn.TEXTJOIN("; ",TRUE,_xlfn._xlws.FILTER('Model output'!R:R,'Model output'!Z:Z=A7)),1)),ISNUMBER(SEARCH("present",_xlfn.TEXTJOIN("; ",TRUE,_xlfn._xlws.FILTER('Model output'!R:R,'Model output'!Z:Z=A7)),1))),"positive",IF(_xlfn.TEXTJOIN("; ",TRUE,_xlfn._xlws.FILTER('Model output'!R:R,'Model output'!Z:Z=A7))="","negative",IF(OR(ISNUMBER(SEARCH("no",_xlfn.TEXTJOIN("; ",TRUE,_xlfn._xlws.FILTER('Model output'!R:R,'Model output'!Z:Z=A7)),1)),ISNUMBER(SEARCH("absent",_xlfn.TEXTJOIN("; ",TRUE,_xlfn._xlws.FILTER('Model output'!R:R,'Model output'!Z:Z=A7)),1))),"negative","positive")))</f>
        <v>positive</v>
      </c>
      <c r="Y7" s="17" t="str">
        <f t="shared" si="12"/>
        <v>positive</v>
      </c>
      <c r="AC7" s="17" t="str">
        <f t="shared" si="13"/>
        <v>positive</v>
      </c>
      <c r="AD7" t="str" cm="1">
        <f t="array" ref="AD7">_xlfn.TEXTJOIN("; ",TRUE,_xlfn._xlws.FILTER('Model output'!S:S,'Model output'!Z:Z=A7))</f>
        <v>Invading soft tissue and strap muscles; No extranodal extension; Present</v>
      </c>
      <c r="AE7" s="47" t="str" cm="1">
        <f t="array" ref="AE7">IF(OR(ISNUMBER(SEARCH("uninvolved",_xlfn.TEXTJOIN("; ",TRUE,_xlfn._xlws.FILTER('Model output'!V:V,'Model output'!Z:Z=A7)),1)),ISNUMBER(SEARCH("clear",_xlfn.TEXTJOIN("; ",TRUE,_xlfn._xlws.FILTER('Model output'!V:V,'Model output'!Z:Z=A7)),1))*ISNUMBER(SEARCH("not mentioned",_xlfn.TEXTJOIN("; ",TRUE,_xlfn._xlws.FILTER('Model output'!V:V,'Model output'!Z:Z=A7)),1))),"negative",IF(ISNUMBER(SEARCH("cannot be assessed",_xlfn.TEXTJOIN("; ",TRUE,_xlfn._xlws.FILTER('Model output'!V:V,'Model output'!Z:Z=A7)),1)),"negative","negative"))</f>
        <v>negative</v>
      </c>
      <c r="AG7" s="36" t="str">
        <f t="shared" si="14"/>
        <v>high</v>
      </c>
      <c r="AH7" s="37" t="str">
        <f t="shared" si="2"/>
        <v>4a</v>
      </c>
      <c r="AI7" s="37" t="str">
        <f t="shared" si="3"/>
        <v>1a</v>
      </c>
      <c r="AJ7" s="37">
        <f t="shared" si="4"/>
        <v>0</v>
      </c>
      <c r="AK7" s="37" t="str">
        <f t="shared" si="5"/>
        <v>I</v>
      </c>
      <c r="AL7" s="10" t="s">
        <v>167</v>
      </c>
      <c r="AM7" s="32" t="s">
        <v>197</v>
      </c>
      <c r="AN7" s="32" t="s">
        <v>196</v>
      </c>
      <c r="AO7" s="32">
        <v>0</v>
      </c>
      <c r="AP7" s="32" t="s">
        <v>31</v>
      </c>
      <c r="AQ7" s="10">
        <f t="shared" si="6"/>
        <v>1</v>
      </c>
      <c r="AR7" s="32">
        <f t="shared" si="7"/>
        <v>0</v>
      </c>
      <c r="AS7" s="32">
        <f t="shared" si="8"/>
        <v>1</v>
      </c>
      <c r="AT7" s="32">
        <f t="shared" si="9"/>
        <v>1</v>
      </c>
      <c r="AU7" s="34">
        <f t="shared" si="10"/>
        <v>1</v>
      </c>
    </row>
    <row r="8" spans="1:47">
      <c r="A8" s="13">
        <v>6</v>
      </c>
      <c r="B8" s="16"/>
      <c r="C8" s="17">
        <f>_xlfn.MAXIFS('Model output'!C:C,'Model output'!Z:Z,'Classification result'!$A8)</f>
        <v>66</v>
      </c>
      <c r="D8" s="17" t="str" cm="1">
        <f t="array" ref="D8">LEFT(IF(ISERROR(RIGHT(IF(INDEX(_xlfn._xlws.FILTER('Model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output'!Z:Z=A8)),1),""),1))),"",(RIGHT(IF(INDEX(_xlfn._xlws.FILTER('Model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output'!Z:Z=A8)),1)))))),2)</f>
        <v>X</v>
      </c>
      <c r="E8" s="17" t="str" cm="1">
        <f t="array" ref="E8">IF(ISNUMBER(SEARCH("N",IF(ISNUMBER(SEARCH("present",IF(INDEX(_xlfn._xlws.FILTER('Model output'!E:E,('Model output'!Z:Z=A8)),1)="","",INDEX(_xlfn._xlws.FILTER('Model output'!E:E,('Model output'!Z:Z=A8)),1)),1)),"N1", IF(INDEX(_xlfn._xlws.FILTER('Model output'!E:E,('Model output'!Z:Z=A8)),1)="","",INDEX(_xlfn._xlws.FILTER('Model output'!E:E,('Model output'!Z:Z=A8)),1))),1)),RIGHT(IF(ISNUMBER(SEARCH("present",IF(INDEX(_xlfn._xlws.FILTER('Model output'!E:E,('Model output'!Z:Z=A8)),1)="","",INDEX(_xlfn._xlws.FILTER('Model output'!E:E,('Model output'!Z:Z=A8)),1)),1)),"N1", IF(INDEX(_xlfn._xlws.FILTER('Model output'!E:E,('Model output'!Z:Z=A8)),1)="","",INDEX(_xlfn._xlws.FILTER('Model output'!E:E,('Model output'!Z:Z=A8)),1))),LEN(IF(ISNUMBER(SEARCH("present",IF(INDEX(_xlfn._xlws.FILTER('Model output'!E:E,('Model output'!Z:Z=A8)),1)="","",INDEX(_xlfn._xlws.FILTER('Model output'!E:E,('Model output'!Z:Z=A8)),1)),1)),"N1", IF(INDEX(_xlfn._xlws.FILTER('Model output'!E:E,('Model output'!Z:Z=A8)),1)="","",INDEX(_xlfn._xlws.FILTER('Model output'!E:E,('Model output'!Z:Z=A8)),1))))-FIND("N",IF(ISNUMBER(SEARCH("present",IF(INDEX(_xlfn._xlws.FILTER('Model output'!E:E,('Model output'!Z:Z=A8)),1)="","",INDEX(_xlfn._xlws.FILTER('Model output'!E:E,('Model output'!Z:Z=A8)),1)),1)),"N1", IF(INDEX(_xlfn._xlws.FILTER('Model output'!E:E,('Model output'!Z:Z=A8)),1)="","",INDEX(_xlfn._xlws.FILTER('Model output'!E:E,('Model output'!Z:Z=A8)),1))),1)), "")</f>
        <v/>
      </c>
      <c r="F8" s="17" cm="1">
        <f t="array" ref="F8">IF(AND(SUBSTITUTE(_xlfn.TEXTJOIN("/", TRUE, _xlfn._xlws.FILTER('Model output'!F:F, 'Model output'!Z:Z=A8)),"M", "")="", I8="negative"),0,IF(I8="positive",1,0))</f>
        <v>0</v>
      </c>
      <c r="G8" t="str">
        <f t="shared" si="0"/>
        <v/>
      </c>
      <c r="H8" t="str" cm="1">
        <f t="array" ref="H8">IF(AND(K8&gt;0, _xlfn.TEXTJOIN("; ", TRUE, _xlfn._xlws.FILTER('Model output'!G:G, 'Model output'!Z:Z=A8)) &lt;&gt;"", OR(AND(ISNUMBER(SEARCH("level", _xlfn.TEXTJOIN("; ", TRUE, _xlfn._xlws.FILTER('Model output'!G:G, 'Model output'!Z:Z=A8)),1)),OR(ISNUMBER(SEARCH(" II", _xlfn.TEXTJOIN("; ", TRUE, _xlfn._xlws.FILTER('Model output'!G:G, 'Model output'!Z:Z=A8)),1)),ISNUMBER(SEARCH("2", _xlfn.TEXTJOIN("; ", TRUE, _xlfn._xlws.FILTER('Model output'!G:G, 'Model output'!Z:Z=A8)),1)),ISNUMBER(SEARCH("two", _xlfn.TEXTJOIN("; ", TRUE, _xlfn._xlws.FILTER('Model output'!G:G, 'Model output'!Z:Z=A8)),1)),ISNUMBER(SEARCH("III", _xlfn.TEXTJOIN("; ", TRUE, _xlfn._xlws.FILTER('Model output'!G:G, 'Model output'!Z:Z=A8)),1)),ISNUMBER(SEARCH("3", _xlfn.TEXTJOIN("; ", TRUE, _xlfn._xlws.FILTER('Model output'!G:G, 'Model output'!Z:Z=A8)),1)),ISNUMBER(SEARCH("three", _xlfn.TEXTJOIN("; ", TRUE, _xlfn._xlws.FILTER('Model output'!G:G, 'Model output'!Z:Z=A8)),1)),ISNUMBER(SEARCH("IV", _xlfn.TEXTJOIN("; ", TRUE, _xlfn._xlws.FILTER('Model output'!G:G, 'Model output'!Z:Z=A8)),1)),ISNUMBER(SEARCH("4", _xlfn.TEXTJOIN("; ", TRUE, _xlfn._xlws.FILTER('Model output'!G:G, 'Model output'!Z:Z=A8)),1)),ISNUMBER(SEARCH("five", _xlfn.TEXTJOIN("; ", TRUE, _xlfn._xlws.FILTER('Model output'!G:G, 'Model output'!Z:Z=A8)),1)),ISNUMBER(SEARCH("V ", _xlfn.TEXTJOIN("; ", TRUE, _xlfn._xlws.FILTER('Model output'!G:G, 'Model output'!Z:Z=A8)),1)),ISNUMBER(SEARCH("5", _xlfn.TEXTJOIN("; ", TRUE, _xlfn._xlws.FILTER('Model output'!G:G, 'Model output'!Z:Z=A8)),1)),ISNUMBER(SEARCH("five", _xlfn.TEXTJOIN("; ", TRUE, _xlfn._xlws.FILTER('Model output'!G:G, 'Model output'!Z:Z=A8)),1)),ISNUMBER(SEARCH(" lateral", _xlfn.TEXTJOIN("; ", TRUE, _xlfn._xlws.FILTER('Model output'!G:G, 'Model output'!Z:Z=A8)),1)))),ISNUMBER(SEARCH("cervical", _xlfn.TEXTJOIN("; ", TRUE, _xlfn._xlws.FILTER('Model output'!G:G, 'Model output'!Z:Z=A8)),1)),ISNUMBER(SEARCH("jugular", _xlfn.TEXTJOIN("; ", TRUE, _xlfn._xlws.FILTER('Model output'!G:G, 'Model output'!Z:Z=A8)),1)),ISNUMBER(SEARCH("left neck", _xlfn.TEXTJOIN("; ", TRUE, _xlfn._xlws.FILTER('Model output'!G:G, 'Model output'!Z:Z=A8)),1)),ISNUMBER(SEARCH("left anterior neck", _xlfn.TEXTJOIN("; ", TRUE, _xlfn._xlws.FILTER('Model output'!G:G, 'Model output'!Z:Z=A8)),1)),ISNUMBER(SEARCH("left posterior neck", _xlfn.TEXTJOIN("; ", TRUE, _xlfn._xlws.FILTER('Model output'!G:G, 'Model output'!Z:Z=A8)),1)),ISNUMBER(SEARCH("right neck", _xlfn.TEXTJOIN("; ", TRUE, _xlfn._xlws.FILTER('Model output'!G:G, 'Model output'!Z:Z=A8)),1)),ISNUMBER(SEARCH("right anterior neck", _xlfn.TEXTJOIN("; ", TRUE, _xlfn._xlws.FILTER('Model output'!G:G, 'Model output'!Z:Z=A8)),1)),ISNUMBER(SEARCH("right posterior neck", _xlfn.TEXTJOIN("; ", TRUE, _xlfn._xlws.FILTER('Model output'!G:G, 'Model output'!Z:Z=A8)),1)))),"lateral",IF(AND(K8=0, _xlfn.TEXTJOIN("; ", TRUE, _xlfn._xlws.FILTER('Model output'!G:G, 'Model output'!Z:Z=A8))=""),"", "central"))</f>
        <v/>
      </c>
      <c r="I8" s="17" t="str" cm="1">
        <f t="array" ref="I8">IF(OR(ISNUMBER(SEARCH("lymph",_xlfn.TEXTJOIN("; ", TRUE, _xlfn._xlws.FILTER('Model output'!H:H, 'Model output'!Z:Z=A8)),1)), ISNUMBER(SEARCH("Not mentioned",_xlfn.TEXTJOIN("; ", TRUE, _xlfn._xlws.FILTER('Model output'!H:H, 'Model output'!Z:Z=A8)),1)),ISNUMBER(SEARCH("subcutaneous soft tissues",_xlfn.TEXTJOIN("; ", TRUE, _xlfn._xlws.FILTER('Model output'!H:H, 'Model output'!Z:Z=A8)),1)),ISNUMBER(SEARCH("larynx",_xlfn.TEXTJOIN("; ", TRUE, _xlfn._xlws.FILTER('Model output'!H:H, 'Model output'!Z:Z=A8)),1)),ISNUMBER(SEARCH("trachea",_xlfn.TEXTJOIN("; ", TRUE, _xlfn._xlws.FILTER('Model output'!H:H, 'Model output'!Z:Z=A8)),1)),ISNUMBER(SEARCH("esophagus",_xlfn.TEXTJOIN("; ", TRUE, _xlfn._xlws.FILTER('Model output'!H:H, 'Model output'!Z:Z=A8)),1)),ISNUMBER(SEARCH("recurrent laryngeal nerve",_xlfn.TEXTJOIN("; ", TRUE, _xlfn._xlws.FILTER('Model output'!H:H, 'Model output'!Z:Z=A8)),1)),ISNUMBER(SEARCH("RLN",_xlfn.TEXTJOIN("; ", TRUE, _xlfn._xlws.FILTER('Model output'!H:H, 'Model output'!Z:Z=A8)),1)),_xlfn.TEXTJOIN("; ", TRUE, _xlfn._xlws.FILTER('Model output'!H:H, 'Model output'!Z:Z=A8))=""),"negative","positive")</f>
        <v>negative</v>
      </c>
      <c r="J8" s="17">
        <f>IF(IFERROR(INDEX('Model output'!I:I, MATCH(A8, 'Model output'!Z:Z, 0)), "") &lt; K8, "", IFERROR(INDEX('Model output'!I:I, MATCH(A8, 'Model output'!Z:Z, 0)), ""))</f>
        <v>5</v>
      </c>
      <c r="K8" s="17">
        <f>IFERROR(INDEX('Model output'!J:J, MATCH(A8, 'Model output'!Z:Z, 0)), "")</f>
        <v>0</v>
      </c>
      <c r="L8" s="18" t="str" cm="1">
        <f t="array" ref="L8">ReplaceTo(ReplaceAnd(SUBSTITUTE(SUBSTITUTE(_xlfn.TEXTJOIN("; ", TRUE, _xlfn._xlws.FILTER('Model output'!K:K, 'Model output'!Z:Z=A8)), " ", ""), ",", ";")))</f>
        <v/>
      </c>
      <c r="M8" t="str" cm="1">
        <f t="array" ref="M8">IF(LEFT(IF(RIGHT(SUBSTITUTE(FilterWithUnits(L8)&amp;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";")),1)=";",RIGHT(IF(RIGHT(SUBSTITUTE(FilterWithUnits(L8)&amp;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";")),LEN(IF(RIGHT(SUBSTITUTE(FilterWithUnits(L8)&amp;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";")))-1),IF(RIGHT(SUBSTITUTE(FilterWithUnits(L8)&amp;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f>
        <v/>
      </c>
      <c r="N8" t="str" cm="1">
        <f t="array" ref="N8">IF(MaxSize((SplitDimensions(M8)))=0, "", MaxSize((SplitDimensions(M8))))</f>
        <v/>
      </c>
      <c r="O8" t="str" cm="1">
        <f t="array" ref="O8">IF(ISERROR(INDEX(_xlfn._xlws.FILTER('Model output'!L:L, ('Model output'!Z:Z=A8)*('Model output'!L:L&lt;&gt;"")), 1)), " ", LOWER(INDEX(_xlfn._xlws.FILTER('Model output'!L:L, ('Model output'!Z:Z=A8)*('Model output'!L:L&lt;&gt;"")), 1)))</f>
        <v>follicular</v>
      </c>
      <c r="P8" t="str" cm="1">
        <f t="array" ref="P8">IF(ISERROR(INDEX(_xlfn._xlws.FILTER('Model output'!M:M, ('Model output'!Z:Z=A8)*('Model output'!M:M&lt;&gt;"")), 1)), " ", LOWER(INDEX(_xlfn._xlws.FILTER('Model output'!M:M, ('Model output'!Z:Z=A8)*('Model output'!M:M&lt;&gt;"")), 1)))</f>
        <v>encapsulated</v>
      </c>
      <c r="Q8" t="str" cm="1">
        <f t="array" ref="Q8">IF(OR(ISNUMBER(SEARCH("ly",SUBSTITUTE(INDEX(_xlfn._xlws.FILTER('Model output'!N:N,('Model output'!Z:Z=A8)*('Model output'!N:N&lt;&gt;"")),1)," ",""),1)), ISNUMBER(SEARCH("pole",SUBSTITUTE(INDEX(_xlfn._xlws.FILTER('Model output'!N:N,('Model output'!Z:Z=A8)*('Model output'!N:N&lt;&gt;"")),1)," ",""),1))),"",SUBSTITUTE(INDEX(_xlfn._xlws.FILTER('Model output'!N:N,('Model output'!Z:Z=A8)*('Model output'!N:N&lt;&gt;"")),1)," ",""))</f>
        <v>4cm</v>
      </c>
      <c r="R8" t="str" cm="1">
        <f t="array" ref="R8">IF(LEFT(IF(RIGHT(SUBSTITUTE(FilterWithUnits(Q8)&amp;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";")),1)=";",RIGHT(IF(RIGHT(SUBSTITUTE(FilterWithUnits(Q8)&amp;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";")),LEN(IF(RIGHT(SUBSTITUTE(FilterWithUnits(Q8)&amp;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";")))-1),IF(RIGHT(SUBSTITUTE(FilterWithUnits(Q8)&amp;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f>
        <v>4cm</v>
      </c>
      <c r="S8" cm="1">
        <f t="array" ref="S8">IF(MaxSize((SplitDimensions(R8)))=0, "", MaxSize((SplitDimensions(R8))))</f>
        <v>4</v>
      </c>
      <c r="T8" s="17" t="str" cm="1">
        <f t="array" ref="T8">IF(ISERROR(INDEX(_xlfn._xlws.FILTER('Model output'!P:P,('Model output'!Z:Z=A8)*('Model output'!P:P&lt;&gt;"")),1)),"negative",IF(OR(ISNUMBER(SEARCH("foc",INDEX(_xlfn._xlws.FILTER('Model output'!P:P,('Model output'!Z:Z=A8)*('Model output'!P:P&lt;&gt;"")),1),1)),ISNUMBER(SEARCH("extensive",INDEX(_xlfn._xlws.FILTER('Model output'!P:P,('Model output'!Z:Z=A8)*('Model output'!P:P&lt;&gt;"")),1),1)),ISNUMBER(SEARCH("present",INDEX(_xlfn._xlws.FILTER('Model output'!P:P,('Model output'!Z:Z=A8)*('Model output'!P:P&lt;&gt;"")),1),1)),ISNUMBER(SEARCH("yes",INDEX(_xlfn._xlws.FILTER('Model output'!P:P,('Model output'!Z:Z=A8)*('Model output'!P:P&lt;&gt;"")),1),1))),"positive","negative"))</f>
        <v>negative</v>
      </c>
      <c r="V8" t="str" cm="1">
        <f t="array" ref="V8">IF(ISNUMBER(SEARCH("4",INDEX(_xlfn._xlws.FILTER('Model output'!P:P,('Model output'!Z:Z=A8)*('Model output'!P:P&lt;&gt;"")),1),1)),INDEX(_xlfn._xlws.FILTER('Model output'!P:P,('Model output'!Z:Z=A8)*('Model output'!P:P&lt;&gt;"")),1),"") &amp; _xlfn.TEXTJOIN("",TRUE,_xlfn._xlws.FILTER('Model output'!Q:Q,'Model output'!Z:Z=A8))</f>
        <v/>
      </c>
      <c r="W8" t="str">
        <f t="shared" si="11"/>
        <v>no</v>
      </c>
      <c r="X8" t="str" cm="1">
        <f t="array" ref="X8">IF(OR(ISNUMBER(SEARCH("focal",_xlfn.TEXTJOIN("; ",TRUE,_xlfn._xlws.FILTER('Model output'!R:R,'Model output'!Z:Z=A8)),1)),ISNUMBER(SEARCH("present",_xlfn.TEXTJOIN("; ",TRUE,_xlfn._xlws.FILTER('Model output'!R:R,'Model output'!Z:Z=A8)),1))),"positive",IF(_xlfn.TEXTJOIN("; ",TRUE,_xlfn._xlws.FILTER('Model output'!R:R,'Model output'!Z:Z=A8))="","negative",IF(OR(ISNUMBER(SEARCH("no",_xlfn.TEXTJOIN("; ",TRUE,_xlfn._xlws.FILTER('Model output'!R:R,'Model output'!Z:Z=A8)),1)),ISNUMBER(SEARCH("absent",_xlfn.TEXTJOIN("; ",TRUE,_xlfn._xlws.FILTER('Model output'!R:R,'Model output'!Z:Z=A8)),1))),"negative","positive")))</f>
        <v>negative</v>
      </c>
      <c r="Y8" s="17" t="str">
        <f t="shared" si="12"/>
        <v>positive</v>
      </c>
      <c r="AC8" s="17" t="str">
        <f t="shared" si="13"/>
        <v>negative</v>
      </c>
      <c r="AD8" t="str" cm="1">
        <f t="array" ref="AD8">_xlfn.TEXTJOIN("; ",TRUE,_xlfn._xlws.FILTER('Model output'!S:S,'Model output'!Z:Z=A8))</f>
        <v>Present; Not mentioned</v>
      </c>
      <c r="AE8" s="47" t="str" cm="1">
        <f t="array" ref="AE8">IF(OR(ISNUMBER(SEARCH("uninvolved",_xlfn.TEXTJOIN("; ",TRUE,_xlfn._xlws.FILTER('Model output'!V:V,'Model output'!Z:Z=A8)),1)),ISNUMBER(SEARCH("clear",_xlfn.TEXTJOIN("; ",TRUE,_xlfn._xlws.FILTER('Model output'!V:V,'Model output'!Z:Z=A8)),1))*ISNUMBER(SEARCH("not mentioned",_xlfn.TEXTJOIN("; ",TRUE,_xlfn._xlws.FILTER('Model output'!V:V,'Model output'!Z:Z=A8)),1))),"negative",IF(ISNUMBER(SEARCH("cannot be assessed",_xlfn.TEXTJOIN("; ",TRUE,_xlfn._xlws.FILTER('Model output'!V:V,'Model output'!Z:Z=A8)),1)),"negative","negative"))</f>
        <v>negative</v>
      </c>
      <c r="AG8" s="36" t="str">
        <f t="shared" si="14"/>
        <v>intermediate</v>
      </c>
      <c r="AH8" s="37" t="str">
        <f t="shared" si="2"/>
        <v>2</v>
      </c>
      <c r="AI8" s="37">
        <f t="shared" si="3"/>
        <v>0</v>
      </c>
      <c r="AJ8" s="37">
        <f t="shared" si="4"/>
        <v>0</v>
      </c>
      <c r="AK8" s="37" t="str">
        <f t="shared" si="5"/>
        <v>I</v>
      </c>
      <c r="AL8" s="10" t="s">
        <v>168</v>
      </c>
      <c r="AM8" s="37" t="s">
        <v>195</v>
      </c>
      <c r="AN8" s="32" t="s">
        <v>195</v>
      </c>
      <c r="AO8" s="32">
        <v>0</v>
      </c>
      <c r="AP8" s="32" t="s">
        <v>31</v>
      </c>
      <c r="AQ8" s="10">
        <f t="shared" si="6"/>
        <v>0</v>
      </c>
      <c r="AR8" s="32">
        <f t="shared" si="7"/>
        <v>0</v>
      </c>
      <c r="AS8" s="32">
        <f t="shared" si="8"/>
        <v>1</v>
      </c>
      <c r="AT8" s="32">
        <f t="shared" si="9"/>
        <v>1</v>
      </c>
      <c r="AU8" s="34">
        <f t="shared" si="10"/>
        <v>1</v>
      </c>
    </row>
    <row r="9" spans="1:47">
      <c r="A9" s="13">
        <v>7</v>
      </c>
      <c r="B9" s="16"/>
      <c r="C9" s="17">
        <f>_xlfn.MAXIFS('Model output'!C:C,'Model output'!Z:Z,'Classification result'!$A9)</f>
        <v>67</v>
      </c>
      <c r="D9" s="17" t="str" cm="1">
        <f t="array" ref="D9">LEFT(IF(ISERROR(RIGHT(IF(INDEX(_xlfn._xlws.FILTER('Model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output'!Z:Z=A9)),1),""),1))),"",(RIGHT(IF(INDEX(_xlfn._xlws.FILTER('Model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output'!Z:Z=A9)),1)))))),2)</f>
        <v>1a</v>
      </c>
      <c r="E9" s="17" t="str" cm="1">
        <f t="array" ref="E9">IF(ISNUMBER(SEARCH("N",IF(ISNUMBER(SEARCH("present",IF(INDEX(_xlfn._xlws.FILTER('Model output'!E:E,('Model output'!Z:Z=A9)),1)="","",INDEX(_xlfn._xlws.FILTER('Model output'!E:E,('Model output'!Z:Z=A9)),1)),1)),"N1", IF(INDEX(_xlfn._xlws.FILTER('Model output'!E:E,('Model output'!Z:Z=A9)),1)="","",INDEX(_xlfn._xlws.FILTER('Model output'!E:E,('Model output'!Z:Z=A9)),1))),1)),RIGHT(IF(ISNUMBER(SEARCH("present",IF(INDEX(_xlfn._xlws.FILTER('Model output'!E:E,('Model output'!Z:Z=A9)),1)="","",INDEX(_xlfn._xlws.FILTER('Model output'!E:E,('Model output'!Z:Z=A9)),1)),1)),"N1", IF(INDEX(_xlfn._xlws.FILTER('Model output'!E:E,('Model output'!Z:Z=A9)),1)="","",INDEX(_xlfn._xlws.FILTER('Model output'!E:E,('Model output'!Z:Z=A9)),1))),LEN(IF(ISNUMBER(SEARCH("present",IF(INDEX(_xlfn._xlws.FILTER('Model output'!E:E,('Model output'!Z:Z=A9)),1)="","",INDEX(_xlfn._xlws.FILTER('Model output'!E:E,('Model output'!Z:Z=A9)),1)),1)),"N1", IF(INDEX(_xlfn._xlws.FILTER('Model output'!E:E,('Model output'!Z:Z=A9)),1)="","",INDEX(_xlfn._xlws.FILTER('Model output'!E:E,('Model output'!Z:Z=A9)),1))))-FIND("N",IF(ISNUMBER(SEARCH("present",IF(INDEX(_xlfn._xlws.FILTER('Model output'!E:E,('Model output'!Z:Z=A9)),1)="","",INDEX(_xlfn._xlws.FILTER('Model output'!E:E,('Model output'!Z:Z=A9)),1)),1)),"N1", IF(INDEX(_xlfn._xlws.FILTER('Model output'!E:E,('Model output'!Z:Z=A9)),1)="","",INDEX(_xlfn._xlws.FILTER('Model output'!E:E,('Model output'!Z:Z=A9)),1))),1)), "")</f>
        <v/>
      </c>
      <c r="F9" s="17" cm="1">
        <f t="array" ref="F9">IF(AND(SUBSTITUTE(_xlfn.TEXTJOIN("/", TRUE, _xlfn._xlws.FILTER('Model output'!F:F, 'Model output'!Z:Z=A9)),"M", "")="", I9="negative"),0,IF(I9="positive",1,0))</f>
        <v>0</v>
      </c>
      <c r="G9" t="str">
        <f t="shared" si="0"/>
        <v/>
      </c>
      <c r="H9" t="str" cm="1">
        <f t="array" ref="H9">IF(AND(K9&gt;0, _xlfn.TEXTJOIN("; ", TRUE, _xlfn._xlws.FILTER('Model output'!G:G, 'Model output'!Z:Z=A9)) &lt;&gt;"", OR(AND(ISNUMBER(SEARCH("level", _xlfn.TEXTJOIN("; ", TRUE, _xlfn._xlws.FILTER('Model output'!G:G, 'Model output'!Z:Z=A9)),1)),OR(ISNUMBER(SEARCH(" II", _xlfn.TEXTJOIN("; ", TRUE, _xlfn._xlws.FILTER('Model output'!G:G, 'Model output'!Z:Z=A9)),1)),ISNUMBER(SEARCH("2", _xlfn.TEXTJOIN("; ", TRUE, _xlfn._xlws.FILTER('Model output'!G:G, 'Model output'!Z:Z=A9)),1)),ISNUMBER(SEARCH("two", _xlfn.TEXTJOIN("; ", TRUE, _xlfn._xlws.FILTER('Model output'!G:G, 'Model output'!Z:Z=A9)),1)),ISNUMBER(SEARCH("III", _xlfn.TEXTJOIN("; ", TRUE, _xlfn._xlws.FILTER('Model output'!G:G, 'Model output'!Z:Z=A9)),1)),ISNUMBER(SEARCH("3", _xlfn.TEXTJOIN("; ", TRUE, _xlfn._xlws.FILTER('Model output'!G:G, 'Model output'!Z:Z=A9)),1)),ISNUMBER(SEARCH("three", _xlfn.TEXTJOIN("; ", TRUE, _xlfn._xlws.FILTER('Model output'!G:G, 'Model output'!Z:Z=A9)),1)),ISNUMBER(SEARCH("IV", _xlfn.TEXTJOIN("; ", TRUE, _xlfn._xlws.FILTER('Model output'!G:G, 'Model output'!Z:Z=A9)),1)),ISNUMBER(SEARCH("4", _xlfn.TEXTJOIN("; ", TRUE, _xlfn._xlws.FILTER('Model output'!G:G, 'Model output'!Z:Z=A9)),1)),ISNUMBER(SEARCH("five", _xlfn.TEXTJOIN("; ", TRUE, _xlfn._xlws.FILTER('Model output'!G:G, 'Model output'!Z:Z=A9)),1)),ISNUMBER(SEARCH("V ", _xlfn.TEXTJOIN("; ", TRUE, _xlfn._xlws.FILTER('Model output'!G:G, 'Model output'!Z:Z=A9)),1)),ISNUMBER(SEARCH("5", _xlfn.TEXTJOIN("; ", TRUE, _xlfn._xlws.FILTER('Model output'!G:G, 'Model output'!Z:Z=A9)),1)),ISNUMBER(SEARCH("five", _xlfn.TEXTJOIN("; ", TRUE, _xlfn._xlws.FILTER('Model output'!G:G, 'Model output'!Z:Z=A9)),1)),ISNUMBER(SEARCH(" lateral", _xlfn.TEXTJOIN("; ", TRUE, _xlfn._xlws.FILTER('Model output'!G:G, 'Model output'!Z:Z=A9)),1)))),ISNUMBER(SEARCH("cervical", _xlfn.TEXTJOIN("; ", TRUE, _xlfn._xlws.FILTER('Model output'!G:G, 'Model output'!Z:Z=A9)),1)),ISNUMBER(SEARCH("jugular", _xlfn.TEXTJOIN("; ", TRUE, _xlfn._xlws.FILTER('Model output'!G:G, 'Model output'!Z:Z=A9)),1)),ISNUMBER(SEARCH("left neck", _xlfn.TEXTJOIN("; ", TRUE, _xlfn._xlws.FILTER('Model output'!G:G, 'Model output'!Z:Z=A9)),1)),ISNUMBER(SEARCH("left anterior neck", _xlfn.TEXTJOIN("; ", TRUE, _xlfn._xlws.FILTER('Model output'!G:G, 'Model output'!Z:Z=A9)),1)),ISNUMBER(SEARCH("left posterior neck", _xlfn.TEXTJOIN("; ", TRUE, _xlfn._xlws.FILTER('Model output'!G:G, 'Model output'!Z:Z=A9)),1)),ISNUMBER(SEARCH("right neck", _xlfn.TEXTJOIN("; ", TRUE, _xlfn._xlws.FILTER('Model output'!G:G, 'Model output'!Z:Z=A9)),1)),ISNUMBER(SEARCH("right anterior neck", _xlfn.TEXTJOIN("; ", TRUE, _xlfn._xlws.FILTER('Model output'!G:G, 'Model output'!Z:Z=A9)),1)),ISNUMBER(SEARCH("right posterior neck", _xlfn.TEXTJOIN("; ", TRUE, _xlfn._xlws.FILTER('Model output'!G:G, 'Model output'!Z:Z=A9)),1)))),"lateral",IF(AND(K9=0, _xlfn.TEXTJOIN("; ", TRUE, _xlfn._xlws.FILTER('Model output'!G:G, 'Model output'!Z:Z=A9))=""),"", "central"))</f>
        <v/>
      </c>
      <c r="I9" s="17" t="str" cm="1">
        <f t="array" ref="I9">IF(OR(ISNUMBER(SEARCH("lymph",_xlfn.TEXTJOIN("; ", TRUE, _xlfn._xlws.FILTER('Model output'!H:H, 'Model output'!Z:Z=A9)),1)), ISNUMBER(SEARCH("Not mentioned",_xlfn.TEXTJOIN("; ", TRUE, _xlfn._xlws.FILTER('Model output'!H:H, 'Model output'!Z:Z=A9)),1)),ISNUMBER(SEARCH("subcutaneous soft tissues",_xlfn.TEXTJOIN("; ", TRUE, _xlfn._xlws.FILTER('Model output'!H:H, 'Model output'!Z:Z=A9)),1)),ISNUMBER(SEARCH("larynx",_xlfn.TEXTJOIN("; ", TRUE, _xlfn._xlws.FILTER('Model output'!H:H, 'Model output'!Z:Z=A9)),1)),ISNUMBER(SEARCH("trachea",_xlfn.TEXTJOIN("; ", TRUE, _xlfn._xlws.FILTER('Model output'!H:H, 'Model output'!Z:Z=A9)),1)),ISNUMBER(SEARCH("esophagus",_xlfn.TEXTJOIN("; ", TRUE, _xlfn._xlws.FILTER('Model output'!H:H, 'Model output'!Z:Z=A9)),1)),ISNUMBER(SEARCH("recurrent laryngeal nerve",_xlfn.TEXTJOIN("; ", TRUE, _xlfn._xlws.FILTER('Model output'!H:H, 'Model output'!Z:Z=A9)),1)),ISNUMBER(SEARCH("RLN",_xlfn.TEXTJOIN("; ", TRUE, _xlfn._xlws.FILTER('Model output'!H:H, 'Model output'!Z:Z=A9)),1)),_xlfn.TEXTJOIN("; ", TRUE, _xlfn._xlws.FILTER('Model output'!H:H, 'Model output'!Z:Z=A9))=""),"negative","positive")</f>
        <v>negative</v>
      </c>
      <c r="J9" s="17">
        <f>IF(IFERROR(INDEX('Model output'!I:I, MATCH(A9, 'Model output'!Z:Z, 0)), "") &lt; K9, "", IFERROR(INDEX('Model output'!I:I, MATCH(A9, 'Model output'!Z:Z, 0)), ""))</f>
        <v>12</v>
      </c>
      <c r="K9" s="17">
        <f>IFERROR(INDEX('Model output'!J:J, MATCH(A9, 'Model output'!Z:Z, 0)), "")</f>
        <v>0</v>
      </c>
      <c r="L9" s="18" t="str" cm="1">
        <f t="array" ref="L9">ReplaceTo(ReplaceAnd(SUBSTITUTE(SUBSTITUTE(_xlfn.TEXTJOIN("; ", TRUE, _xlfn._xlws.FILTER('Model output'!K:K, 'Model output'!Z:Z=A9)), " ", ""), ",", ";")))</f>
        <v>Notmentioned</v>
      </c>
      <c r="M9" t="str" cm="1">
        <f t="array" ref="M9">IF(LEFT(IF(RIGHT(SUBSTITUTE(FilterWithUnits(L9)&amp;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";")),1)=";",RIGHT(IF(RIGHT(SUBSTITUTE(FilterWithUnits(L9)&amp;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";")),LEN(IF(RIGHT(SUBSTITUTE(FilterWithUnits(L9)&amp;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";")))-1),IF(RIGHT(SUBSTITUTE(FilterWithUnits(L9)&amp;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f>
        <v/>
      </c>
      <c r="N9" t="str" cm="1">
        <f t="array" ref="N9">IF(MaxSize((SplitDimensions(M9)))=0, "", MaxSize((SplitDimensions(M9))))</f>
        <v/>
      </c>
      <c r="O9" t="str" cm="1">
        <f t="array" ref="O9">IF(ISERROR(INDEX(_xlfn._xlws.FILTER('Model output'!L:L, ('Model output'!Z:Z=A9)*('Model output'!L:L&lt;&gt;"")), 1)), " ", LOWER(INDEX(_xlfn._xlws.FILTER('Model output'!L:L, ('Model output'!Z:Z=A9)*('Model output'!L:L&lt;&gt;"")), 1)))</f>
        <v>papillary</v>
      </c>
      <c r="P9" t="str" cm="1">
        <f t="array" ref="P9">IF(ISERROR(INDEX(_xlfn._xlws.FILTER('Model output'!M:M, ('Model output'!Z:Z=A9)*('Model output'!M:M&lt;&gt;"")), 1)), " ", LOWER(INDEX(_xlfn._xlws.FILTER('Model output'!M:M, ('Model output'!Z:Z=A9)*('Model output'!M:M&lt;&gt;"")), 1)))</f>
        <v>infiltrative follicular subtype</v>
      </c>
      <c r="Q9" t="str" cm="1">
        <f t="array" ref="Q9">IF(OR(ISNUMBER(SEARCH("ly",SUBSTITUTE(INDEX(_xlfn._xlws.FILTER('Model output'!N:N,('Model output'!Z:Z=A9)*('Model output'!N:N&lt;&gt;"")),1)," ",""),1)), ISNUMBER(SEARCH("pole",SUBSTITUTE(INDEX(_xlfn._xlws.FILTER('Model output'!N:N,('Model output'!Z:Z=A9)*('Model output'!N:N&lt;&gt;"")),1)," ",""),1))),"",SUBSTITUTE(INDEX(_xlfn._xlws.FILTER('Model output'!N:N,('Model output'!Z:Z=A9)*('Model output'!N:N&lt;&gt;"")),1)," ",""))</f>
        <v>3mm(blockA7)</v>
      </c>
      <c r="R9" t="str" cm="1">
        <f t="array" ref="R9">IF(LEFT(IF(RIGHT(SUBSTITUTE(FilterWithUnits(Q9)&amp;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";")),1)=";",RIGHT(IF(RIGHT(SUBSTITUTE(FilterWithUnits(Q9)&amp;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";")),LEN(IF(RIGHT(SUBSTITUTE(FilterWithUnits(Q9)&amp;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";")))-1),IF(RIGHT(SUBSTITUTE(FilterWithUnits(Q9)&amp;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f>
        <v>3mm</v>
      </c>
      <c r="S9" cm="1">
        <f t="array" ref="S9">IF(MaxSize((SplitDimensions(R9)))=0, "", MaxSize((SplitDimensions(R9))))</f>
        <v>0.3</v>
      </c>
      <c r="T9" s="17" t="str" cm="1">
        <f t="array" ref="T9">IF(ISERROR(INDEX(_xlfn._xlws.FILTER('Model output'!P:P,('Model output'!Z:Z=A9)*('Model output'!P:P&lt;&gt;"")),1)),"negative",IF(OR(ISNUMBER(SEARCH("foc",INDEX(_xlfn._xlws.FILTER('Model output'!P:P,('Model output'!Z:Z=A9)*('Model output'!P:P&lt;&gt;"")),1),1)),ISNUMBER(SEARCH("extensive",INDEX(_xlfn._xlws.FILTER('Model output'!P:P,('Model output'!Z:Z=A9)*('Model output'!P:P&lt;&gt;"")),1),1)),ISNUMBER(SEARCH("present",INDEX(_xlfn._xlws.FILTER('Model output'!P:P,('Model output'!Z:Z=A9)*('Model output'!P:P&lt;&gt;"")),1),1)),ISNUMBER(SEARCH("yes",INDEX(_xlfn._xlws.FILTER('Model output'!P:P,('Model output'!Z:Z=A9)*('Model output'!P:P&lt;&gt;"")),1),1))),"positive","negative"))</f>
        <v>negative</v>
      </c>
      <c r="V9" t="str" cm="1">
        <f t="array" ref="V9">IF(ISNUMBER(SEARCH("4",INDEX(_xlfn._xlws.FILTER('Model output'!P:P,('Model output'!Z:Z=A9)*('Model output'!P:P&lt;&gt;"")),1),1)),INDEX(_xlfn._xlws.FILTER('Model output'!P:P,('Model output'!Z:Z=A9)*('Model output'!P:P&lt;&gt;"")),1),"") &amp; _xlfn.TEXTJOIN("",TRUE,_xlfn._xlws.FILTER('Model output'!Q:Q,'Model output'!Z:Z=A9))</f>
        <v>Not mentioned</v>
      </c>
      <c r="W9" t="str">
        <f t="shared" si="11"/>
        <v>no</v>
      </c>
      <c r="X9" t="str" cm="1">
        <f t="array" ref="X9">IF(OR(ISNUMBER(SEARCH("focal",_xlfn.TEXTJOIN("; ",TRUE,_xlfn._xlws.FILTER('Model output'!R:R,'Model output'!Z:Z=A9)),1)),ISNUMBER(SEARCH("present",_xlfn.TEXTJOIN("; ",TRUE,_xlfn._xlws.FILTER('Model output'!R:R,'Model output'!Z:Z=A9)),1))),"positive",IF(_xlfn.TEXTJOIN("; ",TRUE,_xlfn._xlws.FILTER('Model output'!R:R,'Model output'!Z:Z=A9))="","negative",IF(OR(ISNUMBER(SEARCH("no",_xlfn.TEXTJOIN("; ",TRUE,_xlfn._xlws.FILTER('Model output'!R:R,'Model output'!Z:Z=A9)),1)),ISNUMBER(SEARCH("absent",_xlfn.TEXTJOIN("; ",TRUE,_xlfn._xlws.FILTER('Model output'!R:R,'Model output'!Z:Z=A9)),1))),"negative","positive")))</f>
        <v>negative</v>
      </c>
      <c r="Y9" s="17" t="str">
        <f t="shared" si="12"/>
        <v>negative</v>
      </c>
      <c r="AC9" s="17" t="str">
        <f t="shared" si="13"/>
        <v>negative</v>
      </c>
      <c r="AD9" t="str" cm="1">
        <f t="array" ref="AD9">_xlfn.TEXTJOIN("; ",TRUE,_xlfn._xlws.FILTER('Model output'!S:S,'Model output'!Z:Z=A9))</f>
        <v>Not identified; Not mentioned</v>
      </c>
      <c r="AE9" s="47" t="str" cm="1">
        <f t="array" ref="AE9">IF(OR(ISNUMBER(SEARCH("uninvolved",_xlfn.TEXTJOIN("; ",TRUE,_xlfn._xlws.FILTER('Model output'!V:V,'Model output'!Z:Z=A9)),1)),ISNUMBER(SEARCH("clear",_xlfn.TEXTJOIN("; ",TRUE,_xlfn._xlws.FILTER('Model output'!V:V,'Model output'!Z:Z=A9)),1))*ISNUMBER(SEARCH("not mentioned",_xlfn.TEXTJOIN("; ",TRUE,_xlfn._xlws.FILTER('Model output'!V:V,'Model output'!Z:Z=A9)),1))),"negative",IF(ISNUMBER(SEARCH("cannot be assessed",_xlfn.TEXTJOIN("; ",TRUE,_xlfn._xlws.FILTER('Model output'!V:V,'Model output'!Z:Z=A9)),1)),"negative","negative"))</f>
        <v>negative</v>
      </c>
      <c r="AG9" s="36" t="str">
        <f t="shared" si="14"/>
        <v>low</v>
      </c>
      <c r="AH9" s="37" t="str">
        <f t="shared" si="2"/>
        <v>1a</v>
      </c>
      <c r="AI9" s="37">
        <f t="shared" si="3"/>
        <v>0</v>
      </c>
      <c r="AJ9" s="37">
        <f t="shared" si="4"/>
        <v>0</v>
      </c>
      <c r="AK9" s="37" t="str">
        <f t="shared" si="5"/>
        <v>I</v>
      </c>
      <c r="AL9" s="10" t="s">
        <v>168</v>
      </c>
      <c r="AM9" s="32" t="s">
        <v>196</v>
      </c>
      <c r="AN9" s="32" t="s">
        <v>195</v>
      </c>
      <c r="AO9" s="32">
        <v>0</v>
      </c>
      <c r="AP9" s="32" t="s">
        <v>31</v>
      </c>
      <c r="AQ9" s="10">
        <f t="shared" si="6"/>
        <v>1</v>
      </c>
      <c r="AR9" s="32">
        <f t="shared" si="7"/>
        <v>1</v>
      </c>
      <c r="AS9" s="32">
        <f t="shared" si="8"/>
        <v>1</v>
      </c>
      <c r="AT9" s="32">
        <f t="shared" si="9"/>
        <v>1</v>
      </c>
      <c r="AU9" s="34">
        <f t="shared" si="10"/>
        <v>1</v>
      </c>
    </row>
    <row r="10" spans="1:47">
      <c r="A10" s="13">
        <v>8</v>
      </c>
      <c r="B10" s="16"/>
      <c r="C10" s="17">
        <f>_xlfn.MAXIFS('Model output'!C:C,'Model output'!Z:Z,'Classification result'!$A10)</f>
        <v>78</v>
      </c>
      <c r="D10" s="17" t="str" cm="1">
        <f t="array" ref="D10">LEFT(IF(ISERROR(RIGHT(IF(INDEX(_xlfn._xlws.FILTER('Model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output'!Z:Z=A10)),1),""),1))),"",(RIGHT(IF(INDEX(_xlfn._xlws.FILTER('Model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output'!Z:Z=A10)),1)))))),2)</f>
        <v>1b</v>
      </c>
      <c r="E10" s="17" t="str" cm="1">
        <f t="array" ref="E10">IF(ISNUMBER(SEARCH("N",IF(ISNUMBER(SEARCH("present",IF(INDEX(_xlfn._xlws.FILTER('Model output'!E:E,('Model output'!Z:Z=A10)),1)="","",INDEX(_xlfn._xlws.FILTER('Model output'!E:E,('Model output'!Z:Z=A10)),1)),1)),"N1", IF(INDEX(_xlfn._xlws.FILTER('Model output'!E:E,('Model output'!Z:Z=A10)),1)="","",INDEX(_xlfn._xlws.FILTER('Model output'!E:E,('Model output'!Z:Z=A10)),1))),1)),RIGHT(IF(ISNUMBER(SEARCH("present",IF(INDEX(_xlfn._xlws.FILTER('Model output'!E:E,('Model output'!Z:Z=A10)),1)="","",INDEX(_xlfn._xlws.FILTER('Model output'!E:E,('Model output'!Z:Z=A10)),1)),1)),"N1", IF(INDEX(_xlfn._xlws.FILTER('Model output'!E:E,('Model output'!Z:Z=A10)),1)="","",INDEX(_xlfn._xlws.FILTER('Model output'!E:E,('Model output'!Z:Z=A10)),1))),LEN(IF(ISNUMBER(SEARCH("present",IF(INDEX(_xlfn._xlws.FILTER('Model output'!E:E,('Model output'!Z:Z=A10)),1)="","",INDEX(_xlfn._xlws.FILTER('Model output'!E:E,('Model output'!Z:Z=A10)),1)),1)),"N1", IF(INDEX(_xlfn._xlws.FILTER('Model output'!E:E,('Model output'!Z:Z=A10)),1)="","",INDEX(_xlfn._xlws.FILTER('Model output'!E:E,('Model output'!Z:Z=A10)),1))))-FIND("N",IF(ISNUMBER(SEARCH("present",IF(INDEX(_xlfn._xlws.FILTER('Model output'!E:E,('Model output'!Z:Z=A10)),1)="","",INDEX(_xlfn._xlws.FILTER('Model output'!E:E,('Model output'!Z:Z=A10)),1)),1)),"N1", IF(INDEX(_xlfn._xlws.FILTER('Model output'!E:E,('Model output'!Z:Z=A10)),1)="","",INDEX(_xlfn._xlws.FILTER('Model output'!E:E,('Model output'!Z:Z=A10)),1))),1)), "")</f>
        <v/>
      </c>
      <c r="F10" s="17" cm="1">
        <f t="array" ref="F10">IF(AND(SUBSTITUTE(_xlfn.TEXTJOIN("/", TRUE, _xlfn._xlws.FILTER('Model output'!F:F, 'Model output'!Z:Z=A10)),"M", "")="", I10="negative"),0,IF(I10="positive",1,0))</f>
        <v>0</v>
      </c>
      <c r="G10" t="str">
        <f t="shared" si="0"/>
        <v/>
      </c>
      <c r="H10" t="str" cm="1">
        <f t="array" ref="H10">IF(AND(K10&gt;0, _xlfn.TEXTJOIN("; ", TRUE, _xlfn._xlws.FILTER('Model output'!G:G, 'Model output'!Z:Z=A10)) &lt;&gt;"", OR(AND(ISNUMBER(SEARCH("level", _xlfn.TEXTJOIN("; ", TRUE, _xlfn._xlws.FILTER('Model output'!G:G, 'Model output'!Z:Z=A10)),1)),OR(ISNUMBER(SEARCH(" II", _xlfn.TEXTJOIN("; ", TRUE, _xlfn._xlws.FILTER('Model output'!G:G, 'Model output'!Z:Z=A10)),1)),ISNUMBER(SEARCH("2", _xlfn.TEXTJOIN("; ", TRUE, _xlfn._xlws.FILTER('Model output'!G:G, 'Model output'!Z:Z=A10)),1)),ISNUMBER(SEARCH("two", _xlfn.TEXTJOIN("; ", TRUE, _xlfn._xlws.FILTER('Model output'!G:G, 'Model output'!Z:Z=A10)),1)),ISNUMBER(SEARCH("III", _xlfn.TEXTJOIN("; ", TRUE, _xlfn._xlws.FILTER('Model output'!G:G, 'Model output'!Z:Z=A10)),1)),ISNUMBER(SEARCH("3", _xlfn.TEXTJOIN("; ", TRUE, _xlfn._xlws.FILTER('Model output'!G:G, 'Model output'!Z:Z=A10)),1)),ISNUMBER(SEARCH("three", _xlfn.TEXTJOIN("; ", TRUE, _xlfn._xlws.FILTER('Model output'!G:G, 'Model output'!Z:Z=A10)),1)),ISNUMBER(SEARCH("IV", _xlfn.TEXTJOIN("; ", TRUE, _xlfn._xlws.FILTER('Model output'!G:G, 'Model output'!Z:Z=A10)),1)),ISNUMBER(SEARCH("4", _xlfn.TEXTJOIN("; ", TRUE, _xlfn._xlws.FILTER('Model output'!G:G, 'Model output'!Z:Z=A10)),1)),ISNUMBER(SEARCH("five", _xlfn.TEXTJOIN("; ", TRUE, _xlfn._xlws.FILTER('Model output'!G:G, 'Model output'!Z:Z=A10)),1)),ISNUMBER(SEARCH("V ", _xlfn.TEXTJOIN("; ", TRUE, _xlfn._xlws.FILTER('Model output'!G:G, 'Model output'!Z:Z=A10)),1)),ISNUMBER(SEARCH("5", _xlfn.TEXTJOIN("; ", TRUE, _xlfn._xlws.FILTER('Model output'!G:G, 'Model output'!Z:Z=A10)),1)),ISNUMBER(SEARCH("five", _xlfn.TEXTJOIN("; ", TRUE, _xlfn._xlws.FILTER('Model output'!G:G, 'Model output'!Z:Z=A10)),1)),ISNUMBER(SEARCH(" lateral", _xlfn.TEXTJOIN("; ", TRUE, _xlfn._xlws.FILTER('Model output'!G:G, 'Model output'!Z:Z=A10)),1)))),ISNUMBER(SEARCH("cervical", _xlfn.TEXTJOIN("; ", TRUE, _xlfn._xlws.FILTER('Model output'!G:G, 'Model output'!Z:Z=A10)),1)),ISNUMBER(SEARCH("jugular", _xlfn.TEXTJOIN("; ", TRUE, _xlfn._xlws.FILTER('Model output'!G:G, 'Model output'!Z:Z=A10)),1)),ISNUMBER(SEARCH("left neck", _xlfn.TEXTJOIN("; ", TRUE, _xlfn._xlws.FILTER('Model output'!G:G, 'Model output'!Z:Z=A10)),1)),ISNUMBER(SEARCH("left anterior neck", _xlfn.TEXTJOIN("; ", TRUE, _xlfn._xlws.FILTER('Model output'!G:G, 'Model output'!Z:Z=A10)),1)),ISNUMBER(SEARCH("left posterior neck", _xlfn.TEXTJOIN("; ", TRUE, _xlfn._xlws.FILTER('Model output'!G:G, 'Model output'!Z:Z=A10)),1)),ISNUMBER(SEARCH("right neck", _xlfn.TEXTJOIN("; ", TRUE, _xlfn._xlws.FILTER('Model output'!G:G, 'Model output'!Z:Z=A10)),1)),ISNUMBER(SEARCH("right anterior neck", _xlfn.TEXTJOIN("; ", TRUE, _xlfn._xlws.FILTER('Model output'!G:G, 'Model output'!Z:Z=A10)),1)),ISNUMBER(SEARCH("right posterior neck", _xlfn.TEXTJOIN("; ", TRUE, _xlfn._xlws.FILTER('Model output'!G:G, 'Model output'!Z:Z=A10)),1)))),"lateral",IF(AND(K10=0, _xlfn.TEXTJOIN("; ", TRUE, _xlfn._xlws.FILTER('Model output'!G:G, 'Model output'!Z:Z=A10))=""),"", "central"))</f>
        <v/>
      </c>
      <c r="I10" s="17" t="str" cm="1">
        <f t="array" ref="I10">IF(OR(ISNUMBER(SEARCH("lymph",_xlfn.TEXTJOIN("; ", TRUE, _xlfn._xlws.FILTER('Model output'!H:H, 'Model output'!Z:Z=A10)),1)), ISNUMBER(SEARCH("Not mentioned",_xlfn.TEXTJOIN("; ", TRUE, _xlfn._xlws.FILTER('Model output'!H:H, 'Model output'!Z:Z=A10)),1)),ISNUMBER(SEARCH("subcutaneous soft tissues",_xlfn.TEXTJOIN("; ", TRUE, _xlfn._xlws.FILTER('Model output'!H:H, 'Model output'!Z:Z=A10)),1)),ISNUMBER(SEARCH("larynx",_xlfn.TEXTJOIN("; ", TRUE, _xlfn._xlws.FILTER('Model output'!H:H, 'Model output'!Z:Z=A10)),1)),ISNUMBER(SEARCH("trachea",_xlfn.TEXTJOIN("; ", TRUE, _xlfn._xlws.FILTER('Model output'!H:H, 'Model output'!Z:Z=A10)),1)),ISNUMBER(SEARCH("esophagus",_xlfn.TEXTJOIN("; ", TRUE, _xlfn._xlws.FILTER('Model output'!H:H, 'Model output'!Z:Z=A10)),1)),ISNUMBER(SEARCH("recurrent laryngeal nerve",_xlfn.TEXTJOIN("; ", TRUE, _xlfn._xlws.FILTER('Model output'!H:H, 'Model output'!Z:Z=A10)),1)),ISNUMBER(SEARCH("RLN",_xlfn.TEXTJOIN("; ", TRUE, _xlfn._xlws.FILTER('Model output'!H:H, 'Model output'!Z:Z=A10)),1)),_xlfn.TEXTJOIN("; ", TRUE, _xlfn._xlws.FILTER('Model output'!H:H, 'Model output'!Z:Z=A10))=""),"negative","positive")</f>
        <v>negative</v>
      </c>
      <c r="J10" s="17">
        <f>IF(IFERROR(INDEX('Model output'!I:I, MATCH(A10, 'Model output'!Z:Z, 0)), "") &lt; K10, "", IFERROR(INDEX('Model output'!I:I, MATCH(A10, 'Model output'!Z:Z, 0)), ""))</f>
        <v>6</v>
      </c>
      <c r="K10" s="17">
        <f>IFERROR(INDEX('Model output'!J:J, MATCH(A10, 'Model output'!Z:Z, 0)), "")</f>
        <v>0</v>
      </c>
      <c r="L10" s="18" t="str" cm="1">
        <f t="array" ref="L10">ReplaceTo(ReplaceAnd(SUBSTITUTE(SUBSTITUTE(_xlfn.TEXTJOIN("; ", TRUE, _xlfn._xlws.FILTER('Model output'!K:K, 'Model output'!Z:Z=A10)), " ", ""), ",", ";")))</f>
        <v>Notmentioned</v>
      </c>
      <c r="M10" t="str" cm="1">
        <f t="array" ref="M10">IF(LEFT(IF(RIGHT(SUBSTITUTE(FilterWithUnits(L10)&amp;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";")),1)=";",RIGHT(IF(RIGHT(SUBSTITUTE(FilterWithUnits(L10)&amp;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";")),LEN(IF(RIGHT(SUBSTITUTE(FilterWithUnits(L10)&amp;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";")))-1),IF(RIGHT(SUBSTITUTE(FilterWithUnits(L10)&amp;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f>
        <v/>
      </c>
      <c r="N10" t="str" cm="1">
        <f t="array" ref="N10">IF(MaxSize((SplitDimensions(M10)))=0, "", MaxSize((SplitDimensions(M10))))</f>
        <v/>
      </c>
      <c r="O10" t="str" cm="1">
        <f t="array" ref="O10">IF(ISERROR(INDEX(_xlfn._xlws.FILTER('Model output'!L:L, ('Model output'!Z:Z=A10)*('Model output'!L:L&lt;&gt;"")), 1)), " ", LOWER(INDEX(_xlfn._xlws.FILTER('Model output'!L:L, ('Model output'!Z:Z=A10)*('Model output'!L:L&lt;&gt;"")), 1)))</f>
        <v>papillary</v>
      </c>
      <c r="P10" t="str" cm="1">
        <f t="array" ref="P10">IF(ISERROR(INDEX(_xlfn._xlws.FILTER('Model output'!M:M, ('Model output'!Z:Z=A10)*('Model output'!M:M&lt;&gt;"")), 1)), " ", LOWER(INDEX(_xlfn._xlws.FILTER('Model output'!M:M, ('Model output'!Z:Z=A10)*('Model output'!M:M&lt;&gt;"")), 1)))</f>
        <v>classic</v>
      </c>
      <c r="Q10" t="str" cm="1">
        <f t="array" ref="Q10">IF(OR(ISNUMBER(SEARCH("ly",SUBSTITUTE(INDEX(_xlfn._xlws.FILTER('Model output'!N:N,('Model output'!Z:Z=A10)*('Model output'!N:N&lt;&gt;"")),1)," ",""),1)), ISNUMBER(SEARCH("pole",SUBSTITUTE(INDEX(_xlfn._xlws.FILTER('Model output'!N:N,('Model output'!Z:Z=A10)*('Model output'!N:N&lt;&gt;"")),1)," ",""),1))),"",SUBSTITUTE(INDEX(_xlfn._xlws.FILTER('Model output'!N:N,('Model output'!Z:Z=A10)*('Model output'!N:N&lt;&gt;"")),1)," ",""))</f>
        <v>11.5mm</v>
      </c>
      <c r="R10" t="str" cm="1">
        <f t="array" ref="R10">IF(LEFT(IF(RIGHT(SUBSTITUTE(FilterWithUnits(Q10)&amp;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";")),1)=";",RIGHT(IF(RIGHT(SUBSTITUTE(FilterWithUnits(Q10)&amp;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";")),LEN(IF(RIGHT(SUBSTITUTE(FilterWithUnits(Q10)&amp;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";")))-1),IF(RIGHT(SUBSTITUTE(FilterWithUnits(Q10)&amp;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f>
        <v>11.5mm</v>
      </c>
      <c r="S10" cm="1">
        <f t="array" ref="S10">IF(MaxSize((SplitDimensions(R10)))=0, "", MaxSize((SplitDimensions(R10))))</f>
        <v>1.1499999999999999</v>
      </c>
      <c r="T10" s="17" t="str" cm="1">
        <f t="array" ref="T10">IF(ISERROR(INDEX(_xlfn._xlws.FILTER('Model output'!P:P,('Model output'!Z:Z=A10)*('Model output'!P:P&lt;&gt;"")),1)),"negative",IF(OR(ISNUMBER(SEARCH("foc",INDEX(_xlfn._xlws.FILTER('Model output'!P:P,('Model output'!Z:Z=A10)*('Model output'!P:P&lt;&gt;"")),1),1)),ISNUMBER(SEARCH("extensive",INDEX(_xlfn._xlws.FILTER('Model output'!P:P,('Model output'!Z:Z=A10)*('Model output'!P:P&lt;&gt;"")),1),1)),ISNUMBER(SEARCH("present",INDEX(_xlfn._xlws.FILTER('Model output'!P:P,('Model output'!Z:Z=A10)*('Model output'!P:P&lt;&gt;"")),1),1)),ISNUMBER(SEARCH("yes",INDEX(_xlfn._xlws.FILTER('Model output'!P:P,('Model output'!Z:Z=A10)*('Model output'!P:P&lt;&gt;"")),1),1))),"positive","negative"))</f>
        <v>negative</v>
      </c>
      <c r="V10" t="str" cm="1">
        <f t="array" ref="V10">IF(ISNUMBER(SEARCH("4",INDEX(_xlfn._xlws.FILTER('Model output'!P:P,('Model output'!Z:Z=A10)*('Model output'!P:P&lt;&gt;"")),1),1)),INDEX(_xlfn._xlws.FILTER('Model output'!P:P,('Model output'!Z:Z=A10)*('Model output'!P:P&lt;&gt;"")),1),"") &amp; _xlfn.TEXTJOIN("",TRUE,_xlfn._xlws.FILTER('Model output'!Q:Q,'Model output'!Z:Z=A10))</f>
        <v>Not mentioned</v>
      </c>
      <c r="W10" t="str">
        <f t="shared" si="11"/>
        <v>no</v>
      </c>
      <c r="X10" t="str" cm="1">
        <f t="array" ref="X10">IF(OR(ISNUMBER(SEARCH("focal",_xlfn.TEXTJOIN("; ",TRUE,_xlfn._xlws.FILTER('Model output'!R:R,'Model output'!Z:Z=A10)),1)),ISNUMBER(SEARCH("present",_xlfn.TEXTJOIN("; ",TRUE,_xlfn._xlws.FILTER('Model output'!R:R,'Model output'!Z:Z=A10)),1))),"positive",IF(_xlfn.TEXTJOIN("; ",TRUE,_xlfn._xlws.FILTER('Model output'!R:R,'Model output'!Z:Z=A10))="","negative",IF(OR(ISNUMBER(SEARCH("no",_xlfn.TEXTJOIN("; ",TRUE,_xlfn._xlws.FILTER('Model output'!R:R,'Model output'!Z:Z=A10)),1)),ISNUMBER(SEARCH("absent",_xlfn.TEXTJOIN("; ",TRUE,_xlfn._xlws.FILTER('Model output'!R:R,'Model output'!Z:Z=A10)),1))),"negative","positive")))</f>
        <v>negative</v>
      </c>
      <c r="Y10" s="17" t="str">
        <f t="shared" si="12"/>
        <v>negative</v>
      </c>
      <c r="AC10" s="17" t="str">
        <f t="shared" si="13"/>
        <v>negative</v>
      </c>
      <c r="AD10" t="str" cm="1">
        <f t="array" ref="AD10">_xlfn.TEXTJOIN("; ",TRUE,_xlfn._xlws.FILTER('Model output'!S:S,'Model output'!Z:Z=A10))</f>
        <v>Not identified; Not mentioned</v>
      </c>
      <c r="AE10" s="47" t="str" cm="1">
        <f t="array" ref="AE10">IF(OR(ISNUMBER(SEARCH("uninvolved",_xlfn.TEXTJOIN("; ",TRUE,_xlfn._xlws.FILTER('Model output'!V:V,'Model output'!Z:Z=A10)),1)),ISNUMBER(SEARCH("clear",_xlfn.TEXTJOIN("; ",TRUE,_xlfn._xlws.FILTER('Model output'!V:V,'Model output'!Z:Z=A10)),1))*ISNUMBER(SEARCH("not mentioned",_xlfn.TEXTJOIN("; ",TRUE,_xlfn._xlws.FILTER('Model output'!V:V,'Model output'!Z:Z=A10)),1))),"negative",IF(ISNUMBER(SEARCH("cannot be assessed",_xlfn.TEXTJOIN("; ",TRUE,_xlfn._xlws.FILTER('Model output'!V:V,'Model output'!Z:Z=A10)),1)),"negative","negative"))</f>
        <v>negative</v>
      </c>
      <c r="AG10" s="36" t="str">
        <f t="shared" si="14"/>
        <v>low</v>
      </c>
      <c r="AH10" s="37" t="str">
        <f t="shared" si="2"/>
        <v>1b</v>
      </c>
      <c r="AI10" s="37">
        <f t="shared" si="3"/>
        <v>0</v>
      </c>
      <c r="AJ10" s="37">
        <f t="shared" si="4"/>
        <v>0</v>
      </c>
      <c r="AK10" s="37" t="str">
        <f t="shared" si="5"/>
        <v>I</v>
      </c>
      <c r="AL10" s="10" t="s">
        <v>168</v>
      </c>
      <c r="AM10" s="32" t="s">
        <v>194</v>
      </c>
      <c r="AN10" s="32" t="s">
        <v>195</v>
      </c>
      <c r="AO10" s="32">
        <v>0</v>
      </c>
      <c r="AP10" s="32" t="s">
        <v>31</v>
      </c>
      <c r="AQ10" s="10">
        <f t="shared" si="6"/>
        <v>1</v>
      </c>
      <c r="AR10" s="32">
        <f t="shared" si="7"/>
        <v>1</v>
      </c>
      <c r="AS10" s="32">
        <f t="shared" si="8"/>
        <v>1</v>
      </c>
      <c r="AT10" s="32">
        <f t="shared" si="9"/>
        <v>1</v>
      </c>
      <c r="AU10" s="34">
        <f t="shared" si="10"/>
        <v>1</v>
      </c>
    </row>
    <row r="11" spans="1:47">
      <c r="A11" s="13">
        <v>9</v>
      </c>
      <c r="B11" s="16"/>
      <c r="C11" s="17">
        <f>_xlfn.MAXIFS('Model output'!C:C,'Model output'!Z:Z,'Classification result'!$A11)</f>
        <v>55</v>
      </c>
      <c r="D11" s="17" t="str" cm="1">
        <f t="array" ref="D11">LEFT(IF(ISERROR(RIGHT(IF(INDEX(_xlfn._xlws.FILTER('Model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output'!Z:Z=A11)),1),""),1))),"",(RIGHT(IF(INDEX(_xlfn._xlws.FILTER('Model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output'!Z:Z=A11)),1)))))),2)</f>
        <v>2</v>
      </c>
      <c r="E11" s="17" t="str" cm="1">
        <f t="array" ref="E11">IF(ISNUMBER(SEARCH("N",IF(ISNUMBER(SEARCH("present",IF(INDEX(_xlfn._xlws.FILTER('Model output'!E:E,('Model output'!Z:Z=A11)),1)="","",INDEX(_xlfn._xlws.FILTER('Model output'!E:E,('Model output'!Z:Z=A11)),1)),1)),"N1", IF(INDEX(_xlfn._xlws.FILTER('Model output'!E:E,('Model output'!Z:Z=A11)),1)="","",INDEX(_xlfn._xlws.FILTER('Model output'!E:E,('Model output'!Z:Z=A11)),1))),1)),RIGHT(IF(ISNUMBER(SEARCH("present",IF(INDEX(_xlfn._xlws.FILTER('Model output'!E:E,('Model output'!Z:Z=A11)),1)="","",INDEX(_xlfn._xlws.FILTER('Model output'!E:E,('Model output'!Z:Z=A11)),1)),1)),"N1", IF(INDEX(_xlfn._xlws.FILTER('Model output'!E:E,('Model output'!Z:Z=A11)),1)="","",INDEX(_xlfn._xlws.FILTER('Model output'!E:E,('Model output'!Z:Z=A11)),1))),LEN(IF(ISNUMBER(SEARCH("present",IF(INDEX(_xlfn._xlws.FILTER('Model output'!E:E,('Model output'!Z:Z=A11)),1)="","",INDEX(_xlfn._xlws.FILTER('Model output'!E:E,('Model output'!Z:Z=A11)),1)),1)),"N1", IF(INDEX(_xlfn._xlws.FILTER('Model output'!E:E,('Model output'!Z:Z=A11)),1)="","",INDEX(_xlfn._xlws.FILTER('Model output'!E:E,('Model output'!Z:Z=A11)),1))))-FIND("N",IF(ISNUMBER(SEARCH("present",IF(INDEX(_xlfn._xlws.FILTER('Model output'!E:E,('Model output'!Z:Z=A11)),1)="","",INDEX(_xlfn._xlws.FILTER('Model output'!E:E,('Model output'!Z:Z=A11)),1)),1)),"N1", IF(INDEX(_xlfn._xlws.FILTER('Model output'!E:E,('Model output'!Z:Z=A11)),1)="","",INDEX(_xlfn._xlws.FILTER('Model output'!E:E,('Model output'!Z:Z=A11)),1))),1)), "")</f>
        <v/>
      </c>
      <c r="F11" s="17" cm="1">
        <f t="array" ref="F11">IF(AND(SUBSTITUTE(_xlfn.TEXTJOIN("/", TRUE, _xlfn._xlws.FILTER('Model output'!F:F, 'Model output'!Z:Z=A11)),"M", "")="", I11="negative"),0,IF(I11="positive",1,0))</f>
        <v>0</v>
      </c>
      <c r="G11" t="str">
        <f t="shared" si="0"/>
        <v>positive</v>
      </c>
      <c r="H11" t="str" cm="1">
        <f t="array" ref="H11">IF(AND(K11&gt;0, _xlfn.TEXTJOIN("; ", TRUE, _xlfn._xlws.FILTER('Model output'!G:G, 'Model output'!Z:Z=A11)) &lt;&gt;"", OR(AND(ISNUMBER(SEARCH("level", _xlfn.TEXTJOIN("; ", TRUE, _xlfn._xlws.FILTER('Model output'!G:G, 'Model output'!Z:Z=A11)),1)),OR(ISNUMBER(SEARCH(" II", _xlfn.TEXTJOIN("; ", TRUE, _xlfn._xlws.FILTER('Model output'!G:G, 'Model output'!Z:Z=A11)),1)),ISNUMBER(SEARCH("2", _xlfn.TEXTJOIN("; ", TRUE, _xlfn._xlws.FILTER('Model output'!G:G, 'Model output'!Z:Z=A11)),1)),ISNUMBER(SEARCH("two", _xlfn.TEXTJOIN("; ", TRUE, _xlfn._xlws.FILTER('Model output'!G:G, 'Model output'!Z:Z=A11)),1)),ISNUMBER(SEARCH("III", _xlfn.TEXTJOIN("; ", TRUE, _xlfn._xlws.FILTER('Model output'!G:G, 'Model output'!Z:Z=A11)),1)),ISNUMBER(SEARCH("3", _xlfn.TEXTJOIN("; ", TRUE, _xlfn._xlws.FILTER('Model output'!G:G, 'Model output'!Z:Z=A11)),1)),ISNUMBER(SEARCH("three", _xlfn.TEXTJOIN("; ", TRUE, _xlfn._xlws.FILTER('Model output'!G:G, 'Model output'!Z:Z=A11)),1)),ISNUMBER(SEARCH("IV", _xlfn.TEXTJOIN("; ", TRUE, _xlfn._xlws.FILTER('Model output'!G:G, 'Model output'!Z:Z=A11)),1)),ISNUMBER(SEARCH("4", _xlfn.TEXTJOIN("; ", TRUE, _xlfn._xlws.FILTER('Model output'!G:G, 'Model output'!Z:Z=A11)),1)),ISNUMBER(SEARCH("five", _xlfn.TEXTJOIN("; ", TRUE, _xlfn._xlws.FILTER('Model output'!G:G, 'Model output'!Z:Z=A11)),1)),ISNUMBER(SEARCH("V ", _xlfn.TEXTJOIN("; ", TRUE, _xlfn._xlws.FILTER('Model output'!G:G, 'Model output'!Z:Z=A11)),1)),ISNUMBER(SEARCH("5", _xlfn.TEXTJOIN("; ", TRUE, _xlfn._xlws.FILTER('Model output'!G:G, 'Model output'!Z:Z=A11)),1)),ISNUMBER(SEARCH("five", _xlfn.TEXTJOIN("; ", TRUE, _xlfn._xlws.FILTER('Model output'!G:G, 'Model output'!Z:Z=A11)),1)),ISNUMBER(SEARCH(" lateral", _xlfn.TEXTJOIN("; ", TRUE, _xlfn._xlws.FILTER('Model output'!G:G, 'Model output'!Z:Z=A11)),1)))),ISNUMBER(SEARCH("cervical", _xlfn.TEXTJOIN("; ", TRUE, _xlfn._xlws.FILTER('Model output'!G:G, 'Model output'!Z:Z=A11)),1)),ISNUMBER(SEARCH("jugular", _xlfn.TEXTJOIN("; ", TRUE, _xlfn._xlws.FILTER('Model output'!G:G, 'Model output'!Z:Z=A11)),1)),ISNUMBER(SEARCH("left neck", _xlfn.TEXTJOIN("; ", TRUE, _xlfn._xlws.FILTER('Model output'!G:G, 'Model output'!Z:Z=A11)),1)),ISNUMBER(SEARCH("left anterior neck", _xlfn.TEXTJOIN("; ", TRUE, _xlfn._xlws.FILTER('Model output'!G:G, 'Model output'!Z:Z=A11)),1)),ISNUMBER(SEARCH("left posterior neck", _xlfn.TEXTJOIN("; ", TRUE, _xlfn._xlws.FILTER('Model output'!G:G, 'Model output'!Z:Z=A11)),1)),ISNUMBER(SEARCH("right neck", _xlfn.TEXTJOIN("; ", TRUE, _xlfn._xlws.FILTER('Model output'!G:G, 'Model output'!Z:Z=A11)),1)),ISNUMBER(SEARCH("right anterior neck", _xlfn.TEXTJOIN("; ", TRUE, _xlfn._xlws.FILTER('Model output'!G:G, 'Model output'!Z:Z=A11)),1)),ISNUMBER(SEARCH("right posterior neck", _xlfn.TEXTJOIN("; ", TRUE, _xlfn._xlws.FILTER('Model output'!G:G, 'Model output'!Z:Z=A11)),1)))),"lateral",IF(AND(K11=0, _xlfn.TEXTJOIN("; ", TRUE, _xlfn._xlws.FILTER('Model output'!G:G, 'Model output'!Z:Z=A11))=""),"", "central"))</f>
        <v>central</v>
      </c>
      <c r="I11" s="17" t="str" cm="1">
        <f t="array" ref="I11">IF(OR(ISNUMBER(SEARCH("lymph",_xlfn.TEXTJOIN("; ", TRUE, _xlfn._xlws.FILTER('Model output'!H:H, 'Model output'!Z:Z=A11)),1)), ISNUMBER(SEARCH("Not mentioned",_xlfn.TEXTJOIN("; ", TRUE, _xlfn._xlws.FILTER('Model output'!H:H, 'Model output'!Z:Z=A11)),1)),ISNUMBER(SEARCH("subcutaneous soft tissues",_xlfn.TEXTJOIN("; ", TRUE, _xlfn._xlws.FILTER('Model output'!H:H, 'Model output'!Z:Z=A11)),1)),ISNUMBER(SEARCH("larynx",_xlfn.TEXTJOIN("; ", TRUE, _xlfn._xlws.FILTER('Model output'!H:H, 'Model output'!Z:Z=A11)),1)),ISNUMBER(SEARCH("trachea",_xlfn.TEXTJOIN("; ", TRUE, _xlfn._xlws.FILTER('Model output'!H:H, 'Model output'!Z:Z=A11)),1)),ISNUMBER(SEARCH("esophagus",_xlfn.TEXTJOIN("; ", TRUE, _xlfn._xlws.FILTER('Model output'!H:H, 'Model output'!Z:Z=A11)),1)),ISNUMBER(SEARCH("recurrent laryngeal nerve",_xlfn.TEXTJOIN("; ", TRUE, _xlfn._xlws.FILTER('Model output'!H:H, 'Model output'!Z:Z=A11)),1)),ISNUMBER(SEARCH("RLN",_xlfn.TEXTJOIN("; ", TRUE, _xlfn._xlws.FILTER('Model output'!H:H, 'Model output'!Z:Z=A11)),1)),_xlfn.TEXTJOIN("; ", TRUE, _xlfn._xlws.FILTER('Model output'!H:H, 'Model output'!Z:Z=A11))=""),"negative","positive")</f>
        <v>negative</v>
      </c>
      <c r="J11" s="17">
        <f>IF(IFERROR(INDEX('Model output'!I:I, MATCH(A11, 'Model output'!Z:Z, 0)), "") &lt; K11, "", IFERROR(INDEX('Model output'!I:I, MATCH(A11, 'Model output'!Z:Z, 0)), ""))</f>
        <v>7</v>
      </c>
      <c r="K11" s="17">
        <f>IFERROR(INDEX('Model output'!J:J, MATCH(A11, 'Model output'!Z:Z, 0)), "")</f>
        <v>4</v>
      </c>
      <c r="L11" s="18" t="str" cm="1">
        <f t="array" ref="L11">ReplaceTo(ReplaceAnd(SUBSTITUTE(SUBSTITUTE(_xlfn.TEXTJOIN("; ", TRUE, _xlfn._xlws.FILTER('Model output'!K:K, 'Model output'!Z:Z=A11)), " ", ""), ",", ";")))</f>
        <v/>
      </c>
      <c r="M11" t="str" cm="1">
        <f t="array" ref="M11">IF(LEFT(IF(RIGHT(SUBSTITUTE(FilterWithUnits(L11)&amp;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";")),1)=";",RIGHT(IF(RIGHT(SUBSTITUTE(FilterWithUnits(L11)&amp;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";")),LEN(IF(RIGHT(SUBSTITUTE(FilterWithUnits(L11)&amp;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";")))-1),IF(RIGHT(SUBSTITUTE(FilterWithUnits(L11)&amp;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f>
        <v/>
      </c>
      <c r="N11" t="str" cm="1">
        <f t="array" ref="N11">IF(MaxSize((SplitDimensions(M11)))=0, "", MaxSize((SplitDimensions(M11))))</f>
        <v/>
      </c>
      <c r="O11" t="str" cm="1">
        <f t="array" ref="O11">IF(ISERROR(INDEX(_xlfn._xlws.FILTER('Model output'!L:L, ('Model output'!Z:Z=A11)*('Model output'!L:L&lt;&gt;"")), 1)), " ", LOWER(INDEX(_xlfn._xlws.FILTER('Model output'!L:L, ('Model output'!Z:Z=A11)*('Model output'!L:L&lt;&gt;"")), 1)))</f>
        <v>papillary carcinoma, encapsulated classic subtype</v>
      </c>
      <c r="P11" t="str" cm="1">
        <f t="array" ref="P11">IF(ISERROR(INDEX(_xlfn._xlws.FILTER('Model output'!M:M, ('Model output'!Z:Z=A11)*('Model output'!M:M&lt;&gt;"")), 1)), " ", LOWER(INDEX(_xlfn._xlws.FILTER('Model output'!M:M, ('Model output'!Z:Z=A11)*('Model output'!M:M&lt;&gt;"")), 1)))</f>
        <v xml:space="preserve"> </v>
      </c>
      <c r="Q11" t="str" cm="1">
        <f t="array" ref="Q11">IF(OR(ISNUMBER(SEARCH("ly",SUBSTITUTE(INDEX(_xlfn._xlws.FILTER('Model output'!N:N,('Model output'!Z:Z=A11)*('Model output'!N:N&lt;&gt;"")),1)," ",""),1)), ISNUMBER(SEARCH("pole",SUBSTITUTE(INDEX(_xlfn._xlws.FILTER('Model output'!N:N,('Model output'!Z:Z=A11)*('Model output'!N:N&lt;&gt;"")),1)," ",""),1))),"",SUBSTITUTE(INDEX(_xlfn._xlws.FILTER('Model output'!N:N,('Model output'!Z:Z=A11)*('Model output'!N:N&lt;&gt;"")),1)," ",""))</f>
        <v/>
      </c>
      <c r="R11" t="str" cm="1">
        <f t="array" ref="R11">IF(LEFT(IF(RIGHT(SUBSTITUTE(FilterWithUnits(Q11)&amp;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";")),1)=";",RIGHT(IF(RIGHT(SUBSTITUTE(FilterWithUnits(Q11)&amp;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";")),LEN(IF(RIGHT(SUBSTITUTE(FilterWithUnits(Q11)&amp;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";")))-1),IF(RIGHT(SUBSTITUTE(FilterWithUnits(Q11)&amp;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f>
        <v/>
      </c>
      <c r="S11" t="str" cm="1">
        <f t="array" ref="S11">IF(MaxSize((SplitDimensions(R11)))=0, "", MaxSize((SplitDimensions(R11))))</f>
        <v/>
      </c>
      <c r="T11" s="17" t="str" cm="1">
        <f t="array" ref="T11">IF(ISERROR(INDEX(_xlfn._xlws.FILTER('Model output'!P:P,('Model output'!Z:Z=A11)*('Model output'!P:P&lt;&gt;"")),1)),"negative",IF(OR(ISNUMBER(SEARCH("foc",INDEX(_xlfn._xlws.FILTER('Model output'!P:P,('Model output'!Z:Z=A11)*('Model output'!P:P&lt;&gt;"")),1),1)),ISNUMBER(SEARCH("extensive",INDEX(_xlfn._xlws.FILTER('Model output'!P:P,('Model output'!Z:Z=A11)*('Model output'!P:P&lt;&gt;"")),1),1)),ISNUMBER(SEARCH("present",INDEX(_xlfn._xlws.FILTER('Model output'!P:P,('Model output'!Z:Z=A11)*('Model output'!P:P&lt;&gt;"")),1),1)),ISNUMBER(SEARCH("yes",INDEX(_xlfn._xlws.FILTER('Model output'!P:P,('Model output'!Z:Z=A11)*('Model output'!P:P&lt;&gt;"")),1),1))),"positive","negative"))</f>
        <v>negative</v>
      </c>
      <c r="V11" t="str" cm="1">
        <f t="array" ref="V11">IF(ISNUMBER(SEARCH("4",INDEX(_xlfn._xlws.FILTER('Model output'!P:P,('Model output'!Z:Z=A11)*('Model output'!P:P&lt;&gt;"")),1),1)),INDEX(_xlfn._xlws.FILTER('Model output'!P:P,('Model output'!Z:Z=A11)*('Model output'!P:P&lt;&gt;"")),1),"") &amp; _xlfn.TEXTJOIN("",TRUE,_xlfn._xlws.FILTER('Model output'!Q:Q,'Model output'!Z:Z=A11))</f>
        <v/>
      </c>
      <c r="W11" t="str">
        <f t="shared" si="11"/>
        <v>no</v>
      </c>
      <c r="X11" t="str" cm="1">
        <f t="array" ref="X11">IF(OR(ISNUMBER(SEARCH("focal",_xlfn.TEXTJOIN("; ",TRUE,_xlfn._xlws.FILTER('Model output'!R:R,'Model output'!Z:Z=A11)),1)),ISNUMBER(SEARCH("present",_xlfn.TEXTJOIN("; ",TRUE,_xlfn._xlws.FILTER('Model output'!R:R,'Model output'!Z:Z=A11)),1))),"positive",IF(_xlfn.TEXTJOIN("; ",TRUE,_xlfn._xlws.FILTER('Model output'!R:R,'Model output'!Z:Z=A11))="","negative",IF(OR(ISNUMBER(SEARCH("no",_xlfn.TEXTJOIN("; ",TRUE,_xlfn._xlws.FILTER('Model output'!R:R,'Model output'!Z:Z=A11)),1)),ISNUMBER(SEARCH("absent",_xlfn.TEXTJOIN("; ",TRUE,_xlfn._xlws.FILTER('Model output'!R:R,'Model output'!Z:Z=A11)),1))),"negative","positive")))</f>
        <v>positive</v>
      </c>
      <c r="Y11" s="17" t="str">
        <f t="shared" si="12"/>
        <v>negative</v>
      </c>
      <c r="AC11" s="17" t="str">
        <f t="shared" si="13"/>
        <v>negative</v>
      </c>
      <c r="AD11" t="str" cm="1">
        <f t="array" ref="AD11">_xlfn.TEXTJOIN("; ",TRUE,_xlfn._xlws.FILTER('Model output'!S:S,'Model output'!Z:Z=A11))</f>
        <v>Not identified; Not identified</v>
      </c>
      <c r="AE11" s="47" t="str" cm="1">
        <f t="array" ref="AE11">IF(OR(ISNUMBER(SEARCH("uninvolved",_xlfn.TEXTJOIN("; ",TRUE,_xlfn._xlws.FILTER('Model output'!V:V,'Model output'!Z:Z=A11)),1)),ISNUMBER(SEARCH("clear",_xlfn.TEXTJOIN("; ",TRUE,_xlfn._xlws.FILTER('Model output'!V:V,'Model output'!Z:Z=A11)),1))*ISNUMBER(SEARCH("not mentioned",_xlfn.TEXTJOIN("; ",TRUE,_xlfn._xlws.FILTER('Model output'!V:V,'Model output'!Z:Z=A11)),1))),"negative",IF(ISNUMBER(SEARCH("cannot be assessed",_xlfn.TEXTJOIN("; ",TRUE,_xlfn._xlws.FILTER('Model output'!V:V,'Model output'!Z:Z=A11)),1)),"negative","negative"))</f>
        <v>negative</v>
      </c>
      <c r="AG11" s="36" t="str">
        <f t="shared" si="14"/>
        <v>low</v>
      </c>
      <c r="AH11" s="37" t="str">
        <f t="shared" si="2"/>
        <v>1a</v>
      </c>
      <c r="AI11" s="37" t="str">
        <f t="shared" si="3"/>
        <v>1a</v>
      </c>
      <c r="AJ11" s="37">
        <f t="shared" si="4"/>
        <v>0</v>
      </c>
      <c r="AK11" s="37" t="str">
        <f t="shared" si="5"/>
        <v>II</v>
      </c>
      <c r="AL11" s="10" t="s">
        <v>166</v>
      </c>
      <c r="AM11" s="32" t="s">
        <v>361</v>
      </c>
      <c r="AN11" s="32" t="s">
        <v>196</v>
      </c>
      <c r="AO11" s="32">
        <v>0</v>
      </c>
      <c r="AP11" s="32" t="s">
        <v>43</v>
      </c>
      <c r="AQ11" s="10">
        <f t="shared" si="6"/>
        <v>0</v>
      </c>
      <c r="AR11" s="32">
        <f t="shared" si="7"/>
        <v>0</v>
      </c>
      <c r="AS11" s="32">
        <f t="shared" si="8"/>
        <v>1</v>
      </c>
      <c r="AT11" s="32">
        <f t="shared" si="9"/>
        <v>1</v>
      </c>
      <c r="AU11" s="34">
        <f t="shared" si="10"/>
        <v>1</v>
      </c>
    </row>
    <row r="12" spans="1:47">
      <c r="A12" s="13">
        <v>10</v>
      </c>
      <c r="B12" s="16"/>
      <c r="C12" s="17">
        <f>_xlfn.MAXIFS('Model output'!C:C,'Model output'!Z:Z,'Classification result'!$A12)</f>
        <v>24</v>
      </c>
      <c r="D12" s="17" t="str" cm="1">
        <f t="array" ref="D12">LEFT(IF(ISERROR(RIGHT(IF(INDEX(_xlfn._xlws.FILTER('Model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output'!Z:Z=A12)),1),""),1))),"",(RIGHT(IF(INDEX(_xlfn._xlws.FILTER('Model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output'!Z:Z=A12)),1)))))),2)</f>
        <v>1b</v>
      </c>
      <c r="E12" s="17" t="str" cm="1">
        <f t="array" ref="E12">IF(ISNUMBER(SEARCH("N",IF(ISNUMBER(SEARCH("present",IF(INDEX(_xlfn._xlws.FILTER('Model output'!E:E,('Model output'!Z:Z=A12)),1)="","",INDEX(_xlfn._xlws.FILTER('Model output'!E:E,('Model output'!Z:Z=A12)),1)),1)),"N1", IF(INDEX(_xlfn._xlws.FILTER('Model output'!E:E,('Model output'!Z:Z=A12)),1)="","",INDEX(_xlfn._xlws.FILTER('Model output'!E:E,('Model output'!Z:Z=A12)),1))),1)),RIGHT(IF(ISNUMBER(SEARCH("present",IF(INDEX(_xlfn._xlws.FILTER('Model output'!E:E,('Model output'!Z:Z=A12)),1)="","",INDEX(_xlfn._xlws.FILTER('Model output'!E:E,('Model output'!Z:Z=A12)),1)),1)),"N1", IF(INDEX(_xlfn._xlws.FILTER('Model output'!E:E,('Model output'!Z:Z=A12)),1)="","",INDEX(_xlfn._xlws.FILTER('Model output'!E:E,('Model output'!Z:Z=A12)),1))),LEN(IF(ISNUMBER(SEARCH("present",IF(INDEX(_xlfn._xlws.FILTER('Model output'!E:E,('Model output'!Z:Z=A12)),1)="","",INDEX(_xlfn._xlws.FILTER('Model output'!E:E,('Model output'!Z:Z=A12)),1)),1)),"N1", IF(INDEX(_xlfn._xlws.FILTER('Model output'!E:E,('Model output'!Z:Z=A12)),1)="","",INDEX(_xlfn._xlws.FILTER('Model output'!E:E,('Model output'!Z:Z=A12)),1))))-FIND("N",IF(ISNUMBER(SEARCH("present",IF(INDEX(_xlfn._xlws.FILTER('Model output'!E:E,('Model output'!Z:Z=A12)),1)="","",INDEX(_xlfn._xlws.FILTER('Model output'!E:E,('Model output'!Z:Z=A12)),1)),1)),"N1", IF(INDEX(_xlfn._xlws.FILTER('Model output'!E:E,('Model output'!Z:Z=A12)),1)="","",INDEX(_xlfn._xlws.FILTER('Model output'!E:E,('Model output'!Z:Z=A12)),1))),1)), "")</f>
        <v/>
      </c>
      <c r="F12" s="17" cm="1">
        <f t="array" ref="F12">IF(AND(SUBSTITUTE(_xlfn.TEXTJOIN("/", TRUE, _xlfn._xlws.FILTER('Model output'!F:F, 'Model output'!Z:Z=A12)),"M", "")="", I12="negative"),0,IF(I12="positive",1,0))</f>
        <v>0</v>
      </c>
      <c r="G12" t="str">
        <f t="shared" si="0"/>
        <v>positive</v>
      </c>
      <c r="H12" t="str" cm="1">
        <f t="array" ref="H12">IF(AND(K12&gt;0, _xlfn.TEXTJOIN("; ", TRUE, _xlfn._xlws.FILTER('Model output'!G:G, 'Model output'!Z:Z=A12)) &lt;&gt;"", OR(AND(ISNUMBER(SEARCH("level", _xlfn.TEXTJOIN("; ", TRUE, _xlfn._xlws.FILTER('Model output'!G:G, 'Model output'!Z:Z=A12)),1)),OR(ISNUMBER(SEARCH(" II", _xlfn.TEXTJOIN("; ", TRUE, _xlfn._xlws.FILTER('Model output'!G:G, 'Model output'!Z:Z=A12)),1)),ISNUMBER(SEARCH("2", _xlfn.TEXTJOIN("; ", TRUE, _xlfn._xlws.FILTER('Model output'!G:G, 'Model output'!Z:Z=A12)),1)),ISNUMBER(SEARCH("two", _xlfn.TEXTJOIN("; ", TRUE, _xlfn._xlws.FILTER('Model output'!G:G, 'Model output'!Z:Z=A12)),1)),ISNUMBER(SEARCH("III", _xlfn.TEXTJOIN("; ", TRUE, _xlfn._xlws.FILTER('Model output'!G:G, 'Model output'!Z:Z=A12)),1)),ISNUMBER(SEARCH("3", _xlfn.TEXTJOIN("; ", TRUE, _xlfn._xlws.FILTER('Model output'!G:G, 'Model output'!Z:Z=A12)),1)),ISNUMBER(SEARCH("three", _xlfn.TEXTJOIN("; ", TRUE, _xlfn._xlws.FILTER('Model output'!G:G, 'Model output'!Z:Z=A12)),1)),ISNUMBER(SEARCH("IV", _xlfn.TEXTJOIN("; ", TRUE, _xlfn._xlws.FILTER('Model output'!G:G, 'Model output'!Z:Z=A12)),1)),ISNUMBER(SEARCH("4", _xlfn.TEXTJOIN("; ", TRUE, _xlfn._xlws.FILTER('Model output'!G:G, 'Model output'!Z:Z=A12)),1)),ISNUMBER(SEARCH("five", _xlfn.TEXTJOIN("; ", TRUE, _xlfn._xlws.FILTER('Model output'!G:G, 'Model output'!Z:Z=A12)),1)),ISNUMBER(SEARCH("V ", _xlfn.TEXTJOIN("; ", TRUE, _xlfn._xlws.FILTER('Model output'!G:G, 'Model output'!Z:Z=A12)),1)),ISNUMBER(SEARCH("5", _xlfn.TEXTJOIN("; ", TRUE, _xlfn._xlws.FILTER('Model output'!G:G, 'Model output'!Z:Z=A12)),1)),ISNUMBER(SEARCH("five", _xlfn.TEXTJOIN("; ", TRUE, _xlfn._xlws.FILTER('Model output'!G:G, 'Model output'!Z:Z=A12)),1)),ISNUMBER(SEARCH(" lateral", _xlfn.TEXTJOIN("; ", TRUE, _xlfn._xlws.FILTER('Model output'!G:G, 'Model output'!Z:Z=A12)),1)))),ISNUMBER(SEARCH("cervical", _xlfn.TEXTJOIN("; ", TRUE, _xlfn._xlws.FILTER('Model output'!G:G, 'Model output'!Z:Z=A12)),1)),ISNUMBER(SEARCH("jugular", _xlfn.TEXTJOIN("; ", TRUE, _xlfn._xlws.FILTER('Model output'!G:G, 'Model output'!Z:Z=A12)),1)),ISNUMBER(SEARCH("left neck", _xlfn.TEXTJOIN("; ", TRUE, _xlfn._xlws.FILTER('Model output'!G:G, 'Model output'!Z:Z=A12)),1)),ISNUMBER(SEARCH("left anterior neck", _xlfn.TEXTJOIN("; ", TRUE, _xlfn._xlws.FILTER('Model output'!G:G, 'Model output'!Z:Z=A12)),1)),ISNUMBER(SEARCH("left posterior neck", _xlfn.TEXTJOIN("; ", TRUE, _xlfn._xlws.FILTER('Model output'!G:G, 'Model output'!Z:Z=A12)),1)),ISNUMBER(SEARCH("right neck", _xlfn.TEXTJOIN("; ", TRUE, _xlfn._xlws.FILTER('Model output'!G:G, 'Model output'!Z:Z=A12)),1)),ISNUMBER(SEARCH("right anterior neck", _xlfn.TEXTJOIN("; ", TRUE, _xlfn._xlws.FILTER('Model output'!G:G, 'Model output'!Z:Z=A12)),1)),ISNUMBER(SEARCH("right posterior neck", _xlfn.TEXTJOIN("; ", TRUE, _xlfn._xlws.FILTER('Model output'!G:G, 'Model output'!Z:Z=A12)),1)))),"lateral",IF(AND(K12=0, _xlfn.TEXTJOIN("; ", TRUE, _xlfn._xlws.FILTER('Model output'!G:G, 'Model output'!Z:Z=A12))=""),"", "central"))</f>
        <v>central</v>
      </c>
      <c r="I12" s="17" t="str" cm="1">
        <f t="array" ref="I12">IF(OR(ISNUMBER(SEARCH("lymph",_xlfn.TEXTJOIN("; ", TRUE, _xlfn._xlws.FILTER('Model output'!H:H, 'Model output'!Z:Z=A12)),1)), ISNUMBER(SEARCH("Not mentioned",_xlfn.TEXTJOIN("; ", TRUE, _xlfn._xlws.FILTER('Model output'!H:H, 'Model output'!Z:Z=A12)),1)),ISNUMBER(SEARCH("subcutaneous soft tissues",_xlfn.TEXTJOIN("; ", TRUE, _xlfn._xlws.FILTER('Model output'!H:H, 'Model output'!Z:Z=A12)),1)),ISNUMBER(SEARCH("larynx",_xlfn.TEXTJOIN("; ", TRUE, _xlfn._xlws.FILTER('Model output'!H:H, 'Model output'!Z:Z=A12)),1)),ISNUMBER(SEARCH("trachea",_xlfn.TEXTJOIN("; ", TRUE, _xlfn._xlws.FILTER('Model output'!H:H, 'Model output'!Z:Z=A12)),1)),ISNUMBER(SEARCH("esophagus",_xlfn.TEXTJOIN("; ", TRUE, _xlfn._xlws.FILTER('Model output'!H:H, 'Model output'!Z:Z=A12)),1)),ISNUMBER(SEARCH("recurrent laryngeal nerve",_xlfn.TEXTJOIN("; ", TRUE, _xlfn._xlws.FILTER('Model output'!H:H, 'Model output'!Z:Z=A12)),1)),ISNUMBER(SEARCH("RLN",_xlfn.TEXTJOIN("; ", TRUE, _xlfn._xlws.FILTER('Model output'!H:H, 'Model output'!Z:Z=A12)),1)),_xlfn.TEXTJOIN("; ", TRUE, _xlfn._xlws.FILTER('Model output'!H:H, 'Model output'!Z:Z=A12))=""),"negative","positive")</f>
        <v>negative</v>
      </c>
      <c r="J12" s="17">
        <f>IF(IFERROR(INDEX('Model output'!I:I, MATCH(A12, 'Model output'!Z:Z, 0)), "") &lt; K12, "", IFERROR(INDEX('Model output'!I:I, MATCH(A12, 'Model output'!Z:Z, 0)), ""))</f>
        <v>1</v>
      </c>
      <c r="K12" s="17">
        <f>IFERROR(INDEX('Model output'!J:J, MATCH(A12, 'Model output'!Z:Z, 0)), "")</f>
        <v>1</v>
      </c>
      <c r="L12" s="18" t="str" cm="1">
        <f t="array" ref="L12">ReplaceTo(ReplaceAnd(SUBSTITUTE(SUBSTITUTE(_xlfn.TEXTJOIN("; ", TRUE, _xlfn._xlws.FILTER('Model output'!K:K, 'Model output'!Z:Z=A12)), " ", ""), ",", ";")))</f>
        <v/>
      </c>
      <c r="M12" t="str" cm="1">
        <f t="array" ref="M12">IF(LEFT(IF(RIGHT(SUBSTITUTE(FilterWithUnits(L12)&amp;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";")),1)=";",RIGHT(IF(RIGHT(SUBSTITUTE(FilterWithUnits(L12)&amp;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";")),LEN(IF(RIGHT(SUBSTITUTE(FilterWithUnits(L12)&amp;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";")))-1),IF(RIGHT(SUBSTITUTE(FilterWithUnits(L12)&amp;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f>
        <v/>
      </c>
      <c r="N12" t="str" cm="1">
        <f t="array" ref="N12">IF(MaxSize((SplitDimensions(M12)))=0, "", MaxSize((SplitDimensions(M12))))</f>
        <v/>
      </c>
      <c r="O12" t="str" cm="1">
        <f t="array" ref="O12">IF(ISERROR(INDEX(_xlfn._xlws.FILTER('Model output'!L:L, ('Model output'!Z:Z=A12)*('Model output'!L:L&lt;&gt;"")), 1)), " ", LOWER(INDEX(_xlfn._xlws.FILTER('Model output'!L:L, ('Model output'!Z:Z=A12)*('Model output'!L:L&lt;&gt;"")), 1)))</f>
        <v>papillary</v>
      </c>
      <c r="P12" t="str" cm="1">
        <f t="array" ref="P12">IF(ISERROR(INDEX(_xlfn._xlws.FILTER('Model output'!M:M, ('Model output'!Z:Z=A12)*('Model output'!M:M&lt;&gt;"")), 1)), " ", LOWER(INDEX(_xlfn._xlws.FILTER('Model output'!M:M, ('Model output'!Z:Z=A12)*('Model output'!M:M&lt;&gt;"")), 1)))</f>
        <v>classic</v>
      </c>
      <c r="Q12" t="str" cm="1">
        <f t="array" ref="Q12">IF(OR(ISNUMBER(SEARCH("ly",SUBSTITUTE(INDEX(_xlfn._xlws.FILTER('Model output'!N:N,('Model output'!Z:Z=A12)*('Model output'!N:N&lt;&gt;"")),1)," ",""),1)), ISNUMBER(SEARCH("pole",SUBSTITUTE(INDEX(_xlfn._xlws.FILTER('Model output'!N:N,('Model output'!Z:Z=A12)*('Model output'!N:N&lt;&gt;"")),1)," ",""),1))),"",SUBSTITUTE(INDEX(_xlfn._xlws.FILTER('Model output'!N:N,('Model output'!Z:Z=A12)*('Model output'!N:N&lt;&gt;"")),1)," ",""))</f>
        <v>1.5x0.5x0.8cm</v>
      </c>
      <c r="R12" t="str" cm="1">
        <f t="array" ref="R12">IF(LEFT(IF(RIGHT(SUBSTITUTE(FilterWithUnits(Q12)&amp;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";")),1)=";",RIGHT(IF(RIGHT(SUBSTITUTE(FilterWithUnits(Q12)&amp;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";")),LEN(IF(RIGHT(SUBSTITUTE(FilterWithUnits(Q12)&amp;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";")))-1),IF(RIGHT(SUBSTITUTE(FilterWithUnits(Q12)&amp;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f>
        <v>1.5x0.5x0.8cm</v>
      </c>
      <c r="S12" cm="1">
        <f t="array" ref="S12">IF(MaxSize((SplitDimensions(R12)))=0, "", MaxSize((SplitDimensions(R12))))</f>
        <v>1.5</v>
      </c>
      <c r="T12" s="17" t="str" cm="1">
        <f t="array" ref="T12">IF(ISERROR(INDEX(_xlfn._xlws.FILTER('Model output'!P:P,('Model output'!Z:Z=A12)*('Model output'!P:P&lt;&gt;"")),1)),"negative",IF(OR(ISNUMBER(SEARCH("foc",INDEX(_xlfn._xlws.FILTER('Model output'!P:P,('Model output'!Z:Z=A12)*('Model output'!P:P&lt;&gt;"")),1),1)),ISNUMBER(SEARCH("extensive",INDEX(_xlfn._xlws.FILTER('Model output'!P:P,('Model output'!Z:Z=A12)*('Model output'!P:P&lt;&gt;"")),1),1)),ISNUMBER(SEARCH("present",INDEX(_xlfn._xlws.FILTER('Model output'!P:P,('Model output'!Z:Z=A12)*('Model output'!P:P&lt;&gt;"")),1),1)),ISNUMBER(SEARCH("yes",INDEX(_xlfn._xlws.FILTER('Model output'!P:P,('Model output'!Z:Z=A12)*('Model output'!P:P&lt;&gt;"")),1),1))),"positive","negative"))</f>
        <v>negative</v>
      </c>
      <c r="V12" t="str" cm="1">
        <f t="array" ref="V12">IF(ISNUMBER(SEARCH("4",INDEX(_xlfn._xlws.FILTER('Model output'!P:P,('Model output'!Z:Z=A12)*('Model output'!P:P&lt;&gt;"")),1),1)),INDEX(_xlfn._xlws.FILTER('Model output'!P:P,('Model output'!Z:Z=A12)*('Model output'!P:P&lt;&gt;"")),1),"") &amp; _xlfn.TEXTJOIN("",TRUE,_xlfn._xlws.FILTER('Model output'!Q:Q,'Model output'!Z:Z=A12))</f>
        <v/>
      </c>
      <c r="W12" t="str">
        <f t="shared" si="11"/>
        <v>no</v>
      </c>
      <c r="X12" t="str" cm="1">
        <f t="array" ref="X12">IF(OR(ISNUMBER(SEARCH("focal",_xlfn.TEXTJOIN("; ",TRUE,_xlfn._xlws.FILTER('Model output'!R:R,'Model output'!Z:Z=A12)),1)),ISNUMBER(SEARCH("present",_xlfn.TEXTJOIN("; ",TRUE,_xlfn._xlws.FILTER('Model output'!R:R,'Model output'!Z:Z=A12)),1))),"positive",IF(_xlfn.TEXTJOIN("; ",TRUE,_xlfn._xlws.FILTER('Model output'!R:R,'Model output'!Z:Z=A12))="","negative",IF(OR(ISNUMBER(SEARCH("no",_xlfn.TEXTJOIN("; ",TRUE,_xlfn._xlws.FILTER('Model output'!R:R,'Model output'!Z:Z=A12)),1)),ISNUMBER(SEARCH("absent",_xlfn.TEXTJOIN("; ",TRUE,_xlfn._xlws.FILTER('Model output'!R:R,'Model output'!Z:Z=A12)),1))),"negative","positive")))</f>
        <v>positive</v>
      </c>
      <c r="Y12" s="17" t="str">
        <f t="shared" si="12"/>
        <v>negative</v>
      </c>
      <c r="AC12" s="17" t="str">
        <f t="shared" si="13"/>
        <v>negative</v>
      </c>
      <c r="AD12" t="str" cm="1">
        <f t="array" ref="AD12">_xlfn.TEXTJOIN("; ",TRUE,_xlfn._xlws.FILTER('Model output'!S:S,'Model output'!Z:Z=A12))</f>
        <v>Not identified; Not identified</v>
      </c>
      <c r="AE12" s="47" t="str" cm="1">
        <f t="array" ref="AE12">IF(OR(ISNUMBER(SEARCH("uninvolved",_xlfn.TEXTJOIN("; ",TRUE,_xlfn._xlws.FILTER('Model output'!V:V,'Model output'!Z:Z=A12)),1)),ISNUMBER(SEARCH("clear",_xlfn.TEXTJOIN("; ",TRUE,_xlfn._xlws.FILTER('Model output'!V:V,'Model output'!Z:Z=A12)),1))*ISNUMBER(SEARCH("not mentioned",_xlfn.TEXTJOIN("; ",TRUE,_xlfn._xlws.FILTER('Model output'!V:V,'Model output'!Z:Z=A12)),1))),"negative",IF(ISNUMBER(SEARCH("cannot be assessed",_xlfn.TEXTJOIN("; ",TRUE,_xlfn._xlws.FILTER('Model output'!V:V,'Model output'!Z:Z=A12)),1)),"negative","negative"))</f>
        <v>negative</v>
      </c>
      <c r="AG12" s="36" t="str">
        <f t="shared" si="14"/>
        <v>low</v>
      </c>
      <c r="AH12" s="37" t="str">
        <f t="shared" si="2"/>
        <v>1b</v>
      </c>
      <c r="AI12" s="37" t="str">
        <f t="shared" si="3"/>
        <v>1a</v>
      </c>
      <c r="AJ12" s="37">
        <f t="shared" si="4"/>
        <v>0</v>
      </c>
      <c r="AK12" s="37" t="str">
        <f t="shared" si="5"/>
        <v>I</v>
      </c>
      <c r="AL12" s="10" t="s">
        <v>168</v>
      </c>
      <c r="AM12" s="32" t="s">
        <v>194</v>
      </c>
      <c r="AN12" s="32" t="s">
        <v>196</v>
      </c>
      <c r="AO12" s="32">
        <v>0</v>
      </c>
      <c r="AP12" s="32" t="s">
        <v>31</v>
      </c>
      <c r="AQ12" s="10">
        <f t="shared" si="6"/>
        <v>1</v>
      </c>
      <c r="AR12" s="32">
        <f t="shared" si="7"/>
        <v>1</v>
      </c>
      <c r="AS12" s="32">
        <f t="shared" si="8"/>
        <v>1</v>
      </c>
      <c r="AT12" s="32">
        <f t="shared" si="9"/>
        <v>1</v>
      </c>
      <c r="AU12" s="34">
        <f t="shared" si="10"/>
        <v>1</v>
      </c>
    </row>
    <row r="13" spans="1:47">
      <c r="A13" s="13">
        <v>11</v>
      </c>
      <c r="B13" s="16"/>
      <c r="C13" s="17">
        <f>_xlfn.MAXIFS('Model output'!C:C,'Model output'!Z:Z,'Classification result'!$A13)</f>
        <v>70</v>
      </c>
      <c r="D13" s="17" t="str" cm="1">
        <f t="array" ref="D13">LEFT(IF(ISERROR(RIGHT(IF(INDEX(_xlfn._xlws.FILTER('Model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output'!Z:Z=A13)),1),""),1))),"",(RIGHT(IF(INDEX(_xlfn._xlws.FILTER('Model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output'!Z:Z=A13)),1)))))),2)</f>
        <v>3a</v>
      </c>
      <c r="E13" s="17" t="str" cm="1">
        <f t="array" ref="E13">IF(ISNUMBER(SEARCH("N",IF(ISNUMBER(SEARCH("present",IF(INDEX(_xlfn._xlws.FILTER('Model output'!E:E,('Model output'!Z:Z=A13)),1)="","",INDEX(_xlfn._xlws.FILTER('Model output'!E:E,('Model output'!Z:Z=A13)),1)),1)),"N1", IF(INDEX(_xlfn._xlws.FILTER('Model output'!E:E,('Model output'!Z:Z=A13)),1)="","",INDEX(_xlfn._xlws.FILTER('Model output'!E:E,('Model output'!Z:Z=A13)),1))),1)),RIGHT(IF(ISNUMBER(SEARCH("present",IF(INDEX(_xlfn._xlws.FILTER('Model output'!E:E,('Model output'!Z:Z=A13)),1)="","",INDEX(_xlfn._xlws.FILTER('Model output'!E:E,('Model output'!Z:Z=A13)),1)),1)),"N1", IF(INDEX(_xlfn._xlws.FILTER('Model output'!E:E,('Model output'!Z:Z=A13)),1)="","",INDEX(_xlfn._xlws.FILTER('Model output'!E:E,('Model output'!Z:Z=A13)),1))),LEN(IF(ISNUMBER(SEARCH("present",IF(INDEX(_xlfn._xlws.FILTER('Model output'!E:E,('Model output'!Z:Z=A13)),1)="","",INDEX(_xlfn._xlws.FILTER('Model output'!E:E,('Model output'!Z:Z=A13)),1)),1)),"N1", IF(INDEX(_xlfn._xlws.FILTER('Model output'!E:E,('Model output'!Z:Z=A13)),1)="","",INDEX(_xlfn._xlws.FILTER('Model output'!E:E,('Model output'!Z:Z=A13)),1))))-FIND("N",IF(ISNUMBER(SEARCH("present",IF(INDEX(_xlfn._xlws.FILTER('Model output'!E:E,('Model output'!Z:Z=A13)),1)="","",INDEX(_xlfn._xlws.FILTER('Model output'!E:E,('Model output'!Z:Z=A13)),1)),1)),"N1", IF(INDEX(_xlfn._xlws.FILTER('Model output'!E:E,('Model output'!Z:Z=A13)),1)="","",INDEX(_xlfn._xlws.FILTER('Model output'!E:E,('Model output'!Z:Z=A13)),1))),1)), "")</f>
        <v/>
      </c>
      <c r="F13" s="17" cm="1">
        <f t="array" ref="F13">IF(AND(SUBSTITUTE(_xlfn.TEXTJOIN("/", TRUE, _xlfn._xlws.FILTER('Model output'!F:F, 'Model output'!Z:Z=A13)),"M", "")="", I13="negative"),0,IF(I13="positive",1,0))</f>
        <v>0</v>
      </c>
      <c r="G13" t="str">
        <f t="shared" si="0"/>
        <v/>
      </c>
      <c r="H13" t="str" cm="1">
        <f t="array" ref="H13">IF(AND(K13&gt;0, _xlfn.TEXTJOIN("; ", TRUE, _xlfn._xlws.FILTER('Model output'!G:G, 'Model output'!Z:Z=A13)) &lt;&gt;"", OR(AND(ISNUMBER(SEARCH("level", _xlfn.TEXTJOIN("; ", TRUE, _xlfn._xlws.FILTER('Model output'!G:G, 'Model output'!Z:Z=A13)),1)),OR(ISNUMBER(SEARCH(" II", _xlfn.TEXTJOIN("; ", TRUE, _xlfn._xlws.FILTER('Model output'!G:G, 'Model output'!Z:Z=A13)),1)),ISNUMBER(SEARCH("2", _xlfn.TEXTJOIN("; ", TRUE, _xlfn._xlws.FILTER('Model output'!G:G, 'Model output'!Z:Z=A13)),1)),ISNUMBER(SEARCH("two", _xlfn.TEXTJOIN("; ", TRUE, _xlfn._xlws.FILTER('Model output'!G:G, 'Model output'!Z:Z=A13)),1)),ISNUMBER(SEARCH("III", _xlfn.TEXTJOIN("; ", TRUE, _xlfn._xlws.FILTER('Model output'!G:G, 'Model output'!Z:Z=A13)),1)),ISNUMBER(SEARCH("3", _xlfn.TEXTJOIN("; ", TRUE, _xlfn._xlws.FILTER('Model output'!G:G, 'Model output'!Z:Z=A13)),1)),ISNUMBER(SEARCH("three", _xlfn.TEXTJOIN("; ", TRUE, _xlfn._xlws.FILTER('Model output'!G:G, 'Model output'!Z:Z=A13)),1)),ISNUMBER(SEARCH("IV", _xlfn.TEXTJOIN("; ", TRUE, _xlfn._xlws.FILTER('Model output'!G:G, 'Model output'!Z:Z=A13)),1)),ISNUMBER(SEARCH("4", _xlfn.TEXTJOIN("; ", TRUE, _xlfn._xlws.FILTER('Model output'!G:G, 'Model output'!Z:Z=A13)),1)),ISNUMBER(SEARCH("five", _xlfn.TEXTJOIN("; ", TRUE, _xlfn._xlws.FILTER('Model output'!G:G, 'Model output'!Z:Z=A13)),1)),ISNUMBER(SEARCH("V ", _xlfn.TEXTJOIN("; ", TRUE, _xlfn._xlws.FILTER('Model output'!G:G, 'Model output'!Z:Z=A13)),1)),ISNUMBER(SEARCH("5", _xlfn.TEXTJOIN("; ", TRUE, _xlfn._xlws.FILTER('Model output'!G:G, 'Model output'!Z:Z=A13)),1)),ISNUMBER(SEARCH("five", _xlfn.TEXTJOIN("; ", TRUE, _xlfn._xlws.FILTER('Model output'!G:G, 'Model output'!Z:Z=A13)),1)),ISNUMBER(SEARCH(" lateral", _xlfn.TEXTJOIN("; ", TRUE, _xlfn._xlws.FILTER('Model output'!G:G, 'Model output'!Z:Z=A13)),1)))),ISNUMBER(SEARCH("cervical", _xlfn.TEXTJOIN("; ", TRUE, _xlfn._xlws.FILTER('Model output'!G:G, 'Model output'!Z:Z=A13)),1)),ISNUMBER(SEARCH("jugular", _xlfn.TEXTJOIN("; ", TRUE, _xlfn._xlws.FILTER('Model output'!G:G, 'Model output'!Z:Z=A13)),1)),ISNUMBER(SEARCH("left neck", _xlfn.TEXTJOIN("; ", TRUE, _xlfn._xlws.FILTER('Model output'!G:G, 'Model output'!Z:Z=A13)),1)),ISNUMBER(SEARCH("left anterior neck", _xlfn.TEXTJOIN("; ", TRUE, _xlfn._xlws.FILTER('Model output'!G:G, 'Model output'!Z:Z=A13)),1)),ISNUMBER(SEARCH("left posterior neck", _xlfn.TEXTJOIN("; ", TRUE, _xlfn._xlws.FILTER('Model output'!G:G, 'Model output'!Z:Z=A13)),1)),ISNUMBER(SEARCH("right neck", _xlfn.TEXTJOIN("; ", TRUE, _xlfn._xlws.FILTER('Model output'!G:G, 'Model output'!Z:Z=A13)),1)),ISNUMBER(SEARCH("right anterior neck", _xlfn.TEXTJOIN("; ", TRUE, _xlfn._xlws.FILTER('Model output'!G:G, 'Model output'!Z:Z=A13)),1)),ISNUMBER(SEARCH("right posterior neck", _xlfn.TEXTJOIN("; ", TRUE, _xlfn._xlws.FILTER('Model output'!G:G, 'Model output'!Z:Z=A13)),1)))),"lateral",IF(AND(K13=0, _xlfn.TEXTJOIN("; ", TRUE, _xlfn._xlws.FILTER('Model output'!G:G, 'Model output'!Z:Z=A13))=""),"", "central"))</f>
        <v/>
      </c>
      <c r="I13" s="17" t="str" cm="1">
        <f t="array" ref="I13">IF(OR(ISNUMBER(SEARCH("lymph",_xlfn.TEXTJOIN("; ", TRUE, _xlfn._xlws.FILTER('Model output'!H:H, 'Model output'!Z:Z=A13)),1)), ISNUMBER(SEARCH("Not mentioned",_xlfn.TEXTJOIN("; ", TRUE, _xlfn._xlws.FILTER('Model output'!H:H, 'Model output'!Z:Z=A13)),1)),ISNUMBER(SEARCH("subcutaneous soft tissues",_xlfn.TEXTJOIN("; ", TRUE, _xlfn._xlws.FILTER('Model output'!H:H, 'Model output'!Z:Z=A13)),1)),ISNUMBER(SEARCH("larynx",_xlfn.TEXTJOIN("; ", TRUE, _xlfn._xlws.FILTER('Model output'!H:H, 'Model output'!Z:Z=A13)),1)),ISNUMBER(SEARCH("trachea",_xlfn.TEXTJOIN("; ", TRUE, _xlfn._xlws.FILTER('Model output'!H:H, 'Model output'!Z:Z=A13)),1)),ISNUMBER(SEARCH("esophagus",_xlfn.TEXTJOIN("; ", TRUE, _xlfn._xlws.FILTER('Model output'!H:H, 'Model output'!Z:Z=A13)),1)),ISNUMBER(SEARCH("recurrent laryngeal nerve",_xlfn.TEXTJOIN("; ", TRUE, _xlfn._xlws.FILTER('Model output'!H:H, 'Model output'!Z:Z=A13)),1)),ISNUMBER(SEARCH("RLN",_xlfn.TEXTJOIN("; ", TRUE, _xlfn._xlws.FILTER('Model output'!H:H, 'Model output'!Z:Z=A13)),1)),_xlfn.TEXTJOIN("; ", TRUE, _xlfn._xlws.FILTER('Model output'!H:H, 'Model output'!Z:Z=A13))=""),"negative","positive")</f>
        <v>negative</v>
      </c>
      <c r="J13" s="17">
        <f>IF(IFERROR(INDEX('Model output'!I:I, MATCH(A13, 'Model output'!Z:Z, 0)), "") &lt; K13, "", IFERROR(INDEX('Model output'!I:I, MATCH(A13, 'Model output'!Z:Z, 0)), ""))</f>
        <v>0</v>
      </c>
      <c r="K13" s="17">
        <f>IFERROR(INDEX('Model output'!J:J, MATCH(A13, 'Model output'!Z:Z, 0)), "")</f>
        <v>0</v>
      </c>
      <c r="L13" s="18" t="str" cm="1">
        <f t="array" ref="L13">ReplaceTo(ReplaceAnd(SUBSTITUTE(SUBSTITUTE(_xlfn.TEXTJOIN("; ", TRUE, _xlfn._xlws.FILTER('Model output'!K:K, 'Model output'!Z:Z=A13)), " ", ""), ",", ";")))</f>
        <v/>
      </c>
      <c r="M13" t="str" cm="1">
        <f t="array" ref="M13">IF(LEFT(IF(RIGHT(SUBSTITUTE(FilterWithUnits(L13)&amp;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";")),1)=";",RIGHT(IF(RIGHT(SUBSTITUTE(FilterWithUnits(L13)&amp;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";")),LEN(IF(RIGHT(SUBSTITUTE(FilterWithUnits(L13)&amp;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";")))-1),IF(RIGHT(SUBSTITUTE(FilterWithUnits(L13)&amp;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f>
        <v/>
      </c>
      <c r="N13" t="str" cm="1">
        <f t="array" ref="N13">IF(MaxSize((SplitDimensions(M13)))=0, "", MaxSize((SplitDimensions(M13))))</f>
        <v/>
      </c>
      <c r="O13" t="str" cm="1">
        <f t="array" ref="O13">IF(ISERROR(INDEX(_xlfn._xlws.FILTER('Model output'!L:L, ('Model output'!Z:Z=A13)*('Model output'!L:L&lt;&gt;"")), 1)), " ", LOWER(INDEX(_xlfn._xlws.FILTER('Model output'!L:L, ('Model output'!Z:Z=A13)*('Model output'!L:L&lt;&gt;"")), 1)))</f>
        <v>minimally invasive follicular carcinoma</v>
      </c>
      <c r="P13" t="str" cm="1">
        <f t="array" ref="P13">IF(ISERROR(INDEX(_xlfn._xlws.FILTER('Model output'!M:M, ('Model output'!Z:Z=A13)*('Model output'!M:M&lt;&gt;"")), 1)), " ", LOWER(INDEX(_xlfn._xlws.FILTER('Model output'!M:M, ('Model output'!Z:Z=A13)*('Model output'!M:M&lt;&gt;"")), 1)))</f>
        <v xml:space="preserve"> </v>
      </c>
      <c r="Q13" t="str" cm="1">
        <f t="array" ref="Q13">IF(OR(ISNUMBER(SEARCH("ly",SUBSTITUTE(INDEX(_xlfn._xlws.FILTER('Model output'!N:N,('Model output'!Z:Z=A13)*('Model output'!N:N&lt;&gt;"")),1)," ",""),1)), ISNUMBER(SEARCH("pole",SUBSTITUTE(INDEX(_xlfn._xlws.FILTER('Model output'!N:N,('Model output'!Z:Z=A13)*('Model output'!N:N&lt;&gt;"")),1)," ",""),1))),"",SUBSTITUTE(INDEX(_xlfn._xlws.FILTER('Model output'!N:N,('Model output'!Z:Z=A13)*('Model output'!N:N&lt;&gt;"")),1)," ",""))</f>
        <v/>
      </c>
      <c r="R13" t="str" cm="1">
        <f t="array" ref="R13">IF(LEFT(IF(RIGHT(SUBSTITUTE(FilterWithUnits(Q13)&amp;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";")),1)=";",RIGHT(IF(RIGHT(SUBSTITUTE(FilterWithUnits(Q13)&amp;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";")),LEN(IF(RIGHT(SUBSTITUTE(FilterWithUnits(Q13)&amp;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";")))-1),IF(RIGHT(SUBSTITUTE(FilterWithUnits(Q13)&amp;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f>
        <v/>
      </c>
      <c r="S13" t="str" cm="1">
        <f t="array" ref="S13">IF(MaxSize((SplitDimensions(R13)))=0, "", MaxSize((SplitDimensions(R13))))</f>
        <v/>
      </c>
      <c r="T13" s="17" t="str" cm="1">
        <f t="array" ref="T13">IF(ISERROR(INDEX(_xlfn._xlws.FILTER('Model output'!P:P,('Model output'!Z:Z=A13)*('Model output'!P:P&lt;&gt;"")),1)),"negative",IF(OR(ISNUMBER(SEARCH("foc",INDEX(_xlfn._xlws.FILTER('Model output'!P:P,('Model output'!Z:Z=A13)*('Model output'!P:P&lt;&gt;"")),1),1)),ISNUMBER(SEARCH("extensive",INDEX(_xlfn._xlws.FILTER('Model output'!P:P,('Model output'!Z:Z=A13)*('Model output'!P:P&lt;&gt;"")),1),1)),ISNUMBER(SEARCH("present",INDEX(_xlfn._xlws.FILTER('Model output'!P:P,('Model output'!Z:Z=A13)*('Model output'!P:P&lt;&gt;"")),1),1)),ISNUMBER(SEARCH("yes",INDEX(_xlfn._xlws.FILTER('Model output'!P:P,('Model output'!Z:Z=A13)*('Model output'!P:P&lt;&gt;"")),1),1))),"positive","negative"))</f>
        <v>negative</v>
      </c>
      <c r="V13" t="str" cm="1">
        <f t="array" ref="V13">IF(ISNUMBER(SEARCH("4",INDEX(_xlfn._xlws.FILTER('Model output'!P:P,('Model output'!Z:Z=A13)*('Model output'!P:P&lt;&gt;"")),1),1)),INDEX(_xlfn._xlws.FILTER('Model output'!P:P,('Model output'!Z:Z=A13)*('Model output'!P:P&lt;&gt;"")),1),"") &amp; _xlfn.TEXTJOIN("",TRUE,_xlfn._xlws.FILTER('Model output'!Q:Q,'Model output'!Z:Z=A13))</f>
        <v/>
      </c>
      <c r="W13" t="str">
        <f t="shared" si="11"/>
        <v>no</v>
      </c>
      <c r="X13" t="str" cm="1">
        <f t="array" ref="X13">IF(OR(ISNUMBER(SEARCH("focal",_xlfn.TEXTJOIN("; ",TRUE,_xlfn._xlws.FILTER('Model output'!R:R,'Model output'!Z:Z=A13)),1)),ISNUMBER(SEARCH("present",_xlfn.TEXTJOIN("; ",TRUE,_xlfn._xlws.FILTER('Model output'!R:R,'Model output'!Z:Z=A13)),1))),"positive",IF(_xlfn.TEXTJOIN("; ",TRUE,_xlfn._xlws.FILTER('Model output'!R:R,'Model output'!Z:Z=A13))="","negative",IF(OR(ISNUMBER(SEARCH("no",_xlfn.TEXTJOIN("; ",TRUE,_xlfn._xlws.FILTER('Model output'!R:R,'Model output'!Z:Z=A13)),1)),ISNUMBER(SEARCH("absent",_xlfn.TEXTJOIN("; ",TRUE,_xlfn._xlws.FILTER('Model output'!R:R,'Model output'!Z:Z=A13)),1))),"negative","positive")))</f>
        <v>negative</v>
      </c>
      <c r="Y13" s="17" t="str">
        <f t="shared" si="12"/>
        <v>negative</v>
      </c>
      <c r="AC13" s="17" t="str">
        <f t="shared" si="13"/>
        <v>negative</v>
      </c>
      <c r="AD13" t="str" cm="1">
        <f t="array" ref="AD13">_xlfn.TEXTJOIN("; ",TRUE,_xlfn._xlws.FILTER('Model output'!S:S,'Model output'!Z:Z=A13))</f>
        <v>Not identified</v>
      </c>
      <c r="AE13" s="47" t="str" cm="1">
        <f t="array" ref="AE13">IF(OR(ISNUMBER(SEARCH("uninvolved",_xlfn.TEXTJOIN("; ",TRUE,_xlfn._xlws.FILTER('Model output'!V:V,'Model output'!Z:Z=A13)),1)),ISNUMBER(SEARCH("clear",_xlfn.TEXTJOIN("; ",TRUE,_xlfn._xlws.FILTER('Model output'!V:V,'Model output'!Z:Z=A13)),1))*ISNUMBER(SEARCH("not mentioned",_xlfn.TEXTJOIN("; ",TRUE,_xlfn._xlws.FILTER('Model output'!V:V,'Model output'!Z:Z=A13)),1))),"negative",IF(ISNUMBER(SEARCH("cannot be assessed",_xlfn.TEXTJOIN("; ",TRUE,_xlfn._xlws.FILTER('Model output'!V:V,'Model output'!Z:Z=A13)),1)),"negative","negative"))</f>
        <v>negative</v>
      </c>
      <c r="AG13" s="36" t="str">
        <f t="shared" si="14"/>
        <v>low</v>
      </c>
      <c r="AH13" s="37" t="str">
        <f t="shared" si="2"/>
        <v>3a</v>
      </c>
      <c r="AI13" s="37" t="str">
        <f t="shared" si="3"/>
        <v>x</v>
      </c>
      <c r="AJ13" s="37">
        <f t="shared" si="4"/>
        <v>0</v>
      </c>
      <c r="AK13" s="37" t="str">
        <f t="shared" si="5"/>
        <v>II</v>
      </c>
      <c r="AL13" s="10" t="s">
        <v>168</v>
      </c>
      <c r="AM13" s="32" t="s">
        <v>198</v>
      </c>
      <c r="AN13" s="32" t="s">
        <v>195</v>
      </c>
      <c r="AO13" s="32">
        <v>0</v>
      </c>
      <c r="AP13" s="32" t="s">
        <v>43</v>
      </c>
      <c r="AQ13" s="10">
        <f t="shared" si="6"/>
        <v>1</v>
      </c>
      <c r="AR13" s="32">
        <f t="shared" si="7"/>
        <v>1</v>
      </c>
      <c r="AS13" s="32">
        <f t="shared" si="8"/>
        <v>1</v>
      </c>
      <c r="AT13" s="32">
        <f t="shared" si="9"/>
        <v>1</v>
      </c>
      <c r="AU13" s="34">
        <f t="shared" si="10"/>
        <v>1</v>
      </c>
    </row>
    <row r="14" spans="1:47">
      <c r="A14" s="13">
        <v>12</v>
      </c>
      <c r="B14" s="16"/>
      <c r="C14" s="17">
        <f>_xlfn.MAXIFS('Model output'!C:C,'Model output'!Z:Z,'Classification result'!$A14)</f>
        <v>67</v>
      </c>
      <c r="D14" s="17" t="str" cm="1">
        <f t="array" ref="D14">LEFT(IF(ISERROR(RIGHT(IF(INDEX(_xlfn._xlws.FILTER('Model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output'!Z:Z=A14)),1),""),1))),"",(RIGHT(IF(INDEX(_xlfn._xlws.FILTER('Model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output'!Z:Z=A14)),1)))))),2)</f>
        <v>3a</v>
      </c>
      <c r="E14" s="17" t="str" cm="1">
        <f t="array" ref="E14">IF(ISNUMBER(SEARCH("N",IF(ISNUMBER(SEARCH("present",IF(INDEX(_xlfn._xlws.FILTER('Model output'!E:E,('Model output'!Z:Z=A14)),1)="","",INDEX(_xlfn._xlws.FILTER('Model output'!E:E,('Model output'!Z:Z=A14)),1)),1)),"N1", IF(INDEX(_xlfn._xlws.FILTER('Model output'!E:E,('Model output'!Z:Z=A14)),1)="","",INDEX(_xlfn._xlws.FILTER('Model output'!E:E,('Model output'!Z:Z=A14)),1))),1)),RIGHT(IF(ISNUMBER(SEARCH("present",IF(INDEX(_xlfn._xlws.FILTER('Model output'!E:E,('Model output'!Z:Z=A14)),1)="","",INDEX(_xlfn._xlws.FILTER('Model output'!E:E,('Model output'!Z:Z=A14)),1)),1)),"N1", IF(INDEX(_xlfn._xlws.FILTER('Model output'!E:E,('Model output'!Z:Z=A14)),1)="","",INDEX(_xlfn._xlws.FILTER('Model output'!E:E,('Model output'!Z:Z=A14)),1))),LEN(IF(ISNUMBER(SEARCH("present",IF(INDEX(_xlfn._xlws.FILTER('Model output'!E:E,('Model output'!Z:Z=A14)),1)="","",INDEX(_xlfn._xlws.FILTER('Model output'!E:E,('Model output'!Z:Z=A14)),1)),1)),"N1", IF(INDEX(_xlfn._xlws.FILTER('Model output'!E:E,('Model output'!Z:Z=A14)),1)="","",INDEX(_xlfn._xlws.FILTER('Model output'!E:E,('Model output'!Z:Z=A14)),1))))-FIND("N",IF(ISNUMBER(SEARCH("present",IF(INDEX(_xlfn._xlws.FILTER('Model output'!E:E,('Model output'!Z:Z=A14)),1)="","",INDEX(_xlfn._xlws.FILTER('Model output'!E:E,('Model output'!Z:Z=A14)),1)),1)),"N1", IF(INDEX(_xlfn._xlws.FILTER('Model output'!E:E,('Model output'!Z:Z=A14)),1)="","",INDEX(_xlfn._xlws.FILTER('Model output'!E:E,('Model output'!Z:Z=A14)),1))),1)), "")</f>
        <v/>
      </c>
      <c r="F14" s="17" cm="1">
        <f t="array" ref="F14">IF(AND(SUBSTITUTE(_xlfn.TEXTJOIN("/", TRUE, _xlfn._xlws.FILTER('Model output'!F:F, 'Model output'!Z:Z=A14)),"M", "")="", I14="negative"),0,IF(I14="positive",1,0))</f>
        <v>0</v>
      </c>
      <c r="G14" t="str">
        <f t="shared" si="0"/>
        <v/>
      </c>
      <c r="H14" t="str" cm="1">
        <f t="array" ref="H14">IF(AND(K14&gt;0, _xlfn.TEXTJOIN("; ", TRUE, _xlfn._xlws.FILTER('Model output'!G:G, 'Model output'!Z:Z=A14)) &lt;&gt;"", OR(AND(ISNUMBER(SEARCH("level", _xlfn.TEXTJOIN("; ", TRUE, _xlfn._xlws.FILTER('Model output'!G:G, 'Model output'!Z:Z=A14)),1)),OR(ISNUMBER(SEARCH(" II", _xlfn.TEXTJOIN("; ", TRUE, _xlfn._xlws.FILTER('Model output'!G:G, 'Model output'!Z:Z=A14)),1)),ISNUMBER(SEARCH("2", _xlfn.TEXTJOIN("; ", TRUE, _xlfn._xlws.FILTER('Model output'!G:G, 'Model output'!Z:Z=A14)),1)),ISNUMBER(SEARCH("two", _xlfn.TEXTJOIN("; ", TRUE, _xlfn._xlws.FILTER('Model output'!G:G, 'Model output'!Z:Z=A14)),1)),ISNUMBER(SEARCH("III", _xlfn.TEXTJOIN("; ", TRUE, _xlfn._xlws.FILTER('Model output'!G:G, 'Model output'!Z:Z=A14)),1)),ISNUMBER(SEARCH("3", _xlfn.TEXTJOIN("; ", TRUE, _xlfn._xlws.FILTER('Model output'!G:G, 'Model output'!Z:Z=A14)),1)),ISNUMBER(SEARCH("three", _xlfn.TEXTJOIN("; ", TRUE, _xlfn._xlws.FILTER('Model output'!G:G, 'Model output'!Z:Z=A14)),1)),ISNUMBER(SEARCH("IV", _xlfn.TEXTJOIN("; ", TRUE, _xlfn._xlws.FILTER('Model output'!G:G, 'Model output'!Z:Z=A14)),1)),ISNUMBER(SEARCH("4", _xlfn.TEXTJOIN("; ", TRUE, _xlfn._xlws.FILTER('Model output'!G:G, 'Model output'!Z:Z=A14)),1)),ISNUMBER(SEARCH("five", _xlfn.TEXTJOIN("; ", TRUE, _xlfn._xlws.FILTER('Model output'!G:G, 'Model output'!Z:Z=A14)),1)),ISNUMBER(SEARCH("V ", _xlfn.TEXTJOIN("; ", TRUE, _xlfn._xlws.FILTER('Model output'!G:G, 'Model output'!Z:Z=A14)),1)),ISNUMBER(SEARCH("5", _xlfn.TEXTJOIN("; ", TRUE, _xlfn._xlws.FILTER('Model output'!G:G, 'Model output'!Z:Z=A14)),1)),ISNUMBER(SEARCH("five", _xlfn.TEXTJOIN("; ", TRUE, _xlfn._xlws.FILTER('Model output'!G:G, 'Model output'!Z:Z=A14)),1)),ISNUMBER(SEARCH(" lateral", _xlfn.TEXTJOIN("; ", TRUE, _xlfn._xlws.FILTER('Model output'!G:G, 'Model output'!Z:Z=A14)),1)))),ISNUMBER(SEARCH("cervical", _xlfn.TEXTJOIN("; ", TRUE, _xlfn._xlws.FILTER('Model output'!G:G, 'Model output'!Z:Z=A14)),1)),ISNUMBER(SEARCH("jugular", _xlfn.TEXTJOIN("; ", TRUE, _xlfn._xlws.FILTER('Model output'!G:G, 'Model output'!Z:Z=A14)),1)),ISNUMBER(SEARCH("left neck", _xlfn.TEXTJOIN("; ", TRUE, _xlfn._xlws.FILTER('Model output'!G:G, 'Model output'!Z:Z=A14)),1)),ISNUMBER(SEARCH("left anterior neck", _xlfn.TEXTJOIN("; ", TRUE, _xlfn._xlws.FILTER('Model output'!G:G, 'Model output'!Z:Z=A14)),1)),ISNUMBER(SEARCH("left posterior neck", _xlfn.TEXTJOIN("; ", TRUE, _xlfn._xlws.FILTER('Model output'!G:G, 'Model output'!Z:Z=A14)),1)),ISNUMBER(SEARCH("right neck", _xlfn.TEXTJOIN("; ", TRUE, _xlfn._xlws.FILTER('Model output'!G:G, 'Model output'!Z:Z=A14)),1)),ISNUMBER(SEARCH("right anterior neck", _xlfn.TEXTJOIN("; ", TRUE, _xlfn._xlws.FILTER('Model output'!G:G, 'Model output'!Z:Z=A14)),1)),ISNUMBER(SEARCH("right posterior neck", _xlfn.TEXTJOIN("; ", TRUE, _xlfn._xlws.FILTER('Model output'!G:G, 'Model output'!Z:Z=A14)),1)))),"lateral",IF(AND(K14=0, _xlfn.TEXTJOIN("; ", TRUE, _xlfn._xlws.FILTER('Model output'!G:G, 'Model output'!Z:Z=A14))=""),"", "central"))</f>
        <v/>
      </c>
      <c r="I14" s="17" t="str" cm="1">
        <f t="array" ref="I14">IF(OR(ISNUMBER(SEARCH("lymph",_xlfn.TEXTJOIN("; ", TRUE, _xlfn._xlws.FILTER('Model output'!H:H, 'Model output'!Z:Z=A14)),1)), ISNUMBER(SEARCH("Not mentioned",_xlfn.TEXTJOIN("; ", TRUE, _xlfn._xlws.FILTER('Model output'!H:H, 'Model output'!Z:Z=A14)),1)),ISNUMBER(SEARCH("subcutaneous soft tissues",_xlfn.TEXTJOIN("; ", TRUE, _xlfn._xlws.FILTER('Model output'!H:H, 'Model output'!Z:Z=A14)),1)),ISNUMBER(SEARCH("larynx",_xlfn.TEXTJOIN("; ", TRUE, _xlfn._xlws.FILTER('Model output'!H:H, 'Model output'!Z:Z=A14)),1)),ISNUMBER(SEARCH("trachea",_xlfn.TEXTJOIN("; ", TRUE, _xlfn._xlws.FILTER('Model output'!H:H, 'Model output'!Z:Z=A14)),1)),ISNUMBER(SEARCH("esophagus",_xlfn.TEXTJOIN("; ", TRUE, _xlfn._xlws.FILTER('Model output'!H:H, 'Model output'!Z:Z=A14)),1)),ISNUMBER(SEARCH("recurrent laryngeal nerve",_xlfn.TEXTJOIN("; ", TRUE, _xlfn._xlws.FILTER('Model output'!H:H, 'Model output'!Z:Z=A14)),1)),ISNUMBER(SEARCH("RLN",_xlfn.TEXTJOIN("; ", TRUE, _xlfn._xlws.FILTER('Model output'!H:H, 'Model output'!Z:Z=A14)),1)),_xlfn.TEXTJOIN("; ", TRUE, _xlfn._xlws.FILTER('Model output'!H:H, 'Model output'!Z:Z=A14))=""),"negative","positive")</f>
        <v>negative</v>
      </c>
      <c r="J14" s="17">
        <f>IF(IFERROR(INDEX('Model output'!I:I, MATCH(A14, 'Model output'!Z:Z, 0)), "") &lt; K14, "", IFERROR(INDEX('Model output'!I:I, MATCH(A14, 'Model output'!Z:Z, 0)), ""))</f>
        <v>22</v>
      </c>
      <c r="K14" s="17">
        <f>IFERROR(INDEX('Model output'!J:J, MATCH(A14, 'Model output'!Z:Z, 0)), "")</f>
        <v>0</v>
      </c>
      <c r="L14" s="18" t="str" cm="1">
        <f t="array" ref="L14">ReplaceTo(ReplaceAnd(SUBSTITUTE(SUBSTITUTE(_xlfn.TEXTJOIN("; ", TRUE, _xlfn._xlws.FILTER('Model output'!K:K, 'Model output'!Z:Z=A14)), " ", ""), ",", ";")))</f>
        <v/>
      </c>
      <c r="M14" t="str" cm="1">
        <f t="array" ref="M14">IF(LEFT(IF(RIGHT(SUBSTITUTE(FilterWithUnits(L14)&amp;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";")),1)=";",RIGHT(IF(RIGHT(SUBSTITUTE(FilterWithUnits(L14)&amp;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";")),LEN(IF(RIGHT(SUBSTITUTE(FilterWithUnits(L14)&amp;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";")))-1),IF(RIGHT(SUBSTITUTE(FilterWithUnits(L14)&amp;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f>
        <v/>
      </c>
      <c r="N14" t="str" cm="1">
        <f t="array" ref="N14">IF(MaxSize((SplitDimensions(M14)))=0, "", MaxSize((SplitDimensions(M14))))</f>
        <v/>
      </c>
      <c r="O14" t="str" cm="1">
        <f t="array" ref="O14">IF(ISERROR(INDEX(_xlfn._xlws.FILTER('Model output'!L:L, ('Model output'!Z:Z=A14)*('Model output'!L:L&lt;&gt;"")), 1)), " ", LOWER(INDEX(_xlfn._xlws.FILTER('Model output'!L:L, ('Model output'!Z:Z=A14)*('Model output'!L:L&lt;&gt;"")), 1)))</f>
        <v>follicular</v>
      </c>
      <c r="P14" t="str" cm="1">
        <f t="array" ref="P14">IF(ISERROR(INDEX(_xlfn._xlws.FILTER('Model output'!M:M, ('Model output'!Z:Z=A14)*('Model output'!M:M&lt;&gt;"")), 1)), " ", LOWER(INDEX(_xlfn._xlws.FILTER('Model output'!M:M, ('Model output'!Z:Z=A14)*('Model output'!M:M&lt;&gt;"")), 1)))</f>
        <v>minimally invasive follicular carcinoma</v>
      </c>
      <c r="Q14" t="str" cm="1">
        <f t="array" ref="Q14">IF(OR(ISNUMBER(SEARCH("ly",SUBSTITUTE(INDEX(_xlfn._xlws.FILTER('Model output'!N:N,('Model output'!Z:Z=A14)*('Model output'!N:N&lt;&gt;"")),1)," ",""),1)), ISNUMBER(SEARCH("pole",SUBSTITUTE(INDEX(_xlfn._xlws.FILTER('Model output'!N:N,('Model output'!Z:Z=A14)*('Model output'!N:N&lt;&gt;"")),1)," ",""),1))),"",SUBSTITUTE(INDEX(_xlfn._xlws.FILTER('Model output'!N:N,('Model output'!Z:Z=A14)*('Model output'!N:N&lt;&gt;"")),1)," ",""))</f>
        <v>50mm</v>
      </c>
      <c r="R14" t="str" cm="1">
        <f t="array" ref="R14">IF(LEFT(IF(RIGHT(SUBSTITUTE(FilterWithUnits(Q14)&amp;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";")),1)=";",RIGHT(IF(RIGHT(SUBSTITUTE(FilterWithUnits(Q14)&amp;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";")),LEN(IF(RIGHT(SUBSTITUTE(FilterWithUnits(Q14)&amp;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";")))-1),IF(RIGHT(SUBSTITUTE(FilterWithUnits(Q14)&amp;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f>
        <v>50mm</v>
      </c>
      <c r="S14" cm="1">
        <f t="array" ref="S14">IF(MaxSize((SplitDimensions(R14)))=0, "", MaxSize((SplitDimensions(R14))))</f>
        <v>5</v>
      </c>
      <c r="T14" s="17" t="str" cm="1">
        <f t="array" ref="T14">IF(ISERROR(INDEX(_xlfn._xlws.FILTER('Model output'!P:P,('Model output'!Z:Z=A14)*('Model output'!P:P&lt;&gt;"")),1)),"negative",IF(OR(ISNUMBER(SEARCH("foc",INDEX(_xlfn._xlws.FILTER('Model output'!P:P,('Model output'!Z:Z=A14)*('Model output'!P:P&lt;&gt;"")),1),1)),ISNUMBER(SEARCH("extensive",INDEX(_xlfn._xlws.FILTER('Model output'!P:P,('Model output'!Z:Z=A14)*('Model output'!P:P&lt;&gt;"")),1),1)),ISNUMBER(SEARCH("present",INDEX(_xlfn._xlws.FILTER('Model output'!P:P,('Model output'!Z:Z=A14)*('Model output'!P:P&lt;&gt;"")),1),1)),ISNUMBER(SEARCH("yes",INDEX(_xlfn._xlws.FILTER('Model output'!P:P,('Model output'!Z:Z=A14)*('Model output'!P:P&lt;&gt;"")),1),1))),"positive","negative"))</f>
        <v>positive</v>
      </c>
      <c r="V14" t="str" cm="1">
        <f t="array" ref="V14">IF(ISNUMBER(SEARCH("4",INDEX(_xlfn._xlws.FILTER('Model output'!P:P,('Model output'!Z:Z=A14)*('Model output'!P:P&lt;&gt;"")),1),1)),INDEX(_xlfn._xlws.FILTER('Model output'!P:P,('Model output'!Z:Z=A14)*('Model output'!P:P&lt;&gt;"")),1),"") &amp; _xlfn.TEXTJOIN("",TRUE,_xlfn._xlws.FILTER('Model output'!Q:Q,'Model output'!Z:Z=A14))</f>
        <v>&lt;4</v>
      </c>
      <c r="W14" t="str">
        <f t="shared" si="11"/>
        <v>minimal</v>
      </c>
      <c r="X14" t="str" cm="1">
        <f t="array" ref="X14">IF(OR(ISNUMBER(SEARCH("focal",_xlfn.TEXTJOIN("; ",TRUE,_xlfn._xlws.FILTER('Model output'!R:R,'Model output'!Z:Z=A14)),1)),ISNUMBER(SEARCH("present",_xlfn.TEXTJOIN("; ",TRUE,_xlfn._xlws.FILTER('Model output'!R:R,'Model output'!Z:Z=A14)),1))),"positive",IF(_xlfn.TEXTJOIN("; ",TRUE,_xlfn._xlws.FILTER('Model output'!R:R,'Model output'!Z:Z=A14))="","negative",IF(OR(ISNUMBER(SEARCH("no",_xlfn.TEXTJOIN("; ",TRUE,_xlfn._xlws.FILTER('Model output'!R:R,'Model output'!Z:Z=A14)),1)),ISNUMBER(SEARCH("absent",_xlfn.TEXTJOIN("; ",TRUE,_xlfn._xlws.FILTER('Model output'!R:R,'Model output'!Z:Z=A14)),1))),"negative","positive")))</f>
        <v>negative</v>
      </c>
      <c r="Y14" s="17" t="str">
        <f t="shared" si="12"/>
        <v>negative</v>
      </c>
      <c r="AC14" s="17" t="str">
        <f t="shared" si="13"/>
        <v>negative</v>
      </c>
      <c r="AD14" t="str" cm="1">
        <f t="array" ref="AD14">_xlfn.TEXTJOIN("; ",TRUE,_xlfn._xlws.FILTER('Model output'!S:S,'Model output'!Z:Z=A14))</f>
        <v>Not identified; Not identified</v>
      </c>
      <c r="AE14" s="47" t="str" cm="1">
        <f t="array" ref="AE14">IF(OR(ISNUMBER(SEARCH("uninvolved",_xlfn.TEXTJOIN("; ",TRUE,_xlfn._xlws.FILTER('Model output'!V:V,'Model output'!Z:Z=A14)),1)),ISNUMBER(SEARCH("clear",_xlfn.TEXTJOIN("; ",TRUE,_xlfn._xlws.FILTER('Model output'!V:V,'Model output'!Z:Z=A14)),1))*ISNUMBER(SEARCH("not mentioned",_xlfn.TEXTJOIN("; ",TRUE,_xlfn._xlws.FILTER('Model output'!V:V,'Model output'!Z:Z=A14)),1))),"negative",IF(ISNUMBER(SEARCH("cannot be assessed",_xlfn.TEXTJOIN("; ",TRUE,_xlfn._xlws.FILTER('Model output'!V:V,'Model output'!Z:Z=A14)),1)),"negative","negative"))</f>
        <v>negative</v>
      </c>
      <c r="AG14" s="36" t="str">
        <f t="shared" si="14"/>
        <v>low</v>
      </c>
      <c r="AH14" s="37" t="str">
        <f t="shared" si="2"/>
        <v>3a</v>
      </c>
      <c r="AI14" s="37">
        <f t="shared" si="3"/>
        <v>0</v>
      </c>
      <c r="AJ14" s="37">
        <f t="shared" si="4"/>
        <v>0</v>
      </c>
      <c r="AK14" s="37" t="str">
        <f t="shared" si="5"/>
        <v>II</v>
      </c>
      <c r="AL14" s="10" t="s">
        <v>166</v>
      </c>
      <c r="AM14" s="32" t="s">
        <v>198</v>
      </c>
      <c r="AN14" s="32" t="s">
        <v>195</v>
      </c>
      <c r="AO14" s="32">
        <v>0</v>
      </c>
      <c r="AP14" s="32" t="s">
        <v>43</v>
      </c>
      <c r="AQ14" s="10">
        <f t="shared" si="6"/>
        <v>0</v>
      </c>
      <c r="AR14" s="32">
        <f t="shared" si="7"/>
        <v>1</v>
      </c>
      <c r="AS14" s="32">
        <f t="shared" si="8"/>
        <v>1</v>
      </c>
      <c r="AT14" s="32">
        <f t="shared" si="9"/>
        <v>1</v>
      </c>
      <c r="AU14" s="34">
        <f t="shared" si="10"/>
        <v>1</v>
      </c>
    </row>
    <row r="15" spans="1:47">
      <c r="A15" s="13">
        <v>13</v>
      </c>
      <c r="B15" s="16"/>
      <c r="C15" s="17">
        <f>_xlfn.MAXIFS('Model output'!C:C,'Model output'!Z:Z,'Classification result'!$A15)</f>
        <v>66</v>
      </c>
      <c r="D15" s="17" t="str" cm="1">
        <f t="array" ref="D15">LEFT(IF(ISERROR(RIGHT(IF(INDEX(_xlfn._xlws.FILTER('Model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output'!Z:Z=A15)),1),""),1))),"",(RIGHT(IF(INDEX(_xlfn._xlws.FILTER('Model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output'!Z:Z=A15)),1)))))),2)</f>
        <v>3</v>
      </c>
      <c r="E15" s="17" t="str" cm="1">
        <f t="array" ref="E15">IF(ISNUMBER(SEARCH("N",IF(ISNUMBER(SEARCH("present",IF(INDEX(_xlfn._xlws.FILTER('Model output'!E:E,('Model output'!Z:Z=A15)),1)="","",INDEX(_xlfn._xlws.FILTER('Model output'!E:E,('Model output'!Z:Z=A15)),1)),1)),"N1", IF(INDEX(_xlfn._xlws.FILTER('Model output'!E:E,('Model output'!Z:Z=A15)),1)="","",INDEX(_xlfn._xlws.FILTER('Model output'!E:E,('Model output'!Z:Z=A15)),1))),1)),RIGHT(IF(ISNUMBER(SEARCH("present",IF(INDEX(_xlfn._xlws.FILTER('Model output'!E:E,('Model output'!Z:Z=A15)),1)="","",INDEX(_xlfn._xlws.FILTER('Model output'!E:E,('Model output'!Z:Z=A15)),1)),1)),"N1", IF(INDEX(_xlfn._xlws.FILTER('Model output'!E:E,('Model output'!Z:Z=A15)),1)="","",INDEX(_xlfn._xlws.FILTER('Model output'!E:E,('Model output'!Z:Z=A15)),1))),LEN(IF(ISNUMBER(SEARCH("present",IF(INDEX(_xlfn._xlws.FILTER('Model output'!E:E,('Model output'!Z:Z=A15)),1)="","",INDEX(_xlfn._xlws.FILTER('Model output'!E:E,('Model output'!Z:Z=A15)),1)),1)),"N1", IF(INDEX(_xlfn._xlws.FILTER('Model output'!E:E,('Model output'!Z:Z=A15)),1)="","",INDEX(_xlfn._xlws.FILTER('Model output'!E:E,('Model output'!Z:Z=A15)),1))))-FIND("N",IF(ISNUMBER(SEARCH("present",IF(INDEX(_xlfn._xlws.FILTER('Model output'!E:E,('Model output'!Z:Z=A15)),1)="","",INDEX(_xlfn._xlws.FILTER('Model output'!E:E,('Model output'!Z:Z=A15)),1)),1)),"N1", IF(INDEX(_xlfn._xlws.FILTER('Model output'!E:E,('Model output'!Z:Z=A15)),1)="","",INDEX(_xlfn._xlws.FILTER('Model output'!E:E,('Model output'!Z:Z=A15)),1))),1)), "")</f>
        <v>1b</v>
      </c>
      <c r="F15" s="17" cm="1">
        <f t="array" ref="F15">IF(AND(SUBSTITUTE(_xlfn.TEXTJOIN("/", TRUE, _xlfn._xlws.FILTER('Model output'!F:F, 'Model output'!Z:Z=A15)),"M", "")="", I15="negative"),0,IF(I15="positive",1,0))</f>
        <v>0</v>
      </c>
      <c r="G15" t="str">
        <f t="shared" si="0"/>
        <v>positive</v>
      </c>
      <c r="H15" t="str" cm="1">
        <f t="array" ref="H15">IF(AND(K15&gt;0, _xlfn.TEXTJOIN("; ", TRUE, _xlfn._xlws.FILTER('Model output'!G:G, 'Model output'!Z:Z=A15)) &lt;&gt;"", OR(AND(ISNUMBER(SEARCH("level", _xlfn.TEXTJOIN("; ", TRUE, _xlfn._xlws.FILTER('Model output'!G:G, 'Model output'!Z:Z=A15)),1)),OR(ISNUMBER(SEARCH(" II", _xlfn.TEXTJOIN("; ", TRUE, _xlfn._xlws.FILTER('Model output'!G:G, 'Model output'!Z:Z=A15)),1)),ISNUMBER(SEARCH("2", _xlfn.TEXTJOIN("; ", TRUE, _xlfn._xlws.FILTER('Model output'!G:G, 'Model output'!Z:Z=A15)),1)),ISNUMBER(SEARCH("two", _xlfn.TEXTJOIN("; ", TRUE, _xlfn._xlws.FILTER('Model output'!G:G, 'Model output'!Z:Z=A15)),1)),ISNUMBER(SEARCH("III", _xlfn.TEXTJOIN("; ", TRUE, _xlfn._xlws.FILTER('Model output'!G:G, 'Model output'!Z:Z=A15)),1)),ISNUMBER(SEARCH("3", _xlfn.TEXTJOIN("; ", TRUE, _xlfn._xlws.FILTER('Model output'!G:G, 'Model output'!Z:Z=A15)),1)),ISNUMBER(SEARCH("three", _xlfn.TEXTJOIN("; ", TRUE, _xlfn._xlws.FILTER('Model output'!G:G, 'Model output'!Z:Z=A15)),1)),ISNUMBER(SEARCH("IV", _xlfn.TEXTJOIN("; ", TRUE, _xlfn._xlws.FILTER('Model output'!G:G, 'Model output'!Z:Z=A15)),1)),ISNUMBER(SEARCH("4", _xlfn.TEXTJOIN("; ", TRUE, _xlfn._xlws.FILTER('Model output'!G:G, 'Model output'!Z:Z=A15)),1)),ISNUMBER(SEARCH("five", _xlfn.TEXTJOIN("; ", TRUE, _xlfn._xlws.FILTER('Model output'!G:G, 'Model output'!Z:Z=A15)),1)),ISNUMBER(SEARCH("V ", _xlfn.TEXTJOIN("; ", TRUE, _xlfn._xlws.FILTER('Model output'!G:G, 'Model output'!Z:Z=A15)),1)),ISNUMBER(SEARCH("5", _xlfn.TEXTJOIN("; ", TRUE, _xlfn._xlws.FILTER('Model output'!G:G, 'Model output'!Z:Z=A15)),1)),ISNUMBER(SEARCH("five", _xlfn.TEXTJOIN("; ", TRUE, _xlfn._xlws.FILTER('Model output'!G:G, 'Model output'!Z:Z=A15)),1)),ISNUMBER(SEARCH(" lateral", _xlfn.TEXTJOIN("; ", TRUE, _xlfn._xlws.FILTER('Model output'!G:G, 'Model output'!Z:Z=A15)),1)))),ISNUMBER(SEARCH("cervical", _xlfn.TEXTJOIN("; ", TRUE, _xlfn._xlws.FILTER('Model output'!G:G, 'Model output'!Z:Z=A15)),1)),ISNUMBER(SEARCH("jugular", _xlfn.TEXTJOIN("; ", TRUE, _xlfn._xlws.FILTER('Model output'!G:G, 'Model output'!Z:Z=A15)),1)),ISNUMBER(SEARCH("left neck", _xlfn.TEXTJOIN("; ", TRUE, _xlfn._xlws.FILTER('Model output'!G:G, 'Model output'!Z:Z=A15)),1)),ISNUMBER(SEARCH("left anterior neck", _xlfn.TEXTJOIN("; ", TRUE, _xlfn._xlws.FILTER('Model output'!G:G, 'Model output'!Z:Z=A15)),1)),ISNUMBER(SEARCH("left posterior neck", _xlfn.TEXTJOIN("; ", TRUE, _xlfn._xlws.FILTER('Model output'!G:G, 'Model output'!Z:Z=A15)),1)),ISNUMBER(SEARCH("right neck", _xlfn.TEXTJOIN("; ", TRUE, _xlfn._xlws.FILTER('Model output'!G:G, 'Model output'!Z:Z=A15)),1)),ISNUMBER(SEARCH("right anterior neck", _xlfn.TEXTJOIN("; ", TRUE, _xlfn._xlws.FILTER('Model output'!G:G, 'Model output'!Z:Z=A15)),1)),ISNUMBER(SEARCH("right posterior neck", _xlfn.TEXTJOIN("; ", TRUE, _xlfn._xlws.FILTER('Model output'!G:G, 'Model output'!Z:Z=A15)),1)))),"lateral",IF(AND(K15=0, _xlfn.TEXTJOIN("; ", TRUE, _xlfn._xlws.FILTER('Model output'!G:G, 'Model output'!Z:Z=A15))=""),"", "central"))</f>
        <v>central</v>
      </c>
      <c r="I15" s="17" t="str" cm="1">
        <f t="array" ref="I15">IF(OR(ISNUMBER(SEARCH("lymph",_xlfn.TEXTJOIN("; ", TRUE, _xlfn._xlws.FILTER('Model output'!H:H, 'Model output'!Z:Z=A15)),1)), ISNUMBER(SEARCH("Not mentioned",_xlfn.TEXTJOIN("; ", TRUE, _xlfn._xlws.FILTER('Model output'!H:H, 'Model output'!Z:Z=A15)),1)),ISNUMBER(SEARCH("subcutaneous soft tissues",_xlfn.TEXTJOIN("; ", TRUE, _xlfn._xlws.FILTER('Model output'!H:H, 'Model output'!Z:Z=A15)),1)),ISNUMBER(SEARCH("larynx",_xlfn.TEXTJOIN("; ", TRUE, _xlfn._xlws.FILTER('Model output'!H:H, 'Model output'!Z:Z=A15)),1)),ISNUMBER(SEARCH("trachea",_xlfn.TEXTJOIN("; ", TRUE, _xlfn._xlws.FILTER('Model output'!H:H, 'Model output'!Z:Z=A15)),1)),ISNUMBER(SEARCH("esophagus",_xlfn.TEXTJOIN("; ", TRUE, _xlfn._xlws.FILTER('Model output'!H:H, 'Model output'!Z:Z=A15)),1)),ISNUMBER(SEARCH("recurrent laryngeal nerve",_xlfn.TEXTJOIN("; ", TRUE, _xlfn._xlws.FILTER('Model output'!H:H, 'Model output'!Z:Z=A15)),1)),ISNUMBER(SEARCH("RLN",_xlfn.TEXTJOIN("; ", TRUE, _xlfn._xlws.FILTER('Model output'!H:H, 'Model output'!Z:Z=A15)),1)),_xlfn.TEXTJOIN("; ", TRUE, _xlfn._xlws.FILTER('Model output'!H:H, 'Model output'!Z:Z=A15))=""),"negative","positive")</f>
        <v>negative</v>
      </c>
      <c r="J15" s="17">
        <f>IF(IFERROR(INDEX('Model output'!I:I, MATCH(A15, 'Model output'!Z:Z, 0)), "") &lt; K15, "", IFERROR(INDEX('Model output'!I:I, MATCH(A15, 'Model output'!Z:Z, 0)), ""))</f>
        <v>19</v>
      </c>
      <c r="K15" s="17">
        <f>IFERROR(INDEX('Model output'!J:J, MATCH(A15, 'Model output'!Z:Z, 0)), "")</f>
        <v>2</v>
      </c>
      <c r="L15" s="18" t="str" cm="1">
        <f t="array" ref="L15">ReplaceTo(ReplaceAnd(SUBSTITUTE(SUBSTITUTE(_xlfn.TEXTJOIN("; ", TRUE, _xlfn._xlws.FILTER('Model output'!K:K, 'Model output'!Z:Z=A15)), " ", ""), ",", ";")))</f>
        <v/>
      </c>
      <c r="M15" t="str" cm="1">
        <f t="array" ref="M15">IF(LEFT(IF(RIGHT(SUBSTITUTE(FilterWithUnits(L15)&amp;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";")),1)=";",RIGHT(IF(RIGHT(SUBSTITUTE(FilterWithUnits(L15)&amp;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";")),LEN(IF(RIGHT(SUBSTITUTE(FilterWithUnits(L15)&amp;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";")))-1),IF(RIGHT(SUBSTITUTE(FilterWithUnits(L15)&amp;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f>
        <v/>
      </c>
      <c r="N15" t="str" cm="1">
        <f t="array" ref="N15">IF(MaxSize((SplitDimensions(M15)))=0, "", MaxSize((SplitDimensions(M15))))</f>
        <v/>
      </c>
      <c r="O15" t="str" cm="1">
        <f t="array" ref="O15">IF(ISERROR(INDEX(_xlfn._xlws.FILTER('Model output'!L:L, ('Model output'!Z:Z=A15)*('Model output'!L:L&lt;&gt;"")), 1)), " ", LOWER(INDEX(_xlfn._xlws.FILTER('Model output'!L:L, ('Model output'!Z:Z=A15)*('Model output'!L:L&lt;&gt;"")), 1)))</f>
        <v>papillary</v>
      </c>
      <c r="P15" t="str" cm="1">
        <f t="array" ref="P15">IF(ISERROR(INDEX(_xlfn._xlws.FILTER('Model output'!M:M, ('Model output'!Z:Z=A15)*('Model output'!M:M&lt;&gt;"")), 1)), " ", LOWER(INDEX(_xlfn._xlws.FILTER('Model output'!M:M, ('Model output'!Z:Z=A15)*('Model output'!M:M&lt;&gt;"")), 1)))</f>
        <v>classic</v>
      </c>
      <c r="Q15" t="str" cm="1">
        <f t="array" ref="Q15">IF(OR(ISNUMBER(SEARCH("ly",SUBSTITUTE(INDEX(_xlfn._xlws.FILTER('Model output'!N:N,('Model output'!Z:Z=A15)*('Model output'!N:N&lt;&gt;"")),1)," ",""),1)), ISNUMBER(SEARCH("pole",SUBSTITUTE(INDEX(_xlfn._xlws.FILTER('Model output'!N:N,('Model output'!Z:Z=A15)*('Model output'!N:N&lt;&gt;"")),1)," ",""),1))),"",SUBSTITUTE(INDEX(_xlfn._xlws.FILTER('Model output'!N:N,('Model output'!Z:Z=A15)*('Model output'!N:N&lt;&gt;"")),1)," ",""))</f>
        <v>63mm</v>
      </c>
      <c r="R15" t="str" cm="1">
        <f t="array" ref="R15">IF(LEFT(IF(RIGHT(SUBSTITUTE(FilterWithUnits(Q15)&amp;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";")),1)=";",RIGHT(IF(RIGHT(SUBSTITUTE(FilterWithUnits(Q15)&amp;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";")),LEN(IF(RIGHT(SUBSTITUTE(FilterWithUnits(Q15)&amp;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";")))-1),IF(RIGHT(SUBSTITUTE(FilterWithUnits(Q15)&amp;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f>
        <v>63mm</v>
      </c>
      <c r="S15" cm="1">
        <f t="array" ref="S15">IF(MaxSize((SplitDimensions(R15)))=0, "", MaxSize((SplitDimensions(R15))))</f>
        <v>6.3</v>
      </c>
      <c r="T15" s="17" t="str" cm="1">
        <f t="array" ref="T15">IF(ISERROR(INDEX(_xlfn._xlws.FILTER('Model output'!P:P,('Model output'!Z:Z=A15)*('Model output'!P:P&lt;&gt;"")),1)),"negative",IF(OR(ISNUMBER(SEARCH("foc",INDEX(_xlfn._xlws.FILTER('Model output'!P:P,('Model output'!Z:Z=A15)*('Model output'!P:P&lt;&gt;"")),1),1)),ISNUMBER(SEARCH("extensive",INDEX(_xlfn._xlws.FILTER('Model output'!P:P,('Model output'!Z:Z=A15)*('Model output'!P:P&lt;&gt;"")),1),1)),ISNUMBER(SEARCH("present",INDEX(_xlfn._xlws.FILTER('Model output'!P:P,('Model output'!Z:Z=A15)*('Model output'!P:P&lt;&gt;"")),1),1)),ISNUMBER(SEARCH("yes",INDEX(_xlfn._xlws.FILTER('Model output'!P:P,('Model output'!Z:Z=A15)*('Model output'!P:P&lt;&gt;"")),1),1))),"positive","negative"))</f>
        <v>positive</v>
      </c>
      <c r="V15" t="str" cm="1">
        <f t="array" ref="V15">IF(ISNUMBER(SEARCH("4",INDEX(_xlfn._xlws.FILTER('Model output'!P:P,('Model output'!Z:Z=A15)*('Model output'!P:P&lt;&gt;"")),1),1)),INDEX(_xlfn._xlws.FILTER('Model output'!P:P,('Model output'!Z:Z=A15)*('Model output'!P:P&lt;&gt;"")),1),"") &amp; _xlfn.TEXTJOIN("",TRUE,_xlfn._xlws.FILTER('Model output'!Q:Q,'Model output'!Z:Z=A15))</f>
        <v>invades surrounding skeletal muscle4 or more</v>
      </c>
      <c r="W15" t="str">
        <f t="shared" si="11"/>
        <v>extensive</v>
      </c>
      <c r="X15" t="str" cm="1">
        <f t="array" ref="X15">IF(OR(ISNUMBER(SEARCH("focal",_xlfn.TEXTJOIN("; ",TRUE,_xlfn._xlws.FILTER('Model output'!R:R,'Model output'!Z:Z=A15)),1)),ISNUMBER(SEARCH("present",_xlfn.TEXTJOIN("; ",TRUE,_xlfn._xlws.FILTER('Model output'!R:R,'Model output'!Z:Z=A15)),1))),"positive",IF(_xlfn.TEXTJOIN("; ",TRUE,_xlfn._xlws.FILTER('Model output'!R:R,'Model output'!Z:Z=A15))="","negative",IF(OR(ISNUMBER(SEARCH("no",_xlfn.TEXTJOIN("; ",TRUE,_xlfn._xlws.FILTER('Model output'!R:R,'Model output'!Z:Z=A15)),1)),ISNUMBER(SEARCH("absent",_xlfn.TEXTJOIN("; ",TRUE,_xlfn._xlws.FILTER('Model output'!R:R,'Model output'!Z:Z=A15)),1))),"negative","positive")))</f>
        <v>positive</v>
      </c>
      <c r="Y15" s="17" t="str">
        <f t="shared" si="12"/>
        <v>positive</v>
      </c>
      <c r="AC15" s="17" t="str">
        <f t="shared" si="13"/>
        <v>negative</v>
      </c>
      <c r="AD15" t="str" cm="1">
        <f t="array" ref="AD15">_xlfn.TEXTJOIN("; ",TRUE,_xlfn._xlws.FILTER('Model output'!S:S,'Model output'!Z:Z=A15))</f>
        <v>Present; Present</v>
      </c>
      <c r="AE15" s="47" t="str" cm="1">
        <f t="array" ref="AE15">IF(OR(ISNUMBER(SEARCH("uninvolved",_xlfn.TEXTJOIN("; ",TRUE,_xlfn._xlws.FILTER('Model output'!V:V,'Model output'!Z:Z=A15)),1)),ISNUMBER(SEARCH("clear",_xlfn.TEXTJOIN("; ",TRUE,_xlfn._xlws.FILTER('Model output'!V:V,'Model output'!Z:Z=A15)),1))*ISNUMBER(SEARCH("not mentioned",_xlfn.TEXTJOIN("; ",TRUE,_xlfn._xlws.FILTER('Model output'!V:V,'Model output'!Z:Z=A15)),1))),"negative",IF(ISNUMBER(SEARCH("cannot be assessed",_xlfn.TEXTJOIN("; ",TRUE,_xlfn._xlws.FILTER('Model output'!V:V,'Model output'!Z:Z=A15)),1)),"negative","negative"))</f>
        <v>negative</v>
      </c>
      <c r="AG15" s="36" t="str">
        <f t="shared" si="14"/>
        <v>intermediate</v>
      </c>
      <c r="AH15" s="37" t="str">
        <f t="shared" si="2"/>
        <v>3a</v>
      </c>
      <c r="AI15" s="37" t="str">
        <f t="shared" si="3"/>
        <v>1a</v>
      </c>
      <c r="AJ15" s="37">
        <f t="shared" si="4"/>
        <v>0</v>
      </c>
      <c r="AK15" s="37" t="str">
        <f t="shared" si="5"/>
        <v>II</v>
      </c>
      <c r="AL15" s="10" t="s">
        <v>167</v>
      </c>
      <c r="AM15" s="32" t="s">
        <v>199</v>
      </c>
      <c r="AN15" s="32" t="s">
        <v>194</v>
      </c>
      <c r="AO15" s="32">
        <v>0</v>
      </c>
      <c r="AP15" s="32" t="s">
        <v>68</v>
      </c>
      <c r="AQ15" s="10">
        <f t="shared" si="6"/>
        <v>0</v>
      </c>
      <c r="AR15" s="32">
        <f t="shared" si="7"/>
        <v>0</v>
      </c>
      <c r="AS15" s="32">
        <f t="shared" si="8"/>
        <v>0</v>
      </c>
      <c r="AT15" s="32">
        <f t="shared" si="9"/>
        <v>1</v>
      </c>
      <c r="AU15" s="34">
        <f t="shared" si="10"/>
        <v>0</v>
      </c>
    </row>
    <row r="16" spans="1:47">
      <c r="A16" s="13">
        <v>14</v>
      </c>
      <c r="B16" s="16"/>
      <c r="C16" s="17">
        <f>_xlfn.MAXIFS('Model output'!C:C,'Model output'!Z:Z,'Classification result'!$A16)</f>
        <v>51</v>
      </c>
      <c r="D16" s="17" t="str" cm="1">
        <f t="array" ref="D16">LEFT(IF(ISERROR(RIGHT(IF(INDEX(_xlfn._xlws.FILTER('Model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output'!Z:Z=A16)),1),""),1))),"",(RIGHT(IF(INDEX(_xlfn._xlws.FILTER('Model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output'!Z:Z=A16)),1)))))),2)</f>
        <v>3b</v>
      </c>
      <c r="E16" s="17" t="str" cm="1">
        <f t="array" ref="E16">IF(ISNUMBER(SEARCH("N",IF(ISNUMBER(SEARCH("present",IF(INDEX(_xlfn._xlws.FILTER('Model output'!E:E,('Model output'!Z:Z=A16)),1)="","",INDEX(_xlfn._xlws.FILTER('Model output'!E:E,('Model output'!Z:Z=A16)),1)),1)),"N1", IF(INDEX(_xlfn._xlws.FILTER('Model output'!E:E,('Model output'!Z:Z=A16)),1)="","",INDEX(_xlfn._xlws.FILTER('Model output'!E:E,('Model output'!Z:Z=A16)),1))),1)),RIGHT(IF(ISNUMBER(SEARCH("present",IF(INDEX(_xlfn._xlws.FILTER('Model output'!E:E,('Model output'!Z:Z=A16)),1)="","",INDEX(_xlfn._xlws.FILTER('Model output'!E:E,('Model output'!Z:Z=A16)),1)),1)),"N1", IF(INDEX(_xlfn._xlws.FILTER('Model output'!E:E,('Model output'!Z:Z=A16)),1)="","",INDEX(_xlfn._xlws.FILTER('Model output'!E:E,('Model output'!Z:Z=A16)),1))),LEN(IF(ISNUMBER(SEARCH("present",IF(INDEX(_xlfn._xlws.FILTER('Model output'!E:E,('Model output'!Z:Z=A16)),1)="","",INDEX(_xlfn._xlws.FILTER('Model output'!E:E,('Model output'!Z:Z=A16)),1)),1)),"N1", IF(INDEX(_xlfn._xlws.FILTER('Model output'!E:E,('Model output'!Z:Z=A16)),1)="","",INDEX(_xlfn._xlws.FILTER('Model output'!E:E,('Model output'!Z:Z=A16)),1))))-FIND("N",IF(ISNUMBER(SEARCH("present",IF(INDEX(_xlfn._xlws.FILTER('Model output'!E:E,('Model output'!Z:Z=A16)),1)="","",INDEX(_xlfn._xlws.FILTER('Model output'!E:E,('Model output'!Z:Z=A16)),1)),1)),"N1", IF(INDEX(_xlfn._xlws.FILTER('Model output'!E:E,('Model output'!Z:Z=A16)),1)="","",INDEX(_xlfn._xlws.FILTER('Model output'!E:E,('Model output'!Z:Z=A16)),1))),1)), "")</f>
        <v/>
      </c>
      <c r="F16" s="17" cm="1">
        <f t="array" ref="F16">IF(AND(SUBSTITUTE(_xlfn.TEXTJOIN("/", TRUE, _xlfn._xlws.FILTER('Model output'!F:F, 'Model output'!Z:Z=A16)),"M", "")="", I16="negative"),0,IF(I16="positive",1,0))</f>
        <v>0</v>
      </c>
      <c r="G16" t="str">
        <f t="shared" si="0"/>
        <v/>
      </c>
      <c r="H16" t="str" cm="1">
        <f t="array" ref="H16">IF(AND(K16&gt;0, _xlfn.TEXTJOIN("; ", TRUE, _xlfn._xlws.FILTER('Model output'!G:G, 'Model output'!Z:Z=A16)) &lt;&gt;"", OR(AND(ISNUMBER(SEARCH("level", _xlfn.TEXTJOIN("; ", TRUE, _xlfn._xlws.FILTER('Model output'!G:G, 'Model output'!Z:Z=A16)),1)),OR(ISNUMBER(SEARCH(" II", _xlfn.TEXTJOIN("; ", TRUE, _xlfn._xlws.FILTER('Model output'!G:G, 'Model output'!Z:Z=A16)),1)),ISNUMBER(SEARCH("2", _xlfn.TEXTJOIN("; ", TRUE, _xlfn._xlws.FILTER('Model output'!G:G, 'Model output'!Z:Z=A16)),1)),ISNUMBER(SEARCH("two", _xlfn.TEXTJOIN("; ", TRUE, _xlfn._xlws.FILTER('Model output'!G:G, 'Model output'!Z:Z=A16)),1)),ISNUMBER(SEARCH("III", _xlfn.TEXTJOIN("; ", TRUE, _xlfn._xlws.FILTER('Model output'!G:G, 'Model output'!Z:Z=A16)),1)),ISNUMBER(SEARCH("3", _xlfn.TEXTJOIN("; ", TRUE, _xlfn._xlws.FILTER('Model output'!G:G, 'Model output'!Z:Z=A16)),1)),ISNUMBER(SEARCH("three", _xlfn.TEXTJOIN("; ", TRUE, _xlfn._xlws.FILTER('Model output'!G:G, 'Model output'!Z:Z=A16)),1)),ISNUMBER(SEARCH("IV", _xlfn.TEXTJOIN("; ", TRUE, _xlfn._xlws.FILTER('Model output'!G:G, 'Model output'!Z:Z=A16)),1)),ISNUMBER(SEARCH("4", _xlfn.TEXTJOIN("; ", TRUE, _xlfn._xlws.FILTER('Model output'!G:G, 'Model output'!Z:Z=A16)),1)),ISNUMBER(SEARCH("five", _xlfn.TEXTJOIN("; ", TRUE, _xlfn._xlws.FILTER('Model output'!G:G, 'Model output'!Z:Z=A16)),1)),ISNUMBER(SEARCH("V ", _xlfn.TEXTJOIN("; ", TRUE, _xlfn._xlws.FILTER('Model output'!G:G, 'Model output'!Z:Z=A16)),1)),ISNUMBER(SEARCH("5", _xlfn.TEXTJOIN("; ", TRUE, _xlfn._xlws.FILTER('Model output'!G:G, 'Model output'!Z:Z=A16)),1)),ISNUMBER(SEARCH("five", _xlfn.TEXTJOIN("; ", TRUE, _xlfn._xlws.FILTER('Model output'!G:G, 'Model output'!Z:Z=A16)),1)),ISNUMBER(SEARCH(" lateral", _xlfn.TEXTJOIN("; ", TRUE, _xlfn._xlws.FILTER('Model output'!G:G, 'Model output'!Z:Z=A16)),1)))),ISNUMBER(SEARCH("cervical", _xlfn.TEXTJOIN("; ", TRUE, _xlfn._xlws.FILTER('Model output'!G:G, 'Model output'!Z:Z=A16)),1)),ISNUMBER(SEARCH("jugular", _xlfn.TEXTJOIN("; ", TRUE, _xlfn._xlws.FILTER('Model output'!G:G, 'Model output'!Z:Z=A16)),1)),ISNUMBER(SEARCH("left neck", _xlfn.TEXTJOIN("; ", TRUE, _xlfn._xlws.FILTER('Model output'!G:G, 'Model output'!Z:Z=A16)),1)),ISNUMBER(SEARCH("left anterior neck", _xlfn.TEXTJOIN("; ", TRUE, _xlfn._xlws.FILTER('Model output'!G:G, 'Model output'!Z:Z=A16)),1)),ISNUMBER(SEARCH("left posterior neck", _xlfn.TEXTJOIN("; ", TRUE, _xlfn._xlws.FILTER('Model output'!G:G, 'Model output'!Z:Z=A16)),1)),ISNUMBER(SEARCH("right neck", _xlfn.TEXTJOIN("; ", TRUE, _xlfn._xlws.FILTER('Model output'!G:G, 'Model output'!Z:Z=A16)),1)),ISNUMBER(SEARCH("right anterior neck", _xlfn.TEXTJOIN("; ", TRUE, _xlfn._xlws.FILTER('Model output'!G:G, 'Model output'!Z:Z=A16)),1)),ISNUMBER(SEARCH("right posterior neck", _xlfn.TEXTJOIN("; ", TRUE, _xlfn._xlws.FILTER('Model output'!G:G, 'Model output'!Z:Z=A16)),1)))),"lateral",IF(AND(K16=0, _xlfn.TEXTJOIN("; ", TRUE, _xlfn._xlws.FILTER('Model output'!G:G, 'Model output'!Z:Z=A16))=""),"", "central"))</f>
        <v/>
      </c>
      <c r="I16" s="17" t="str" cm="1">
        <f t="array" ref="I16">IF(OR(ISNUMBER(SEARCH("lymph",_xlfn.TEXTJOIN("; ", TRUE, _xlfn._xlws.FILTER('Model output'!H:H, 'Model output'!Z:Z=A16)),1)), ISNUMBER(SEARCH("Not mentioned",_xlfn.TEXTJOIN("; ", TRUE, _xlfn._xlws.FILTER('Model output'!H:H, 'Model output'!Z:Z=A16)),1)),ISNUMBER(SEARCH("subcutaneous soft tissues",_xlfn.TEXTJOIN("; ", TRUE, _xlfn._xlws.FILTER('Model output'!H:H, 'Model output'!Z:Z=A16)),1)),ISNUMBER(SEARCH("larynx",_xlfn.TEXTJOIN("; ", TRUE, _xlfn._xlws.FILTER('Model output'!H:H, 'Model output'!Z:Z=A16)),1)),ISNUMBER(SEARCH("trachea",_xlfn.TEXTJOIN("; ", TRUE, _xlfn._xlws.FILTER('Model output'!H:H, 'Model output'!Z:Z=A16)),1)),ISNUMBER(SEARCH("esophagus",_xlfn.TEXTJOIN("; ", TRUE, _xlfn._xlws.FILTER('Model output'!H:H, 'Model output'!Z:Z=A16)),1)),ISNUMBER(SEARCH("recurrent laryngeal nerve",_xlfn.TEXTJOIN("; ", TRUE, _xlfn._xlws.FILTER('Model output'!H:H, 'Model output'!Z:Z=A16)),1)),ISNUMBER(SEARCH("RLN",_xlfn.TEXTJOIN("; ", TRUE, _xlfn._xlws.FILTER('Model output'!H:H, 'Model output'!Z:Z=A16)),1)),_xlfn.TEXTJOIN("; ", TRUE, _xlfn._xlws.FILTER('Model output'!H:H, 'Model output'!Z:Z=A16))=""),"negative","positive")</f>
        <v>negative</v>
      </c>
      <c r="J16" s="17">
        <f>IF(IFERROR(INDEX('Model output'!I:I, MATCH(A16, 'Model output'!Z:Z, 0)), "") &lt; K16, "", IFERROR(INDEX('Model output'!I:I, MATCH(A16, 'Model output'!Z:Z, 0)), ""))</f>
        <v>0</v>
      </c>
      <c r="K16" s="17">
        <f>IFERROR(INDEX('Model output'!J:J, MATCH(A16, 'Model output'!Z:Z, 0)), "")</f>
        <v>0</v>
      </c>
      <c r="L16" s="18" t="str" cm="1">
        <f t="array" ref="L16">ReplaceTo(ReplaceAnd(SUBSTITUTE(SUBSTITUTE(_xlfn.TEXTJOIN("; ", TRUE, _xlfn._xlws.FILTER('Model output'!K:K, 'Model output'!Z:Z=A16)), " ", ""), ",", ";")))</f>
        <v>Notmentioned</v>
      </c>
      <c r="M16" t="str" cm="1">
        <f t="array" ref="M16">IF(LEFT(IF(RIGHT(SUBSTITUTE(FilterWithUnits(L16)&amp;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";")),1)=";",RIGHT(IF(RIGHT(SUBSTITUTE(FilterWithUnits(L16)&amp;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";")),LEN(IF(RIGHT(SUBSTITUTE(FilterWithUnits(L16)&amp;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";")))-1),IF(RIGHT(SUBSTITUTE(FilterWithUnits(L16)&amp;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f>
        <v/>
      </c>
      <c r="N16" t="str" cm="1">
        <f t="array" ref="N16">IF(MaxSize((SplitDimensions(M16)))=0, "", MaxSize((SplitDimensions(M16))))</f>
        <v/>
      </c>
      <c r="O16" t="str" cm="1">
        <f t="array" ref="O16">IF(ISERROR(INDEX(_xlfn._xlws.FILTER('Model output'!L:L, ('Model output'!Z:Z=A16)*('Model output'!L:L&lt;&gt;"")), 1)), " ", LOWER(INDEX(_xlfn._xlws.FILTER('Model output'!L:L, ('Model output'!Z:Z=A16)*('Model output'!L:L&lt;&gt;"")), 1)))</f>
        <v>papillary</v>
      </c>
      <c r="P16" t="str" cm="1">
        <f t="array" ref="P16">IF(ISERROR(INDEX(_xlfn._xlws.FILTER('Model output'!M:M, ('Model output'!Z:Z=A16)*('Model output'!M:M&lt;&gt;"")), 1)), " ", LOWER(INDEX(_xlfn._xlws.FILTER('Model output'!M:M, ('Model output'!Z:Z=A16)*('Model output'!M:M&lt;&gt;"")), 1)))</f>
        <v>encapsulated classic</v>
      </c>
      <c r="Q16" t="str" cm="1">
        <f t="array" ref="Q16">IF(OR(ISNUMBER(SEARCH("ly",SUBSTITUTE(INDEX(_xlfn._xlws.FILTER('Model output'!N:N,('Model output'!Z:Z=A16)*('Model output'!N:N&lt;&gt;"")),1)," ",""),1)), ISNUMBER(SEARCH("pole",SUBSTITUTE(INDEX(_xlfn._xlws.FILTER('Model output'!N:N,('Model output'!Z:Z=A16)*('Model output'!N:N&lt;&gt;"")),1)," ",""),1))),"",SUBSTITUTE(INDEX(_xlfn._xlws.FILTER('Model output'!N:N,('Model output'!Z:Z=A16)*('Model output'!N:N&lt;&gt;"")),1)," ",""))</f>
        <v>3.9cm</v>
      </c>
      <c r="R16" t="str" cm="1">
        <f t="array" ref="R16">IF(LEFT(IF(RIGHT(SUBSTITUTE(FilterWithUnits(Q16)&amp;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";")),1)=";",RIGHT(IF(RIGHT(SUBSTITUTE(FilterWithUnits(Q16)&amp;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";")),LEN(IF(RIGHT(SUBSTITUTE(FilterWithUnits(Q16)&amp;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";")))-1),IF(RIGHT(SUBSTITUTE(FilterWithUnits(Q16)&amp;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f>
        <v>3.9cm</v>
      </c>
      <c r="S16" cm="1">
        <f t="array" ref="S16">IF(MaxSize((SplitDimensions(R16)))=0, "", MaxSize((SplitDimensions(R16))))</f>
        <v>3.9</v>
      </c>
      <c r="T16" s="17" t="str" cm="1">
        <f t="array" ref="T16">IF(ISERROR(INDEX(_xlfn._xlws.FILTER('Model output'!P:P,('Model output'!Z:Z=A16)*('Model output'!P:P&lt;&gt;"")),1)),"negative",IF(OR(ISNUMBER(SEARCH("foc",INDEX(_xlfn._xlws.FILTER('Model output'!P:P,('Model output'!Z:Z=A16)*('Model output'!P:P&lt;&gt;"")),1),1)),ISNUMBER(SEARCH("extensive",INDEX(_xlfn._xlws.FILTER('Model output'!P:P,('Model output'!Z:Z=A16)*('Model output'!P:P&lt;&gt;"")),1),1)),ISNUMBER(SEARCH("present",INDEX(_xlfn._xlws.FILTER('Model output'!P:P,('Model output'!Z:Z=A16)*('Model output'!P:P&lt;&gt;"")),1),1)),ISNUMBER(SEARCH("yes",INDEX(_xlfn._xlws.FILTER('Model output'!P:P,('Model output'!Z:Z=A16)*('Model output'!P:P&lt;&gt;"")),1),1))),"positive","negative"))</f>
        <v>positive</v>
      </c>
      <c r="V16" t="str" cm="1">
        <f t="array" ref="V16">IF(ISNUMBER(SEARCH("4",INDEX(_xlfn._xlws.FILTER('Model output'!P:P,('Model output'!Z:Z=A16)*('Model output'!P:P&lt;&gt;"")),1),1)),INDEX(_xlfn._xlws.FILTER('Model output'!P:P,('Model output'!Z:Z=A16)*('Model output'!P:P&lt;&gt;"")),1),"") &amp; _xlfn.TEXTJOIN("",TRUE,_xlfn._xlws.FILTER('Model output'!Q:Q,'Model output'!Z:Z=A16))</f>
        <v>Focal (&lt; 4 vessels)&lt; 4Not mentioned</v>
      </c>
      <c r="W16" t="str">
        <f t="shared" si="11"/>
        <v>minimal</v>
      </c>
      <c r="X16" t="str" cm="1">
        <f t="array" ref="X16">IF(OR(ISNUMBER(SEARCH("focal",_xlfn.TEXTJOIN("; ",TRUE,_xlfn._xlws.FILTER('Model output'!R:R,'Model output'!Z:Z=A16)),1)),ISNUMBER(SEARCH("present",_xlfn.TEXTJOIN("; ",TRUE,_xlfn._xlws.FILTER('Model output'!R:R,'Model output'!Z:Z=A16)),1))),"positive",IF(_xlfn.TEXTJOIN("; ",TRUE,_xlfn._xlws.FILTER('Model output'!R:R,'Model output'!Z:Z=A16))="","negative",IF(OR(ISNUMBER(SEARCH("no",_xlfn.TEXTJOIN("; ",TRUE,_xlfn._xlws.FILTER('Model output'!R:R,'Model output'!Z:Z=A16)),1)),ISNUMBER(SEARCH("absent",_xlfn.TEXTJOIN("; ",TRUE,_xlfn._xlws.FILTER('Model output'!R:R,'Model output'!Z:Z=A16)),1))),"negative","positive")))</f>
        <v>positive</v>
      </c>
      <c r="Y16" s="17" t="str">
        <f t="shared" si="12"/>
        <v>positive</v>
      </c>
      <c r="AC16" s="17" t="str">
        <f t="shared" si="13"/>
        <v>positive</v>
      </c>
      <c r="AD16" t="str" cm="1">
        <f t="array" ref="AD16">_xlfn.TEXTJOIN("; ",TRUE,_xlfn._xlws.FILTER('Model output'!S:S,'Model output'!Z:Z=A16))</f>
        <v>Invading only strap muscles; Present</v>
      </c>
      <c r="AE16" s="47" t="str" cm="1">
        <f t="array" ref="AE16">IF(OR(ISNUMBER(SEARCH("uninvolved",_xlfn.TEXTJOIN("; ",TRUE,_xlfn._xlws.FILTER('Model output'!V:V,'Model output'!Z:Z=A16)),1)),ISNUMBER(SEARCH("clear",_xlfn.TEXTJOIN("; ",TRUE,_xlfn._xlws.FILTER('Model output'!V:V,'Model output'!Z:Z=A16)),1))*ISNUMBER(SEARCH("not mentioned",_xlfn.TEXTJOIN("; ",TRUE,_xlfn._xlws.FILTER('Model output'!V:V,'Model output'!Z:Z=A16)),1))),"negative",IF(ISNUMBER(SEARCH("cannot be assessed",_xlfn.TEXTJOIN("; ",TRUE,_xlfn._xlws.FILTER('Model output'!V:V,'Model output'!Z:Z=A16)),1)),"negative","negative"))</f>
        <v>negative</v>
      </c>
      <c r="AG16" s="36" t="str">
        <f t="shared" si="14"/>
        <v>high</v>
      </c>
      <c r="AH16" s="37" t="str">
        <f t="shared" si="2"/>
        <v>3b</v>
      </c>
      <c r="AI16" s="37" t="str">
        <f t="shared" si="3"/>
        <v>x</v>
      </c>
      <c r="AJ16" s="37">
        <f t="shared" si="4"/>
        <v>0</v>
      </c>
      <c r="AK16" s="37" t="str">
        <f t="shared" si="5"/>
        <v>I</v>
      </c>
      <c r="AL16" s="10" t="s">
        <v>167</v>
      </c>
      <c r="AM16" s="32" t="s">
        <v>197</v>
      </c>
      <c r="AN16" s="32" t="s">
        <v>195</v>
      </c>
      <c r="AO16" s="32">
        <v>0</v>
      </c>
      <c r="AP16" s="32" t="s">
        <v>31</v>
      </c>
      <c r="AQ16" s="10">
        <f t="shared" si="6"/>
        <v>1</v>
      </c>
      <c r="AR16" s="32">
        <f t="shared" si="7"/>
        <v>1</v>
      </c>
      <c r="AS16" s="32">
        <f t="shared" si="8"/>
        <v>1</v>
      </c>
      <c r="AT16" s="32">
        <f t="shared" si="9"/>
        <v>1</v>
      </c>
      <c r="AU16" s="34">
        <f t="shared" si="10"/>
        <v>1</v>
      </c>
    </row>
    <row r="17" spans="1:47">
      <c r="A17" s="13">
        <v>15</v>
      </c>
      <c r="B17" s="16"/>
      <c r="C17" s="17">
        <f>_xlfn.MAXIFS('Model output'!C:C,'Model output'!Z:Z,'Classification result'!$A17)</f>
        <v>64</v>
      </c>
      <c r="D17" s="17" t="str" cm="1">
        <f t="array" ref="D17">LEFT(IF(ISERROR(RIGHT(IF(INDEX(_xlfn._xlws.FILTER('Model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output'!Z:Z=A17)),1),""),1))),"",(RIGHT(IF(INDEX(_xlfn._xlws.FILTER('Model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output'!Z:Z=A17)),1)))))),2)</f>
        <v/>
      </c>
      <c r="E17" s="17" t="str" cm="1">
        <f t="array" ref="E17">IF(ISNUMBER(SEARCH("N",IF(ISNUMBER(SEARCH("present",IF(INDEX(_xlfn._xlws.FILTER('Model output'!E:E,('Model output'!Z:Z=A17)),1)="","",INDEX(_xlfn._xlws.FILTER('Model output'!E:E,('Model output'!Z:Z=A17)),1)),1)),"N1", IF(INDEX(_xlfn._xlws.FILTER('Model output'!E:E,('Model output'!Z:Z=A17)),1)="","",INDEX(_xlfn._xlws.FILTER('Model output'!E:E,('Model output'!Z:Z=A17)),1))),1)),RIGHT(IF(ISNUMBER(SEARCH("present",IF(INDEX(_xlfn._xlws.FILTER('Model output'!E:E,('Model output'!Z:Z=A17)),1)="","",INDEX(_xlfn._xlws.FILTER('Model output'!E:E,('Model output'!Z:Z=A17)),1)),1)),"N1", IF(INDEX(_xlfn._xlws.FILTER('Model output'!E:E,('Model output'!Z:Z=A17)),1)="","",INDEX(_xlfn._xlws.FILTER('Model output'!E:E,('Model output'!Z:Z=A17)),1))),LEN(IF(ISNUMBER(SEARCH("present",IF(INDEX(_xlfn._xlws.FILTER('Model output'!E:E,('Model output'!Z:Z=A17)),1)="","",INDEX(_xlfn._xlws.FILTER('Model output'!E:E,('Model output'!Z:Z=A17)),1)),1)),"N1", IF(INDEX(_xlfn._xlws.FILTER('Model output'!E:E,('Model output'!Z:Z=A17)),1)="","",INDEX(_xlfn._xlws.FILTER('Model output'!E:E,('Model output'!Z:Z=A17)),1))))-FIND("N",IF(ISNUMBER(SEARCH("present",IF(INDEX(_xlfn._xlws.FILTER('Model output'!E:E,('Model output'!Z:Z=A17)),1)="","",INDEX(_xlfn._xlws.FILTER('Model output'!E:E,('Model output'!Z:Z=A17)),1)),1)),"N1", IF(INDEX(_xlfn._xlws.FILTER('Model output'!E:E,('Model output'!Z:Z=A17)),1)="","",INDEX(_xlfn._xlws.FILTER('Model output'!E:E,('Model output'!Z:Z=A17)),1))),1)), "")</f>
        <v/>
      </c>
      <c r="F17" s="17" cm="1">
        <f t="array" ref="F17">IF(AND(SUBSTITUTE(_xlfn.TEXTJOIN("/", TRUE, _xlfn._xlws.FILTER('Model output'!F:F, 'Model output'!Z:Z=A17)),"M", "")="", I17="negative"),0,IF(I17="positive",1,0))</f>
        <v>0</v>
      </c>
      <c r="G17" t="str">
        <f t="shared" si="0"/>
        <v/>
      </c>
      <c r="H17" t="str" cm="1">
        <f t="array" ref="H17">IF(AND(K17&gt;0, _xlfn.TEXTJOIN("; ", TRUE, _xlfn._xlws.FILTER('Model output'!G:G, 'Model output'!Z:Z=A17)) &lt;&gt;"", OR(AND(ISNUMBER(SEARCH("level", _xlfn.TEXTJOIN("; ", TRUE, _xlfn._xlws.FILTER('Model output'!G:G, 'Model output'!Z:Z=A17)),1)),OR(ISNUMBER(SEARCH(" II", _xlfn.TEXTJOIN("; ", TRUE, _xlfn._xlws.FILTER('Model output'!G:G, 'Model output'!Z:Z=A17)),1)),ISNUMBER(SEARCH("2", _xlfn.TEXTJOIN("; ", TRUE, _xlfn._xlws.FILTER('Model output'!G:G, 'Model output'!Z:Z=A17)),1)),ISNUMBER(SEARCH("two", _xlfn.TEXTJOIN("; ", TRUE, _xlfn._xlws.FILTER('Model output'!G:G, 'Model output'!Z:Z=A17)),1)),ISNUMBER(SEARCH("III", _xlfn.TEXTJOIN("; ", TRUE, _xlfn._xlws.FILTER('Model output'!G:G, 'Model output'!Z:Z=A17)),1)),ISNUMBER(SEARCH("3", _xlfn.TEXTJOIN("; ", TRUE, _xlfn._xlws.FILTER('Model output'!G:G, 'Model output'!Z:Z=A17)),1)),ISNUMBER(SEARCH("three", _xlfn.TEXTJOIN("; ", TRUE, _xlfn._xlws.FILTER('Model output'!G:G, 'Model output'!Z:Z=A17)),1)),ISNUMBER(SEARCH("IV", _xlfn.TEXTJOIN("; ", TRUE, _xlfn._xlws.FILTER('Model output'!G:G, 'Model output'!Z:Z=A17)),1)),ISNUMBER(SEARCH("4", _xlfn.TEXTJOIN("; ", TRUE, _xlfn._xlws.FILTER('Model output'!G:G, 'Model output'!Z:Z=A17)),1)),ISNUMBER(SEARCH("five", _xlfn.TEXTJOIN("; ", TRUE, _xlfn._xlws.FILTER('Model output'!G:G, 'Model output'!Z:Z=A17)),1)),ISNUMBER(SEARCH("V ", _xlfn.TEXTJOIN("; ", TRUE, _xlfn._xlws.FILTER('Model output'!G:G, 'Model output'!Z:Z=A17)),1)),ISNUMBER(SEARCH("5", _xlfn.TEXTJOIN("; ", TRUE, _xlfn._xlws.FILTER('Model output'!G:G, 'Model output'!Z:Z=A17)),1)),ISNUMBER(SEARCH("five", _xlfn.TEXTJOIN("; ", TRUE, _xlfn._xlws.FILTER('Model output'!G:G, 'Model output'!Z:Z=A17)),1)),ISNUMBER(SEARCH(" lateral", _xlfn.TEXTJOIN("; ", TRUE, _xlfn._xlws.FILTER('Model output'!G:G, 'Model output'!Z:Z=A17)),1)))),ISNUMBER(SEARCH("cervical", _xlfn.TEXTJOIN("; ", TRUE, _xlfn._xlws.FILTER('Model output'!G:G, 'Model output'!Z:Z=A17)),1)),ISNUMBER(SEARCH("jugular", _xlfn.TEXTJOIN("; ", TRUE, _xlfn._xlws.FILTER('Model output'!G:G, 'Model output'!Z:Z=A17)),1)),ISNUMBER(SEARCH("left neck", _xlfn.TEXTJOIN("; ", TRUE, _xlfn._xlws.FILTER('Model output'!G:G, 'Model output'!Z:Z=A17)),1)),ISNUMBER(SEARCH("left anterior neck", _xlfn.TEXTJOIN("; ", TRUE, _xlfn._xlws.FILTER('Model output'!G:G, 'Model output'!Z:Z=A17)),1)),ISNUMBER(SEARCH("left posterior neck", _xlfn.TEXTJOIN("; ", TRUE, _xlfn._xlws.FILTER('Model output'!G:G, 'Model output'!Z:Z=A17)),1)),ISNUMBER(SEARCH("right neck", _xlfn.TEXTJOIN("; ", TRUE, _xlfn._xlws.FILTER('Model output'!G:G, 'Model output'!Z:Z=A17)),1)),ISNUMBER(SEARCH("right anterior neck", _xlfn.TEXTJOIN("; ", TRUE, _xlfn._xlws.FILTER('Model output'!G:G, 'Model output'!Z:Z=A17)),1)),ISNUMBER(SEARCH("right posterior neck", _xlfn.TEXTJOIN("; ", TRUE, _xlfn._xlws.FILTER('Model output'!G:G, 'Model output'!Z:Z=A17)),1)))),"lateral",IF(AND(K17=0, _xlfn.TEXTJOIN("; ", TRUE, _xlfn._xlws.FILTER('Model output'!G:G, 'Model output'!Z:Z=A17))=""),"", "central"))</f>
        <v/>
      </c>
      <c r="I17" s="17" t="str" cm="1">
        <f t="array" ref="I17">IF(OR(ISNUMBER(SEARCH("lymph",_xlfn.TEXTJOIN("; ", TRUE, _xlfn._xlws.FILTER('Model output'!H:H, 'Model output'!Z:Z=A17)),1)), ISNUMBER(SEARCH("Not mentioned",_xlfn.TEXTJOIN("; ", TRUE, _xlfn._xlws.FILTER('Model output'!H:H, 'Model output'!Z:Z=A17)),1)),ISNUMBER(SEARCH("subcutaneous soft tissues",_xlfn.TEXTJOIN("; ", TRUE, _xlfn._xlws.FILTER('Model output'!H:H, 'Model output'!Z:Z=A17)),1)),ISNUMBER(SEARCH("larynx",_xlfn.TEXTJOIN("; ", TRUE, _xlfn._xlws.FILTER('Model output'!H:H, 'Model output'!Z:Z=A17)),1)),ISNUMBER(SEARCH("trachea",_xlfn.TEXTJOIN("; ", TRUE, _xlfn._xlws.FILTER('Model output'!H:H, 'Model output'!Z:Z=A17)),1)),ISNUMBER(SEARCH("esophagus",_xlfn.TEXTJOIN("; ", TRUE, _xlfn._xlws.FILTER('Model output'!H:H, 'Model output'!Z:Z=A17)),1)),ISNUMBER(SEARCH("recurrent laryngeal nerve",_xlfn.TEXTJOIN("; ", TRUE, _xlfn._xlws.FILTER('Model output'!H:H, 'Model output'!Z:Z=A17)),1)),ISNUMBER(SEARCH("RLN",_xlfn.TEXTJOIN("; ", TRUE, _xlfn._xlws.FILTER('Model output'!H:H, 'Model output'!Z:Z=A17)),1)),_xlfn.TEXTJOIN("; ", TRUE, _xlfn._xlws.FILTER('Model output'!H:H, 'Model output'!Z:Z=A17))=""),"negative","positive")</f>
        <v>negative</v>
      </c>
      <c r="J17" s="17">
        <f>IF(IFERROR(INDEX('Model output'!I:I, MATCH(A17, 'Model output'!Z:Z, 0)), "") &lt; K17, "", IFERROR(INDEX('Model output'!I:I, MATCH(A17, 'Model output'!Z:Z, 0)), ""))</f>
        <v>7</v>
      </c>
      <c r="K17" s="17">
        <f>IFERROR(INDEX('Model output'!J:J, MATCH(A17, 'Model output'!Z:Z, 0)), "")</f>
        <v>0</v>
      </c>
      <c r="L17" s="18" t="str" cm="1">
        <f t="array" ref="L17">ReplaceTo(ReplaceAnd(SUBSTITUTE(SUBSTITUTE(_xlfn.TEXTJOIN("; ", TRUE, _xlfn._xlws.FILTER('Model output'!K:K, 'Model output'!Z:Z=A17)), " ", ""), ",", ";")))</f>
        <v/>
      </c>
      <c r="M17" t="str" cm="1">
        <f t="array" ref="M17">IF(LEFT(IF(RIGHT(SUBSTITUTE(FilterWithUnits(L17)&amp;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";")),1)=";",RIGHT(IF(RIGHT(SUBSTITUTE(FilterWithUnits(L17)&amp;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";")),LEN(IF(RIGHT(SUBSTITUTE(FilterWithUnits(L17)&amp;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";")))-1),IF(RIGHT(SUBSTITUTE(FilterWithUnits(L17)&amp;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f>
        <v/>
      </c>
      <c r="N17" t="str" cm="1">
        <f t="array" ref="N17">IF(MaxSize((SplitDimensions(M17)))=0, "", MaxSize((SplitDimensions(M17))))</f>
        <v/>
      </c>
      <c r="O17" t="str" cm="1">
        <f t="array" ref="O17">IF(ISERROR(INDEX(_xlfn._xlws.FILTER('Model output'!L:L, ('Model output'!Z:Z=A17)*('Model output'!L:L&lt;&gt;"")), 1)), " ", LOWER(INDEX(_xlfn._xlws.FILTER('Model output'!L:L, ('Model output'!Z:Z=A17)*('Model output'!L:L&lt;&gt;"")), 1)))</f>
        <v>follicular</v>
      </c>
      <c r="P17" t="str" cm="1">
        <f t="array" ref="P17">IF(ISERROR(INDEX(_xlfn._xlws.FILTER('Model output'!M:M, ('Model output'!Z:Z=A17)*('Model output'!M:M&lt;&gt;"")), 1)), " ", LOWER(INDEX(_xlfn._xlws.FILTER('Model output'!M:M, ('Model output'!Z:Z=A17)*('Model output'!M:M&lt;&gt;"")), 1)))</f>
        <v xml:space="preserve"> </v>
      </c>
      <c r="Q17" t="str" cm="1">
        <f t="array" ref="Q17">IF(OR(ISNUMBER(SEARCH("ly",SUBSTITUTE(INDEX(_xlfn._xlws.FILTER('Model output'!N:N,('Model output'!Z:Z=A17)*('Model output'!N:N&lt;&gt;"")),1)," ",""),1)), ISNUMBER(SEARCH("pole",SUBSTITUTE(INDEX(_xlfn._xlws.FILTER('Model output'!N:N,('Model output'!Z:Z=A17)*('Model output'!N:N&lt;&gt;"")),1)," ",""),1))),"",SUBSTITUTE(INDEX(_xlfn._xlws.FILTER('Model output'!N:N,('Model output'!Z:Z=A17)*('Model output'!N:N&lt;&gt;"")),1)," ",""))</f>
        <v>40x20x20mm(leftthyroidlobe)</v>
      </c>
      <c r="R17" t="str" cm="1">
        <f t="array" ref="R17">IF(LEFT(IF(RIGHT(SUBSTITUTE(FilterWithUnits(Q17)&amp;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";")),1)=";",RIGHT(IF(RIGHT(SUBSTITUTE(FilterWithUnits(Q17)&amp;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";")),LEN(IF(RIGHT(SUBSTITUTE(FilterWithUnits(Q17)&amp;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";")))-1),IF(RIGHT(SUBSTITUTE(FilterWithUnits(Q17)&amp;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f>
        <v>40x20x20mm(leftthyroidlobe)</v>
      </c>
      <c r="S17" t="str" cm="1">
        <f t="array" ref="S17">IF(MaxSize((SplitDimensions(R17)))=0, "", MaxSize((SplitDimensions(R17))))</f>
        <v/>
      </c>
      <c r="T17" s="17" t="str" cm="1">
        <f t="array" ref="T17">IF(ISERROR(INDEX(_xlfn._xlws.FILTER('Model output'!P:P,('Model output'!Z:Z=A17)*('Model output'!P:P&lt;&gt;"")),1)),"negative",IF(OR(ISNUMBER(SEARCH("foc",INDEX(_xlfn._xlws.FILTER('Model output'!P:P,('Model output'!Z:Z=A17)*('Model output'!P:P&lt;&gt;"")),1),1)),ISNUMBER(SEARCH("extensive",INDEX(_xlfn._xlws.FILTER('Model output'!P:P,('Model output'!Z:Z=A17)*('Model output'!P:P&lt;&gt;"")),1),1)),ISNUMBER(SEARCH("present",INDEX(_xlfn._xlws.FILTER('Model output'!P:P,('Model output'!Z:Z=A17)*('Model output'!P:P&lt;&gt;"")),1),1)),ISNUMBER(SEARCH("yes",INDEX(_xlfn._xlws.FILTER('Model output'!P:P,('Model output'!Z:Z=A17)*('Model output'!P:P&lt;&gt;"")),1),1))),"positive","negative"))</f>
        <v>negative</v>
      </c>
      <c r="V17" t="str" cm="1">
        <f t="array" ref="V17">IF(ISNUMBER(SEARCH("4",INDEX(_xlfn._xlws.FILTER('Model output'!P:P,('Model output'!Z:Z=A17)*('Model output'!P:P&lt;&gt;"")),1),1)),INDEX(_xlfn._xlws.FILTER('Model output'!P:P,('Model output'!Z:Z=A17)*('Model output'!P:P&lt;&gt;"")),1),"") &amp; _xlfn.TEXTJOIN("",TRUE,_xlfn._xlws.FILTER('Model output'!Q:Q,'Model output'!Z:Z=A17))</f>
        <v/>
      </c>
      <c r="W17" t="str">
        <f t="shared" si="11"/>
        <v>no</v>
      </c>
      <c r="X17" t="str" cm="1">
        <f t="array" ref="X17">IF(OR(ISNUMBER(SEARCH("focal",_xlfn.TEXTJOIN("; ",TRUE,_xlfn._xlws.FILTER('Model output'!R:R,'Model output'!Z:Z=A17)),1)),ISNUMBER(SEARCH("present",_xlfn.TEXTJOIN("; ",TRUE,_xlfn._xlws.FILTER('Model output'!R:R,'Model output'!Z:Z=A17)),1))),"positive",IF(_xlfn.TEXTJOIN("; ",TRUE,_xlfn._xlws.FILTER('Model output'!R:R,'Model output'!Z:Z=A17))="","negative",IF(OR(ISNUMBER(SEARCH("no",_xlfn.TEXTJOIN("; ",TRUE,_xlfn._xlws.FILTER('Model output'!R:R,'Model output'!Z:Z=A17)),1)),ISNUMBER(SEARCH("absent",_xlfn.TEXTJOIN("; ",TRUE,_xlfn._xlws.FILTER('Model output'!R:R,'Model output'!Z:Z=A17)),1))),"negative","positive")))</f>
        <v>negative</v>
      </c>
      <c r="Y17" s="17" t="str">
        <f t="shared" si="12"/>
        <v>negative</v>
      </c>
      <c r="AC17" s="17" t="str">
        <f t="shared" si="13"/>
        <v>negative</v>
      </c>
      <c r="AD17" t="str" cm="1">
        <f t="array" ref="AD17">_xlfn.TEXTJOIN("; ",TRUE,_xlfn._xlws.FILTER('Model output'!S:S,'Model output'!Z:Z=A17))</f>
        <v>Not identified</v>
      </c>
      <c r="AE17" s="47" t="str" cm="1">
        <f t="array" ref="AE17">IF(OR(ISNUMBER(SEARCH("uninvolved",_xlfn.TEXTJOIN("; ",TRUE,_xlfn._xlws.FILTER('Model output'!V:V,'Model output'!Z:Z=A17)),1)),ISNUMBER(SEARCH("clear",_xlfn.TEXTJOIN("; ",TRUE,_xlfn._xlws.FILTER('Model output'!V:V,'Model output'!Z:Z=A17)),1))*ISNUMBER(SEARCH("not mentioned",_xlfn.TEXTJOIN("; ",TRUE,_xlfn._xlws.FILTER('Model output'!V:V,'Model output'!Z:Z=A17)),1))),"negative",IF(ISNUMBER(SEARCH("cannot be assessed",_xlfn.TEXTJOIN("; ",TRUE,_xlfn._xlws.FILTER('Model output'!V:V,'Model output'!Z:Z=A17)),1)),"negative","negative"))</f>
        <v>negative</v>
      </c>
      <c r="AG17" s="36" t="s">
        <v>75</v>
      </c>
      <c r="AH17" s="37" t="s">
        <v>75</v>
      </c>
      <c r="AI17" s="37" t="s">
        <v>75</v>
      </c>
      <c r="AJ17" s="37" t="s">
        <v>75</v>
      </c>
      <c r="AK17" s="37" t="s">
        <v>75</v>
      </c>
      <c r="AL17" s="10" t="s">
        <v>75</v>
      </c>
      <c r="AM17" s="32" t="s">
        <v>75</v>
      </c>
      <c r="AN17" s="32" t="s">
        <v>75</v>
      </c>
      <c r="AO17" s="32" t="s">
        <v>75</v>
      </c>
      <c r="AP17" s="32" t="s">
        <v>75</v>
      </c>
      <c r="AQ17" s="10">
        <f t="shared" si="6"/>
        <v>1</v>
      </c>
      <c r="AR17" s="32">
        <f t="shared" si="7"/>
        <v>1</v>
      </c>
      <c r="AS17" s="32">
        <f t="shared" si="8"/>
        <v>1</v>
      </c>
      <c r="AT17" s="32">
        <f t="shared" si="9"/>
        <v>1</v>
      </c>
      <c r="AU17" s="34">
        <f t="shared" si="10"/>
        <v>1</v>
      </c>
    </row>
    <row r="18" spans="1:47">
      <c r="A18" s="13">
        <v>16</v>
      </c>
      <c r="B18" s="16"/>
      <c r="C18" s="17">
        <f>_xlfn.MAXIFS('Model output'!C:C,'Model output'!Z:Z,'Classification result'!$A18)</f>
        <v>43</v>
      </c>
      <c r="D18" s="17" t="str" cm="1">
        <f t="array" ref="D18">LEFT(IF(ISERROR(RIGHT(IF(INDEX(_xlfn._xlws.FILTER('Model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output'!Z:Z=A18)),1),""),1))),"",(RIGHT(IF(INDEX(_xlfn._xlws.FILTER('Model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output'!Z:Z=A18)),1)))))),2)</f>
        <v>2</v>
      </c>
      <c r="E18" s="17" t="str" cm="1">
        <f t="array" ref="E18">IF(ISNUMBER(SEARCH("N",IF(ISNUMBER(SEARCH("present",IF(INDEX(_xlfn._xlws.FILTER('Model output'!E:E,('Model output'!Z:Z=A18)),1)="","",INDEX(_xlfn._xlws.FILTER('Model output'!E:E,('Model output'!Z:Z=A18)),1)),1)),"N1", IF(INDEX(_xlfn._xlws.FILTER('Model output'!E:E,('Model output'!Z:Z=A18)),1)="","",INDEX(_xlfn._xlws.FILTER('Model output'!E:E,('Model output'!Z:Z=A18)),1))),1)),RIGHT(IF(ISNUMBER(SEARCH("present",IF(INDEX(_xlfn._xlws.FILTER('Model output'!E:E,('Model output'!Z:Z=A18)),1)="","",INDEX(_xlfn._xlws.FILTER('Model output'!E:E,('Model output'!Z:Z=A18)),1)),1)),"N1", IF(INDEX(_xlfn._xlws.FILTER('Model output'!E:E,('Model output'!Z:Z=A18)),1)="","",INDEX(_xlfn._xlws.FILTER('Model output'!E:E,('Model output'!Z:Z=A18)),1))),LEN(IF(ISNUMBER(SEARCH("present",IF(INDEX(_xlfn._xlws.FILTER('Model output'!E:E,('Model output'!Z:Z=A18)),1)="","",INDEX(_xlfn._xlws.FILTER('Model output'!E:E,('Model output'!Z:Z=A18)),1)),1)),"N1", IF(INDEX(_xlfn._xlws.FILTER('Model output'!E:E,('Model output'!Z:Z=A18)),1)="","",INDEX(_xlfn._xlws.FILTER('Model output'!E:E,('Model output'!Z:Z=A18)),1))))-FIND("N",IF(ISNUMBER(SEARCH("present",IF(INDEX(_xlfn._xlws.FILTER('Model output'!E:E,('Model output'!Z:Z=A18)),1)="","",INDEX(_xlfn._xlws.FILTER('Model output'!E:E,('Model output'!Z:Z=A18)),1)),1)),"N1", IF(INDEX(_xlfn._xlws.FILTER('Model output'!E:E,('Model output'!Z:Z=A18)),1)="","",INDEX(_xlfn._xlws.FILTER('Model output'!E:E,('Model output'!Z:Z=A18)),1))),1)), "")</f>
        <v/>
      </c>
      <c r="F18" s="17" cm="1">
        <f t="array" ref="F18">IF(AND(SUBSTITUTE(_xlfn.TEXTJOIN("/", TRUE, _xlfn._xlws.FILTER('Model output'!F:F, 'Model output'!Z:Z=A18)),"M", "")="", I18="negative"),0,IF(I18="positive",1,0))</f>
        <v>0</v>
      </c>
      <c r="G18" t="str">
        <f t="shared" si="0"/>
        <v>positive</v>
      </c>
      <c r="H18" t="str" cm="1">
        <f t="array" ref="H18">IF(AND(K18&gt;0, _xlfn.TEXTJOIN("; ", TRUE, _xlfn._xlws.FILTER('Model output'!G:G, 'Model output'!Z:Z=A18)) &lt;&gt;"", OR(AND(ISNUMBER(SEARCH("level", _xlfn.TEXTJOIN("; ", TRUE, _xlfn._xlws.FILTER('Model output'!G:G, 'Model output'!Z:Z=A18)),1)),OR(ISNUMBER(SEARCH(" II", _xlfn.TEXTJOIN("; ", TRUE, _xlfn._xlws.FILTER('Model output'!G:G, 'Model output'!Z:Z=A18)),1)),ISNUMBER(SEARCH("2", _xlfn.TEXTJOIN("; ", TRUE, _xlfn._xlws.FILTER('Model output'!G:G, 'Model output'!Z:Z=A18)),1)),ISNUMBER(SEARCH("two", _xlfn.TEXTJOIN("; ", TRUE, _xlfn._xlws.FILTER('Model output'!G:G, 'Model output'!Z:Z=A18)),1)),ISNUMBER(SEARCH("III", _xlfn.TEXTJOIN("; ", TRUE, _xlfn._xlws.FILTER('Model output'!G:G, 'Model output'!Z:Z=A18)),1)),ISNUMBER(SEARCH("3", _xlfn.TEXTJOIN("; ", TRUE, _xlfn._xlws.FILTER('Model output'!G:G, 'Model output'!Z:Z=A18)),1)),ISNUMBER(SEARCH("three", _xlfn.TEXTJOIN("; ", TRUE, _xlfn._xlws.FILTER('Model output'!G:G, 'Model output'!Z:Z=A18)),1)),ISNUMBER(SEARCH("IV", _xlfn.TEXTJOIN("; ", TRUE, _xlfn._xlws.FILTER('Model output'!G:G, 'Model output'!Z:Z=A18)),1)),ISNUMBER(SEARCH("4", _xlfn.TEXTJOIN("; ", TRUE, _xlfn._xlws.FILTER('Model output'!G:G, 'Model output'!Z:Z=A18)),1)),ISNUMBER(SEARCH("five", _xlfn.TEXTJOIN("; ", TRUE, _xlfn._xlws.FILTER('Model output'!G:G, 'Model output'!Z:Z=A18)),1)),ISNUMBER(SEARCH("V ", _xlfn.TEXTJOIN("; ", TRUE, _xlfn._xlws.FILTER('Model output'!G:G, 'Model output'!Z:Z=A18)),1)),ISNUMBER(SEARCH("5", _xlfn.TEXTJOIN("; ", TRUE, _xlfn._xlws.FILTER('Model output'!G:G, 'Model output'!Z:Z=A18)),1)),ISNUMBER(SEARCH("five", _xlfn.TEXTJOIN("; ", TRUE, _xlfn._xlws.FILTER('Model output'!G:G, 'Model output'!Z:Z=A18)),1)),ISNUMBER(SEARCH(" lateral", _xlfn.TEXTJOIN("; ", TRUE, _xlfn._xlws.FILTER('Model output'!G:G, 'Model output'!Z:Z=A18)),1)))),ISNUMBER(SEARCH("cervical", _xlfn.TEXTJOIN("; ", TRUE, _xlfn._xlws.FILTER('Model output'!G:G, 'Model output'!Z:Z=A18)),1)),ISNUMBER(SEARCH("jugular", _xlfn.TEXTJOIN("; ", TRUE, _xlfn._xlws.FILTER('Model output'!G:G, 'Model output'!Z:Z=A18)),1)),ISNUMBER(SEARCH("left neck", _xlfn.TEXTJOIN("; ", TRUE, _xlfn._xlws.FILTER('Model output'!G:G, 'Model output'!Z:Z=A18)),1)),ISNUMBER(SEARCH("left anterior neck", _xlfn.TEXTJOIN("; ", TRUE, _xlfn._xlws.FILTER('Model output'!G:G, 'Model output'!Z:Z=A18)),1)),ISNUMBER(SEARCH("left posterior neck", _xlfn.TEXTJOIN("; ", TRUE, _xlfn._xlws.FILTER('Model output'!G:G, 'Model output'!Z:Z=A18)),1)),ISNUMBER(SEARCH("right neck", _xlfn.TEXTJOIN("; ", TRUE, _xlfn._xlws.FILTER('Model output'!G:G, 'Model output'!Z:Z=A18)),1)),ISNUMBER(SEARCH("right anterior neck", _xlfn.TEXTJOIN("; ", TRUE, _xlfn._xlws.FILTER('Model output'!G:G, 'Model output'!Z:Z=A18)),1)),ISNUMBER(SEARCH("right posterior neck", _xlfn.TEXTJOIN("; ", TRUE, _xlfn._xlws.FILTER('Model output'!G:G, 'Model output'!Z:Z=A18)),1)))),"lateral",IF(AND(K18=0, _xlfn.TEXTJOIN("; ", TRUE, _xlfn._xlws.FILTER('Model output'!G:G, 'Model output'!Z:Z=A18))=""),"", "central"))</f>
        <v>central</v>
      </c>
      <c r="I18" s="17" t="str" cm="1">
        <f t="array" ref="I18">IF(OR(ISNUMBER(SEARCH("lymph",_xlfn.TEXTJOIN("; ", TRUE, _xlfn._xlws.FILTER('Model output'!H:H, 'Model output'!Z:Z=A18)),1)), ISNUMBER(SEARCH("Not mentioned",_xlfn.TEXTJOIN("; ", TRUE, _xlfn._xlws.FILTER('Model output'!H:H, 'Model output'!Z:Z=A18)),1)),ISNUMBER(SEARCH("subcutaneous soft tissues",_xlfn.TEXTJOIN("; ", TRUE, _xlfn._xlws.FILTER('Model output'!H:H, 'Model output'!Z:Z=A18)),1)),ISNUMBER(SEARCH("larynx",_xlfn.TEXTJOIN("; ", TRUE, _xlfn._xlws.FILTER('Model output'!H:H, 'Model output'!Z:Z=A18)),1)),ISNUMBER(SEARCH("trachea",_xlfn.TEXTJOIN("; ", TRUE, _xlfn._xlws.FILTER('Model output'!H:H, 'Model output'!Z:Z=A18)),1)),ISNUMBER(SEARCH("esophagus",_xlfn.TEXTJOIN("; ", TRUE, _xlfn._xlws.FILTER('Model output'!H:H, 'Model output'!Z:Z=A18)),1)),ISNUMBER(SEARCH("recurrent laryngeal nerve",_xlfn.TEXTJOIN("; ", TRUE, _xlfn._xlws.FILTER('Model output'!H:H, 'Model output'!Z:Z=A18)),1)),ISNUMBER(SEARCH("RLN",_xlfn.TEXTJOIN("; ", TRUE, _xlfn._xlws.FILTER('Model output'!H:H, 'Model output'!Z:Z=A18)),1)),_xlfn.TEXTJOIN("; ", TRUE, _xlfn._xlws.FILTER('Model output'!H:H, 'Model output'!Z:Z=A18))=""),"negative","positive")</f>
        <v>negative</v>
      </c>
      <c r="J18" s="17">
        <f>IF(IFERROR(INDEX('Model output'!I:I, MATCH(A18, 'Model output'!Z:Z, 0)), "") &lt; K18, "", IFERROR(INDEX('Model output'!I:I, MATCH(A18, 'Model output'!Z:Z, 0)), ""))</f>
        <v>11</v>
      </c>
      <c r="K18" s="17">
        <f>IFERROR(INDEX('Model output'!J:J, MATCH(A18, 'Model output'!Z:Z, 0)), "")</f>
        <v>1</v>
      </c>
      <c r="L18" s="18" t="str" cm="1">
        <f t="array" ref="L18">ReplaceTo(ReplaceAnd(SUBSTITUTE(SUBSTITUTE(_xlfn.TEXTJOIN("; ", TRUE, _xlfn._xlws.FILTER('Model output'!K:K, 'Model output'!Z:Z=A18)), " ", ""), ",", ";")))</f>
        <v/>
      </c>
      <c r="M18" t="str" cm="1">
        <f t="array" ref="M18">IF(LEFT(IF(RIGHT(SUBSTITUTE(FilterWithUnits(L18)&amp;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";")),1)=";",RIGHT(IF(RIGHT(SUBSTITUTE(FilterWithUnits(L18)&amp;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";")),LEN(IF(RIGHT(SUBSTITUTE(FilterWithUnits(L18)&amp;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";")))-1),IF(RIGHT(SUBSTITUTE(FilterWithUnits(L18)&amp;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f>
        <v/>
      </c>
      <c r="N18" t="str" cm="1">
        <f t="array" ref="N18">IF(MaxSize((SplitDimensions(M18)))=0, "", MaxSize((SplitDimensions(M18))))</f>
        <v/>
      </c>
      <c r="O18" t="str" cm="1">
        <f t="array" ref="O18">IF(ISERROR(INDEX(_xlfn._xlws.FILTER('Model output'!L:L, ('Model output'!Z:Z=A18)*('Model output'!L:L&lt;&gt;"")), 1)), " ", LOWER(INDEX(_xlfn._xlws.FILTER('Model output'!L:L, ('Model output'!Z:Z=A18)*('Model output'!L:L&lt;&gt;"")), 1)))</f>
        <v>papillary carcinoma, classic subtype</v>
      </c>
      <c r="P18" t="str" cm="1">
        <f t="array" ref="P18">IF(ISERROR(INDEX(_xlfn._xlws.FILTER('Model output'!M:M, ('Model output'!Z:Z=A18)*('Model output'!M:M&lt;&gt;"")), 1)), " ", LOWER(INDEX(_xlfn._xlws.FILTER('Model output'!M:M, ('Model output'!Z:Z=A18)*('Model output'!M:M&lt;&gt;"")), 1)))</f>
        <v xml:space="preserve"> </v>
      </c>
      <c r="Q18" t="str" cm="1">
        <f t="array" ref="Q18">IF(OR(ISNUMBER(SEARCH("ly",SUBSTITUTE(INDEX(_xlfn._xlws.FILTER('Model output'!N:N,('Model output'!Z:Z=A18)*('Model output'!N:N&lt;&gt;"")),1)," ",""),1)), ISNUMBER(SEARCH("pole",SUBSTITUTE(INDEX(_xlfn._xlws.FILTER('Model output'!N:N,('Model output'!Z:Z=A18)*('Model output'!N:N&lt;&gt;"")),1)," ",""),1))),"",SUBSTITUTE(INDEX(_xlfn._xlws.FILTER('Model output'!N:N,('Model output'!Z:Z=A18)*('Model output'!N:N&lt;&gt;"")),1)," ",""))</f>
        <v>36x32x26mm</v>
      </c>
      <c r="R18" t="str" cm="1">
        <f t="array" ref="R18">IF(LEFT(IF(RIGHT(SUBSTITUTE(FilterWithUnits(Q18)&amp;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";")),1)=";",RIGHT(IF(RIGHT(SUBSTITUTE(FilterWithUnits(Q18)&amp;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";")),LEN(IF(RIGHT(SUBSTITUTE(FilterWithUnits(Q18)&amp;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";")))-1),IF(RIGHT(SUBSTITUTE(FilterWithUnits(Q18)&amp;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f>
        <v>36x32x26mm</v>
      </c>
      <c r="S18" cm="1">
        <f t="array" ref="S18">IF(MaxSize((SplitDimensions(R18)))=0, "", MaxSize((SplitDimensions(R18))))</f>
        <v>3.6</v>
      </c>
      <c r="T18" s="17" t="str" cm="1">
        <f t="array" ref="T18">IF(ISERROR(INDEX(_xlfn._xlws.FILTER('Model output'!P:P,('Model output'!Z:Z=A18)*('Model output'!P:P&lt;&gt;"")),1)),"negative",IF(OR(ISNUMBER(SEARCH("foc",INDEX(_xlfn._xlws.FILTER('Model output'!P:P,('Model output'!Z:Z=A18)*('Model output'!P:P&lt;&gt;"")),1),1)),ISNUMBER(SEARCH("extensive",INDEX(_xlfn._xlws.FILTER('Model output'!P:P,('Model output'!Z:Z=A18)*('Model output'!P:P&lt;&gt;"")),1),1)),ISNUMBER(SEARCH("present",INDEX(_xlfn._xlws.FILTER('Model output'!P:P,('Model output'!Z:Z=A18)*('Model output'!P:P&lt;&gt;"")),1),1)),ISNUMBER(SEARCH("yes",INDEX(_xlfn._xlws.FILTER('Model output'!P:P,('Model output'!Z:Z=A18)*('Model output'!P:P&lt;&gt;"")),1),1))),"positive","negative"))</f>
        <v>positive</v>
      </c>
      <c r="V18" t="str" cm="1">
        <f t="array" ref="V18">IF(ISNUMBER(SEARCH("4",INDEX(_xlfn._xlws.FILTER('Model output'!P:P,('Model output'!Z:Z=A18)*('Model output'!P:P&lt;&gt;"")),1),1)),INDEX(_xlfn._xlws.FILTER('Model output'!P:P,('Model output'!Z:Z=A18)*('Model output'!P:P&lt;&gt;"")),1),"") &amp; _xlfn.TEXTJOIN("",TRUE,_xlfn._xlws.FILTER('Model output'!Q:Q,'Model output'!Z:Z=A18))</f>
        <v>Not mentioned</v>
      </c>
      <c r="W18" t="str">
        <f t="shared" si="11"/>
        <v>minimal</v>
      </c>
      <c r="X18" t="str" cm="1">
        <f t="array" ref="X18">IF(OR(ISNUMBER(SEARCH("focal",_xlfn.TEXTJOIN("; ",TRUE,_xlfn._xlws.FILTER('Model output'!R:R,'Model output'!Z:Z=A18)),1)),ISNUMBER(SEARCH("present",_xlfn.TEXTJOIN("; ",TRUE,_xlfn._xlws.FILTER('Model output'!R:R,'Model output'!Z:Z=A18)),1))),"positive",IF(_xlfn.TEXTJOIN("; ",TRUE,_xlfn._xlws.FILTER('Model output'!R:R,'Model output'!Z:Z=A18))="","negative",IF(OR(ISNUMBER(SEARCH("no",_xlfn.TEXTJOIN("; ",TRUE,_xlfn._xlws.FILTER('Model output'!R:R,'Model output'!Z:Z=A18)),1)),ISNUMBER(SEARCH("absent",_xlfn.TEXTJOIN("; ",TRUE,_xlfn._xlws.FILTER('Model output'!R:R,'Model output'!Z:Z=A18)),1))),"negative","positive")))</f>
        <v>positive</v>
      </c>
      <c r="Y18" s="17" t="str">
        <f t="shared" si="12"/>
        <v>positive</v>
      </c>
      <c r="AC18" s="17" t="str">
        <f t="shared" si="13"/>
        <v>negative</v>
      </c>
      <c r="AD18" t="str" cm="1">
        <f t="array" ref="AD18">_xlfn.TEXTJOIN("; ",TRUE,_xlfn._xlws.FILTER('Model output'!S:S,'Model output'!Z:Z=A18))</f>
        <v>Not identified; Present</v>
      </c>
      <c r="AE18" s="47" t="str" cm="1">
        <f t="array" ref="AE18">IF(OR(ISNUMBER(SEARCH("uninvolved",_xlfn.TEXTJOIN("; ",TRUE,_xlfn._xlws.FILTER('Model output'!V:V,'Model output'!Z:Z=A18)),1)),ISNUMBER(SEARCH("clear",_xlfn.TEXTJOIN("; ",TRUE,_xlfn._xlws.FILTER('Model output'!V:V,'Model output'!Z:Z=A18)),1))*ISNUMBER(SEARCH("not mentioned",_xlfn.TEXTJOIN("; ",TRUE,_xlfn._xlws.FILTER('Model output'!V:V,'Model output'!Z:Z=A18)),1))),"negative",IF(ISNUMBER(SEARCH("cannot be assessed",_xlfn.TEXTJOIN("; ",TRUE,_xlfn._xlws.FILTER('Model output'!V:V,'Model output'!Z:Z=A18)),1)),"negative","negative"))</f>
        <v>negative</v>
      </c>
      <c r="AG18" s="36" t="str">
        <f t="shared" si="14"/>
        <v>intermediate</v>
      </c>
      <c r="AH18" s="37" t="str">
        <f t="shared" si="2"/>
        <v>2</v>
      </c>
      <c r="AI18" s="37" t="str">
        <f t="shared" ref="AI18:AI37" si="15">IF(OR(ISNUMBER(SEARCH("non-invasive follicular",O18,1)),ISNUMBER(SEARCH("non-invasive follicular",P18,1))),"NIFTP",IF(AND(K18&gt;0,G18="positive",H18="central"),"1a",IF(AND(K18&gt;0,G18="positive",H18="lateral"),"1b",IF(AND(K18=0,J18=0),"x",0))))</f>
        <v>1a</v>
      </c>
      <c r="AJ18" s="37">
        <f t="shared" ref="AJ18:AJ37" si="16">IF(OR(ISNUMBER(SEARCH("non-invasive follicular",O18,1)),ISNUMBER(SEARCH("non-invasive follicular",P18,1))),"NIFTP",IF(I18="unknown","x",IF(I18="negative",0,1)))</f>
        <v>0</v>
      </c>
      <c r="AK18" s="37" t="str">
        <f t="shared" ref="AK18:AK37" si="17">IF(OR(ISNUMBER(SEARCH("non-invasive follicular",O18,1)),ISNUMBER(SEARCH("non-invasive follicular",P18,1))),"NIFTP",IF(AND(C18&lt;55,AJ18=0),"I",IF(AND(C18&lt;55,AJ18=1),"II",IF(AJ18=1,"IVB",IF(AND(AH18="4b",AJ18=0),"IVA",IF(AND(AH18="4a",AJ18=0),"III",IF(AND(OR(AH18="3a",AH18="3b"),AJ18=0),"II",IF(AND(AH18="2",OR(AI18="1",AI18="1a",AI18="1b"),AJ18=0),"II",IF(AND(OR(AH18="1a",AH18="1b",AH18="1",AH18="1 "),OR(AI18="1",AI18="1a",AI18="1b"),AJ18=0),"II","I")))))))))</f>
        <v>I</v>
      </c>
      <c r="AL18" s="10" t="s">
        <v>166</v>
      </c>
      <c r="AM18" s="32" t="s">
        <v>361</v>
      </c>
      <c r="AN18" s="32">
        <v>0</v>
      </c>
      <c r="AO18" s="32">
        <v>0</v>
      </c>
      <c r="AP18" s="32" t="s">
        <v>31</v>
      </c>
      <c r="AQ18" s="10">
        <f t="shared" si="6"/>
        <v>1</v>
      </c>
      <c r="AR18" s="32">
        <f t="shared" si="7"/>
        <v>1</v>
      </c>
      <c r="AS18" s="32">
        <f t="shared" si="8"/>
        <v>0</v>
      </c>
      <c r="AT18" s="32">
        <f t="shared" si="9"/>
        <v>1</v>
      </c>
      <c r="AU18" s="34">
        <f t="shared" si="10"/>
        <v>1</v>
      </c>
    </row>
    <row r="19" spans="1:47">
      <c r="A19" s="13">
        <v>17</v>
      </c>
      <c r="B19" s="16"/>
      <c r="C19" s="17">
        <f>_xlfn.MAXIFS('Model output'!C:C,'Model output'!Z:Z,'Classification result'!$A19)</f>
        <v>49</v>
      </c>
      <c r="D19" s="17" t="str" cm="1">
        <f t="array" ref="D19">LEFT(IF(ISERROR(RIGHT(IF(INDEX(_xlfn._xlws.FILTER('Model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output'!Z:Z=A19)),1),""),1))),"",(RIGHT(IF(INDEX(_xlfn._xlws.FILTER('Model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output'!Z:Z=A19)),1)))))),2)</f>
        <v>1b</v>
      </c>
      <c r="E19" s="17" t="str" cm="1">
        <f t="array" ref="E19">IF(ISNUMBER(SEARCH("N",IF(ISNUMBER(SEARCH("present",IF(INDEX(_xlfn._xlws.FILTER('Model output'!E:E,('Model output'!Z:Z=A19)),1)="","",INDEX(_xlfn._xlws.FILTER('Model output'!E:E,('Model output'!Z:Z=A19)),1)),1)),"N1", IF(INDEX(_xlfn._xlws.FILTER('Model output'!E:E,('Model output'!Z:Z=A19)),1)="","",INDEX(_xlfn._xlws.FILTER('Model output'!E:E,('Model output'!Z:Z=A19)),1))),1)),RIGHT(IF(ISNUMBER(SEARCH("present",IF(INDEX(_xlfn._xlws.FILTER('Model output'!E:E,('Model output'!Z:Z=A19)),1)="","",INDEX(_xlfn._xlws.FILTER('Model output'!E:E,('Model output'!Z:Z=A19)),1)),1)),"N1", IF(INDEX(_xlfn._xlws.FILTER('Model output'!E:E,('Model output'!Z:Z=A19)),1)="","",INDEX(_xlfn._xlws.FILTER('Model output'!E:E,('Model output'!Z:Z=A19)),1))),LEN(IF(ISNUMBER(SEARCH("present",IF(INDEX(_xlfn._xlws.FILTER('Model output'!E:E,('Model output'!Z:Z=A19)),1)="","",INDEX(_xlfn._xlws.FILTER('Model output'!E:E,('Model output'!Z:Z=A19)),1)),1)),"N1", IF(INDEX(_xlfn._xlws.FILTER('Model output'!E:E,('Model output'!Z:Z=A19)),1)="","",INDEX(_xlfn._xlws.FILTER('Model output'!E:E,('Model output'!Z:Z=A19)),1))))-FIND("N",IF(ISNUMBER(SEARCH("present",IF(INDEX(_xlfn._xlws.FILTER('Model output'!E:E,('Model output'!Z:Z=A19)),1)="","",INDEX(_xlfn._xlws.FILTER('Model output'!E:E,('Model output'!Z:Z=A19)),1)),1)),"N1", IF(INDEX(_xlfn._xlws.FILTER('Model output'!E:E,('Model output'!Z:Z=A19)),1)="","",INDEX(_xlfn._xlws.FILTER('Model output'!E:E,('Model output'!Z:Z=A19)),1))),1)), "")</f>
        <v>1b</v>
      </c>
      <c r="F19" s="17" cm="1">
        <f t="array" ref="F19">IF(AND(SUBSTITUTE(_xlfn.TEXTJOIN("/", TRUE, _xlfn._xlws.FILTER('Model output'!F:F, 'Model output'!Z:Z=A19)),"M", "")="", I19="negative"),0,IF(I19="positive",1,0))</f>
        <v>0</v>
      </c>
      <c r="G19" t="str">
        <f t="shared" si="0"/>
        <v>positive</v>
      </c>
      <c r="H19" t="str" cm="1">
        <f t="array" ref="H19">IF(AND(K19&gt;0, _xlfn.TEXTJOIN("; ", TRUE, _xlfn._xlws.FILTER('Model output'!G:G, 'Model output'!Z:Z=A19)) &lt;&gt;"", OR(AND(ISNUMBER(SEARCH("level", _xlfn.TEXTJOIN("; ", TRUE, _xlfn._xlws.FILTER('Model output'!G:G, 'Model output'!Z:Z=A19)),1)),OR(ISNUMBER(SEARCH(" II", _xlfn.TEXTJOIN("; ", TRUE, _xlfn._xlws.FILTER('Model output'!G:G, 'Model output'!Z:Z=A19)),1)),ISNUMBER(SEARCH("2", _xlfn.TEXTJOIN("; ", TRUE, _xlfn._xlws.FILTER('Model output'!G:G, 'Model output'!Z:Z=A19)),1)),ISNUMBER(SEARCH("two", _xlfn.TEXTJOIN("; ", TRUE, _xlfn._xlws.FILTER('Model output'!G:G, 'Model output'!Z:Z=A19)),1)),ISNUMBER(SEARCH("III", _xlfn.TEXTJOIN("; ", TRUE, _xlfn._xlws.FILTER('Model output'!G:G, 'Model output'!Z:Z=A19)),1)),ISNUMBER(SEARCH("3", _xlfn.TEXTJOIN("; ", TRUE, _xlfn._xlws.FILTER('Model output'!G:G, 'Model output'!Z:Z=A19)),1)),ISNUMBER(SEARCH("three", _xlfn.TEXTJOIN("; ", TRUE, _xlfn._xlws.FILTER('Model output'!G:G, 'Model output'!Z:Z=A19)),1)),ISNUMBER(SEARCH("IV", _xlfn.TEXTJOIN("; ", TRUE, _xlfn._xlws.FILTER('Model output'!G:G, 'Model output'!Z:Z=A19)),1)),ISNUMBER(SEARCH("4", _xlfn.TEXTJOIN("; ", TRUE, _xlfn._xlws.FILTER('Model output'!G:G, 'Model output'!Z:Z=A19)),1)),ISNUMBER(SEARCH("five", _xlfn.TEXTJOIN("; ", TRUE, _xlfn._xlws.FILTER('Model output'!G:G, 'Model output'!Z:Z=A19)),1)),ISNUMBER(SEARCH("V ", _xlfn.TEXTJOIN("; ", TRUE, _xlfn._xlws.FILTER('Model output'!G:G, 'Model output'!Z:Z=A19)),1)),ISNUMBER(SEARCH("5", _xlfn.TEXTJOIN("; ", TRUE, _xlfn._xlws.FILTER('Model output'!G:G, 'Model output'!Z:Z=A19)),1)),ISNUMBER(SEARCH("five", _xlfn.TEXTJOIN("; ", TRUE, _xlfn._xlws.FILTER('Model output'!G:G, 'Model output'!Z:Z=A19)),1)),ISNUMBER(SEARCH(" lateral", _xlfn.TEXTJOIN("; ", TRUE, _xlfn._xlws.FILTER('Model output'!G:G, 'Model output'!Z:Z=A19)),1)))),ISNUMBER(SEARCH("cervical", _xlfn.TEXTJOIN("; ", TRUE, _xlfn._xlws.FILTER('Model output'!G:G, 'Model output'!Z:Z=A19)),1)),ISNUMBER(SEARCH("jugular", _xlfn.TEXTJOIN("; ", TRUE, _xlfn._xlws.FILTER('Model output'!G:G, 'Model output'!Z:Z=A19)),1)),ISNUMBER(SEARCH("left neck", _xlfn.TEXTJOIN("; ", TRUE, _xlfn._xlws.FILTER('Model output'!G:G, 'Model output'!Z:Z=A19)),1)),ISNUMBER(SEARCH("left anterior neck", _xlfn.TEXTJOIN("; ", TRUE, _xlfn._xlws.FILTER('Model output'!G:G, 'Model output'!Z:Z=A19)),1)),ISNUMBER(SEARCH("left posterior neck", _xlfn.TEXTJOIN("; ", TRUE, _xlfn._xlws.FILTER('Model output'!G:G, 'Model output'!Z:Z=A19)),1)),ISNUMBER(SEARCH("right neck", _xlfn.TEXTJOIN("; ", TRUE, _xlfn._xlws.FILTER('Model output'!G:G, 'Model output'!Z:Z=A19)),1)),ISNUMBER(SEARCH("right anterior neck", _xlfn.TEXTJOIN("; ", TRUE, _xlfn._xlws.FILTER('Model output'!G:G, 'Model output'!Z:Z=A19)),1)),ISNUMBER(SEARCH("right posterior neck", _xlfn.TEXTJOIN("; ", TRUE, _xlfn._xlws.FILTER('Model output'!G:G, 'Model output'!Z:Z=A19)),1)))),"lateral",IF(AND(K19=0, _xlfn.TEXTJOIN("; ", TRUE, _xlfn._xlws.FILTER('Model output'!G:G, 'Model output'!Z:Z=A19))=""),"", "central"))</f>
        <v>central</v>
      </c>
      <c r="I19" s="17" t="str" cm="1">
        <f t="array" ref="I19">IF(OR(ISNUMBER(SEARCH("lymph",_xlfn.TEXTJOIN("; ", TRUE, _xlfn._xlws.FILTER('Model output'!H:H, 'Model output'!Z:Z=A19)),1)), ISNUMBER(SEARCH("Not mentioned",_xlfn.TEXTJOIN("; ", TRUE, _xlfn._xlws.FILTER('Model output'!H:H, 'Model output'!Z:Z=A19)),1)),ISNUMBER(SEARCH("subcutaneous soft tissues",_xlfn.TEXTJOIN("; ", TRUE, _xlfn._xlws.FILTER('Model output'!H:H, 'Model output'!Z:Z=A19)),1)),ISNUMBER(SEARCH("larynx",_xlfn.TEXTJOIN("; ", TRUE, _xlfn._xlws.FILTER('Model output'!H:H, 'Model output'!Z:Z=A19)),1)),ISNUMBER(SEARCH("trachea",_xlfn.TEXTJOIN("; ", TRUE, _xlfn._xlws.FILTER('Model output'!H:H, 'Model output'!Z:Z=A19)),1)),ISNUMBER(SEARCH("esophagus",_xlfn.TEXTJOIN("; ", TRUE, _xlfn._xlws.FILTER('Model output'!H:H, 'Model output'!Z:Z=A19)),1)),ISNUMBER(SEARCH("recurrent laryngeal nerve",_xlfn.TEXTJOIN("; ", TRUE, _xlfn._xlws.FILTER('Model output'!H:H, 'Model output'!Z:Z=A19)),1)),ISNUMBER(SEARCH("RLN",_xlfn.TEXTJOIN("; ", TRUE, _xlfn._xlws.FILTER('Model output'!H:H, 'Model output'!Z:Z=A19)),1)),_xlfn.TEXTJOIN("; ", TRUE, _xlfn._xlws.FILTER('Model output'!H:H, 'Model output'!Z:Z=A19))=""),"negative","positive")</f>
        <v>negative</v>
      </c>
      <c r="J19" s="17">
        <f>IF(IFERROR(INDEX('Model output'!I:I, MATCH(A19, 'Model output'!Z:Z, 0)), "") &lt; K19, "", IFERROR(INDEX('Model output'!I:I, MATCH(A19, 'Model output'!Z:Z, 0)), ""))</f>
        <v>21</v>
      </c>
      <c r="K19" s="17">
        <f>IFERROR(INDEX('Model output'!J:J, MATCH(A19, 'Model output'!Z:Z, 0)), "")</f>
        <v>5</v>
      </c>
      <c r="L19" s="18" t="str" cm="1">
        <f t="array" ref="L19">ReplaceTo(ReplaceAnd(SUBSTITUTE(SUBSTITUTE(_xlfn.TEXTJOIN("; ", TRUE, _xlfn._xlws.FILTER('Model output'!K:K, 'Model output'!Z:Z=A19)), " ", ""), ",", ";")))</f>
        <v>8</v>
      </c>
      <c r="M19" t="str" cm="1">
        <f t="array" ref="M19">IF(LEFT(IF(RIGHT(SUBSTITUTE(FilterWithUnits(L19)&amp;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";")),1)=";",RIGHT(IF(RIGHT(SUBSTITUTE(FilterWithUnits(L19)&amp;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";")),LEN(IF(RIGHT(SUBSTITUTE(FilterWithUnits(L19)&amp;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";")))-1),IF(RIGHT(SUBSTITUTE(FilterWithUnits(L19)&amp;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f>
        <v/>
      </c>
      <c r="N19" t="str" cm="1">
        <f t="array" ref="N19">IF(MaxSize((SplitDimensions(M19)))=0, "", MaxSize((SplitDimensions(M19))))</f>
        <v/>
      </c>
      <c r="O19" t="str" cm="1">
        <f t="array" ref="O19">IF(ISERROR(INDEX(_xlfn._xlws.FILTER('Model output'!L:L, ('Model output'!Z:Z=A19)*('Model output'!L:L&lt;&gt;"")), 1)), " ", LOWER(INDEX(_xlfn._xlws.FILTER('Model output'!L:L, ('Model output'!Z:Z=A19)*('Model output'!L:L&lt;&gt;"")), 1)))</f>
        <v>papillary carcinoma, classic subtype</v>
      </c>
      <c r="P19" t="str" cm="1">
        <f t="array" ref="P19">IF(ISERROR(INDEX(_xlfn._xlws.FILTER('Model output'!M:M, ('Model output'!Z:Z=A19)*('Model output'!M:M&lt;&gt;"")), 1)), " ", LOWER(INDEX(_xlfn._xlws.FILTER('Model output'!M:M, ('Model output'!Z:Z=A19)*('Model output'!M:M&lt;&gt;"")), 1)))</f>
        <v xml:space="preserve"> </v>
      </c>
      <c r="Q19" t="str" cm="1">
        <f t="array" ref="Q19">IF(OR(ISNUMBER(SEARCH("ly",SUBSTITUTE(INDEX(_xlfn._xlws.FILTER('Model output'!N:N,('Model output'!Z:Z=A19)*('Model output'!N:N&lt;&gt;"")),1)," ",""),1)), ISNUMBER(SEARCH("pole",SUBSTITUTE(INDEX(_xlfn._xlws.FILTER('Model output'!N:N,('Model output'!Z:Z=A19)*('Model output'!N:N&lt;&gt;"")),1)," ",""),1))),"",SUBSTITUTE(INDEX(_xlfn._xlws.FILTER('Model output'!N:N,('Model output'!Z:Z=A19)*('Model output'!N:N&lt;&gt;"")),1)," ",""))</f>
        <v>11mm</v>
      </c>
      <c r="R19" t="str" cm="1">
        <f t="array" ref="R19">IF(LEFT(IF(RIGHT(SUBSTITUTE(FilterWithUnits(Q19)&amp;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";")),1)=";",RIGHT(IF(RIGHT(SUBSTITUTE(FilterWithUnits(Q19)&amp;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";")),LEN(IF(RIGHT(SUBSTITUTE(FilterWithUnits(Q19)&amp;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";")))-1),IF(RIGHT(SUBSTITUTE(FilterWithUnits(Q19)&amp;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f>
        <v>11mm</v>
      </c>
      <c r="S19" cm="1">
        <f t="array" ref="S19">IF(MaxSize((SplitDimensions(R19)))=0, "", MaxSize((SplitDimensions(R19))))</f>
        <v>1.1000000000000001</v>
      </c>
      <c r="T19" s="17" t="str" cm="1">
        <f t="array" ref="T19">IF(ISERROR(INDEX(_xlfn._xlws.FILTER('Model output'!P:P,('Model output'!Z:Z=A19)*('Model output'!P:P&lt;&gt;"")),1)),"negative",IF(OR(ISNUMBER(SEARCH("foc",INDEX(_xlfn._xlws.FILTER('Model output'!P:P,('Model output'!Z:Z=A19)*('Model output'!P:P&lt;&gt;"")),1),1)),ISNUMBER(SEARCH("extensive",INDEX(_xlfn._xlws.FILTER('Model output'!P:P,('Model output'!Z:Z=A19)*('Model output'!P:P&lt;&gt;"")),1),1)),ISNUMBER(SEARCH("present",INDEX(_xlfn._xlws.FILTER('Model output'!P:P,('Model output'!Z:Z=A19)*('Model output'!P:P&lt;&gt;"")),1),1)),ISNUMBER(SEARCH("yes",INDEX(_xlfn._xlws.FILTER('Model output'!P:P,('Model output'!Z:Z=A19)*('Model output'!P:P&lt;&gt;"")),1),1))),"positive","negative"))</f>
        <v>negative</v>
      </c>
      <c r="V19" t="str" cm="1">
        <f t="array" ref="V19">IF(ISNUMBER(SEARCH("4",INDEX(_xlfn._xlws.FILTER('Model output'!P:P,('Model output'!Z:Z=A19)*('Model output'!P:P&lt;&gt;"")),1),1)),INDEX(_xlfn._xlws.FILTER('Model output'!P:P,('Model output'!Z:Z=A19)*('Model output'!P:P&lt;&gt;"")),1),"") &amp; _xlfn.TEXTJOIN("",TRUE,_xlfn._xlws.FILTER('Model output'!Q:Q,'Model output'!Z:Z=A19))</f>
        <v/>
      </c>
      <c r="W19" t="str">
        <f t="shared" si="11"/>
        <v>no</v>
      </c>
      <c r="X19" t="str" cm="1">
        <f t="array" ref="X19">IF(OR(ISNUMBER(SEARCH("focal",_xlfn.TEXTJOIN("; ",TRUE,_xlfn._xlws.FILTER('Model output'!R:R,'Model output'!Z:Z=A19)),1)),ISNUMBER(SEARCH("present",_xlfn.TEXTJOIN("; ",TRUE,_xlfn._xlws.FILTER('Model output'!R:R,'Model output'!Z:Z=A19)),1))),"positive",IF(_xlfn.TEXTJOIN("; ",TRUE,_xlfn._xlws.FILTER('Model output'!R:R,'Model output'!Z:Z=A19))="","negative",IF(OR(ISNUMBER(SEARCH("no",_xlfn.TEXTJOIN("; ",TRUE,_xlfn._xlws.FILTER('Model output'!R:R,'Model output'!Z:Z=A19)),1)),ISNUMBER(SEARCH("absent",_xlfn.TEXTJOIN("; ",TRUE,_xlfn._xlws.FILTER('Model output'!R:R,'Model output'!Z:Z=A19)),1))),"negative","positive")))</f>
        <v>negative</v>
      </c>
      <c r="Y19" s="17" t="str">
        <f t="shared" si="12"/>
        <v>negative</v>
      </c>
      <c r="AC19" s="17" t="str">
        <f t="shared" si="13"/>
        <v>negative</v>
      </c>
      <c r="AD19" t="str" cm="1">
        <f t="array" ref="AD19">_xlfn.TEXTJOIN("; ",TRUE,_xlfn._xlws.FILTER('Model output'!S:S,'Model output'!Z:Z=A19))</f>
        <v>Not identified; Not mentioned</v>
      </c>
      <c r="AE19" s="47" t="str" cm="1">
        <f t="array" ref="AE19">IF(OR(ISNUMBER(SEARCH("uninvolved",_xlfn.TEXTJOIN("; ",TRUE,_xlfn._xlws.FILTER('Model output'!V:V,'Model output'!Z:Z=A19)),1)),ISNUMBER(SEARCH("clear",_xlfn.TEXTJOIN("; ",TRUE,_xlfn._xlws.FILTER('Model output'!V:V,'Model output'!Z:Z=A19)),1))*ISNUMBER(SEARCH("not mentioned",_xlfn.TEXTJOIN("; ",TRUE,_xlfn._xlws.FILTER('Model output'!V:V,'Model output'!Z:Z=A19)),1))),"negative",IF(ISNUMBER(SEARCH("cannot be assessed",_xlfn.TEXTJOIN("; ",TRUE,_xlfn._xlws.FILTER('Model output'!V:V,'Model output'!Z:Z=A19)),1)),"negative","negative"))</f>
        <v>negative</v>
      </c>
      <c r="AG19" s="36" t="str">
        <f t="shared" si="14"/>
        <v>intermediate</v>
      </c>
      <c r="AH19" s="37" t="str">
        <f t="shared" si="2"/>
        <v>1b</v>
      </c>
      <c r="AI19" s="37" t="str">
        <f t="shared" si="15"/>
        <v>1a</v>
      </c>
      <c r="AJ19" s="37">
        <f t="shared" si="16"/>
        <v>0</v>
      </c>
      <c r="AK19" s="37" t="str">
        <f t="shared" si="17"/>
        <v>I</v>
      </c>
      <c r="AL19" s="10" t="s">
        <v>166</v>
      </c>
      <c r="AM19" s="32" t="s">
        <v>194</v>
      </c>
      <c r="AN19" s="32" t="s">
        <v>194</v>
      </c>
      <c r="AO19" s="32">
        <v>0</v>
      </c>
      <c r="AP19" s="32" t="s">
        <v>31</v>
      </c>
      <c r="AQ19" s="10">
        <f t="shared" si="6"/>
        <v>1</v>
      </c>
      <c r="AR19" s="32">
        <f t="shared" si="7"/>
        <v>1</v>
      </c>
      <c r="AS19" s="32">
        <f t="shared" si="8"/>
        <v>0</v>
      </c>
      <c r="AT19" s="32">
        <f t="shared" si="9"/>
        <v>1</v>
      </c>
      <c r="AU19" s="34">
        <f t="shared" si="10"/>
        <v>1</v>
      </c>
    </row>
    <row r="20" spans="1:47">
      <c r="A20" s="13">
        <v>18</v>
      </c>
      <c r="B20" s="16"/>
      <c r="C20" s="17">
        <f>_xlfn.MAXIFS('Model output'!C:C,'Model output'!Z:Z,'Classification result'!$A20)</f>
        <v>55</v>
      </c>
      <c r="D20" s="17" t="str" cm="1">
        <f t="array" ref="D20">LEFT(IF(ISERROR(RIGHT(IF(INDEX(_xlfn._xlws.FILTER('Model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output'!Z:Z=A20)),1),""),1))),"",(RIGHT(IF(INDEX(_xlfn._xlws.FILTER('Model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output'!Z:Z=A20)),1)))))),2)</f>
        <v>4a</v>
      </c>
      <c r="E20" s="17" t="str" cm="1">
        <f t="array" ref="E20">IF(ISNUMBER(SEARCH("N",IF(ISNUMBER(SEARCH("present",IF(INDEX(_xlfn._xlws.FILTER('Model output'!E:E,('Model output'!Z:Z=A20)),1)="","",INDEX(_xlfn._xlws.FILTER('Model output'!E:E,('Model output'!Z:Z=A20)),1)),1)),"N1", IF(INDEX(_xlfn._xlws.FILTER('Model output'!E:E,('Model output'!Z:Z=A20)),1)="","",INDEX(_xlfn._xlws.FILTER('Model output'!E:E,('Model output'!Z:Z=A20)),1))),1)),RIGHT(IF(ISNUMBER(SEARCH("present",IF(INDEX(_xlfn._xlws.FILTER('Model output'!E:E,('Model output'!Z:Z=A20)),1)="","",INDEX(_xlfn._xlws.FILTER('Model output'!E:E,('Model output'!Z:Z=A20)),1)),1)),"N1", IF(INDEX(_xlfn._xlws.FILTER('Model output'!E:E,('Model output'!Z:Z=A20)),1)="","",INDEX(_xlfn._xlws.FILTER('Model output'!E:E,('Model output'!Z:Z=A20)),1))),LEN(IF(ISNUMBER(SEARCH("present",IF(INDEX(_xlfn._xlws.FILTER('Model output'!E:E,('Model output'!Z:Z=A20)),1)="","",INDEX(_xlfn._xlws.FILTER('Model output'!E:E,('Model output'!Z:Z=A20)),1)),1)),"N1", IF(INDEX(_xlfn._xlws.FILTER('Model output'!E:E,('Model output'!Z:Z=A20)),1)="","",INDEX(_xlfn._xlws.FILTER('Model output'!E:E,('Model output'!Z:Z=A20)),1))))-FIND("N",IF(ISNUMBER(SEARCH("present",IF(INDEX(_xlfn._xlws.FILTER('Model output'!E:E,('Model output'!Z:Z=A20)),1)="","",INDEX(_xlfn._xlws.FILTER('Model output'!E:E,('Model output'!Z:Z=A20)),1)),1)),"N1", IF(INDEX(_xlfn._xlws.FILTER('Model output'!E:E,('Model output'!Z:Z=A20)),1)="","",INDEX(_xlfn._xlws.FILTER('Model output'!E:E,('Model output'!Z:Z=A20)),1))),1)), "")</f>
        <v>1a</v>
      </c>
      <c r="F20" s="17" cm="1">
        <f t="array" ref="F20">IF(AND(SUBSTITUTE(_xlfn.TEXTJOIN("/", TRUE, _xlfn._xlws.FILTER('Model output'!F:F, 'Model output'!Z:Z=A20)),"M", "")="", I20="negative"),0,IF(I20="positive",1,0))</f>
        <v>0</v>
      </c>
      <c r="G20" t="str">
        <f t="shared" si="0"/>
        <v>positive</v>
      </c>
      <c r="H20" t="str" cm="1">
        <f t="array" ref="H20">IF(AND(K20&gt;0, _xlfn.TEXTJOIN("; ", TRUE, _xlfn._xlws.FILTER('Model output'!G:G, 'Model output'!Z:Z=A20)) &lt;&gt;"", OR(AND(ISNUMBER(SEARCH("level", _xlfn.TEXTJOIN("; ", TRUE, _xlfn._xlws.FILTER('Model output'!G:G, 'Model output'!Z:Z=A20)),1)),OR(ISNUMBER(SEARCH(" II", _xlfn.TEXTJOIN("; ", TRUE, _xlfn._xlws.FILTER('Model output'!G:G, 'Model output'!Z:Z=A20)),1)),ISNUMBER(SEARCH("2", _xlfn.TEXTJOIN("; ", TRUE, _xlfn._xlws.FILTER('Model output'!G:G, 'Model output'!Z:Z=A20)),1)),ISNUMBER(SEARCH("two", _xlfn.TEXTJOIN("; ", TRUE, _xlfn._xlws.FILTER('Model output'!G:G, 'Model output'!Z:Z=A20)),1)),ISNUMBER(SEARCH("III", _xlfn.TEXTJOIN("; ", TRUE, _xlfn._xlws.FILTER('Model output'!G:G, 'Model output'!Z:Z=A20)),1)),ISNUMBER(SEARCH("3", _xlfn.TEXTJOIN("; ", TRUE, _xlfn._xlws.FILTER('Model output'!G:G, 'Model output'!Z:Z=A20)),1)),ISNUMBER(SEARCH("three", _xlfn.TEXTJOIN("; ", TRUE, _xlfn._xlws.FILTER('Model output'!G:G, 'Model output'!Z:Z=A20)),1)),ISNUMBER(SEARCH("IV", _xlfn.TEXTJOIN("; ", TRUE, _xlfn._xlws.FILTER('Model output'!G:G, 'Model output'!Z:Z=A20)),1)),ISNUMBER(SEARCH("4", _xlfn.TEXTJOIN("; ", TRUE, _xlfn._xlws.FILTER('Model output'!G:G, 'Model output'!Z:Z=A20)),1)),ISNUMBER(SEARCH("five", _xlfn.TEXTJOIN("; ", TRUE, _xlfn._xlws.FILTER('Model output'!G:G, 'Model output'!Z:Z=A20)),1)),ISNUMBER(SEARCH("V ", _xlfn.TEXTJOIN("; ", TRUE, _xlfn._xlws.FILTER('Model output'!G:G, 'Model output'!Z:Z=A20)),1)),ISNUMBER(SEARCH("5", _xlfn.TEXTJOIN("; ", TRUE, _xlfn._xlws.FILTER('Model output'!G:G, 'Model output'!Z:Z=A20)),1)),ISNUMBER(SEARCH("five", _xlfn.TEXTJOIN("; ", TRUE, _xlfn._xlws.FILTER('Model output'!G:G, 'Model output'!Z:Z=A20)),1)),ISNUMBER(SEARCH(" lateral", _xlfn.TEXTJOIN("; ", TRUE, _xlfn._xlws.FILTER('Model output'!G:G, 'Model output'!Z:Z=A20)),1)))),ISNUMBER(SEARCH("cervical", _xlfn.TEXTJOIN("; ", TRUE, _xlfn._xlws.FILTER('Model output'!G:G, 'Model output'!Z:Z=A20)),1)),ISNUMBER(SEARCH("jugular", _xlfn.TEXTJOIN("; ", TRUE, _xlfn._xlws.FILTER('Model output'!G:G, 'Model output'!Z:Z=A20)),1)),ISNUMBER(SEARCH("left neck", _xlfn.TEXTJOIN("; ", TRUE, _xlfn._xlws.FILTER('Model output'!G:G, 'Model output'!Z:Z=A20)),1)),ISNUMBER(SEARCH("left anterior neck", _xlfn.TEXTJOIN("; ", TRUE, _xlfn._xlws.FILTER('Model output'!G:G, 'Model output'!Z:Z=A20)),1)),ISNUMBER(SEARCH("left posterior neck", _xlfn.TEXTJOIN("; ", TRUE, _xlfn._xlws.FILTER('Model output'!G:G, 'Model output'!Z:Z=A20)),1)),ISNUMBER(SEARCH("right neck", _xlfn.TEXTJOIN("; ", TRUE, _xlfn._xlws.FILTER('Model output'!G:G, 'Model output'!Z:Z=A20)),1)),ISNUMBER(SEARCH("right anterior neck", _xlfn.TEXTJOIN("; ", TRUE, _xlfn._xlws.FILTER('Model output'!G:G, 'Model output'!Z:Z=A20)),1)),ISNUMBER(SEARCH("right posterior neck", _xlfn.TEXTJOIN("; ", TRUE, _xlfn._xlws.FILTER('Model output'!G:G, 'Model output'!Z:Z=A20)),1)))),"lateral",IF(AND(K20=0, _xlfn.TEXTJOIN("; ", TRUE, _xlfn._xlws.FILTER('Model output'!G:G, 'Model output'!Z:Z=A20))=""),"", "central"))</f>
        <v>central</v>
      </c>
      <c r="I20" s="17" t="str" cm="1">
        <f t="array" ref="I20">IF(OR(ISNUMBER(SEARCH("lymph",_xlfn.TEXTJOIN("; ", TRUE, _xlfn._xlws.FILTER('Model output'!H:H, 'Model output'!Z:Z=A20)),1)), ISNUMBER(SEARCH("Not mentioned",_xlfn.TEXTJOIN("; ", TRUE, _xlfn._xlws.FILTER('Model output'!H:H, 'Model output'!Z:Z=A20)),1)),ISNUMBER(SEARCH("subcutaneous soft tissues",_xlfn.TEXTJOIN("; ", TRUE, _xlfn._xlws.FILTER('Model output'!H:H, 'Model output'!Z:Z=A20)),1)),ISNUMBER(SEARCH("larynx",_xlfn.TEXTJOIN("; ", TRUE, _xlfn._xlws.FILTER('Model output'!H:H, 'Model output'!Z:Z=A20)),1)),ISNUMBER(SEARCH("trachea",_xlfn.TEXTJOIN("; ", TRUE, _xlfn._xlws.FILTER('Model output'!H:H, 'Model output'!Z:Z=A20)),1)),ISNUMBER(SEARCH("esophagus",_xlfn.TEXTJOIN("; ", TRUE, _xlfn._xlws.FILTER('Model output'!H:H, 'Model output'!Z:Z=A20)),1)),ISNUMBER(SEARCH("recurrent laryngeal nerve",_xlfn.TEXTJOIN("; ", TRUE, _xlfn._xlws.FILTER('Model output'!H:H, 'Model output'!Z:Z=A20)),1)),ISNUMBER(SEARCH("RLN",_xlfn.TEXTJOIN("; ", TRUE, _xlfn._xlws.FILTER('Model output'!H:H, 'Model output'!Z:Z=A20)),1)),_xlfn.TEXTJOIN("; ", TRUE, _xlfn._xlws.FILTER('Model output'!H:H, 'Model output'!Z:Z=A20))=""),"negative","positive")</f>
        <v>negative</v>
      </c>
      <c r="J20" s="17">
        <f>IF(IFERROR(INDEX('Model output'!I:I, MATCH(A20, 'Model output'!Z:Z, 0)), "") &lt; K20, "", IFERROR(INDEX('Model output'!I:I, MATCH(A20, 'Model output'!Z:Z, 0)), ""))</f>
        <v>4</v>
      </c>
      <c r="K20" s="17">
        <f>IFERROR(INDEX('Model output'!J:J, MATCH(A20, 'Model output'!Z:Z, 0)), "")</f>
        <v>4</v>
      </c>
      <c r="L20" s="18" t="str" cm="1">
        <f t="array" ref="L20">ReplaceTo(ReplaceAnd(SUBSTITUTE(SUBSTITUTE(_xlfn.TEXTJOIN("; ", TRUE, _xlfn._xlws.FILTER('Model output'!K:K, 'Model output'!Z:Z=A20)), " ", ""), ",", ";")))</f>
        <v/>
      </c>
      <c r="M20" t="str" cm="1">
        <f t="array" ref="M20">IF(LEFT(IF(RIGHT(SUBSTITUTE(FilterWithUnits(L20)&amp;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";")),1)=";",RIGHT(IF(RIGHT(SUBSTITUTE(FilterWithUnits(L20)&amp;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";")),LEN(IF(RIGHT(SUBSTITUTE(FilterWithUnits(L20)&amp;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";")))-1),IF(RIGHT(SUBSTITUTE(FilterWithUnits(L20)&amp;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f>
        <v/>
      </c>
      <c r="N20" t="str" cm="1">
        <f t="array" ref="N20">IF(MaxSize((SplitDimensions(M20)))=0, "", MaxSize((SplitDimensions(M20))))</f>
        <v/>
      </c>
      <c r="O20" t="str" cm="1">
        <f t="array" ref="O20">IF(ISERROR(INDEX(_xlfn._xlws.FILTER('Model output'!L:L, ('Model output'!Z:Z=A20)*('Model output'!L:L&lt;&gt;"")), 1)), " ", LOWER(INDEX(_xlfn._xlws.FILTER('Model output'!L:L, ('Model output'!Z:Z=A20)*('Model output'!L:L&lt;&gt;"")), 1)))</f>
        <v>papillary</v>
      </c>
      <c r="P20" t="str" cm="1">
        <f t="array" ref="P20">IF(ISERROR(INDEX(_xlfn._xlws.FILTER('Model output'!M:M, ('Model output'!Z:Z=A20)*('Model output'!M:M&lt;&gt;"")), 1)), " ", LOWER(INDEX(_xlfn._xlws.FILTER('Model output'!M:M, ('Model output'!Z:Z=A20)*('Model output'!M:M&lt;&gt;"")), 1)))</f>
        <v>classic</v>
      </c>
      <c r="Q20" t="str" cm="1">
        <f t="array" ref="Q20">IF(OR(ISNUMBER(SEARCH("ly",SUBSTITUTE(INDEX(_xlfn._xlws.FILTER('Model output'!N:N,('Model output'!Z:Z=A20)*('Model output'!N:N&lt;&gt;"")),1)," ",""),1)), ISNUMBER(SEARCH("pole",SUBSTITUTE(INDEX(_xlfn._xlws.FILTER('Model output'!N:N,('Model output'!Z:Z=A20)*('Model output'!N:N&lt;&gt;"")),1)," ",""),1))),"",SUBSTITUTE(INDEX(_xlfn._xlws.FILTER('Model output'!N:N,('Model output'!Z:Z=A20)*('Model output'!N:N&lt;&gt;"")),1)," ",""))</f>
        <v>30mm</v>
      </c>
      <c r="R20" t="str" cm="1">
        <f t="array" ref="R20">IF(LEFT(IF(RIGHT(SUBSTITUTE(FilterWithUnits(Q20)&amp;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";")),1)=";",RIGHT(IF(RIGHT(SUBSTITUTE(FilterWithUnits(Q20)&amp;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";")),LEN(IF(RIGHT(SUBSTITUTE(FilterWithUnits(Q20)&amp;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";")))-1),IF(RIGHT(SUBSTITUTE(FilterWithUnits(Q20)&amp;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f>
        <v>30mm</v>
      </c>
      <c r="S20" cm="1">
        <f t="array" ref="S20">IF(MaxSize((SplitDimensions(R20)))=0, "", MaxSize((SplitDimensions(R20))))</f>
        <v>3</v>
      </c>
      <c r="T20" s="17" t="str" cm="1">
        <f t="array" ref="T20">IF(ISERROR(INDEX(_xlfn._xlws.FILTER('Model output'!P:P,('Model output'!Z:Z=A20)*('Model output'!P:P&lt;&gt;"")),1)),"negative",IF(OR(ISNUMBER(SEARCH("foc",INDEX(_xlfn._xlws.FILTER('Model output'!P:P,('Model output'!Z:Z=A20)*('Model output'!P:P&lt;&gt;"")),1),1)),ISNUMBER(SEARCH("extensive",INDEX(_xlfn._xlws.FILTER('Model output'!P:P,('Model output'!Z:Z=A20)*('Model output'!P:P&lt;&gt;"")),1),1)),ISNUMBER(SEARCH("present",INDEX(_xlfn._xlws.FILTER('Model output'!P:P,('Model output'!Z:Z=A20)*('Model output'!P:P&lt;&gt;"")),1),1)),ISNUMBER(SEARCH("yes",INDEX(_xlfn._xlws.FILTER('Model output'!P:P,('Model output'!Z:Z=A20)*('Model output'!P:P&lt;&gt;"")),1),1))),"positive","negative"))</f>
        <v>positive</v>
      </c>
      <c r="V20" t="str" cm="1">
        <f t="array" ref="V20">IF(ISNUMBER(SEARCH("4",INDEX(_xlfn._xlws.FILTER('Model output'!P:P,('Model output'!Z:Z=A20)*('Model output'!P:P&lt;&gt;"")),1),1)),INDEX(_xlfn._xlws.FILTER('Model output'!P:P,('Model output'!Z:Z=A20)*('Model output'!P:P&lt;&gt;"")),1),"") &amp; _xlfn.TEXTJOIN("",TRUE,_xlfn._xlws.FILTER('Model output'!Q:Q,'Model output'!Z:Z=A20))</f>
        <v>Invading only strap musclesNot mentioned</v>
      </c>
      <c r="W20" t="str">
        <f t="shared" si="11"/>
        <v>minimal</v>
      </c>
      <c r="X20" t="str" cm="1">
        <f t="array" ref="X20">IF(OR(ISNUMBER(SEARCH("focal",_xlfn.TEXTJOIN("; ",TRUE,_xlfn._xlws.FILTER('Model output'!R:R,'Model output'!Z:Z=A20)),1)),ISNUMBER(SEARCH("present",_xlfn.TEXTJOIN("; ",TRUE,_xlfn._xlws.FILTER('Model output'!R:R,'Model output'!Z:Z=A20)),1))),"positive",IF(_xlfn.TEXTJOIN("; ",TRUE,_xlfn._xlws.FILTER('Model output'!R:R,'Model output'!Z:Z=A20))="","negative",IF(OR(ISNUMBER(SEARCH("no",_xlfn.TEXTJOIN("; ",TRUE,_xlfn._xlws.FILTER('Model output'!R:R,'Model output'!Z:Z=A20)),1)),ISNUMBER(SEARCH("absent",_xlfn.TEXTJOIN("; ",TRUE,_xlfn._xlws.FILTER('Model output'!R:R,'Model output'!Z:Z=A20)),1))),"negative","positive")))</f>
        <v>positive</v>
      </c>
      <c r="Y20" s="17" t="str">
        <f t="shared" si="12"/>
        <v>positive</v>
      </c>
      <c r="AC20" s="17" t="str">
        <f t="shared" si="13"/>
        <v>positive</v>
      </c>
      <c r="AD20" t="str" cm="1">
        <f t="array" ref="AD20">_xlfn.TEXTJOIN("; ",TRUE,_xlfn._xlws.FILTER('Model output'!S:S,'Model output'!Z:Z=A20))</f>
        <v>Invading only strap muscles; Present</v>
      </c>
      <c r="AE20" s="47" t="str" cm="1">
        <f t="array" ref="AE20">IF(OR(ISNUMBER(SEARCH("uninvolved",_xlfn.TEXTJOIN("; ",TRUE,_xlfn._xlws.FILTER('Model output'!V:V,'Model output'!Z:Z=A20)),1)),ISNUMBER(SEARCH("clear",_xlfn.TEXTJOIN("; ",TRUE,_xlfn._xlws.FILTER('Model output'!V:V,'Model output'!Z:Z=A20)),1))*ISNUMBER(SEARCH("not mentioned",_xlfn.TEXTJOIN("; ",TRUE,_xlfn._xlws.FILTER('Model output'!V:V,'Model output'!Z:Z=A20)),1))),"negative",IF(ISNUMBER(SEARCH("cannot be assessed",_xlfn.TEXTJOIN("; ",TRUE,_xlfn._xlws.FILTER('Model output'!V:V,'Model output'!Z:Z=A20)),1)),"negative","negative"))</f>
        <v>negative</v>
      </c>
      <c r="AG20" s="36" t="str">
        <f t="shared" si="14"/>
        <v>high</v>
      </c>
      <c r="AH20" s="37" t="str">
        <f t="shared" si="2"/>
        <v>4a</v>
      </c>
      <c r="AI20" s="37" t="str">
        <f t="shared" si="15"/>
        <v>1a</v>
      </c>
      <c r="AJ20" s="37">
        <f t="shared" si="16"/>
        <v>0</v>
      </c>
      <c r="AK20" s="37" t="str">
        <f t="shared" si="17"/>
        <v>III</v>
      </c>
      <c r="AL20" s="10" t="s">
        <v>167</v>
      </c>
      <c r="AM20" s="32" t="s">
        <v>199</v>
      </c>
      <c r="AN20" s="32" t="s">
        <v>196</v>
      </c>
      <c r="AO20" s="32">
        <v>0</v>
      </c>
      <c r="AP20" s="32" t="s">
        <v>68</v>
      </c>
      <c r="AQ20" s="10">
        <f t="shared" si="6"/>
        <v>1</v>
      </c>
      <c r="AR20" s="32">
        <f t="shared" si="7"/>
        <v>1</v>
      </c>
      <c r="AS20" s="32">
        <f t="shared" si="8"/>
        <v>1</v>
      </c>
      <c r="AT20" s="32">
        <f t="shared" si="9"/>
        <v>1</v>
      </c>
      <c r="AU20" s="34">
        <f t="shared" si="10"/>
        <v>1</v>
      </c>
    </row>
    <row r="21" spans="1:47">
      <c r="A21" s="13">
        <v>19</v>
      </c>
      <c r="B21" s="16"/>
      <c r="C21" s="17">
        <f>_xlfn.MAXIFS('Model output'!C:C,'Model output'!Z:Z,'Classification result'!$A21)</f>
        <v>23</v>
      </c>
      <c r="D21" s="17" t="str" cm="1">
        <f t="array" ref="D21">LEFT(IF(ISERROR(RIGHT(IF(INDEX(_xlfn._xlws.FILTER('Model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output'!Z:Z=A21)),1),""),1))),"",(RIGHT(IF(INDEX(_xlfn._xlws.FILTER('Model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output'!Z:Z=A21)),1)))))),2)</f>
        <v/>
      </c>
      <c r="E21" s="17" t="str" cm="1">
        <f t="array" ref="E21">IF(ISNUMBER(SEARCH("N",IF(ISNUMBER(SEARCH("present",IF(INDEX(_xlfn._xlws.FILTER('Model output'!E:E,('Model output'!Z:Z=A21)),1)="","",INDEX(_xlfn._xlws.FILTER('Model output'!E:E,('Model output'!Z:Z=A21)),1)),1)),"N1", IF(INDEX(_xlfn._xlws.FILTER('Model output'!E:E,('Model output'!Z:Z=A21)),1)="","",INDEX(_xlfn._xlws.FILTER('Model output'!E:E,('Model output'!Z:Z=A21)),1))),1)),RIGHT(IF(ISNUMBER(SEARCH("present",IF(INDEX(_xlfn._xlws.FILTER('Model output'!E:E,('Model output'!Z:Z=A21)),1)="","",INDEX(_xlfn._xlws.FILTER('Model output'!E:E,('Model output'!Z:Z=A21)),1)),1)),"N1", IF(INDEX(_xlfn._xlws.FILTER('Model output'!E:E,('Model output'!Z:Z=A21)),1)="","",INDEX(_xlfn._xlws.FILTER('Model output'!E:E,('Model output'!Z:Z=A21)),1))),LEN(IF(ISNUMBER(SEARCH("present",IF(INDEX(_xlfn._xlws.FILTER('Model output'!E:E,('Model output'!Z:Z=A21)),1)="","",INDEX(_xlfn._xlws.FILTER('Model output'!E:E,('Model output'!Z:Z=A21)),1)),1)),"N1", IF(INDEX(_xlfn._xlws.FILTER('Model output'!E:E,('Model output'!Z:Z=A21)),1)="","",INDEX(_xlfn._xlws.FILTER('Model output'!E:E,('Model output'!Z:Z=A21)),1))))-FIND("N",IF(ISNUMBER(SEARCH("present",IF(INDEX(_xlfn._xlws.FILTER('Model output'!E:E,('Model output'!Z:Z=A21)),1)="","",INDEX(_xlfn._xlws.FILTER('Model output'!E:E,('Model output'!Z:Z=A21)),1)),1)),"N1", IF(INDEX(_xlfn._xlws.FILTER('Model output'!E:E,('Model output'!Z:Z=A21)),1)="","",INDEX(_xlfn._xlws.FILTER('Model output'!E:E,('Model output'!Z:Z=A21)),1))),1)), "")</f>
        <v/>
      </c>
      <c r="F21" s="17" cm="1">
        <f t="array" ref="F21">IF(AND(SUBSTITUTE(_xlfn.TEXTJOIN("/", TRUE, _xlfn._xlws.FILTER('Model output'!F:F, 'Model output'!Z:Z=A21)),"M", "")="", I21="negative"),0,IF(I21="positive",1,0))</f>
        <v>0</v>
      </c>
      <c r="G21" t="str">
        <f t="shared" si="0"/>
        <v/>
      </c>
      <c r="H21" t="str" cm="1">
        <f t="array" ref="H21">IF(AND(K21&gt;0, _xlfn.TEXTJOIN("; ", TRUE, _xlfn._xlws.FILTER('Model output'!G:G, 'Model output'!Z:Z=A21)) &lt;&gt;"", OR(AND(ISNUMBER(SEARCH("level", _xlfn.TEXTJOIN("; ", TRUE, _xlfn._xlws.FILTER('Model output'!G:G, 'Model output'!Z:Z=A21)),1)),OR(ISNUMBER(SEARCH(" II", _xlfn.TEXTJOIN("; ", TRUE, _xlfn._xlws.FILTER('Model output'!G:G, 'Model output'!Z:Z=A21)),1)),ISNUMBER(SEARCH("2", _xlfn.TEXTJOIN("; ", TRUE, _xlfn._xlws.FILTER('Model output'!G:G, 'Model output'!Z:Z=A21)),1)),ISNUMBER(SEARCH("two", _xlfn.TEXTJOIN("; ", TRUE, _xlfn._xlws.FILTER('Model output'!G:G, 'Model output'!Z:Z=A21)),1)),ISNUMBER(SEARCH("III", _xlfn.TEXTJOIN("; ", TRUE, _xlfn._xlws.FILTER('Model output'!G:G, 'Model output'!Z:Z=A21)),1)),ISNUMBER(SEARCH("3", _xlfn.TEXTJOIN("; ", TRUE, _xlfn._xlws.FILTER('Model output'!G:G, 'Model output'!Z:Z=A21)),1)),ISNUMBER(SEARCH("three", _xlfn.TEXTJOIN("; ", TRUE, _xlfn._xlws.FILTER('Model output'!G:G, 'Model output'!Z:Z=A21)),1)),ISNUMBER(SEARCH("IV", _xlfn.TEXTJOIN("; ", TRUE, _xlfn._xlws.FILTER('Model output'!G:G, 'Model output'!Z:Z=A21)),1)),ISNUMBER(SEARCH("4", _xlfn.TEXTJOIN("; ", TRUE, _xlfn._xlws.FILTER('Model output'!G:G, 'Model output'!Z:Z=A21)),1)),ISNUMBER(SEARCH("five", _xlfn.TEXTJOIN("; ", TRUE, _xlfn._xlws.FILTER('Model output'!G:G, 'Model output'!Z:Z=A21)),1)),ISNUMBER(SEARCH("V ", _xlfn.TEXTJOIN("; ", TRUE, _xlfn._xlws.FILTER('Model output'!G:G, 'Model output'!Z:Z=A21)),1)),ISNUMBER(SEARCH("5", _xlfn.TEXTJOIN("; ", TRUE, _xlfn._xlws.FILTER('Model output'!G:G, 'Model output'!Z:Z=A21)),1)),ISNUMBER(SEARCH("five", _xlfn.TEXTJOIN("; ", TRUE, _xlfn._xlws.FILTER('Model output'!G:G, 'Model output'!Z:Z=A21)),1)),ISNUMBER(SEARCH(" lateral", _xlfn.TEXTJOIN("; ", TRUE, _xlfn._xlws.FILTER('Model output'!G:G, 'Model output'!Z:Z=A21)),1)))),ISNUMBER(SEARCH("cervical", _xlfn.TEXTJOIN("; ", TRUE, _xlfn._xlws.FILTER('Model output'!G:G, 'Model output'!Z:Z=A21)),1)),ISNUMBER(SEARCH("jugular", _xlfn.TEXTJOIN("; ", TRUE, _xlfn._xlws.FILTER('Model output'!G:G, 'Model output'!Z:Z=A21)),1)),ISNUMBER(SEARCH("left neck", _xlfn.TEXTJOIN("; ", TRUE, _xlfn._xlws.FILTER('Model output'!G:G, 'Model output'!Z:Z=A21)),1)),ISNUMBER(SEARCH("left anterior neck", _xlfn.TEXTJOIN("; ", TRUE, _xlfn._xlws.FILTER('Model output'!G:G, 'Model output'!Z:Z=A21)),1)),ISNUMBER(SEARCH("left posterior neck", _xlfn.TEXTJOIN("; ", TRUE, _xlfn._xlws.FILTER('Model output'!G:G, 'Model output'!Z:Z=A21)),1)),ISNUMBER(SEARCH("right neck", _xlfn.TEXTJOIN("; ", TRUE, _xlfn._xlws.FILTER('Model output'!G:G, 'Model output'!Z:Z=A21)),1)),ISNUMBER(SEARCH("right anterior neck", _xlfn.TEXTJOIN("; ", TRUE, _xlfn._xlws.FILTER('Model output'!G:G, 'Model output'!Z:Z=A21)),1)),ISNUMBER(SEARCH("right posterior neck", _xlfn.TEXTJOIN("; ", TRUE, _xlfn._xlws.FILTER('Model output'!G:G, 'Model output'!Z:Z=A21)),1)))),"lateral",IF(AND(K21=0, _xlfn.TEXTJOIN("; ", TRUE, _xlfn._xlws.FILTER('Model output'!G:G, 'Model output'!Z:Z=A21))=""),"", "central"))</f>
        <v/>
      </c>
      <c r="I21" s="17" t="str" cm="1">
        <f t="array" ref="I21">IF(OR(ISNUMBER(SEARCH("lymph",_xlfn.TEXTJOIN("; ", TRUE, _xlfn._xlws.FILTER('Model output'!H:H, 'Model output'!Z:Z=A21)),1)), ISNUMBER(SEARCH("Not mentioned",_xlfn.TEXTJOIN("; ", TRUE, _xlfn._xlws.FILTER('Model output'!H:H, 'Model output'!Z:Z=A21)),1)),ISNUMBER(SEARCH("subcutaneous soft tissues",_xlfn.TEXTJOIN("; ", TRUE, _xlfn._xlws.FILTER('Model output'!H:H, 'Model output'!Z:Z=A21)),1)),ISNUMBER(SEARCH("larynx",_xlfn.TEXTJOIN("; ", TRUE, _xlfn._xlws.FILTER('Model output'!H:H, 'Model output'!Z:Z=A21)),1)),ISNUMBER(SEARCH("trachea",_xlfn.TEXTJOIN("; ", TRUE, _xlfn._xlws.FILTER('Model output'!H:H, 'Model output'!Z:Z=A21)),1)),ISNUMBER(SEARCH("esophagus",_xlfn.TEXTJOIN("; ", TRUE, _xlfn._xlws.FILTER('Model output'!H:H, 'Model output'!Z:Z=A21)),1)),ISNUMBER(SEARCH("recurrent laryngeal nerve",_xlfn.TEXTJOIN("; ", TRUE, _xlfn._xlws.FILTER('Model output'!H:H, 'Model output'!Z:Z=A21)),1)),ISNUMBER(SEARCH("RLN",_xlfn.TEXTJOIN("; ", TRUE, _xlfn._xlws.FILTER('Model output'!H:H, 'Model output'!Z:Z=A21)),1)),_xlfn.TEXTJOIN("; ", TRUE, _xlfn._xlws.FILTER('Model output'!H:H, 'Model output'!Z:Z=A21))=""),"negative","positive")</f>
        <v>negative</v>
      </c>
      <c r="J21" s="17">
        <f>IF(IFERROR(INDEX('Model output'!I:I, MATCH(A21, 'Model output'!Z:Z, 0)), "") &lt; K21, "", IFERROR(INDEX('Model output'!I:I, MATCH(A21, 'Model output'!Z:Z, 0)), ""))</f>
        <v>1</v>
      </c>
      <c r="K21" s="17">
        <f>IFERROR(INDEX('Model output'!J:J, MATCH(A21, 'Model output'!Z:Z, 0)), "")</f>
        <v>0</v>
      </c>
      <c r="L21" s="18" t="str" cm="1">
        <f t="array" ref="L21">ReplaceTo(ReplaceAnd(SUBSTITUTE(SUBSTITUTE(_xlfn.TEXTJOIN("; ", TRUE, _xlfn._xlws.FILTER('Model output'!K:K, 'Model output'!Z:Z=A21)), " ", ""), ",", ";")))</f>
        <v>Notmentioned</v>
      </c>
      <c r="M21" t="str" cm="1">
        <f t="array" ref="M21">IF(LEFT(IF(RIGHT(SUBSTITUTE(FilterWithUnits(L21)&amp;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";")),1)=";",RIGHT(IF(RIGHT(SUBSTITUTE(FilterWithUnits(L21)&amp;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";")),LEN(IF(RIGHT(SUBSTITUTE(FilterWithUnits(L21)&amp;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";")))-1),IF(RIGHT(SUBSTITUTE(FilterWithUnits(L21)&amp;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f>
        <v/>
      </c>
      <c r="N21" t="str" cm="1">
        <f t="array" ref="N21">IF(MaxSize((SplitDimensions(M21)))=0, "", MaxSize((SplitDimensions(M21))))</f>
        <v/>
      </c>
      <c r="O21" t="str" cm="1">
        <f t="array" ref="O21">IF(ISERROR(INDEX(_xlfn._xlws.FILTER('Model output'!L:L, ('Model output'!Z:Z=A21)*('Model output'!L:L&lt;&gt;"")), 1)), " ", LOWER(INDEX(_xlfn._xlws.FILTER('Model output'!L:L, ('Model output'!Z:Z=A21)*('Model output'!L:L&lt;&gt;"")), 1)))</f>
        <v>papillary carcinoma</v>
      </c>
      <c r="P21" t="str" cm="1">
        <f t="array" ref="P21">IF(ISERROR(INDEX(_xlfn._xlws.FILTER('Model output'!M:M, ('Model output'!Z:Z=A21)*('Model output'!M:M&lt;&gt;"")), 1)), " ", LOWER(INDEX(_xlfn._xlws.FILTER('Model output'!M:M, ('Model output'!Z:Z=A21)*('Model output'!M:M&lt;&gt;"")), 1)))</f>
        <v>classic</v>
      </c>
      <c r="Q21" t="str" cm="1">
        <f t="array" ref="Q21">IF(OR(ISNUMBER(SEARCH("ly",SUBSTITUTE(INDEX(_xlfn._xlws.FILTER('Model output'!N:N,('Model output'!Z:Z=A21)*('Model output'!N:N&lt;&gt;"")),1)," ",""),1)), ISNUMBER(SEARCH("pole",SUBSTITUTE(INDEX(_xlfn._xlws.FILTER('Model output'!N:N,('Model output'!Z:Z=A21)*('Model output'!N:N&lt;&gt;"")),1)," ",""),1))),"",SUBSTITUTE(INDEX(_xlfn._xlws.FILTER('Model output'!N:N,('Model output'!Z:Z=A21)*('Model output'!N:N&lt;&gt;"")),1)," ",""))</f>
        <v>2mm</v>
      </c>
      <c r="R21" t="str" cm="1">
        <f t="array" ref="R21">IF(LEFT(IF(RIGHT(SUBSTITUTE(FilterWithUnits(Q21)&amp;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";")),1)=";",RIGHT(IF(RIGHT(SUBSTITUTE(FilterWithUnits(Q21)&amp;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";")),LEN(IF(RIGHT(SUBSTITUTE(FilterWithUnits(Q21)&amp;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";")))-1),IF(RIGHT(SUBSTITUTE(FilterWithUnits(Q21)&amp;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f>
        <v>2mm</v>
      </c>
      <c r="S21" cm="1">
        <f t="array" ref="S21">IF(MaxSize((SplitDimensions(R21)))=0, "", MaxSize((SplitDimensions(R21))))</f>
        <v>0.2</v>
      </c>
      <c r="T21" s="17" t="str" cm="1">
        <f t="array" ref="T21">IF(ISERROR(INDEX(_xlfn._xlws.FILTER('Model output'!P:P,('Model output'!Z:Z=A21)*('Model output'!P:P&lt;&gt;"")),1)),"negative",IF(OR(ISNUMBER(SEARCH("foc",INDEX(_xlfn._xlws.FILTER('Model output'!P:P,('Model output'!Z:Z=A21)*('Model output'!P:P&lt;&gt;"")),1),1)),ISNUMBER(SEARCH("extensive",INDEX(_xlfn._xlws.FILTER('Model output'!P:P,('Model output'!Z:Z=A21)*('Model output'!P:P&lt;&gt;"")),1),1)),ISNUMBER(SEARCH("present",INDEX(_xlfn._xlws.FILTER('Model output'!P:P,('Model output'!Z:Z=A21)*('Model output'!P:P&lt;&gt;"")),1),1)),ISNUMBER(SEARCH("yes",INDEX(_xlfn._xlws.FILTER('Model output'!P:P,('Model output'!Z:Z=A21)*('Model output'!P:P&lt;&gt;"")),1),1))),"positive","negative"))</f>
        <v>negative</v>
      </c>
      <c r="V21" t="str" cm="1">
        <f t="array" ref="V21">IF(ISNUMBER(SEARCH("4",INDEX(_xlfn._xlws.FILTER('Model output'!P:P,('Model output'!Z:Z=A21)*('Model output'!P:P&lt;&gt;"")),1),1)),INDEX(_xlfn._xlws.FILTER('Model output'!P:P,('Model output'!Z:Z=A21)*('Model output'!P:P&lt;&gt;"")),1),"") &amp; _xlfn.TEXTJOIN("",TRUE,_xlfn._xlws.FILTER('Model output'!Q:Q,'Model output'!Z:Z=A21))</f>
        <v>Not mentioned</v>
      </c>
      <c r="W21" t="str">
        <f t="shared" si="11"/>
        <v>no</v>
      </c>
      <c r="X21" t="str" cm="1">
        <f t="array" ref="X21">IF(OR(ISNUMBER(SEARCH("focal",_xlfn.TEXTJOIN("; ",TRUE,_xlfn._xlws.FILTER('Model output'!R:R,'Model output'!Z:Z=A21)),1)),ISNUMBER(SEARCH("present",_xlfn.TEXTJOIN("; ",TRUE,_xlfn._xlws.FILTER('Model output'!R:R,'Model output'!Z:Z=A21)),1))),"positive",IF(_xlfn.TEXTJOIN("; ",TRUE,_xlfn._xlws.FILTER('Model output'!R:R,'Model output'!Z:Z=A21))="","negative",IF(OR(ISNUMBER(SEARCH("no",_xlfn.TEXTJOIN("; ",TRUE,_xlfn._xlws.FILTER('Model output'!R:R,'Model output'!Z:Z=A21)),1)),ISNUMBER(SEARCH("absent",_xlfn.TEXTJOIN("; ",TRUE,_xlfn._xlws.FILTER('Model output'!R:R,'Model output'!Z:Z=A21)),1))),"negative","positive")))</f>
        <v>negative</v>
      </c>
      <c r="Y21" s="17" t="str">
        <f t="shared" si="12"/>
        <v>negative</v>
      </c>
      <c r="AC21" s="17" t="str">
        <f t="shared" si="13"/>
        <v>negative</v>
      </c>
      <c r="AD21" t="str" cm="1">
        <f t="array" ref="AD21">_xlfn.TEXTJOIN("; ",TRUE,_xlfn._xlws.FILTER('Model output'!S:S,'Model output'!Z:Z=A21))</f>
        <v>Not identified; Not mentioned</v>
      </c>
      <c r="AE21" s="47" t="str" cm="1">
        <f t="array" ref="AE21">IF(OR(ISNUMBER(SEARCH("uninvolved",_xlfn.TEXTJOIN("; ",TRUE,_xlfn._xlws.FILTER('Model output'!V:V,'Model output'!Z:Z=A21)),1)),ISNUMBER(SEARCH("clear",_xlfn.TEXTJOIN("; ",TRUE,_xlfn._xlws.FILTER('Model output'!V:V,'Model output'!Z:Z=A21)),1))*ISNUMBER(SEARCH("not mentioned",_xlfn.TEXTJOIN("; ",TRUE,_xlfn._xlws.FILTER('Model output'!V:V,'Model output'!Z:Z=A21)),1))),"negative",IF(ISNUMBER(SEARCH("cannot be assessed",_xlfn.TEXTJOIN("; ",TRUE,_xlfn._xlws.FILTER('Model output'!V:V,'Model output'!Z:Z=A21)),1)),"negative","negative"))</f>
        <v>negative</v>
      </c>
      <c r="AG21" s="36" t="str">
        <f t="shared" si="14"/>
        <v>low</v>
      </c>
      <c r="AH21" s="37" t="str">
        <f t="shared" si="2"/>
        <v>1a</v>
      </c>
      <c r="AI21" s="37">
        <f t="shared" si="15"/>
        <v>0</v>
      </c>
      <c r="AJ21" s="37">
        <f t="shared" si="16"/>
        <v>0</v>
      </c>
      <c r="AK21" s="37" t="str">
        <f t="shared" si="17"/>
        <v>I</v>
      </c>
      <c r="AL21" s="10" t="s">
        <v>168</v>
      </c>
      <c r="AM21" s="32" t="s">
        <v>196</v>
      </c>
      <c r="AN21" s="32">
        <v>0</v>
      </c>
      <c r="AO21" s="32">
        <v>0</v>
      </c>
      <c r="AP21" s="32" t="s">
        <v>31</v>
      </c>
      <c r="AQ21" s="10">
        <f t="shared" si="6"/>
        <v>1</v>
      </c>
      <c r="AR21" s="32">
        <f t="shared" si="7"/>
        <v>1</v>
      </c>
      <c r="AS21" s="32">
        <f t="shared" si="8"/>
        <v>1</v>
      </c>
      <c r="AT21" s="32">
        <f t="shared" si="9"/>
        <v>1</v>
      </c>
      <c r="AU21" s="34">
        <f t="shared" si="10"/>
        <v>1</v>
      </c>
    </row>
    <row r="22" spans="1:47">
      <c r="A22" s="13">
        <v>20</v>
      </c>
      <c r="B22" s="16"/>
      <c r="C22" s="17">
        <f>_xlfn.MAXIFS('Model output'!C:C,'Model output'!Z:Z,'Classification result'!$A22)</f>
        <v>61</v>
      </c>
      <c r="D22" s="17" t="str" cm="1">
        <f t="array" ref="D22">LEFT(IF(ISERROR(RIGHT(IF(INDEX(_xlfn._xlws.FILTER('Model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output'!Z:Z=A22)),1),""),1))),"",(RIGHT(IF(INDEX(_xlfn._xlws.FILTER('Model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output'!Z:Z=A22)),1)))))),2)</f>
        <v>1</v>
      </c>
      <c r="E22" s="17" t="str" cm="1">
        <f t="array" ref="E22">IF(ISNUMBER(SEARCH("N",IF(ISNUMBER(SEARCH("present",IF(INDEX(_xlfn._xlws.FILTER('Model output'!E:E,('Model output'!Z:Z=A22)),1)="","",INDEX(_xlfn._xlws.FILTER('Model output'!E:E,('Model output'!Z:Z=A22)),1)),1)),"N1", IF(INDEX(_xlfn._xlws.FILTER('Model output'!E:E,('Model output'!Z:Z=A22)),1)="","",INDEX(_xlfn._xlws.FILTER('Model output'!E:E,('Model output'!Z:Z=A22)),1))),1)),RIGHT(IF(ISNUMBER(SEARCH("present",IF(INDEX(_xlfn._xlws.FILTER('Model output'!E:E,('Model output'!Z:Z=A22)),1)="","",INDEX(_xlfn._xlws.FILTER('Model output'!E:E,('Model output'!Z:Z=A22)),1)),1)),"N1", IF(INDEX(_xlfn._xlws.FILTER('Model output'!E:E,('Model output'!Z:Z=A22)),1)="","",INDEX(_xlfn._xlws.FILTER('Model output'!E:E,('Model output'!Z:Z=A22)),1))),LEN(IF(ISNUMBER(SEARCH("present",IF(INDEX(_xlfn._xlws.FILTER('Model output'!E:E,('Model output'!Z:Z=A22)),1)="","",INDEX(_xlfn._xlws.FILTER('Model output'!E:E,('Model output'!Z:Z=A22)),1)),1)),"N1", IF(INDEX(_xlfn._xlws.FILTER('Model output'!E:E,('Model output'!Z:Z=A22)),1)="","",INDEX(_xlfn._xlws.FILTER('Model output'!E:E,('Model output'!Z:Z=A22)),1))))-FIND("N",IF(ISNUMBER(SEARCH("present",IF(INDEX(_xlfn._xlws.FILTER('Model output'!E:E,('Model output'!Z:Z=A22)),1)="","",INDEX(_xlfn._xlws.FILTER('Model output'!E:E,('Model output'!Z:Z=A22)),1)),1)),"N1", IF(INDEX(_xlfn._xlws.FILTER('Model output'!E:E,('Model output'!Z:Z=A22)),1)="","",INDEX(_xlfn._xlws.FILTER('Model output'!E:E,('Model output'!Z:Z=A22)),1))),1)), "")</f>
        <v/>
      </c>
      <c r="F22" s="17" cm="1">
        <f t="array" ref="F22">IF(AND(SUBSTITUTE(_xlfn.TEXTJOIN("/", TRUE, _xlfn._xlws.FILTER('Model output'!F:F, 'Model output'!Z:Z=A22)),"M", "")="", I22="negative"),0,IF(I22="positive",1,0))</f>
        <v>0</v>
      </c>
      <c r="G22" t="str">
        <f t="shared" si="0"/>
        <v>positive</v>
      </c>
      <c r="H22" t="str" cm="1">
        <f t="array" ref="H22">IF(AND(K22&gt;0, _xlfn.TEXTJOIN("; ", TRUE, _xlfn._xlws.FILTER('Model output'!G:G, 'Model output'!Z:Z=A22)) &lt;&gt;"", OR(AND(ISNUMBER(SEARCH("level", _xlfn.TEXTJOIN("; ", TRUE, _xlfn._xlws.FILTER('Model output'!G:G, 'Model output'!Z:Z=A22)),1)),OR(ISNUMBER(SEARCH(" II", _xlfn.TEXTJOIN("; ", TRUE, _xlfn._xlws.FILTER('Model output'!G:G, 'Model output'!Z:Z=A22)),1)),ISNUMBER(SEARCH("2", _xlfn.TEXTJOIN("; ", TRUE, _xlfn._xlws.FILTER('Model output'!G:G, 'Model output'!Z:Z=A22)),1)),ISNUMBER(SEARCH("two", _xlfn.TEXTJOIN("; ", TRUE, _xlfn._xlws.FILTER('Model output'!G:G, 'Model output'!Z:Z=A22)),1)),ISNUMBER(SEARCH("III", _xlfn.TEXTJOIN("; ", TRUE, _xlfn._xlws.FILTER('Model output'!G:G, 'Model output'!Z:Z=A22)),1)),ISNUMBER(SEARCH("3", _xlfn.TEXTJOIN("; ", TRUE, _xlfn._xlws.FILTER('Model output'!G:G, 'Model output'!Z:Z=A22)),1)),ISNUMBER(SEARCH("three", _xlfn.TEXTJOIN("; ", TRUE, _xlfn._xlws.FILTER('Model output'!G:G, 'Model output'!Z:Z=A22)),1)),ISNUMBER(SEARCH("IV", _xlfn.TEXTJOIN("; ", TRUE, _xlfn._xlws.FILTER('Model output'!G:G, 'Model output'!Z:Z=A22)),1)),ISNUMBER(SEARCH("4", _xlfn.TEXTJOIN("; ", TRUE, _xlfn._xlws.FILTER('Model output'!G:G, 'Model output'!Z:Z=A22)),1)),ISNUMBER(SEARCH("five", _xlfn.TEXTJOIN("; ", TRUE, _xlfn._xlws.FILTER('Model output'!G:G, 'Model output'!Z:Z=A22)),1)),ISNUMBER(SEARCH("V ", _xlfn.TEXTJOIN("; ", TRUE, _xlfn._xlws.FILTER('Model output'!G:G, 'Model output'!Z:Z=A22)),1)),ISNUMBER(SEARCH("5", _xlfn.TEXTJOIN("; ", TRUE, _xlfn._xlws.FILTER('Model output'!G:G, 'Model output'!Z:Z=A22)),1)),ISNUMBER(SEARCH("five", _xlfn.TEXTJOIN("; ", TRUE, _xlfn._xlws.FILTER('Model output'!G:G, 'Model output'!Z:Z=A22)),1)),ISNUMBER(SEARCH(" lateral", _xlfn.TEXTJOIN("; ", TRUE, _xlfn._xlws.FILTER('Model output'!G:G, 'Model output'!Z:Z=A22)),1)))),ISNUMBER(SEARCH("cervical", _xlfn.TEXTJOIN("; ", TRUE, _xlfn._xlws.FILTER('Model output'!G:G, 'Model output'!Z:Z=A22)),1)),ISNUMBER(SEARCH("jugular", _xlfn.TEXTJOIN("; ", TRUE, _xlfn._xlws.FILTER('Model output'!G:G, 'Model output'!Z:Z=A22)),1)),ISNUMBER(SEARCH("left neck", _xlfn.TEXTJOIN("; ", TRUE, _xlfn._xlws.FILTER('Model output'!G:G, 'Model output'!Z:Z=A22)),1)),ISNUMBER(SEARCH("left anterior neck", _xlfn.TEXTJOIN("; ", TRUE, _xlfn._xlws.FILTER('Model output'!G:G, 'Model output'!Z:Z=A22)),1)),ISNUMBER(SEARCH("left posterior neck", _xlfn.TEXTJOIN("; ", TRUE, _xlfn._xlws.FILTER('Model output'!G:G, 'Model output'!Z:Z=A22)),1)),ISNUMBER(SEARCH("right neck", _xlfn.TEXTJOIN("; ", TRUE, _xlfn._xlws.FILTER('Model output'!G:G, 'Model output'!Z:Z=A22)),1)),ISNUMBER(SEARCH("right anterior neck", _xlfn.TEXTJOIN("; ", TRUE, _xlfn._xlws.FILTER('Model output'!G:G, 'Model output'!Z:Z=A22)),1)),ISNUMBER(SEARCH("right posterior neck", _xlfn.TEXTJOIN("; ", TRUE, _xlfn._xlws.FILTER('Model output'!G:G, 'Model output'!Z:Z=A22)),1)))),"lateral",IF(AND(K22=0, _xlfn.TEXTJOIN("; ", TRUE, _xlfn._xlws.FILTER('Model output'!G:G, 'Model output'!Z:Z=A22))=""),"", "central"))</f>
        <v>central</v>
      </c>
      <c r="I22" s="17" t="str" cm="1">
        <f t="array" ref="I22">IF(OR(ISNUMBER(SEARCH("lymph",_xlfn.TEXTJOIN("; ", TRUE, _xlfn._xlws.FILTER('Model output'!H:H, 'Model output'!Z:Z=A22)),1)), ISNUMBER(SEARCH("Not mentioned",_xlfn.TEXTJOIN("; ", TRUE, _xlfn._xlws.FILTER('Model output'!H:H, 'Model output'!Z:Z=A22)),1)),ISNUMBER(SEARCH("subcutaneous soft tissues",_xlfn.TEXTJOIN("; ", TRUE, _xlfn._xlws.FILTER('Model output'!H:H, 'Model output'!Z:Z=A22)),1)),ISNUMBER(SEARCH("larynx",_xlfn.TEXTJOIN("; ", TRUE, _xlfn._xlws.FILTER('Model output'!H:H, 'Model output'!Z:Z=A22)),1)),ISNUMBER(SEARCH("trachea",_xlfn.TEXTJOIN("; ", TRUE, _xlfn._xlws.FILTER('Model output'!H:H, 'Model output'!Z:Z=A22)),1)),ISNUMBER(SEARCH("esophagus",_xlfn.TEXTJOIN("; ", TRUE, _xlfn._xlws.FILTER('Model output'!H:H, 'Model output'!Z:Z=A22)),1)),ISNUMBER(SEARCH("recurrent laryngeal nerve",_xlfn.TEXTJOIN("; ", TRUE, _xlfn._xlws.FILTER('Model output'!H:H, 'Model output'!Z:Z=A22)),1)),ISNUMBER(SEARCH("RLN",_xlfn.TEXTJOIN("; ", TRUE, _xlfn._xlws.FILTER('Model output'!H:H, 'Model output'!Z:Z=A22)),1)),_xlfn.TEXTJOIN("; ", TRUE, _xlfn._xlws.FILTER('Model output'!H:H, 'Model output'!Z:Z=A22))=""),"negative","positive")</f>
        <v>negative</v>
      </c>
      <c r="J22" s="17">
        <f>IF(IFERROR(INDEX('Model output'!I:I, MATCH(A22, 'Model output'!Z:Z, 0)), "") &lt; K22, "", IFERROR(INDEX('Model output'!I:I, MATCH(A22, 'Model output'!Z:Z, 0)), ""))</f>
        <v>4</v>
      </c>
      <c r="K22" s="17">
        <f>IFERROR(INDEX('Model output'!J:J, MATCH(A22, 'Model output'!Z:Z, 0)), "")</f>
        <v>3</v>
      </c>
      <c r="L22" s="18" t="str" cm="1">
        <f t="array" ref="L22">ReplaceTo(ReplaceAnd(SUBSTITUTE(SUBSTITUTE(_xlfn.TEXTJOIN("; ", TRUE, _xlfn._xlws.FILTER('Model output'!K:K, 'Model output'!Z:Z=A22)), " ", ""), ",", ";")))</f>
        <v>Notmentioned</v>
      </c>
      <c r="M22" t="str" cm="1">
        <f t="array" ref="M22">IF(LEFT(IF(RIGHT(SUBSTITUTE(FilterWithUnits(L22)&amp;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";")),1)=";",RIGHT(IF(RIGHT(SUBSTITUTE(FilterWithUnits(L22)&amp;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";")),LEN(IF(RIGHT(SUBSTITUTE(FilterWithUnits(L22)&amp;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";")))-1),IF(RIGHT(SUBSTITUTE(FilterWithUnits(L22)&amp;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f>
        <v/>
      </c>
      <c r="N22" t="str" cm="1">
        <f t="array" ref="N22">IF(MaxSize((SplitDimensions(M22)))=0, "", MaxSize((SplitDimensions(M22))))</f>
        <v/>
      </c>
      <c r="O22" t="str" cm="1">
        <f t="array" ref="O22">IF(ISERROR(INDEX(_xlfn._xlws.FILTER('Model output'!L:L, ('Model output'!Z:Z=A22)*('Model output'!L:L&lt;&gt;"")), 1)), " ", LOWER(INDEX(_xlfn._xlws.FILTER('Model output'!L:L, ('Model output'!Z:Z=A22)*('Model output'!L:L&lt;&gt;"")), 1)))</f>
        <v>papillary</v>
      </c>
      <c r="P22" t="str" cm="1">
        <f t="array" ref="P22">IF(ISERROR(INDEX(_xlfn._xlws.FILTER('Model output'!M:M, ('Model output'!Z:Z=A22)*('Model output'!M:M&lt;&gt;"")), 1)), " ", LOWER(INDEX(_xlfn._xlws.FILTER('Model output'!M:M, ('Model output'!Z:Z=A22)*('Model output'!M:M&lt;&gt;"")), 1)))</f>
        <v>not mentioned</v>
      </c>
      <c r="Q22" t="str" cm="1">
        <f t="array" ref="Q22">IF(OR(ISNUMBER(SEARCH("ly",SUBSTITUTE(INDEX(_xlfn._xlws.FILTER('Model output'!N:N,('Model output'!Z:Z=A22)*('Model output'!N:N&lt;&gt;"")),1)," ",""),1)), ISNUMBER(SEARCH("pole",SUBSTITUTE(INDEX(_xlfn._xlws.FILTER('Model output'!N:N,('Model output'!Z:Z=A22)*('Model output'!N:N&lt;&gt;"")),1)," ",""),1))),"",SUBSTITUTE(INDEX(_xlfn._xlws.FILTER('Model output'!N:N,('Model output'!Z:Z=A22)*('Model output'!N:N&lt;&gt;"")),1)," ",""))</f>
        <v>11mm</v>
      </c>
      <c r="R22" t="str" cm="1">
        <f t="array" ref="R22">IF(LEFT(IF(RIGHT(SUBSTITUTE(FilterWithUnits(Q22)&amp;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";")),1)=";",RIGHT(IF(RIGHT(SUBSTITUTE(FilterWithUnits(Q22)&amp;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";")),LEN(IF(RIGHT(SUBSTITUTE(FilterWithUnits(Q22)&amp;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";")))-1),IF(RIGHT(SUBSTITUTE(FilterWithUnits(Q22)&amp;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f>
        <v>11mm</v>
      </c>
      <c r="S22" cm="1">
        <f t="array" ref="S22">IF(MaxSize((SplitDimensions(R22)))=0, "", MaxSize((SplitDimensions(R22))))</f>
        <v>1.1000000000000001</v>
      </c>
      <c r="T22" s="17" t="str" cm="1">
        <f t="array" ref="T22">IF(ISERROR(INDEX(_xlfn._xlws.FILTER('Model output'!P:P,('Model output'!Z:Z=A22)*('Model output'!P:P&lt;&gt;"")),1)),"negative",IF(OR(ISNUMBER(SEARCH("foc",INDEX(_xlfn._xlws.FILTER('Model output'!P:P,('Model output'!Z:Z=A22)*('Model output'!P:P&lt;&gt;"")),1),1)),ISNUMBER(SEARCH("extensive",INDEX(_xlfn._xlws.FILTER('Model output'!P:P,('Model output'!Z:Z=A22)*('Model output'!P:P&lt;&gt;"")),1),1)),ISNUMBER(SEARCH("present",INDEX(_xlfn._xlws.FILTER('Model output'!P:P,('Model output'!Z:Z=A22)*('Model output'!P:P&lt;&gt;"")),1),1)),ISNUMBER(SEARCH("yes",INDEX(_xlfn._xlws.FILTER('Model output'!P:P,('Model output'!Z:Z=A22)*('Model output'!P:P&lt;&gt;"")),1),1))),"positive","negative"))</f>
        <v>positive</v>
      </c>
      <c r="V22" t="str" cm="1">
        <f t="array" ref="V22">IF(ISNUMBER(SEARCH("4",INDEX(_xlfn._xlws.FILTER('Model output'!P:P,('Model output'!Z:Z=A22)*('Model output'!P:P&lt;&gt;"")),1),1)),INDEX(_xlfn._xlws.FILTER('Model output'!P:P,('Model output'!Z:Z=A22)*('Model output'!P:P&lt;&gt;"")),1),"") &amp; _xlfn.TEXTJOIN("",TRUE,_xlfn._xlws.FILTER('Model output'!Q:Q,'Model output'!Z:Z=A22))</f>
        <v>4 or moreNot mentioned</v>
      </c>
      <c r="W22" t="str">
        <f t="shared" si="11"/>
        <v>extensive</v>
      </c>
      <c r="X22" t="str" cm="1">
        <f t="array" ref="X22">IF(OR(ISNUMBER(SEARCH("focal",_xlfn.TEXTJOIN("; ",TRUE,_xlfn._xlws.FILTER('Model output'!R:R,'Model output'!Z:Z=A22)),1)),ISNUMBER(SEARCH("present",_xlfn.TEXTJOIN("; ",TRUE,_xlfn._xlws.FILTER('Model output'!R:R,'Model output'!Z:Z=A22)),1))),"positive",IF(_xlfn.TEXTJOIN("; ",TRUE,_xlfn._xlws.FILTER('Model output'!R:R,'Model output'!Z:Z=A22))="","negative",IF(OR(ISNUMBER(SEARCH("no",_xlfn.TEXTJOIN("; ",TRUE,_xlfn._xlws.FILTER('Model output'!R:R,'Model output'!Z:Z=A22)),1)),ISNUMBER(SEARCH("absent",_xlfn.TEXTJOIN("; ",TRUE,_xlfn._xlws.FILTER('Model output'!R:R,'Model output'!Z:Z=A22)),1))),"negative","positive")))</f>
        <v>positive</v>
      </c>
      <c r="Y22" s="17" t="str">
        <f t="shared" si="12"/>
        <v>positive</v>
      </c>
      <c r="AC22" s="17" t="str">
        <f t="shared" si="13"/>
        <v>negative</v>
      </c>
      <c r="AD22" t="str" cm="1">
        <f t="array" ref="AD22">_xlfn.TEXTJOIN("; ",TRUE,_xlfn._xlws.FILTER('Model output'!S:S,'Model output'!Z:Z=A22))</f>
        <v>Present</v>
      </c>
      <c r="AE22" s="47" t="str" cm="1">
        <f t="array" ref="AE22">IF(OR(ISNUMBER(SEARCH("uninvolved",_xlfn.TEXTJOIN("; ",TRUE,_xlfn._xlws.FILTER('Model output'!V:V,'Model output'!Z:Z=A22)),1)),ISNUMBER(SEARCH("clear",_xlfn.TEXTJOIN("; ",TRUE,_xlfn._xlws.FILTER('Model output'!V:V,'Model output'!Z:Z=A22)),1))*ISNUMBER(SEARCH("not mentioned",_xlfn.TEXTJOIN("; ",TRUE,_xlfn._xlws.FILTER('Model output'!V:V,'Model output'!Z:Z=A22)),1))),"negative",IF(ISNUMBER(SEARCH("cannot be assessed",_xlfn.TEXTJOIN("; ",TRUE,_xlfn._xlws.FILTER('Model output'!V:V,'Model output'!Z:Z=A22)),1)),"negative","negative"))</f>
        <v>negative</v>
      </c>
      <c r="AG22" s="36" t="str">
        <f t="shared" si="14"/>
        <v>intermediate</v>
      </c>
      <c r="AH22" s="37" t="str">
        <f t="shared" si="2"/>
        <v>1b</v>
      </c>
      <c r="AI22" s="37" t="str">
        <f t="shared" si="15"/>
        <v>1a</v>
      </c>
      <c r="AJ22" s="37">
        <f t="shared" si="16"/>
        <v>0</v>
      </c>
      <c r="AK22" s="37" t="str">
        <f t="shared" si="17"/>
        <v>II</v>
      </c>
      <c r="AL22" s="10" t="s">
        <v>166</v>
      </c>
      <c r="AM22" s="32" t="s">
        <v>194</v>
      </c>
      <c r="AN22" s="32" t="s">
        <v>196</v>
      </c>
      <c r="AO22" s="32">
        <v>0</v>
      </c>
      <c r="AP22" s="32" t="s">
        <v>43</v>
      </c>
      <c r="AQ22" s="10">
        <f t="shared" si="6"/>
        <v>1</v>
      </c>
      <c r="AR22" s="32">
        <f t="shared" si="7"/>
        <v>1</v>
      </c>
      <c r="AS22" s="32">
        <f t="shared" si="8"/>
        <v>1</v>
      </c>
      <c r="AT22" s="32">
        <f t="shared" si="9"/>
        <v>1</v>
      </c>
      <c r="AU22" s="34">
        <f t="shared" si="10"/>
        <v>1</v>
      </c>
    </row>
    <row r="23" spans="1:47">
      <c r="A23" s="13">
        <v>21</v>
      </c>
      <c r="B23" s="16"/>
      <c r="C23" s="17">
        <f>_xlfn.MAXIFS('Model output'!C:C,'Model output'!Z:Z,'Classification result'!$A23)</f>
        <v>51</v>
      </c>
      <c r="D23" s="17" t="str" cm="1">
        <f t="array" ref="D23">LEFT(IF(ISERROR(RIGHT(IF(INDEX(_xlfn._xlws.FILTER('Model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output'!Z:Z=A23)),1),""),1))),"",(RIGHT(IF(INDEX(_xlfn._xlws.FILTER('Model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output'!Z:Z=A23)),1)))))),2)</f>
        <v>1</v>
      </c>
      <c r="E23" s="17" t="str" cm="1">
        <f t="array" ref="E23">IF(ISNUMBER(SEARCH("N",IF(ISNUMBER(SEARCH("present",IF(INDEX(_xlfn._xlws.FILTER('Model output'!E:E,('Model output'!Z:Z=A23)),1)="","",INDEX(_xlfn._xlws.FILTER('Model output'!E:E,('Model output'!Z:Z=A23)),1)),1)),"N1", IF(INDEX(_xlfn._xlws.FILTER('Model output'!E:E,('Model output'!Z:Z=A23)),1)="","",INDEX(_xlfn._xlws.FILTER('Model output'!E:E,('Model output'!Z:Z=A23)),1))),1)),RIGHT(IF(ISNUMBER(SEARCH("present",IF(INDEX(_xlfn._xlws.FILTER('Model output'!E:E,('Model output'!Z:Z=A23)),1)="","",INDEX(_xlfn._xlws.FILTER('Model output'!E:E,('Model output'!Z:Z=A23)),1)),1)),"N1", IF(INDEX(_xlfn._xlws.FILTER('Model output'!E:E,('Model output'!Z:Z=A23)),1)="","",INDEX(_xlfn._xlws.FILTER('Model output'!E:E,('Model output'!Z:Z=A23)),1))),LEN(IF(ISNUMBER(SEARCH("present",IF(INDEX(_xlfn._xlws.FILTER('Model output'!E:E,('Model output'!Z:Z=A23)),1)="","",INDEX(_xlfn._xlws.FILTER('Model output'!E:E,('Model output'!Z:Z=A23)),1)),1)),"N1", IF(INDEX(_xlfn._xlws.FILTER('Model output'!E:E,('Model output'!Z:Z=A23)),1)="","",INDEX(_xlfn._xlws.FILTER('Model output'!E:E,('Model output'!Z:Z=A23)),1))))-FIND("N",IF(ISNUMBER(SEARCH("present",IF(INDEX(_xlfn._xlws.FILTER('Model output'!E:E,('Model output'!Z:Z=A23)),1)="","",INDEX(_xlfn._xlws.FILTER('Model output'!E:E,('Model output'!Z:Z=A23)),1)),1)),"N1", IF(INDEX(_xlfn._xlws.FILTER('Model output'!E:E,('Model output'!Z:Z=A23)),1)="","",INDEX(_xlfn._xlws.FILTER('Model output'!E:E,('Model output'!Z:Z=A23)),1))),1)), "")</f>
        <v/>
      </c>
      <c r="F23" s="17" cm="1">
        <f t="array" ref="F23">IF(AND(SUBSTITUTE(_xlfn.TEXTJOIN("/", TRUE, _xlfn._xlws.FILTER('Model output'!F:F, 'Model output'!Z:Z=A23)),"M", "")="", I23="negative"),0,IF(I23="positive",1,0))</f>
        <v>0</v>
      </c>
      <c r="G23" t="str">
        <f t="shared" si="0"/>
        <v>positive</v>
      </c>
      <c r="H23" t="str" cm="1">
        <f t="array" ref="H23">IF(AND(K23&gt;0, _xlfn.TEXTJOIN("; ", TRUE, _xlfn._xlws.FILTER('Model output'!G:G, 'Model output'!Z:Z=A23)) &lt;&gt;"", OR(AND(ISNUMBER(SEARCH("level", _xlfn.TEXTJOIN("; ", TRUE, _xlfn._xlws.FILTER('Model output'!G:G, 'Model output'!Z:Z=A23)),1)),OR(ISNUMBER(SEARCH(" II", _xlfn.TEXTJOIN("; ", TRUE, _xlfn._xlws.FILTER('Model output'!G:G, 'Model output'!Z:Z=A23)),1)),ISNUMBER(SEARCH("2", _xlfn.TEXTJOIN("; ", TRUE, _xlfn._xlws.FILTER('Model output'!G:G, 'Model output'!Z:Z=A23)),1)),ISNUMBER(SEARCH("two", _xlfn.TEXTJOIN("; ", TRUE, _xlfn._xlws.FILTER('Model output'!G:G, 'Model output'!Z:Z=A23)),1)),ISNUMBER(SEARCH("III", _xlfn.TEXTJOIN("; ", TRUE, _xlfn._xlws.FILTER('Model output'!G:G, 'Model output'!Z:Z=A23)),1)),ISNUMBER(SEARCH("3", _xlfn.TEXTJOIN("; ", TRUE, _xlfn._xlws.FILTER('Model output'!G:G, 'Model output'!Z:Z=A23)),1)),ISNUMBER(SEARCH("three", _xlfn.TEXTJOIN("; ", TRUE, _xlfn._xlws.FILTER('Model output'!G:G, 'Model output'!Z:Z=A23)),1)),ISNUMBER(SEARCH("IV", _xlfn.TEXTJOIN("; ", TRUE, _xlfn._xlws.FILTER('Model output'!G:G, 'Model output'!Z:Z=A23)),1)),ISNUMBER(SEARCH("4", _xlfn.TEXTJOIN("; ", TRUE, _xlfn._xlws.FILTER('Model output'!G:G, 'Model output'!Z:Z=A23)),1)),ISNUMBER(SEARCH("five", _xlfn.TEXTJOIN("; ", TRUE, _xlfn._xlws.FILTER('Model output'!G:G, 'Model output'!Z:Z=A23)),1)),ISNUMBER(SEARCH("V ", _xlfn.TEXTJOIN("; ", TRUE, _xlfn._xlws.FILTER('Model output'!G:G, 'Model output'!Z:Z=A23)),1)),ISNUMBER(SEARCH("5", _xlfn.TEXTJOIN("; ", TRUE, _xlfn._xlws.FILTER('Model output'!G:G, 'Model output'!Z:Z=A23)),1)),ISNUMBER(SEARCH("five", _xlfn.TEXTJOIN("; ", TRUE, _xlfn._xlws.FILTER('Model output'!G:G, 'Model output'!Z:Z=A23)),1)),ISNUMBER(SEARCH(" lateral", _xlfn.TEXTJOIN("; ", TRUE, _xlfn._xlws.FILTER('Model output'!G:G, 'Model output'!Z:Z=A23)),1)))),ISNUMBER(SEARCH("cervical", _xlfn.TEXTJOIN("; ", TRUE, _xlfn._xlws.FILTER('Model output'!G:G, 'Model output'!Z:Z=A23)),1)),ISNUMBER(SEARCH("jugular", _xlfn.TEXTJOIN("; ", TRUE, _xlfn._xlws.FILTER('Model output'!G:G, 'Model output'!Z:Z=A23)),1)),ISNUMBER(SEARCH("left neck", _xlfn.TEXTJOIN("; ", TRUE, _xlfn._xlws.FILTER('Model output'!G:G, 'Model output'!Z:Z=A23)),1)),ISNUMBER(SEARCH("left anterior neck", _xlfn.TEXTJOIN("; ", TRUE, _xlfn._xlws.FILTER('Model output'!G:G, 'Model output'!Z:Z=A23)),1)),ISNUMBER(SEARCH("left posterior neck", _xlfn.TEXTJOIN("; ", TRUE, _xlfn._xlws.FILTER('Model output'!G:G, 'Model output'!Z:Z=A23)),1)),ISNUMBER(SEARCH("right neck", _xlfn.TEXTJOIN("; ", TRUE, _xlfn._xlws.FILTER('Model output'!G:G, 'Model output'!Z:Z=A23)),1)),ISNUMBER(SEARCH("right anterior neck", _xlfn.TEXTJOIN("; ", TRUE, _xlfn._xlws.FILTER('Model output'!G:G, 'Model output'!Z:Z=A23)),1)),ISNUMBER(SEARCH("right posterior neck", _xlfn.TEXTJOIN("; ", TRUE, _xlfn._xlws.FILTER('Model output'!G:G, 'Model output'!Z:Z=A23)),1)))),"lateral",IF(AND(K23=0, _xlfn.TEXTJOIN("; ", TRUE, _xlfn._xlws.FILTER('Model output'!G:G, 'Model output'!Z:Z=A23))=""),"", "central"))</f>
        <v>central</v>
      </c>
      <c r="I23" s="17" t="str" cm="1">
        <f t="array" ref="I23">IF(OR(ISNUMBER(SEARCH("lymph",_xlfn.TEXTJOIN("; ", TRUE, _xlfn._xlws.FILTER('Model output'!H:H, 'Model output'!Z:Z=A23)),1)), ISNUMBER(SEARCH("Not mentioned",_xlfn.TEXTJOIN("; ", TRUE, _xlfn._xlws.FILTER('Model output'!H:H, 'Model output'!Z:Z=A23)),1)),ISNUMBER(SEARCH("subcutaneous soft tissues",_xlfn.TEXTJOIN("; ", TRUE, _xlfn._xlws.FILTER('Model output'!H:H, 'Model output'!Z:Z=A23)),1)),ISNUMBER(SEARCH("larynx",_xlfn.TEXTJOIN("; ", TRUE, _xlfn._xlws.FILTER('Model output'!H:H, 'Model output'!Z:Z=A23)),1)),ISNUMBER(SEARCH("trachea",_xlfn.TEXTJOIN("; ", TRUE, _xlfn._xlws.FILTER('Model output'!H:H, 'Model output'!Z:Z=A23)),1)),ISNUMBER(SEARCH("esophagus",_xlfn.TEXTJOIN("; ", TRUE, _xlfn._xlws.FILTER('Model output'!H:H, 'Model output'!Z:Z=A23)),1)),ISNUMBER(SEARCH("recurrent laryngeal nerve",_xlfn.TEXTJOIN("; ", TRUE, _xlfn._xlws.FILTER('Model output'!H:H, 'Model output'!Z:Z=A23)),1)),ISNUMBER(SEARCH("RLN",_xlfn.TEXTJOIN("; ", TRUE, _xlfn._xlws.FILTER('Model output'!H:H, 'Model output'!Z:Z=A23)),1)),_xlfn.TEXTJOIN("; ", TRUE, _xlfn._xlws.FILTER('Model output'!H:H, 'Model output'!Z:Z=A23))=""),"negative","positive")</f>
        <v>negative</v>
      </c>
      <c r="J23" s="17">
        <f>IF(IFERROR(INDEX('Model output'!I:I, MATCH(A23, 'Model output'!Z:Z, 0)), "") &lt; K23, "", IFERROR(INDEX('Model output'!I:I, MATCH(A23, 'Model output'!Z:Z, 0)), ""))</f>
        <v>7</v>
      </c>
      <c r="K23" s="17">
        <f>IFERROR(INDEX('Model output'!J:J, MATCH(A23, 'Model output'!Z:Z, 0)), "")</f>
        <v>4</v>
      </c>
      <c r="L23" s="18" t="str" cm="1">
        <f t="array" ref="L23">ReplaceTo(ReplaceAnd(SUBSTITUTE(SUBSTITUTE(_xlfn.TEXTJOIN("; ", TRUE, _xlfn._xlws.FILTER('Model output'!K:K, 'Model output'!Z:Z=A23)), " ", ""), ",", ";")))</f>
        <v/>
      </c>
      <c r="M23" t="str" cm="1">
        <f t="array" ref="M23">IF(LEFT(IF(RIGHT(SUBSTITUTE(FilterWithUnits(L23)&amp;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";")),1)=";",RIGHT(IF(RIGHT(SUBSTITUTE(FilterWithUnits(L23)&amp;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";")),LEN(IF(RIGHT(SUBSTITUTE(FilterWithUnits(L23)&amp;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";")))-1),IF(RIGHT(SUBSTITUTE(FilterWithUnits(L23)&amp;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f>
        <v/>
      </c>
      <c r="N23" t="str" cm="1">
        <f t="array" ref="N23">IF(MaxSize((SplitDimensions(M23)))=0, "", MaxSize((SplitDimensions(M23))))</f>
        <v/>
      </c>
      <c r="O23" t="str" cm="1">
        <f t="array" ref="O23">IF(ISERROR(INDEX(_xlfn._xlws.FILTER('Model output'!L:L, ('Model output'!Z:Z=A23)*('Model output'!L:L&lt;&gt;"")), 1)), " ", LOWER(INDEX(_xlfn._xlws.FILTER('Model output'!L:L, ('Model output'!Z:Z=A23)*('Model output'!L:L&lt;&gt;"")), 1)))</f>
        <v>papillary</v>
      </c>
      <c r="P23" t="str" cm="1">
        <f t="array" ref="P23">IF(ISERROR(INDEX(_xlfn._xlws.FILTER('Model output'!M:M, ('Model output'!Z:Z=A23)*('Model output'!M:M&lt;&gt;"")), 1)), " ", LOWER(INDEX(_xlfn._xlws.FILTER('Model output'!M:M, ('Model output'!Z:Z=A23)*('Model output'!M:M&lt;&gt;"")), 1)))</f>
        <v xml:space="preserve"> </v>
      </c>
      <c r="Q23" t="str" cm="1">
        <f t="array" ref="Q23">IF(OR(ISNUMBER(SEARCH("ly",SUBSTITUTE(INDEX(_xlfn._xlws.FILTER('Model output'!N:N,('Model output'!Z:Z=A23)*('Model output'!N:N&lt;&gt;"")),1)," ",""),1)), ISNUMBER(SEARCH("pole",SUBSTITUTE(INDEX(_xlfn._xlws.FILTER('Model output'!N:N,('Model output'!Z:Z=A23)*('Model output'!N:N&lt;&gt;"")),1)," ",""),1))),"",SUBSTITUTE(INDEX(_xlfn._xlws.FILTER('Model output'!N:N,('Model output'!Z:Z=A23)*('Model output'!N:N&lt;&gt;"")),1)," ",""))</f>
        <v>1.8cm</v>
      </c>
      <c r="R23" t="str" cm="1">
        <f t="array" ref="R23">IF(LEFT(IF(RIGHT(SUBSTITUTE(FilterWithUnits(Q23)&amp;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";")),1)=";",RIGHT(IF(RIGHT(SUBSTITUTE(FilterWithUnits(Q23)&amp;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";")),LEN(IF(RIGHT(SUBSTITUTE(FilterWithUnits(Q23)&amp;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";")))-1),IF(RIGHT(SUBSTITUTE(FilterWithUnits(Q23)&amp;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f>
        <v>1.8cm</v>
      </c>
      <c r="S23" cm="1">
        <f t="array" ref="S23">IF(MaxSize((SplitDimensions(R23)))=0, "", MaxSize((SplitDimensions(R23))))</f>
        <v>1.8</v>
      </c>
      <c r="T23" s="17" t="str" cm="1">
        <f t="array" ref="T23">IF(ISERROR(INDEX(_xlfn._xlws.FILTER('Model output'!P:P,('Model output'!Z:Z=A23)*('Model output'!P:P&lt;&gt;"")),1)),"negative",IF(OR(ISNUMBER(SEARCH("foc",INDEX(_xlfn._xlws.FILTER('Model output'!P:P,('Model output'!Z:Z=A23)*('Model output'!P:P&lt;&gt;"")),1),1)),ISNUMBER(SEARCH("extensive",INDEX(_xlfn._xlws.FILTER('Model output'!P:P,('Model output'!Z:Z=A23)*('Model output'!P:P&lt;&gt;"")),1),1)),ISNUMBER(SEARCH("present",INDEX(_xlfn._xlws.FILTER('Model output'!P:P,('Model output'!Z:Z=A23)*('Model output'!P:P&lt;&gt;"")),1),1)),ISNUMBER(SEARCH("yes",INDEX(_xlfn._xlws.FILTER('Model output'!P:P,('Model output'!Z:Z=A23)*('Model output'!P:P&lt;&gt;"")),1),1))),"positive","negative"))</f>
        <v>positive</v>
      </c>
      <c r="V23" t="str" cm="1">
        <f t="array" ref="V23">IF(ISNUMBER(SEARCH("4",INDEX(_xlfn._xlws.FILTER('Model output'!P:P,('Model output'!Z:Z=A23)*('Model output'!P:P&lt;&gt;"")),1),1)),INDEX(_xlfn._xlws.FILTER('Model output'!P:P,('Model output'!Z:Z=A23)*('Model output'!P:P&lt;&gt;"")),1),"") &amp; _xlfn.TEXTJOIN("",TRUE,_xlfn._xlws.FILTER('Model output'!Q:Q,'Model output'!Z:Z=A23))</f>
        <v>4 or more</v>
      </c>
      <c r="W23" t="str">
        <f t="shared" si="11"/>
        <v>extensive</v>
      </c>
      <c r="X23" t="str" cm="1">
        <f t="array" ref="X23">IF(OR(ISNUMBER(SEARCH("focal",_xlfn.TEXTJOIN("; ",TRUE,_xlfn._xlws.FILTER('Model output'!R:R,'Model output'!Z:Z=A23)),1)),ISNUMBER(SEARCH("present",_xlfn.TEXTJOIN("; ",TRUE,_xlfn._xlws.FILTER('Model output'!R:R,'Model output'!Z:Z=A23)),1))),"positive",IF(_xlfn.TEXTJOIN("; ",TRUE,_xlfn._xlws.FILTER('Model output'!R:R,'Model output'!Z:Z=A23))="","negative",IF(OR(ISNUMBER(SEARCH("no",_xlfn.TEXTJOIN("; ",TRUE,_xlfn._xlws.FILTER('Model output'!R:R,'Model output'!Z:Z=A23)),1)),ISNUMBER(SEARCH("absent",_xlfn.TEXTJOIN("; ",TRUE,_xlfn._xlws.FILTER('Model output'!R:R,'Model output'!Z:Z=A23)),1))),"negative","positive")))</f>
        <v>positive</v>
      </c>
      <c r="Y23" s="17" t="str">
        <f t="shared" si="12"/>
        <v>positive</v>
      </c>
      <c r="AC23" s="17" t="str">
        <f t="shared" si="13"/>
        <v>negative</v>
      </c>
      <c r="AD23" t="str" cm="1">
        <f t="array" ref="AD23">_xlfn.TEXTJOIN("; ",TRUE,_xlfn._xlws.FILTER('Model output'!S:S,'Model output'!Z:Z=A23))</f>
        <v>Present; Not mentioned</v>
      </c>
      <c r="AE23" s="47" t="str" cm="1">
        <f t="array" ref="AE23">IF(OR(ISNUMBER(SEARCH("uninvolved",_xlfn.TEXTJOIN("; ",TRUE,_xlfn._xlws.FILTER('Model output'!V:V,'Model output'!Z:Z=A23)),1)),ISNUMBER(SEARCH("clear",_xlfn.TEXTJOIN("; ",TRUE,_xlfn._xlws.FILTER('Model output'!V:V,'Model output'!Z:Z=A23)),1))*ISNUMBER(SEARCH("not mentioned",_xlfn.TEXTJOIN("; ",TRUE,_xlfn._xlws.FILTER('Model output'!V:V,'Model output'!Z:Z=A23)),1))),"negative",IF(ISNUMBER(SEARCH("cannot be assessed",_xlfn.TEXTJOIN("; ",TRUE,_xlfn._xlws.FILTER('Model output'!V:V,'Model output'!Z:Z=A23)),1)),"negative","negative"))</f>
        <v>negative</v>
      </c>
      <c r="AG23" s="36" t="str">
        <f t="shared" si="14"/>
        <v>intermediate</v>
      </c>
      <c r="AH23" s="37" t="str">
        <f t="shared" si="2"/>
        <v>1b</v>
      </c>
      <c r="AI23" s="37" t="str">
        <f t="shared" si="15"/>
        <v>1a</v>
      </c>
      <c r="AJ23" s="37">
        <f t="shared" si="16"/>
        <v>0</v>
      </c>
      <c r="AK23" s="37" t="str">
        <f t="shared" si="17"/>
        <v>I</v>
      </c>
      <c r="AL23" s="10" t="s">
        <v>166</v>
      </c>
      <c r="AM23" s="32" t="s">
        <v>194</v>
      </c>
      <c r="AN23" s="32" t="s">
        <v>196</v>
      </c>
      <c r="AO23" s="32">
        <v>0</v>
      </c>
      <c r="AP23" s="32" t="s">
        <v>31</v>
      </c>
      <c r="AQ23" s="10">
        <f t="shared" si="6"/>
        <v>1</v>
      </c>
      <c r="AR23" s="32">
        <f t="shared" si="7"/>
        <v>1</v>
      </c>
      <c r="AS23" s="32">
        <f t="shared" si="8"/>
        <v>1</v>
      </c>
      <c r="AT23" s="32">
        <f t="shared" si="9"/>
        <v>1</v>
      </c>
      <c r="AU23" s="34">
        <f t="shared" si="10"/>
        <v>1</v>
      </c>
    </row>
    <row r="24" spans="1:47">
      <c r="A24" s="13">
        <v>22</v>
      </c>
      <c r="B24" s="16"/>
      <c r="C24" s="17">
        <f>_xlfn.MAXIFS('Model output'!C:C,'Model output'!Z:Z,'Classification result'!$A24)</f>
        <v>50</v>
      </c>
      <c r="D24" s="17" t="str" cm="1">
        <f t="array" ref="D24">LEFT(IF(ISERROR(RIGHT(IF(INDEX(_xlfn._xlws.FILTER('Model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output'!Z:Z=A24)),1),""),1))),"",(RIGHT(IF(INDEX(_xlfn._xlws.FILTER('Model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output'!Z:Z=A24)),1)))))),2)</f>
        <v>1a</v>
      </c>
      <c r="E24" s="17" t="str" cm="1">
        <f t="array" ref="E24">IF(ISNUMBER(SEARCH("N",IF(ISNUMBER(SEARCH("present",IF(INDEX(_xlfn._xlws.FILTER('Model output'!E:E,('Model output'!Z:Z=A24)),1)="","",INDEX(_xlfn._xlws.FILTER('Model output'!E:E,('Model output'!Z:Z=A24)),1)),1)),"N1", IF(INDEX(_xlfn._xlws.FILTER('Model output'!E:E,('Model output'!Z:Z=A24)),1)="","",INDEX(_xlfn._xlws.FILTER('Model output'!E:E,('Model output'!Z:Z=A24)),1))),1)),RIGHT(IF(ISNUMBER(SEARCH("present",IF(INDEX(_xlfn._xlws.FILTER('Model output'!E:E,('Model output'!Z:Z=A24)),1)="","",INDEX(_xlfn._xlws.FILTER('Model output'!E:E,('Model output'!Z:Z=A24)),1)),1)),"N1", IF(INDEX(_xlfn._xlws.FILTER('Model output'!E:E,('Model output'!Z:Z=A24)),1)="","",INDEX(_xlfn._xlws.FILTER('Model output'!E:E,('Model output'!Z:Z=A24)),1))),LEN(IF(ISNUMBER(SEARCH("present",IF(INDEX(_xlfn._xlws.FILTER('Model output'!E:E,('Model output'!Z:Z=A24)),1)="","",INDEX(_xlfn._xlws.FILTER('Model output'!E:E,('Model output'!Z:Z=A24)),1)),1)),"N1", IF(INDEX(_xlfn._xlws.FILTER('Model output'!E:E,('Model output'!Z:Z=A24)),1)="","",INDEX(_xlfn._xlws.FILTER('Model output'!E:E,('Model output'!Z:Z=A24)),1))))-FIND("N",IF(ISNUMBER(SEARCH("present",IF(INDEX(_xlfn._xlws.FILTER('Model output'!E:E,('Model output'!Z:Z=A24)),1)="","",INDEX(_xlfn._xlws.FILTER('Model output'!E:E,('Model output'!Z:Z=A24)),1)),1)),"N1", IF(INDEX(_xlfn._xlws.FILTER('Model output'!E:E,('Model output'!Z:Z=A24)),1)="","",INDEX(_xlfn._xlws.FILTER('Model output'!E:E,('Model output'!Z:Z=A24)),1))),1)), "")</f>
        <v/>
      </c>
      <c r="F24" s="17" cm="1">
        <f t="array" ref="F24">IF(AND(SUBSTITUTE(_xlfn.TEXTJOIN("/", TRUE, _xlfn._xlws.FILTER('Model output'!F:F, 'Model output'!Z:Z=A24)),"M", "")="", I24="negative"),0,IF(I24="positive",1,0))</f>
        <v>0</v>
      </c>
      <c r="G24" t="str">
        <f t="shared" si="0"/>
        <v/>
      </c>
      <c r="H24" t="str" cm="1">
        <f t="array" ref="H24">IF(AND(K24&gt;0, _xlfn.TEXTJOIN("; ", TRUE, _xlfn._xlws.FILTER('Model output'!G:G, 'Model output'!Z:Z=A24)) &lt;&gt;"", OR(AND(ISNUMBER(SEARCH("level", _xlfn.TEXTJOIN("; ", TRUE, _xlfn._xlws.FILTER('Model output'!G:G, 'Model output'!Z:Z=A24)),1)),OR(ISNUMBER(SEARCH(" II", _xlfn.TEXTJOIN("; ", TRUE, _xlfn._xlws.FILTER('Model output'!G:G, 'Model output'!Z:Z=A24)),1)),ISNUMBER(SEARCH("2", _xlfn.TEXTJOIN("; ", TRUE, _xlfn._xlws.FILTER('Model output'!G:G, 'Model output'!Z:Z=A24)),1)),ISNUMBER(SEARCH("two", _xlfn.TEXTJOIN("; ", TRUE, _xlfn._xlws.FILTER('Model output'!G:G, 'Model output'!Z:Z=A24)),1)),ISNUMBER(SEARCH("III", _xlfn.TEXTJOIN("; ", TRUE, _xlfn._xlws.FILTER('Model output'!G:G, 'Model output'!Z:Z=A24)),1)),ISNUMBER(SEARCH("3", _xlfn.TEXTJOIN("; ", TRUE, _xlfn._xlws.FILTER('Model output'!G:G, 'Model output'!Z:Z=A24)),1)),ISNUMBER(SEARCH("three", _xlfn.TEXTJOIN("; ", TRUE, _xlfn._xlws.FILTER('Model output'!G:G, 'Model output'!Z:Z=A24)),1)),ISNUMBER(SEARCH("IV", _xlfn.TEXTJOIN("; ", TRUE, _xlfn._xlws.FILTER('Model output'!G:G, 'Model output'!Z:Z=A24)),1)),ISNUMBER(SEARCH("4", _xlfn.TEXTJOIN("; ", TRUE, _xlfn._xlws.FILTER('Model output'!G:G, 'Model output'!Z:Z=A24)),1)),ISNUMBER(SEARCH("five", _xlfn.TEXTJOIN("; ", TRUE, _xlfn._xlws.FILTER('Model output'!G:G, 'Model output'!Z:Z=A24)),1)),ISNUMBER(SEARCH("V ", _xlfn.TEXTJOIN("; ", TRUE, _xlfn._xlws.FILTER('Model output'!G:G, 'Model output'!Z:Z=A24)),1)),ISNUMBER(SEARCH("5", _xlfn.TEXTJOIN("; ", TRUE, _xlfn._xlws.FILTER('Model output'!G:G, 'Model output'!Z:Z=A24)),1)),ISNUMBER(SEARCH("five", _xlfn.TEXTJOIN("; ", TRUE, _xlfn._xlws.FILTER('Model output'!G:G, 'Model output'!Z:Z=A24)),1)),ISNUMBER(SEARCH(" lateral", _xlfn.TEXTJOIN("; ", TRUE, _xlfn._xlws.FILTER('Model output'!G:G, 'Model output'!Z:Z=A24)),1)))),ISNUMBER(SEARCH("cervical", _xlfn.TEXTJOIN("; ", TRUE, _xlfn._xlws.FILTER('Model output'!G:G, 'Model output'!Z:Z=A24)),1)),ISNUMBER(SEARCH("jugular", _xlfn.TEXTJOIN("; ", TRUE, _xlfn._xlws.FILTER('Model output'!G:G, 'Model output'!Z:Z=A24)),1)),ISNUMBER(SEARCH("left neck", _xlfn.TEXTJOIN("; ", TRUE, _xlfn._xlws.FILTER('Model output'!G:G, 'Model output'!Z:Z=A24)),1)),ISNUMBER(SEARCH("left anterior neck", _xlfn.TEXTJOIN("; ", TRUE, _xlfn._xlws.FILTER('Model output'!G:G, 'Model output'!Z:Z=A24)),1)),ISNUMBER(SEARCH("left posterior neck", _xlfn.TEXTJOIN("; ", TRUE, _xlfn._xlws.FILTER('Model output'!G:G, 'Model output'!Z:Z=A24)),1)),ISNUMBER(SEARCH("right neck", _xlfn.TEXTJOIN("; ", TRUE, _xlfn._xlws.FILTER('Model output'!G:G, 'Model output'!Z:Z=A24)),1)),ISNUMBER(SEARCH("right anterior neck", _xlfn.TEXTJOIN("; ", TRUE, _xlfn._xlws.FILTER('Model output'!G:G, 'Model output'!Z:Z=A24)),1)),ISNUMBER(SEARCH("right posterior neck", _xlfn.TEXTJOIN("; ", TRUE, _xlfn._xlws.FILTER('Model output'!G:G, 'Model output'!Z:Z=A24)),1)))),"lateral",IF(AND(K24=0, _xlfn.TEXTJOIN("; ", TRUE, _xlfn._xlws.FILTER('Model output'!G:G, 'Model output'!Z:Z=A24))=""),"", "central"))</f>
        <v/>
      </c>
      <c r="I24" s="17" t="str" cm="1">
        <f t="array" ref="I24">IF(OR(ISNUMBER(SEARCH("lymph",_xlfn.TEXTJOIN("; ", TRUE, _xlfn._xlws.FILTER('Model output'!H:H, 'Model output'!Z:Z=A24)),1)), ISNUMBER(SEARCH("Not mentioned",_xlfn.TEXTJOIN("; ", TRUE, _xlfn._xlws.FILTER('Model output'!H:H, 'Model output'!Z:Z=A24)),1)),ISNUMBER(SEARCH("subcutaneous soft tissues",_xlfn.TEXTJOIN("; ", TRUE, _xlfn._xlws.FILTER('Model output'!H:H, 'Model output'!Z:Z=A24)),1)),ISNUMBER(SEARCH("larynx",_xlfn.TEXTJOIN("; ", TRUE, _xlfn._xlws.FILTER('Model output'!H:H, 'Model output'!Z:Z=A24)),1)),ISNUMBER(SEARCH("trachea",_xlfn.TEXTJOIN("; ", TRUE, _xlfn._xlws.FILTER('Model output'!H:H, 'Model output'!Z:Z=A24)),1)),ISNUMBER(SEARCH("esophagus",_xlfn.TEXTJOIN("; ", TRUE, _xlfn._xlws.FILTER('Model output'!H:H, 'Model output'!Z:Z=A24)),1)),ISNUMBER(SEARCH("recurrent laryngeal nerve",_xlfn.TEXTJOIN("; ", TRUE, _xlfn._xlws.FILTER('Model output'!H:H, 'Model output'!Z:Z=A24)),1)),ISNUMBER(SEARCH("RLN",_xlfn.TEXTJOIN("; ", TRUE, _xlfn._xlws.FILTER('Model output'!H:H, 'Model output'!Z:Z=A24)),1)),_xlfn.TEXTJOIN("; ", TRUE, _xlfn._xlws.FILTER('Model output'!H:H, 'Model output'!Z:Z=A24))=""),"negative","positive")</f>
        <v>negative</v>
      </c>
      <c r="J24" s="17">
        <f>IF(IFERROR(INDEX('Model output'!I:I, MATCH(A24, 'Model output'!Z:Z, 0)), "") &lt; K24, "", IFERROR(INDEX('Model output'!I:I, MATCH(A24, 'Model output'!Z:Z, 0)), ""))</f>
        <v>1</v>
      </c>
      <c r="K24" s="17">
        <f>IFERROR(INDEX('Model output'!J:J, MATCH(A24, 'Model output'!Z:Z, 0)), "")</f>
        <v>0</v>
      </c>
      <c r="L24" s="18" t="str" cm="1">
        <f t="array" ref="L24">ReplaceTo(ReplaceAnd(SUBSTITUTE(SUBSTITUTE(_xlfn.TEXTJOIN("; ", TRUE, _xlfn._xlws.FILTER('Model output'!K:K, 'Model output'!Z:Z=A24)), " ", ""), ",", ";")))</f>
        <v/>
      </c>
      <c r="M24" t="str" cm="1">
        <f t="array" ref="M24">IF(LEFT(IF(RIGHT(SUBSTITUTE(FilterWithUnits(L24)&amp;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";")),1)=";",RIGHT(IF(RIGHT(SUBSTITUTE(FilterWithUnits(L24)&amp;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";")),LEN(IF(RIGHT(SUBSTITUTE(FilterWithUnits(L24)&amp;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";")))-1),IF(RIGHT(SUBSTITUTE(FilterWithUnits(L24)&amp;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f>
        <v/>
      </c>
      <c r="N24" t="str" cm="1">
        <f t="array" ref="N24">IF(MaxSize((SplitDimensions(M24)))=0, "", MaxSize((SplitDimensions(M24))))</f>
        <v/>
      </c>
      <c r="O24" t="str" cm="1">
        <f t="array" ref="O24">IF(ISERROR(INDEX(_xlfn._xlws.FILTER('Model output'!L:L, ('Model output'!Z:Z=A24)*('Model output'!L:L&lt;&gt;"")), 1)), " ", LOWER(INDEX(_xlfn._xlws.FILTER('Model output'!L:L, ('Model output'!Z:Z=A24)*('Model output'!L:L&lt;&gt;"")), 1)))</f>
        <v>papillary carcinoma</v>
      </c>
      <c r="P24" t="str" cm="1">
        <f t="array" ref="P24">IF(ISERROR(INDEX(_xlfn._xlws.FILTER('Model output'!M:M, ('Model output'!Z:Z=A24)*('Model output'!M:M&lt;&gt;"")), 1)), " ", LOWER(INDEX(_xlfn._xlws.FILTER('Model output'!M:M, ('Model output'!Z:Z=A24)*('Model output'!M:M&lt;&gt;"")), 1)))</f>
        <v>classic</v>
      </c>
      <c r="Q24" t="str" cm="1">
        <f t="array" ref="Q24">IF(OR(ISNUMBER(SEARCH("ly",SUBSTITUTE(INDEX(_xlfn._xlws.FILTER('Model output'!N:N,('Model output'!Z:Z=A24)*('Model output'!N:N&lt;&gt;"")),1)," ",""),1)), ISNUMBER(SEARCH("pole",SUBSTITUTE(INDEX(_xlfn._xlws.FILTER('Model output'!N:N,('Model output'!Z:Z=A24)*('Model output'!N:N&lt;&gt;"")),1)," ",""),1))),"",SUBSTITUTE(INDEX(_xlfn._xlws.FILTER('Model output'!N:N,('Model output'!Z:Z=A24)*('Model output'!N:N&lt;&gt;"")),1)," ",""))</f>
        <v>10mm</v>
      </c>
      <c r="R24" t="str" cm="1">
        <f t="array" ref="R24">IF(LEFT(IF(RIGHT(SUBSTITUTE(FilterWithUnits(Q24)&amp;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";")),1)=";",RIGHT(IF(RIGHT(SUBSTITUTE(FilterWithUnits(Q24)&amp;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";")),LEN(IF(RIGHT(SUBSTITUTE(FilterWithUnits(Q24)&amp;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";")))-1),IF(RIGHT(SUBSTITUTE(FilterWithUnits(Q24)&amp;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f>
        <v>10mm</v>
      </c>
      <c r="S24" cm="1">
        <f t="array" ref="S24">IF(MaxSize((SplitDimensions(R24)))=0, "", MaxSize((SplitDimensions(R24))))</f>
        <v>1</v>
      </c>
      <c r="T24" s="17" t="str" cm="1">
        <f t="array" ref="T24">IF(ISERROR(INDEX(_xlfn._xlws.FILTER('Model output'!P:P,('Model output'!Z:Z=A24)*('Model output'!P:P&lt;&gt;"")),1)),"negative",IF(OR(ISNUMBER(SEARCH("foc",INDEX(_xlfn._xlws.FILTER('Model output'!P:P,('Model output'!Z:Z=A24)*('Model output'!P:P&lt;&gt;"")),1),1)),ISNUMBER(SEARCH("extensive",INDEX(_xlfn._xlws.FILTER('Model output'!P:P,('Model output'!Z:Z=A24)*('Model output'!P:P&lt;&gt;"")),1),1)),ISNUMBER(SEARCH("present",INDEX(_xlfn._xlws.FILTER('Model output'!P:P,('Model output'!Z:Z=A24)*('Model output'!P:P&lt;&gt;"")),1),1)),ISNUMBER(SEARCH("yes",INDEX(_xlfn._xlws.FILTER('Model output'!P:P,('Model output'!Z:Z=A24)*('Model output'!P:P&lt;&gt;"")),1),1))),"positive","negative"))</f>
        <v>negative</v>
      </c>
      <c r="V24" t="str" cm="1">
        <f t="array" ref="V24">IF(ISNUMBER(SEARCH("4",INDEX(_xlfn._xlws.FILTER('Model output'!P:P,('Model output'!Z:Z=A24)*('Model output'!P:P&lt;&gt;"")),1),1)),INDEX(_xlfn._xlws.FILTER('Model output'!P:P,('Model output'!Z:Z=A24)*('Model output'!P:P&lt;&gt;"")),1),"") &amp; _xlfn.TEXTJOIN("",TRUE,_xlfn._xlws.FILTER('Model output'!Q:Q,'Model output'!Z:Z=A24))</f>
        <v/>
      </c>
      <c r="W24" t="str">
        <f t="shared" si="11"/>
        <v>no</v>
      </c>
      <c r="X24" t="str" cm="1">
        <f t="array" ref="X24">IF(OR(ISNUMBER(SEARCH("focal",_xlfn.TEXTJOIN("; ",TRUE,_xlfn._xlws.FILTER('Model output'!R:R,'Model output'!Z:Z=A24)),1)),ISNUMBER(SEARCH("present",_xlfn.TEXTJOIN("; ",TRUE,_xlfn._xlws.FILTER('Model output'!R:R,'Model output'!Z:Z=A24)),1))),"positive",IF(_xlfn.TEXTJOIN("; ",TRUE,_xlfn._xlws.FILTER('Model output'!R:R,'Model output'!Z:Z=A24))="","negative",IF(OR(ISNUMBER(SEARCH("no",_xlfn.TEXTJOIN("; ",TRUE,_xlfn._xlws.FILTER('Model output'!R:R,'Model output'!Z:Z=A24)),1)),ISNUMBER(SEARCH("absent",_xlfn.TEXTJOIN("; ",TRUE,_xlfn._xlws.FILTER('Model output'!R:R,'Model output'!Z:Z=A24)),1))),"negative","positive")))</f>
        <v>negative</v>
      </c>
      <c r="Y24" s="17" t="str">
        <f t="shared" si="12"/>
        <v>negative</v>
      </c>
      <c r="AC24" s="17" t="str">
        <f t="shared" si="13"/>
        <v>negative</v>
      </c>
      <c r="AD24" t="str" cm="1">
        <f t="array" ref="AD24">_xlfn.TEXTJOIN("; ",TRUE,_xlfn._xlws.FILTER('Model output'!S:S,'Model output'!Z:Z=A24))</f>
        <v>Not identified; Not identified</v>
      </c>
      <c r="AE24" s="47" t="str" cm="1">
        <f t="array" ref="AE24">IF(OR(ISNUMBER(SEARCH("uninvolved",_xlfn.TEXTJOIN("; ",TRUE,_xlfn._xlws.FILTER('Model output'!V:V,'Model output'!Z:Z=A24)),1)),ISNUMBER(SEARCH("clear",_xlfn.TEXTJOIN("; ",TRUE,_xlfn._xlws.FILTER('Model output'!V:V,'Model output'!Z:Z=A24)),1))*ISNUMBER(SEARCH("not mentioned",_xlfn.TEXTJOIN("; ",TRUE,_xlfn._xlws.FILTER('Model output'!V:V,'Model output'!Z:Z=A24)),1))),"negative",IF(ISNUMBER(SEARCH("cannot be assessed",_xlfn.TEXTJOIN("; ",TRUE,_xlfn._xlws.FILTER('Model output'!V:V,'Model output'!Z:Z=A24)),1)),"negative","negative"))</f>
        <v>negative</v>
      </c>
      <c r="AG24" s="36" t="str">
        <f t="shared" si="14"/>
        <v>low</v>
      </c>
      <c r="AH24" s="37" t="str">
        <f t="shared" si="2"/>
        <v>1a</v>
      </c>
      <c r="AI24" s="37">
        <f t="shared" si="15"/>
        <v>0</v>
      </c>
      <c r="AJ24" s="37">
        <f t="shared" si="16"/>
        <v>0</v>
      </c>
      <c r="AK24" s="37" t="str">
        <f t="shared" si="17"/>
        <v>I</v>
      </c>
      <c r="AL24" s="10" t="s">
        <v>168</v>
      </c>
      <c r="AM24" s="32" t="s">
        <v>196</v>
      </c>
      <c r="AN24" s="32">
        <v>0</v>
      </c>
      <c r="AO24" s="32">
        <v>0</v>
      </c>
      <c r="AP24" s="32" t="s">
        <v>31</v>
      </c>
      <c r="AQ24" s="10">
        <f t="shared" si="6"/>
        <v>1</v>
      </c>
      <c r="AR24" s="32">
        <f t="shared" si="7"/>
        <v>1</v>
      </c>
      <c r="AS24" s="32">
        <f t="shared" si="8"/>
        <v>1</v>
      </c>
      <c r="AT24" s="32">
        <f t="shared" si="9"/>
        <v>1</v>
      </c>
      <c r="AU24" s="34">
        <f t="shared" si="10"/>
        <v>1</v>
      </c>
    </row>
    <row r="25" spans="1:47">
      <c r="A25" s="13">
        <v>23</v>
      </c>
      <c r="B25" s="16"/>
      <c r="C25" s="17">
        <f>_xlfn.MAXIFS('Model output'!C:C,'Model output'!Z:Z,'Classification result'!$A25)</f>
        <v>61</v>
      </c>
      <c r="D25" s="17" t="str" cm="1">
        <f t="array" ref="D25">LEFT(IF(ISERROR(RIGHT(IF(INDEX(_xlfn._xlws.FILTER('Model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output'!Z:Z=A25)),1),""),1))),"",(RIGHT(IF(INDEX(_xlfn._xlws.FILTER('Model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output'!Z:Z=A25)),1)))))),2)</f>
        <v>1a</v>
      </c>
      <c r="E25" s="17" t="str" cm="1">
        <f t="array" ref="E25">IF(ISNUMBER(SEARCH("N",IF(ISNUMBER(SEARCH("present",IF(INDEX(_xlfn._xlws.FILTER('Model output'!E:E,('Model output'!Z:Z=A25)),1)="","",INDEX(_xlfn._xlws.FILTER('Model output'!E:E,('Model output'!Z:Z=A25)),1)),1)),"N1", IF(INDEX(_xlfn._xlws.FILTER('Model output'!E:E,('Model output'!Z:Z=A25)),1)="","",INDEX(_xlfn._xlws.FILTER('Model output'!E:E,('Model output'!Z:Z=A25)),1))),1)),RIGHT(IF(ISNUMBER(SEARCH("present",IF(INDEX(_xlfn._xlws.FILTER('Model output'!E:E,('Model output'!Z:Z=A25)),1)="","",INDEX(_xlfn._xlws.FILTER('Model output'!E:E,('Model output'!Z:Z=A25)),1)),1)),"N1", IF(INDEX(_xlfn._xlws.FILTER('Model output'!E:E,('Model output'!Z:Z=A25)),1)="","",INDEX(_xlfn._xlws.FILTER('Model output'!E:E,('Model output'!Z:Z=A25)),1))),LEN(IF(ISNUMBER(SEARCH("present",IF(INDEX(_xlfn._xlws.FILTER('Model output'!E:E,('Model output'!Z:Z=A25)),1)="","",INDEX(_xlfn._xlws.FILTER('Model output'!E:E,('Model output'!Z:Z=A25)),1)),1)),"N1", IF(INDEX(_xlfn._xlws.FILTER('Model output'!E:E,('Model output'!Z:Z=A25)),1)="","",INDEX(_xlfn._xlws.FILTER('Model output'!E:E,('Model output'!Z:Z=A25)),1))))-FIND("N",IF(ISNUMBER(SEARCH("present",IF(INDEX(_xlfn._xlws.FILTER('Model output'!E:E,('Model output'!Z:Z=A25)),1)="","",INDEX(_xlfn._xlws.FILTER('Model output'!E:E,('Model output'!Z:Z=A25)),1)),1)),"N1", IF(INDEX(_xlfn._xlws.FILTER('Model output'!E:E,('Model output'!Z:Z=A25)),1)="","",INDEX(_xlfn._xlws.FILTER('Model output'!E:E,('Model output'!Z:Z=A25)),1))),1)), "")</f>
        <v/>
      </c>
      <c r="F25" s="17" cm="1">
        <f t="array" ref="F25">IF(AND(SUBSTITUTE(_xlfn.TEXTJOIN("/", TRUE, _xlfn._xlws.FILTER('Model output'!F:F, 'Model output'!Z:Z=A25)),"M", "")="", I25="negative"),0,IF(I25="positive",1,0))</f>
        <v>0</v>
      </c>
      <c r="G25" t="str">
        <f t="shared" si="0"/>
        <v/>
      </c>
      <c r="H25" t="str" cm="1">
        <f t="array" ref="H25">IF(AND(K25&gt;0, _xlfn.TEXTJOIN("; ", TRUE, _xlfn._xlws.FILTER('Model output'!G:G, 'Model output'!Z:Z=A25)) &lt;&gt;"", OR(AND(ISNUMBER(SEARCH("level", _xlfn.TEXTJOIN("; ", TRUE, _xlfn._xlws.FILTER('Model output'!G:G, 'Model output'!Z:Z=A25)),1)),OR(ISNUMBER(SEARCH(" II", _xlfn.TEXTJOIN("; ", TRUE, _xlfn._xlws.FILTER('Model output'!G:G, 'Model output'!Z:Z=A25)),1)),ISNUMBER(SEARCH("2", _xlfn.TEXTJOIN("; ", TRUE, _xlfn._xlws.FILTER('Model output'!G:G, 'Model output'!Z:Z=A25)),1)),ISNUMBER(SEARCH("two", _xlfn.TEXTJOIN("; ", TRUE, _xlfn._xlws.FILTER('Model output'!G:G, 'Model output'!Z:Z=A25)),1)),ISNUMBER(SEARCH("III", _xlfn.TEXTJOIN("; ", TRUE, _xlfn._xlws.FILTER('Model output'!G:G, 'Model output'!Z:Z=A25)),1)),ISNUMBER(SEARCH("3", _xlfn.TEXTJOIN("; ", TRUE, _xlfn._xlws.FILTER('Model output'!G:G, 'Model output'!Z:Z=A25)),1)),ISNUMBER(SEARCH("three", _xlfn.TEXTJOIN("; ", TRUE, _xlfn._xlws.FILTER('Model output'!G:G, 'Model output'!Z:Z=A25)),1)),ISNUMBER(SEARCH("IV", _xlfn.TEXTJOIN("; ", TRUE, _xlfn._xlws.FILTER('Model output'!G:G, 'Model output'!Z:Z=A25)),1)),ISNUMBER(SEARCH("4", _xlfn.TEXTJOIN("; ", TRUE, _xlfn._xlws.FILTER('Model output'!G:G, 'Model output'!Z:Z=A25)),1)),ISNUMBER(SEARCH("five", _xlfn.TEXTJOIN("; ", TRUE, _xlfn._xlws.FILTER('Model output'!G:G, 'Model output'!Z:Z=A25)),1)),ISNUMBER(SEARCH("V ", _xlfn.TEXTJOIN("; ", TRUE, _xlfn._xlws.FILTER('Model output'!G:G, 'Model output'!Z:Z=A25)),1)),ISNUMBER(SEARCH("5", _xlfn.TEXTJOIN("; ", TRUE, _xlfn._xlws.FILTER('Model output'!G:G, 'Model output'!Z:Z=A25)),1)),ISNUMBER(SEARCH("five", _xlfn.TEXTJOIN("; ", TRUE, _xlfn._xlws.FILTER('Model output'!G:G, 'Model output'!Z:Z=A25)),1)),ISNUMBER(SEARCH(" lateral", _xlfn.TEXTJOIN("; ", TRUE, _xlfn._xlws.FILTER('Model output'!G:G, 'Model output'!Z:Z=A25)),1)))),ISNUMBER(SEARCH("cervical", _xlfn.TEXTJOIN("; ", TRUE, _xlfn._xlws.FILTER('Model output'!G:G, 'Model output'!Z:Z=A25)),1)),ISNUMBER(SEARCH("jugular", _xlfn.TEXTJOIN("; ", TRUE, _xlfn._xlws.FILTER('Model output'!G:G, 'Model output'!Z:Z=A25)),1)),ISNUMBER(SEARCH("left neck", _xlfn.TEXTJOIN("; ", TRUE, _xlfn._xlws.FILTER('Model output'!G:G, 'Model output'!Z:Z=A25)),1)),ISNUMBER(SEARCH("left anterior neck", _xlfn.TEXTJOIN("; ", TRUE, _xlfn._xlws.FILTER('Model output'!G:G, 'Model output'!Z:Z=A25)),1)),ISNUMBER(SEARCH("left posterior neck", _xlfn.TEXTJOIN("; ", TRUE, _xlfn._xlws.FILTER('Model output'!G:G, 'Model output'!Z:Z=A25)),1)),ISNUMBER(SEARCH("right neck", _xlfn.TEXTJOIN("; ", TRUE, _xlfn._xlws.FILTER('Model output'!G:G, 'Model output'!Z:Z=A25)),1)),ISNUMBER(SEARCH("right anterior neck", _xlfn.TEXTJOIN("; ", TRUE, _xlfn._xlws.FILTER('Model output'!G:G, 'Model output'!Z:Z=A25)),1)),ISNUMBER(SEARCH("right posterior neck", _xlfn.TEXTJOIN("; ", TRUE, _xlfn._xlws.FILTER('Model output'!G:G, 'Model output'!Z:Z=A25)),1)))),"lateral",IF(AND(K25=0, _xlfn.TEXTJOIN("; ", TRUE, _xlfn._xlws.FILTER('Model output'!G:G, 'Model output'!Z:Z=A25))=""),"", "central"))</f>
        <v/>
      </c>
      <c r="I25" s="17" t="str" cm="1">
        <f t="array" ref="I25">IF(OR(ISNUMBER(SEARCH("lymph",_xlfn.TEXTJOIN("; ", TRUE, _xlfn._xlws.FILTER('Model output'!H:H, 'Model output'!Z:Z=A25)),1)), ISNUMBER(SEARCH("Not mentioned",_xlfn.TEXTJOIN("; ", TRUE, _xlfn._xlws.FILTER('Model output'!H:H, 'Model output'!Z:Z=A25)),1)),ISNUMBER(SEARCH("subcutaneous soft tissues",_xlfn.TEXTJOIN("; ", TRUE, _xlfn._xlws.FILTER('Model output'!H:H, 'Model output'!Z:Z=A25)),1)),ISNUMBER(SEARCH("larynx",_xlfn.TEXTJOIN("; ", TRUE, _xlfn._xlws.FILTER('Model output'!H:H, 'Model output'!Z:Z=A25)),1)),ISNUMBER(SEARCH("trachea",_xlfn.TEXTJOIN("; ", TRUE, _xlfn._xlws.FILTER('Model output'!H:H, 'Model output'!Z:Z=A25)),1)),ISNUMBER(SEARCH("esophagus",_xlfn.TEXTJOIN("; ", TRUE, _xlfn._xlws.FILTER('Model output'!H:H, 'Model output'!Z:Z=A25)),1)),ISNUMBER(SEARCH("recurrent laryngeal nerve",_xlfn.TEXTJOIN("; ", TRUE, _xlfn._xlws.FILTER('Model output'!H:H, 'Model output'!Z:Z=A25)),1)),ISNUMBER(SEARCH("RLN",_xlfn.TEXTJOIN("; ", TRUE, _xlfn._xlws.FILTER('Model output'!H:H, 'Model output'!Z:Z=A25)),1)),_xlfn.TEXTJOIN("; ", TRUE, _xlfn._xlws.FILTER('Model output'!H:H, 'Model output'!Z:Z=A25))=""),"negative","positive")</f>
        <v>negative</v>
      </c>
      <c r="J25" s="17">
        <f>IF(IFERROR(INDEX('Model output'!I:I, MATCH(A25, 'Model output'!Z:Z, 0)), "") &lt; K25, "", IFERROR(INDEX('Model output'!I:I, MATCH(A25, 'Model output'!Z:Z, 0)), ""))</f>
        <v>1</v>
      </c>
      <c r="K25" s="17">
        <f>IFERROR(INDEX('Model output'!J:J, MATCH(A25, 'Model output'!Z:Z, 0)), "")</f>
        <v>0</v>
      </c>
      <c r="L25" s="18" t="str" cm="1">
        <f t="array" ref="L25">ReplaceTo(ReplaceAnd(SUBSTITUTE(SUBSTITUTE(_xlfn.TEXTJOIN("; ", TRUE, _xlfn._xlws.FILTER('Model output'!K:K, 'Model output'!Z:Z=A25)), " ", ""), ",", ";")))</f>
        <v/>
      </c>
      <c r="M25" t="str" cm="1">
        <f t="array" ref="M25">IF(LEFT(IF(RIGHT(SUBSTITUTE(FilterWithUnits(L25)&amp;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";")),1)=";",RIGHT(IF(RIGHT(SUBSTITUTE(FilterWithUnits(L25)&amp;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";")),LEN(IF(RIGHT(SUBSTITUTE(FilterWithUnits(L25)&amp;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";")))-1),IF(RIGHT(SUBSTITUTE(FilterWithUnits(L25)&amp;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f>
        <v/>
      </c>
      <c r="N25" t="str" cm="1">
        <f t="array" ref="N25">IF(MaxSize((SplitDimensions(M25)))=0, "", MaxSize((SplitDimensions(M25))))</f>
        <v/>
      </c>
      <c r="O25" t="str" cm="1">
        <f t="array" ref="O25">IF(ISERROR(INDEX(_xlfn._xlws.FILTER('Model output'!L:L, ('Model output'!Z:Z=A25)*('Model output'!L:L&lt;&gt;"")), 1)), " ", LOWER(INDEX(_xlfn._xlws.FILTER('Model output'!L:L, ('Model output'!Z:Z=A25)*('Model output'!L:L&lt;&gt;"")), 1)))</f>
        <v>papillary</v>
      </c>
      <c r="P25" t="str" cm="1">
        <f t="array" ref="P25">IF(ISERROR(INDEX(_xlfn._xlws.FILTER('Model output'!M:M, ('Model output'!Z:Z=A25)*('Model output'!M:M&lt;&gt;"")), 1)), " ", LOWER(INDEX(_xlfn._xlws.FILTER('Model output'!M:M, ('Model output'!Z:Z=A25)*('Model output'!M:M&lt;&gt;"")), 1)))</f>
        <v>infiltrative follicular</v>
      </c>
      <c r="Q25" t="str" cm="1">
        <f t="array" ref="Q25">IF(OR(ISNUMBER(SEARCH("ly",SUBSTITUTE(INDEX(_xlfn._xlws.FILTER('Model output'!N:N,('Model output'!Z:Z=A25)*('Model output'!N:N&lt;&gt;"")),1)," ",""),1)), ISNUMBER(SEARCH("pole",SUBSTITUTE(INDEX(_xlfn._xlws.FILTER('Model output'!N:N,('Model output'!Z:Z=A25)*('Model output'!N:N&lt;&gt;"")),1)," ",""),1))),"",SUBSTITUTE(INDEX(_xlfn._xlws.FILTER('Model output'!N:N,('Model output'!Z:Z=A25)*('Model output'!N:N&lt;&gt;"")),1)," ",""))</f>
        <v>4.3cm</v>
      </c>
      <c r="R25" t="str" cm="1">
        <f t="array" ref="R25">IF(LEFT(IF(RIGHT(SUBSTITUTE(FilterWithUnits(Q25)&amp;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";")),1)=";",RIGHT(IF(RIGHT(SUBSTITUTE(FilterWithUnits(Q25)&amp;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";")),LEN(IF(RIGHT(SUBSTITUTE(FilterWithUnits(Q25)&amp;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";")))-1),IF(RIGHT(SUBSTITUTE(FilterWithUnits(Q25)&amp;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f>
        <v>4.3cm</v>
      </c>
      <c r="S25" cm="1">
        <f t="array" ref="S25">IF(MaxSize((SplitDimensions(R25)))=0, "", MaxSize((SplitDimensions(R25))))</f>
        <v>4.3</v>
      </c>
      <c r="T25" s="17" t="str" cm="1">
        <f t="array" ref="T25">IF(ISERROR(INDEX(_xlfn._xlws.FILTER('Model output'!P:P,('Model output'!Z:Z=A25)*('Model output'!P:P&lt;&gt;"")),1)),"negative",IF(OR(ISNUMBER(SEARCH("foc",INDEX(_xlfn._xlws.FILTER('Model output'!P:P,('Model output'!Z:Z=A25)*('Model output'!P:P&lt;&gt;"")),1),1)),ISNUMBER(SEARCH("extensive",INDEX(_xlfn._xlws.FILTER('Model output'!P:P,('Model output'!Z:Z=A25)*('Model output'!P:P&lt;&gt;"")),1),1)),ISNUMBER(SEARCH("present",INDEX(_xlfn._xlws.FILTER('Model output'!P:P,('Model output'!Z:Z=A25)*('Model output'!P:P&lt;&gt;"")),1),1)),ISNUMBER(SEARCH("yes",INDEX(_xlfn._xlws.FILTER('Model output'!P:P,('Model output'!Z:Z=A25)*('Model output'!P:P&lt;&gt;"")),1),1))),"positive","negative"))</f>
        <v>negative</v>
      </c>
      <c r="V25" t="str" cm="1">
        <f t="array" ref="V25">IF(ISNUMBER(SEARCH("4",INDEX(_xlfn._xlws.FILTER('Model output'!P:P,('Model output'!Z:Z=A25)*('Model output'!P:P&lt;&gt;"")),1),1)),INDEX(_xlfn._xlws.FILTER('Model output'!P:P,('Model output'!Z:Z=A25)*('Model output'!P:P&lt;&gt;"")),1),"") &amp; _xlfn.TEXTJOIN("",TRUE,_xlfn._xlws.FILTER('Model output'!Q:Q,'Model output'!Z:Z=A25))</f>
        <v/>
      </c>
      <c r="W25" t="str">
        <f t="shared" si="11"/>
        <v>no</v>
      </c>
      <c r="X25" t="str" cm="1">
        <f t="array" ref="X25">IF(OR(ISNUMBER(SEARCH("focal",_xlfn.TEXTJOIN("; ",TRUE,_xlfn._xlws.FILTER('Model output'!R:R,'Model output'!Z:Z=A25)),1)),ISNUMBER(SEARCH("present",_xlfn.TEXTJOIN("; ",TRUE,_xlfn._xlws.FILTER('Model output'!R:R,'Model output'!Z:Z=A25)),1))),"positive",IF(_xlfn.TEXTJOIN("; ",TRUE,_xlfn._xlws.FILTER('Model output'!R:R,'Model output'!Z:Z=A25))="","negative",IF(OR(ISNUMBER(SEARCH("no",_xlfn.TEXTJOIN("; ",TRUE,_xlfn._xlws.FILTER('Model output'!R:R,'Model output'!Z:Z=A25)),1)),ISNUMBER(SEARCH("absent",_xlfn.TEXTJOIN("; ",TRUE,_xlfn._xlws.FILTER('Model output'!R:R,'Model output'!Z:Z=A25)),1))),"negative","positive")))</f>
        <v>negative</v>
      </c>
      <c r="Y25" s="17" t="str">
        <f t="shared" si="12"/>
        <v>positive</v>
      </c>
      <c r="AC25" s="17" t="str">
        <f t="shared" si="13"/>
        <v>negative</v>
      </c>
      <c r="AD25" t="str" cm="1">
        <f t="array" ref="AD25">_xlfn.TEXTJOIN("; ",TRUE,_xlfn._xlws.FILTER('Model output'!S:S,'Model output'!Z:Z=A25))</f>
        <v>Present; Not identified</v>
      </c>
      <c r="AE25" s="47" t="str" cm="1">
        <f t="array" ref="AE25">IF(OR(ISNUMBER(SEARCH("uninvolved",_xlfn.TEXTJOIN("; ",TRUE,_xlfn._xlws.FILTER('Model output'!V:V,'Model output'!Z:Z=A25)),1)),ISNUMBER(SEARCH("clear",_xlfn.TEXTJOIN("; ",TRUE,_xlfn._xlws.FILTER('Model output'!V:V,'Model output'!Z:Z=A25)),1))*ISNUMBER(SEARCH("not mentioned",_xlfn.TEXTJOIN("; ",TRUE,_xlfn._xlws.FILTER('Model output'!V:V,'Model output'!Z:Z=A25)),1))),"negative",IF(ISNUMBER(SEARCH("cannot be assessed",_xlfn.TEXTJOIN("; ",TRUE,_xlfn._xlws.FILTER('Model output'!V:V,'Model output'!Z:Z=A25)),1)),"negative","negative"))</f>
        <v>negative</v>
      </c>
      <c r="AG25" s="36" t="str">
        <f t="shared" si="14"/>
        <v>intermediate</v>
      </c>
      <c r="AH25" s="32" t="str">
        <f t="shared" si="2"/>
        <v>3a</v>
      </c>
      <c r="AI25" s="37">
        <f t="shared" si="15"/>
        <v>0</v>
      </c>
      <c r="AJ25" s="37">
        <f t="shared" si="16"/>
        <v>0</v>
      </c>
      <c r="AK25" s="37" t="str">
        <f t="shared" si="17"/>
        <v>II</v>
      </c>
      <c r="AL25" s="10" t="s">
        <v>166</v>
      </c>
      <c r="AM25" s="32" t="s">
        <v>194</v>
      </c>
      <c r="AN25" s="32">
        <v>0</v>
      </c>
      <c r="AO25" s="32">
        <v>0</v>
      </c>
      <c r="AP25" s="32" t="s">
        <v>31</v>
      </c>
      <c r="AQ25" s="10">
        <f t="shared" si="6"/>
        <v>1</v>
      </c>
      <c r="AR25" s="32">
        <f t="shared" si="7"/>
        <v>0</v>
      </c>
      <c r="AS25" s="32">
        <f t="shared" si="8"/>
        <v>1</v>
      </c>
      <c r="AT25" s="32">
        <f t="shared" si="9"/>
        <v>1</v>
      </c>
      <c r="AU25" s="34">
        <f t="shared" si="10"/>
        <v>0</v>
      </c>
    </row>
    <row r="26" spans="1:47">
      <c r="A26" s="13">
        <v>24</v>
      </c>
      <c r="B26" s="16"/>
      <c r="C26" s="17">
        <f>_xlfn.MAXIFS('Model output'!C:C,'Model output'!Z:Z,'Classification result'!$A26)</f>
        <v>55</v>
      </c>
      <c r="D26" s="17" t="str" cm="1">
        <f t="array" ref="D26">LEFT(IF(ISERROR(RIGHT(IF(INDEX(_xlfn._xlws.FILTER('Model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output'!Z:Z=A26)),1),""),1))),"",(RIGHT(IF(INDEX(_xlfn._xlws.FILTER('Model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output'!Z:Z=A26)),1)))))),2)</f>
        <v>4a</v>
      </c>
      <c r="E26" s="17" t="str" cm="1">
        <f t="array" ref="E26">IF(ISNUMBER(SEARCH("N",IF(ISNUMBER(SEARCH("present",IF(INDEX(_xlfn._xlws.FILTER('Model output'!E:E,('Model output'!Z:Z=A26)),1)="","",INDEX(_xlfn._xlws.FILTER('Model output'!E:E,('Model output'!Z:Z=A26)),1)),1)),"N1", IF(INDEX(_xlfn._xlws.FILTER('Model output'!E:E,('Model output'!Z:Z=A26)),1)="","",INDEX(_xlfn._xlws.FILTER('Model output'!E:E,('Model output'!Z:Z=A26)),1))),1)),RIGHT(IF(ISNUMBER(SEARCH("present",IF(INDEX(_xlfn._xlws.FILTER('Model output'!E:E,('Model output'!Z:Z=A26)),1)="","",INDEX(_xlfn._xlws.FILTER('Model output'!E:E,('Model output'!Z:Z=A26)),1)),1)),"N1", IF(INDEX(_xlfn._xlws.FILTER('Model output'!E:E,('Model output'!Z:Z=A26)),1)="","",INDEX(_xlfn._xlws.FILTER('Model output'!E:E,('Model output'!Z:Z=A26)),1))),LEN(IF(ISNUMBER(SEARCH("present",IF(INDEX(_xlfn._xlws.FILTER('Model output'!E:E,('Model output'!Z:Z=A26)),1)="","",INDEX(_xlfn._xlws.FILTER('Model output'!E:E,('Model output'!Z:Z=A26)),1)),1)),"N1", IF(INDEX(_xlfn._xlws.FILTER('Model output'!E:E,('Model output'!Z:Z=A26)),1)="","",INDEX(_xlfn._xlws.FILTER('Model output'!E:E,('Model output'!Z:Z=A26)),1))))-FIND("N",IF(ISNUMBER(SEARCH("present",IF(INDEX(_xlfn._xlws.FILTER('Model output'!E:E,('Model output'!Z:Z=A26)),1)="","",INDEX(_xlfn._xlws.FILTER('Model output'!E:E,('Model output'!Z:Z=A26)),1)),1)),"N1", IF(INDEX(_xlfn._xlws.FILTER('Model output'!E:E,('Model output'!Z:Z=A26)),1)="","",INDEX(_xlfn._xlws.FILTER('Model output'!E:E,('Model output'!Z:Z=A26)),1))),1)), "")</f>
        <v/>
      </c>
      <c r="F26" s="17" cm="1">
        <f t="array" ref="F26">IF(AND(SUBSTITUTE(_xlfn.TEXTJOIN("/", TRUE, _xlfn._xlws.FILTER('Model output'!F:F, 'Model output'!Z:Z=A26)),"M", "")="", I26="negative"),0,IF(I26="positive",1,0))</f>
        <v>0</v>
      </c>
      <c r="G26" t="str">
        <f t="shared" si="0"/>
        <v>positive</v>
      </c>
      <c r="H26" t="str" cm="1">
        <f t="array" ref="H26">IF(AND(K26&gt;0, _xlfn.TEXTJOIN("; ", TRUE, _xlfn._xlws.FILTER('Model output'!G:G, 'Model output'!Z:Z=A26)) &lt;&gt;"", OR(AND(ISNUMBER(SEARCH("level", _xlfn.TEXTJOIN("; ", TRUE, _xlfn._xlws.FILTER('Model output'!G:G, 'Model output'!Z:Z=A26)),1)),OR(ISNUMBER(SEARCH(" II", _xlfn.TEXTJOIN("; ", TRUE, _xlfn._xlws.FILTER('Model output'!G:G, 'Model output'!Z:Z=A26)),1)),ISNUMBER(SEARCH("2", _xlfn.TEXTJOIN("; ", TRUE, _xlfn._xlws.FILTER('Model output'!G:G, 'Model output'!Z:Z=A26)),1)),ISNUMBER(SEARCH("two", _xlfn.TEXTJOIN("; ", TRUE, _xlfn._xlws.FILTER('Model output'!G:G, 'Model output'!Z:Z=A26)),1)),ISNUMBER(SEARCH("III", _xlfn.TEXTJOIN("; ", TRUE, _xlfn._xlws.FILTER('Model output'!G:G, 'Model output'!Z:Z=A26)),1)),ISNUMBER(SEARCH("3", _xlfn.TEXTJOIN("; ", TRUE, _xlfn._xlws.FILTER('Model output'!G:G, 'Model output'!Z:Z=A26)),1)),ISNUMBER(SEARCH("three", _xlfn.TEXTJOIN("; ", TRUE, _xlfn._xlws.FILTER('Model output'!G:G, 'Model output'!Z:Z=A26)),1)),ISNUMBER(SEARCH("IV", _xlfn.TEXTJOIN("; ", TRUE, _xlfn._xlws.FILTER('Model output'!G:G, 'Model output'!Z:Z=A26)),1)),ISNUMBER(SEARCH("4", _xlfn.TEXTJOIN("; ", TRUE, _xlfn._xlws.FILTER('Model output'!G:G, 'Model output'!Z:Z=A26)),1)),ISNUMBER(SEARCH("five", _xlfn.TEXTJOIN("; ", TRUE, _xlfn._xlws.FILTER('Model output'!G:G, 'Model output'!Z:Z=A26)),1)),ISNUMBER(SEARCH("V ", _xlfn.TEXTJOIN("; ", TRUE, _xlfn._xlws.FILTER('Model output'!G:G, 'Model output'!Z:Z=A26)),1)),ISNUMBER(SEARCH("5", _xlfn.TEXTJOIN("; ", TRUE, _xlfn._xlws.FILTER('Model output'!G:G, 'Model output'!Z:Z=A26)),1)),ISNUMBER(SEARCH("five", _xlfn.TEXTJOIN("; ", TRUE, _xlfn._xlws.FILTER('Model output'!G:G, 'Model output'!Z:Z=A26)),1)),ISNUMBER(SEARCH(" lateral", _xlfn.TEXTJOIN("; ", TRUE, _xlfn._xlws.FILTER('Model output'!G:G, 'Model output'!Z:Z=A26)),1)))),ISNUMBER(SEARCH("cervical", _xlfn.TEXTJOIN("; ", TRUE, _xlfn._xlws.FILTER('Model output'!G:G, 'Model output'!Z:Z=A26)),1)),ISNUMBER(SEARCH("jugular", _xlfn.TEXTJOIN("; ", TRUE, _xlfn._xlws.FILTER('Model output'!G:G, 'Model output'!Z:Z=A26)),1)),ISNUMBER(SEARCH("left neck", _xlfn.TEXTJOIN("; ", TRUE, _xlfn._xlws.FILTER('Model output'!G:G, 'Model output'!Z:Z=A26)),1)),ISNUMBER(SEARCH("left anterior neck", _xlfn.TEXTJOIN("; ", TRUE, _xlfn._xlws.FILTER('Model output'!G:G, 'Model output'!Z:Z=A26)),1)),ISNUMBER(SEARCH("left posterior neck", _xlfn.TEXTJOIN("; ", TRUE, _xlfn._xlws.FILTER('Model output'!G:G, 'Model output'!Z:Z=A26)),1)),ISNUMBER(SEARCH("right neck", _xlfn.TEXTJOIN("; ", TRUE, _xlfn._xlws.FILTER('Model output'!G:G, 'Model output'!Z:Z=A26)),1)),ISNUMBER(SEARCH("right anterior neck", _xlfn.TEXTJOIN("; ", TRUE, _xlfn._xlws.FILTER('Model output'!G:G, 'Model output'!Z:Z=A26)),1)),ISNUMBER(SEARCH("right posterior neck", _xlfn.TEXTJOIN("; ", TRUE, _xlfn._xlws.FILTER('Model output'!G:G, 'Model output'!Z:Z=A26)),1)))),"lateral",IF(AND(K26=0, _xlfn.TEXTJOIN("; ", TRUE, _xlfn._xlws.FILTER('Model output'!G:G, 'Model output'!Z:Z=A26))=""),"", "central"))</f>
        <v>central</v>
      </c>
      <c r="I26" s="17" t="str" cm="1">
        <f t="array" ref="I26">IF(OR(ISNUMBER(SEARCH("lymph",_xlfn.TEXTJOIN("; ", TRUE, _xlfn._xlws.FILTER('Model output'!H:H, 'Model output'!Z:Z=A26)),1)), ISNUMBER(SEARCH("Not mentioned",_xlfn.TEXTJOIN("; ", TRUE, _xlfn._xlws.FILTER('Model output'!H:H, 'Model output'!Z:Z=A26)),1)),ISNUMBER(SEARCH("subcutaneous soft tissues",_xlfn.TEXTJOIN("; ", TRUE, _xlfn._xlws.FILTER('Model output'!H:H, 'Model output'!Z:Z=A26)),1)),ISNUMBER(SEARCH("larynx",_xlfn.TEXTJOIN("; ", TRUE, _xlfn._xlws.FILTER('Model output'!H:H, 'Model output'!Z:Z=A26)),1)),ISNUMBER(SEARCH("trachea",_xlfn.TEXTJOIN("; ", TRUE, _xlfn._xlws.FILTER('Model output'!H:H, 'Model output'!Z:Z=A26)),1)),ISNUMBER(SEARCH("esophagus",_xlfn.TEXTJOIN("; ", TRUE, _xlfn._xlws.FILTER('Model output'!H:H, 'Model output'!Z:Z=A26)),1)),ISNUMBER(SEARCH("recurrent laryngeal nerve",_xlfn.TEXTJOIN("; ", TRUE, _xlfn._xlws.FILTER('Model output'!H:H, 'Model output'!Z:Z=A26)),1)),ISNUMBER(SEARCH("RLN",_xlfn.TEXTJOIN("; ", TRUE, _xlfn._xlws.FILTER('Model output'!H:H, 'Model output'!Z:Z=A26)),1)),_xlfn.TEXTJOIN("; ", TRUE, _xlfn._xlws.FILTER('Model output'!H:H, 'Model output'!Z:Z=A26))=""),"negative","positive")</f>
        <v>negative</v>
      </c>
      <c r="J26" s="17">
        <f>IF(IFERROR(INDEX('Model output'!I:I, MATCH(A26, 'Model output'!Z:Z, 0)), "") &lt; K26, "", IFERROR(INDEX('Model output'!I:I, MATCH(A26, 'Model output'!Z:Z, 0)), ""))</f>
        <v>15</v>
      </c>
      <c r="K26" s="17">
        <f>IFERROR(INDEX('Model output'!J:J, MATCH(A26, 'Model output'!Z:Z, 0)), "")</f>
        <v>9</v>
      </c>
      <c r="L26" s="18" t="str" cm="1">
        <f t="array" ref="L26">ReplaceTo(ReplaceAnd(SUBSTITUTE(SUBSTITUTE(_xlfn.TEXTJOIN("; ", TRUE, _xlfn._xlws.FILTER('Model output'!K:K, 'Model output'!Z:Z=A26)), " ", ""), ",", ";")))</f>
        <v>9mm</v>
      </c>
      <c r="M26" t="str" cm="1">
        <f t="array" ref="M26">IF(LEFT(IF(RIGHT(SUBSTITUTE(FilterWithUnits(L26)&amp;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";")),1)=";",RIGHT(IF(RIGHT(SUBSTITUTE(FilterWithUnits(L26)&amp;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";")),LEN(IF(RIGHT(SUBSTITUTE(FilterWithUnits(L26)&amp;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";")))-1),IF(RIGHT(SUBSTITUTE(FilterWithUnits(L26)&amp;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f>
        <v>9mm</v>
      </c>
      <c r="N26" cm="1">
        <f t="array" ref="N26">IF(MaxSize((SplitDimensions(M26)))=0, "", MaxSize((SplitDimensions(M26))))</f>
        <v>0.9</v>
      </c>
      <c r="O26" t="str" cm="1">
        <f t="array" ref="O26">IF(ISERROR(INDEX(_xlfn._xlws.FILTER('Model output'!L:L, ('Model output'!Z:Z=A26)*('Model output'!L:L&lt;&gt;"")), 1)), " ", LOWER(INDEX(_xlfn._xlws.FILTER('Model output'!L:L, ('Model output'!Z:Z=A26)*('Model output'!L:L&lt;&gt;"")), 1)))</f>
        <v>papillary</v>
      </c>
      <c r="P26" t="str" cm="1">
        <f t="array" ref="P26">IF(ISERROR(INDEX(_xlfn._xlws.FILTER('Model output'!M:M, ('Model output'!Z:Z=A26)*('Model output'!M:M&lt;&gt;"")), 1)), " ", LOWER(INDEX(_xlfn._xlws.FILTER('Model output'!M:M, ('Model output'!Z:Z=A26)*('Model output'!M:M&lt;&gt;"")), 1)))</f>
        <v xml:space="preserve"> </v>
      </c>
      <c r="Q26" t="str" cm="1">
        <f t="array" ref="Q26">IF(OR(ISNUMBER(SEARCH("ly",SUBSTITUTE(INDEX(_xlfn._xlws.FILTER('Model output'!N:N,('Model output'!Z:Z=A26)*('Model output'!N:N&lt;&gt;"")),1)," ",""),1)), ISNUMBER(SEARCH("pole",SUBSTITUTE(INDEX(_xlfn._xlws.FILTER('Model output'!N:N,('Model output'!Z:Z=A26)*('Model output'!N:N&lt;&gt;"")),1)," ",""),1))),"",SUBSTITUTE(INDEX(_xlfn._xlws.FILTER('Model output'!N:N,('Model output'!Z:Z=A26)*('Model output'!N:N&lt;&gt;"")),1)," ",""))</f>
        <v>5x3x2cm</v>
      </c>
      <c r="R26" t="str" cm="1">
        <f t="array" ref="R26">IF(LEFT(IF(RIGHT(SUBSTITUTE(FilterWithUnits(Q26)&amp;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";")),1)=";",RIGHT(IF(RIGHT(SUBSTITUTE(FilterWithUnits(Q26)&amp;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";")),LEN(IF(RIGHT(SUBSTITUTE(FilterWithUnits(Q26)&amp;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";")))-1),IF(RIGHT(SUBSTITUTE(FilterWithUnits(Q26)&amp;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f>
        <v>5x3x2cm</v>
      </c>
      <c r="S26" cm="1">
        <f t="array" ref="S26">IF(MaxSize((SplitDimensions(R26)))=0, "", MaxSize((SplitDimensions(R26))))</f>
        <v>5</v>
      </c>
      <c r="T26" s="17" t="str" cm="1">
        <f t="array" ref="T26">IF(ISERROR(INDEX(_xlfn._xlws.FILTER('Model output'!P:P,('Model output'!Z:Z=A26)*('Model output'!P:P&lt;&gt;"")),1)),"negative",IF(OR(ISNUMBER(SEARCH("foc",INDEX(_xlfn._xlws.FILTER('Model output'!P:P,('Model output'!Z:Z=A26)*('Model output'!P:P&lt;&gt;"")),1),1)),ISNUMBER(SEARCH("extensive",INDEX(_xlfn._xlws.FILTER('Model output'!P:P,('Model output'!Z:Z=A26)*('Model output'!P:P&lt;&gt;"")),1),1)),ISNUMBER(SEARCH("present",INDEX(_xlfn._xlws.FILTER('Model output'!P:P,('Model output'!Z:Z=A26)*('Model output'!P:P&lt;&gt;"")),1),1)),ISNUMBER(SEARCH("yes",INDEX(_xlfn._xlws.FILTER('Model output'!P:P,('Model output'!Z:Z=A26)*('Model output'!P:P&lt;&gt;"")),1),1))),"positive","negative"))</f>
        <v>positive</v>
      </c>
      <c r="V26" t="str" cm="1">
        <f t="array" ref="V26">IF(ISNUMBER(SEARCH("4",INDEX(_xlfn._xlws.FILTER('Model output'!P:P,('Model output'!Z:Z=A26)*('Model output'!P:P&lt;&gt;"")),1),1)),INDEX(_xlfn._xlws.FILTER('Model output'!P:P,('Model output'!Z:Z=A26)*('Model output'!P:P&lt;&gt;"")),1),"") &amp; _xlfn.TEXTJOIN("",TRUE,_xlfn._xlws.FILTER('Model output'!Q:Q,'Model output'!Z:Z=A26))</f>
        <v>Minimal4 or more (encases right RLN)</v>
      </c>
      <c r="W26" t="str">
        <f t="shared" si="11"/>
        <v>extensive</v>
      </c>
      <c r="X26" t="str" cm="1">
        <f t="array" ref="X26">IF(OR(ISNUMBER(SEARCH("focal",_xlfn.TEXTJOIN("; ",TRUE,_xlfn._xlws.FILTER('Model output'!R:R,'Model output'!Z:Z=A26)),1)),ISNUMBER(SEARCH("present",_xlfn.TEXTJOIN("; ",TRUE,_xlfn._xlws.FILTER('Model output'!R:R,'Model output'!Z:Z=A26)),1))),"positive",IF(_xlfn.TEXTJOIN("; ",TRUE,_xlfn._xlws.FILTER('Model output'!R:R,'Model output'!Z:Z=A26))="","negative",IF(OR(ISNUMBER(SEARCH("no",_xlfn.TEXTJOIN("; ",TRUE,_xlfn._xlws.FILTER('Model output'!R:R,'Model output'!Z:Z=A26)),1)),ISNUMBER(SEARCH("absent",_xlfn.TEXTJOIN("; ",TRUE,_xlfn._xlws.FILTER('Model output'!R:R,'Model output'!Z:Z=A26)),1))),"negative","positive")))</f>
        <v>positive</v>
      </c>
      <c r="Y26" s="17" t="str">
        <f t="shared" si="12"/>
        <v>positive</v>
      </c>
      <c r="AC26" s="17" t="str">
        <f t="shared" si="13"/>
        <v>positive</v>
      </c>
      <c r="AD26" t="str" cm="1">
        <f t="array" ref="AD26">_xlfn.TEXTJOIN("; ",TRUE,_xlfn._xlws.FILTER('Model output'!S:S,'Model output'!Z:Z=A26))</f>
        <v>Present (minimal); Present (lower pole tumour completely encased right RLN)</v>
      </c>
      <c r="AE26" s="47" t="str" cm="1">
        <f t="array" ref="AE26">IF(OR(ISNUMBER(SEARCH("uninvolved",_xlfn.TEXTJOIN("; ",TRUE,_xlfn._xlws.FILTER('Model output'!V:V,'Model output'!Z:Z=A26)),1)),ISNUMBER(SEARCH("clear",_xlfn.TEXTJOIN("; ",TRUE,_xlfn._xlws.FILTER('Model output'!V:V,'Model output'!Z:Z=A26)),1))*ISNUMBER(SEARCH("not mentioned",_xlfn.TEXTJOIN("; ",TRUE,_xlfn._xlws.FILTER('Model output'!V:V,'Model output'!Z:Z=A26)),1))),"negative",IF(ISNUMBER(SEARCH("cannot be assessed",_xlfn.TEXTJOIN("; ",TRUE,_xlfn._xlws.FILTER('Model output'!V:V,'Model output'!Z:Z=A26)),1)),"negative","negative"))</f>
        <v>negative</v>
      </c>
      <c r="AG26" s="36" t="str">
        <f t="shared" si="14"/>
        <v>high</v>
      </c>
      <c r="AH26" s="37" t="str">
        <f t="shared" si="2"/>
        <v>4a</v>
      </c>
      <c r="AI26" s="37" t="str">
        <f t="shared" si="15"/>
        <v>1a</v>
      </c>
      <c r="AJ26" s="37">
        <f t="shared" si="16"/>
        <v>0</v>
      </c>
      <c r="AK26" s="37" t="str">
        <f t="shared" si="17"/>
        <v>III</v>
      </c>
      <c r="AL26" s="10" t="s">
        <v>167</v>
      </c>
      <c r="AM26" s="32" t="s">
        <v>199</v>
      </c>
      <c r="AN26" s="32" t="s">
        <v>194</v>
      </c>
      <c r="AO26" s="32">
        <v>0</v>
      </c>
      <c r="AP26" s="32" t="s">
        <v>68</v>
      </c>
      <c r="AQ26" s="10">
        <f t="shared" si="6"/>
        <v>1</v>
      </c>
      <c r="AR26" s="32">
        <f t="shared" si="7"/>
        <v>1</v>
      </c>
      <c r="AS26" s="32">
        <f t="shared" si="8"/>
        <v>0</v>
      </c>
      <c r="AT26" s="32">
        <f t="shared" si="9"/>
        <v>1</v>
      </c>
      <c r="AU26" s="34">
        <f t="shared" si="10"/>
        <v>1</v>
      </c>
    </row>
    <row r="27" spans="1:47">
      <c r="A27" s="13">
        <v>25</v>
      </c>
      <c r="B27" s="16"/>
      <c r="C27" s="17">
        <f>_xlfn.MAXIFS('Model output'!C:C,'Model output'!Z:Z,'Classification result'!$A27)</f>
        <v>42</v>
      </c>
      <c r="D27" s="17" t="str" cm="1">
        <f t="array" ref="D27">LEFT(IF(ISERROR(RIGHT(IF(INDEX(_xlfn._xlws.FILTER('Model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output'!Z:Z=A27)),1),""),1))),"",(RIGHT(IF(INDEX(_xlfn._xlws.FILTER('Model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output'!Z:Z=A27)),1)))))),2)</f>
        <v>1b</v>
      </c>
      <c r="E27" s="17" t="str" cm="1">
        <f t="array" ref="E27">IF(ISNUMBER(SEARCH("N",IF(ISNUMBER(SEARCH("present",IF(INDEX(_xlfn._xlws.FILTER('Model output'!E:E,('Model output'!Z:Z=A27)),1)="","",INDEX(_xlfn._xlws.FILTER('Model output'!E:E,('Model output'!Z:Z=A27)),1)),1)),"N1", IF(INDEX(_xlfn._xlws.FILTER('Model output'!E:E,('Model output'!Z:Z=A27)),1)="","",INDEX(_xlfn._xlws.FILTER('Model output'!E:E,('Model output'!Z:Z=A27)),1))),1)),RIGHT(IF(ISNUMBER(SEARCH("present",IF(INDEX(_xlfn._xlws.FILTER('Model output'!E:E,('Model output'!Z:Z=A27)),1)="","",INDEX(_xlfn._xlws.FILTER('Model output'!E:E,('Model output'!Z:Z=A27)),1)),1)),"N1", IF(INDEX(_xlfn._xlws.FILTER('Model output'!E:E,('Model output'!Z:Z=A27)),1)="","",INDEX(_xlfn._xlws.FILTER('Model output'!E:E,('Model output'!Z:Z=A27)),1))),LEN(IF(ISNUMBER(SEARCH("present",IF(INDEX(_xlfn._xlws.FILTER('Model output'!E:E,('Model output'!Z:Z=A27)),1)="","",INDEX(_xlfn._xlws.FILTER('Model output'!E:E,('Model output'!Z:Z=A27)),1)),1)),"N1", IF(INDEX(_xlfn._xlws.FILTER('Model output'!E:E,('Model output'!Z:Z=A27)),1)="","",INDEX(_xlfn._xlws.FILTER('Model output'!E:E,('Model output'!Z:Z=A27)),1))))-FIND("N",IF(ISNUMBER(SEARCH("present",IF(INDEX(_xlfn._xlws.FILTER('Model output'!E:E,('Model output'!Z:Z=A27)),1)="","",INDEX(_xlfn._xlws.FILTER('Model output'!E:E,('Model output'!Z:Z=A27)),1)),1)),"N1", IF(INDEX(_xlfn._xlws.FILTER('Model output'!E:E,('Model output'!Z:Z=A27)),1)="","",INDEX(_xlfn._xlws.FILTER('Model output'!E:E,('Model output'!Z:Z=A27)),1))),1)), "")</f>
        <v/>
      </c>
      <c r="F27" s="17" cm="1">
        <f t="array" ref="F27">IF(AND(SUBSTITUTE(_xlfn.TEXTJOIN("/", TRUE, _xlfn._xlws.FILTER('Model output'!F:F, 'Model output'!Z:Z=A27)),"M", "")="", I27="negative"),0,IF(I27="positive",1,0))</f>
        <v>0</v>
      </c>
      <c r="G27" t="str">
        <f t="shared" si="0"/>
        <v/>
      </c>
      <c r="H27" t="str" cm="1">
        <f t="array" ref="H27">IF(AND(K27&gt;0, _xlfn.TEXTJOIN("; ", TRUE, _xlfn._xlws.FILTER('Model output'!G:G, 'Model output'!Z:Z=A27)) &lt;&gt;"", OR(AND(ISNUMBER(SEARCH("level", _xlfn.TEXTJOIN("; ", TRUE, _xlfn._xlws.FILTER('Model output'!G:G, 'Model output'!Z:Z=A27)),1)),OR(ISNUMBER(SEARCH(" II", _xlfn.TEXTJOIN("; ", TRUE, _xlfn._xlws.FILTER('Model output'!G:G, 'Model output'!Z:Z=A27)),1)),ISNUMBER(SEARCH("2", _xlfn.TEXTJOIN("; ", TRUE, _xlfn._xlws.FILTER('Model output'!G:G, 'Model output'!Z:Z=A27)),1)),ISNUMBER(SEARCH("two", _xlfn.TEXTJOIN("; ", TRUE, _xlfn._xlws.FILTER('Model output'!G:G, 'Model output'!Z:Z=A27)),1)),ISNUMBER(SEARCH("III", _xlfn.TEXTJOIN("; ", TRUE, _xlfn._xlws.FILTER('Model output'!G:G, 'Model output'!Z:Z=A27)),1)),ISNUMBER(SEARCH("3", _xlfn.TEXTJOIN("; ", TRUE, _xlfn._xlws.FILTER('Model output'!G:G, 'Model output'!Z:Z=A27)),1)),ISNUMBER(SEARCH("three", _xlfn.TEXTJOIN("; ", TRUE, _xlfn._xlws.FILTER('Model output'!G:G, 'Model output'!Z:Z=A27)),1)),ISNUMBER(SEARCH("IV", _xlfn.TEXTJOIN("; ", TRUE, _xlfn._xlws.FILTER('Model output'!G:G, 'Model output'!Z:Z=A27)),1)),ISNUMBER(SEARCH("4", _xlfn.TEXTJOIN("; ", TRUE, _xlfn._xlws.FILTER('Model output'!G:G, 'Model output'!Z:Z=A27)),1)),ISNUMBER(SEARCH("five", _xlfn.TEXTJOIN("; ", TRUE, _xlfn._xlws.FILTER('Model output'!G:G, 'Model output'!Z:Z=A27)),1)),ISNUMBER(SEARCH("V ", _xlfn.TEXTJOIN("; ", TRUE, _xlfn._xlws.FILTER('Model output'!G:G, 'Model output'!Z:Z=A27)),1)),ISNUMBER(SEARCH("5", _xlfn.TEXTJOIN("; ", TRUE, _xlfn._xlws.FILTER('Model output'!G:G, 'Model output'!Z:Z=A27)),1)),ISNUMBER(SEARCH("five", _xlfn.TEXTJOIN("; ", TRUE, _xlfn._xlws.FILTER('Model output'!G:G, 'Model output'!Z:Z=A27)),1)),ISNUMBER(SEARCH(" lateral", _xlfn.TEXTJOIN("; ", TRUE, _xlfn._xlws.FILTER('Model output'!G:G, 'Model output'!Z:Z=A27)),1)))),ISNUMBER(SEARCH("cervical", _xlfn.TEXTJOIN("; ", TRUE, _xlfn._xlws.FILTER('Model output'!G:G, 'Model output'!Z:Z=A27)),1)),ISNUMBER(SEARCH("jugular", _xlfn.TEXTJOIN("; ", TRUE, _xlfn._xlws.FILTER('Model output'!G:G, 'Model output'!Z:Z=A27)),1)),ISNUMBER(SEARCH("left neck", _xlfn.TEXTJOIN("; ", TRUE, _xlfn._xlws.FILTER('Model output'!G:G, 'Model output'!Z:Z=A27)),1)),ISNUMBER(SEARCH("left anterior neck", _xlfn.TEXTJOIN("; ", TRUE, _xlfn._xlws.FILTER('Model output'!G:G, 'Model output'!Z:Z=A27)),1)),ISNUMBER(SEARCH("left posterior neck", _xlfn.TEXTJOIN("; ", TRUE, _xlfn._xlws.FILTER('Model output'!G:G, 'Model output'!Z:Z=A27)),1)),ISNUMBER(SEARCH("right neck", _xlfn.TEXTJOIN("; ", TRUE, _xlfn._xlws.FILTER('Model output'!G:G, 'Model output'!Z:Z=A27)),1)),ISNUMBER(SEARCH("right anterior neck", _xlfn.TEXTJOIN("; ", TRUE, _xlfn._xlws.FILTER('Model output'!G:G, 'Model output'!Z:Z=A27)),1)),ISNUMBER(SEARCH("right posterior neck", _xlfn.TEXTJOIN("; ", TRUE, _xlfn._xlws.FILTER('Model output'!G:G, 'Model output'!Z:Z=A27)),1)))),"lateral",IF(AND(K27=0, _xlfn.TEXTJOIN("; ", TRUE, _xlfn._xlws.FILTER('Model output'!G:G, 'Model output'!Z:Z=A27))=""),"", "central"))</f>
        <v/>
      </c>
      <c r="I27" s="17" t="str" cm="1">
        <f t="array" ref="I27">IF(OR(ISNUMBER(SEARCH("lymph",_xlfn.TEXTJOIN("; ", TRUE, _xlfn._xlws.FILTER('Model output'!H:H, 'Model output'!Z:Z=A27)),1)), ISNUMBER(SEARCH("Not mentioned",_xlfn.TEXTJOIN("; ", TRUE, _xlfn._xlws.FILTER('Model output'!H:H, 'Model output'!Z:Z=A27)),1)),ISNUMBER(SEARCH("subcutaneous soft tissues",_xlfn.TEXTJOIN("; ", TRUE, _xlfn._xlws.FILTER('Model output'!H:H, 'Model output'!Z:Z=A27)),1)),ISNUMBER(SEARCH("larynx",_xlfn.TEXTJOIN("; ", TRUE, _xlfn._xlws.FILTER('Model output'!H:H, 'Model output'!Z:Z=A27)),1)),ISNUMBER(SEARCH("trachea",_xlfn.TEXTJOIN("; ", TRUE, _xlfn._xlws.FILTER('Model output'!H:H, 'Model output'!Z:Z=A27)),1)),ISNUMBER(SEARCH("esophagus",_xlfn.TEXTJOIN("; ", TRUE, _xlfn._xlws.FILTER('Model output'!H:H, 'Model output'!Z:Z=A27)),1)),ISNUMBER(SEARCH("recurrent laryngeal nerve",_xlfn.TEXTJOIN("; ", TRUE, _xlfn._xlws.FILTER('Model output'!H:H, 'Model output'!Z:Z=A27)),1)),ISNUMBER(SEARCH("RLN",_xlfn.TEXTJOIN("; ", TRUE, _xlfn._xlws.FILTER('Model output'!H:H, 'Model output'!Z:Z=A27)),1)),_xlfn.TEXTJOIN("; ", TRUE, _xlfn._xlws.FILTER('Model output'!H:H, 'Model output'!Z:Z=A27))=""),"negative","positive")</f>
        <v>negative</v>
      </c>
      <c r="J27" s="17">
        <f>IF(IFERROR(INDEX('Model output'!I:I, MATCH(A27, 'Model output'!Z:Z, 0)), "") &lt; K27, "", IFERROR(INDEX('Model output'!I:I, MATCH(A27, 'Model output'!Z:Z, 0)), ""))</f>
        <v>0</v>
      </c>
      <c r="K27" s="17">
        <f>IFERROR(INDEX('Model output'!J:J, MATCH(A27, 'Model output'!Z:Z, 0)), "")</f>
        <v>0</v>
      </c>
      <c r="L27" s="18" t="str" cm="1">
        <f t="array" ref="L27">ReplaceTo(ReplaceAnd(SUBSTITUTE(SUBSTITUTE(_xlfn.TEXTJOIN("; ", TRUE, _xlfn._xlws.FILTER('Model output'!K:K, 'Model output'!Z:Z=A27)), " ", ""), ",", ";")))</f>
        <v/>
      </c>
      <c r="M27" t="str" cm="1">
        <f t="array" ref="M27">IF(LEFT(IF(RIGHT(SUBSTITUTE(FilterWithUnits(L27)&amp;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";")),1)=";",RIGHT(IF(RIGHT(SUBSTITUTE(FilterWithUnits(L27)&amp;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";")),LEN(IF(RIGHT(SUBSTITUTE(FilterWithUnits(L27)&amp;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";")))-1),IF(RIGHT(SUBSTITUTE(FilterWithUnits(L27)&amp;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f>
        <v/>
      </c>
      <c r="N27" t="str" cm="1">
        <f t="array" ref="N27">IF(MaxSize((SplitDimensions(M27)))=0, "", MaxSize((SplitDimensions(M27))))</f>
        <v/>
      </c>
      <c r="O27" t="str" cm="1">
        <f t="array" ref="O27">IF(ISERROR(INDEX(_xlfn._xlws.FILTER('Model output'!L:L, ('Model output'!Z:Z=A27)*('Model output'!L:L&lt;&gt;"")), 1)), " ", LOWER(INDEX(_xlfn._xlws.FILTER('Model output'!L:L, ('Model output'!Z:Z=A27)*('Model output'!L:L&lt;&gt;"")), 1)))</f>
        <v>papillary</v>
      </c>
      <c r="P27" t="str" cm="1">
        <f t="array" ref="P27">IF(ISERROR(INDEX(_xlfn._xlws.FILTER('Model output'!M:M, ('Model output'!Z:Z=A27)*('Model output'!M:M&lt;&gt;"")), 1)), " ", LOWER(INDEX(_xlfn._xlws.FILTER('Model output'!M:M, ('Model output'!Z:Z=A27)*('Model output'!M:M&lt;&gt;"")), 1)))</f>
        <v xml:space="preserve"> </v>
      </c>
      <c r="Q27" t="str" cm="1">
        <f t="array" ref="Q27">IF(OR(ISNUMBER(SEARCH("ly",SUBSTITUTE(INDEX(_xlfn._xlws.FILTER('Model output'!N:N,('Model output'!Z:Z=A27)*('Model output'!N:N&lt;&gt;"")),1)," ",""),1)), ISNUMBER(SEARCH("pole",SUBSTITUTE(INDEX(_xlfn._xlws.FILTER('Model output'!N:N,('Model output'!Z:Z=A27)*('Model output'!N:N&lt;&gt;"")),1)," ",""),1))),"",SUBSTITUTE(INDEX(_xlfn._xlws.FILTER('Model output'!N:N,('Model output'!Z:Z=A27)*('Model output'!N:N&lt;&gt;"")),1)," ",""))</f>
        <v>11mm</v>
      </c>
      <c r="R27" t="str" cm="1">
        <f t="array" ref="R27">IF(LEFT(IF(RIGHT(SUBSTITUTE(FilterWithUnits(Q27)&amp;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";")),1)=";",RIGHT(IF(RIGHT(SUBSTITUTE(FilterWithUnits(Q27)&amp;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";")),LEN(IF(RIGHT(SUBSTITUTE(FilterWithUnits(Q27)&amp;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";")))-1),IF(RIGHT(SUBSTITUTE(FilterWithUnits(Q27)&amp;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f>
        <v>11mm</v>
      </c>
      <c r="S27" cm="1">
        <f t="array" ref="S27">IF(MaxSize((SplitDimensions(R27)))=0, "", MaxSize((SplitDimensions(R27))))</f>
        <v>1.1000000000000001</v>
      </c>
      <c r="T27" s="17" t="str" cm="1">
        <f t="array" ref="T27">IF(ISERROR(INDEX(_xlfn._xlws.FILTER('Model output'!P:P,('Model output'!Z:Z=A27)*('Model output'!P:P&lt;&gt;"")),1)),"negative",IF(OR(ISNUMBER(SEARCH("foc",INDEX(_xlfn._xlws.FILTER('Model output'!P:P,('Model output'!Z:Z=A27)*('Model output'!P:P&lt;&gt;"")),1),1)),ISNUMBER(SEARCH("extensive",INDEX(_xlfn._xlws.FILTER('Model output'!P:P,('Model output'!Z:Z=A27)*('Model output'!P:P&lt;&gt;"")),1),1)),ISNUMBER(SEARCH("present",INDEX(_xlfn._xlws.FILTER('Model output'!P:P,('Model output'!Z:Z=A27)*('Model output'!P:P&lt;&gt;"")),1),1)),ISNUMBER(SEARCH("yes",INDEX(_xlfn._xlws.FILTER('Model output'!P:P,('Model output'!Z:Z=A27)*('Model output'!P:P&lt;&gt;"")),1),1))),"positive","negative"))</f>
        <v>negative</v>
      </c>
      <c r="V27" t="str" cm="1">
        <f t="array" ref="V27">IF(ISNUMBER(SEARCH("4",INDEX(_xlfn._xlws.FILTER('Model output'!P:P,('Model output'!Z:Z=A27)*('Model output'!P:P&lt;&gt;"")),1),1)),INDEX(_xlfn._xlws.FILTER('Model output'!P:P,('Model output'!Z:Z=A27)*('Model output'!P:P&lt;&gt;"")),1),"") &amp; _xlfn.TEXTJOIN("",TRUE,_xlfn._xlws.FILTER('Model output'!Q:Q,'Model output'!Z:Z=A27))</f>
        <v/>
      </c>
      <c r="W27" t="str">
        <f t="shared" si="11"/>
        <v>no</v>
      </c>
      <c r="X27" t="str" cm="1">
        <f t="array" ref="X27">IF(OR(ISNUMBER(SEARCH("focal",_xlfn.TEXTJOIN("; ",TRUE,_xlfn._xlws.FILTER('Model output'!R:R,'Model output'!Z:Z=A27)),1)),ISNUMBER(SEARCH("present",_xlfn.TEXTJOIN("; ",TRUE,_xlfn._xlws.FILTER('Model output'!R:R,'Model output'!Z:Z=A27)),1))),"positive",IF(_xlfn.TEXTJOIN("; ",TRUE,_xlfn._xlws.FILTER('Model output'!R:R,'Model output'!Z:Z=A27))="","negative",IF(OR(ISNUMBER(SEARCH("no",_xlfn.TEXTJOIN("; ",TRUE,_xlfn._xlws.FILTER('Model output'!R:R,'Model output'!Z:Z=A27)),1)),ISNUMBER(SEARCH("absent",_xlfn.TEXTJOIN("; ",TRUE,_xlfn._xlws.FILTER('Model output'!R:R,'Model output'!Z:Z=A27)),1))),"negative","positive")))</f>
        <v>negative</v>
      </c>
      <c r="Y27" s="17" t="str">
        <f t="shared" si="12"/>
        <v>negative</v>
      </c>
      <c r="AC27" s="17" t="str">
        <f t="shared" si="13"/>
        <v>negative</v>
      </c>
      <c r="AD27" t="str" cm="1">
        <f t="array" ref="AD27">_xlfn.TEXTJOIN("; ",TRUE,_xlfn._xlws.FILTER('Model output'!S:S,'Model output'!Z:Z=A27))</f>
        <v>Absent</v>
      </c>
      <c r="AE27" s="47" t="str" cm="1">
        <f t="array" ref="AE27">IF(OR(ISNUMBER(SEARCH("uninvolved",_xlfn.TEXTJOIN("; ",TRUE,_xlfn._xlws.FILTER('Model output'!V:V,'Model output'!Z:Z=A27)),1)),ISNUMBER(SEARCH("clear",_xlfn.TEXTJOIN("; ",TRUE,_xlfn._xlws.FILTER('Model output'!V:V,'Model output'!Z:Z=A27)),1))*ISNUMBER(SEARCH("not mentioned",_xlfn.TEXTJOIN("; ",TRUE,_xlfn._xlws.FILTER('Model output'!V:V,'Model output'!Z:Z=A27)),1))),"negative",IF(ISNUMBER(SEARCH("cannot be assessed",_xlfn.TEXTJOIN("; ",TRUE,_xlfn._xlws.FILTER('Model output'!V:V,'Model output'!Z:Z=A27)),1)),"negative","negative"))</f>
        <v>negative</v>
      </c>
      <c r="AG27" s="36" t="str">
        <f t="shared" si="14"/>
        <v>low</v>
      </c>
      <c r="AH27" s="37" t="str">
        <f t="shared" si="2"/>
        <v>1b</v>
      </c>
      <c r="AI27" s="37" t="str">
        <f t="shared" si="15"/>
        <v>x</v>
      </c>
      <c r="AJ27" s="37">
        <f t="shared" si="16"/>
        <v>0</v>
      </c>
      <c r="AK27" s="37" t="str">
        <f t="shared" si="17"/>
        <v>I</v>
      </c>
      <c r="AL27" s="10" t="s">
        <v>168</v>
      </c>
      <c r="AM27" s="32" t="s">
        <v>194</v>
      </c>
      <c r="AN27" s="32" t="s">
        <v>195</v>
      </c>
      <c r="AO27" s="32">
        <v>0</v>
      </c>
      <c r="AP27" s="32" t="s">
        <v>31</v>
      </c>
      <c r="AQ27" s="10">
        <f t="shared" si="6"/>
        <v>1</v>
      </c>
      <c r="AR27" s="32">
        <f t="shared" si="7"/>
        <v>1</v>
      </c>
      <c r="AS27" s="32">
        <f t="shared" si="8"/>
        <v>1</v>
      </c>
      <c r="AT27" s="32">
        <f t="shared" si="9"/>
        <v>1</v>
      </c>
      <c r="AU27" s="34">
        <f t="shared" si="10"/>
        <v>1</v>
      </c>
    </row>
    <row r="28" spans="1:47">
      <c r="A28" s="13">
        <v>26</v>
      </c>
      <c r="B28" s="16"/>
      <c r="C28" s="17">
        <f>_xlfn.MAXIFS('Model output'!C:C,'Model output'!Z:Z,'Classification result'!$A28)</f>
        <v>73</v>
      </c>
      <c r="D28" s="17" t="str" cm="1">
        <f t="array" ref="D28">LEFT(IF(ISERROR(RIGHT(IF(INDEX(_xlfn._xlws.FILTER('Model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output'!Z:Z=A28)),1),""),1))),"",(RIGHT(IF(INDEX(_xlfn._xlws.FILTER('Model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output'!Z:Z=A28)),1)))))),2)</f>
        <v>1</v>
      </c>
      <c r="E28" s="17" t="str" cm="1">
        <f t="array" ref="E28">IF(ISNUMBER(SEARCH("N",IF(ISNUMBER(SEARCH("present",IF(INDEX(_xlfn._xlws.FILTER('Model output'!E:E,('Model output'!Z:Z=A28)),1)="","",INDEX(_xlfn._xlws.FILTER('Model output'!E:E,('Model output'!Z:Z=A28)),1)),1)),"N1", IF(INDEX(_xlfn._xlws.FILTER('Model output'!E:E,('Model output'!Z:Z=A28)),1)="","",INDEX(_xlfn._xlws.FILTER('Model output'!E:E,('Model output'!Z:Z=A28)),1))),1)),RIGHT(IF(ISNUMBER(SEARCH("present",IF(INDEX(_xlfn._xlws.FILTER('Model output'!E:E,('Model output'!Z:Z=A28)),1)="","",INDEX(_xlfn._xlws.FILTER('Model output'!E:E,('Model output'!Z:Z=A28)),1)),1)),"N1", IF(INDEX(_xlfn._xlws.FILTER('Model output'!E:E,('Model output'!Z:Z=A28)),1)="","",INDEX(_xlfn._xlws.FILTER('Model output'!E:E,('Model output'!Z:Z=A28)),1))),LEN(IF(ISNUMBER(SEARCH("present",IF(INDEX(_xlfn._xlws.FILTER('Model output'!E:E,('Model output'!Z:Z=A28)),1)="","",INDEX(_xlfn._xlws.FILTER('Model output'!E:E,('Model output'!Z:Z=A28)),1)),1)),"N1", IF(INDEX(_xlfn._xlws.FILTER('Model output'!E:E,('Model output'!Z:Z=A28)),1)="","",INDEX(_xlfn._xlws.FILTER('Model output'!E:E,('Model output'!Z:Z=A28)),1))))-FIND("N",IF(ISNUMBER(SEARCH("present",IF(INDEX(_xlfn._xlws.FILTER('Model output'!E:E,('Model output'!Z:Z=A28)),1)="","",INDEX(_xlfn._xlws.FILTER('Model output'!E:E,('Model output'!Z:Z=A28)),1)),1)),"N1", IF(INDEX(_xlfn._xlws.FILTER('Model output'!E:E,('Model output'!Z:Z=A28)),1)="","",INDEX(_xlfn._xlws.FILTER('Model output'!E:E,('Model output'!Z:Z=A28)),1))),1)), "")</f>
        <v/>
      </c>
      <c r="F28" s="17" cm="1">
        <f t="array" ref="F28">IF(AND(SUBSTITUTE(_xlfn.TEXTJOIN("/", TRUE, _xlfn._xlws.FILTER('Model output'!F:F, 'Model output'!Z:Z=A28)),"M", "")="", I28="negative"),0,IF(I28="positive",1,0))</f>
        <v>0</v>
      </c>
      <c r="G28" t="str">
        <f t="shared" si="0"/>
        <v/>
      </c>
      <c r="H28" t="str" cm="1">
        <f t="array" ref="H28">IF(AND(K28&gt;0, _xlfn.TEXTJOIN("; ", TRUE, _xlfn._xlws.FILTER('Model output'!G:G, 'Model output'!Z:Z=A28)) &lt;&gt;"", OR(AND(ISNUMBER(SEARCH("level", _xlfn.TEXTJOIN("; ", TRUE, _xlfn._xlws.FILTER('Model output'!G:G, 'Model output'!Z:Z=A28)),1)),OR(ISNUMBER(SEARCH(" II", _xlfn.TEXTJOIN("; ", TRUE, _xlfn._xlws.FILTER('Model output'!G:G, 'Model output'!Z:Z=A28)),1)),ISNUMBER(SEARCH("2", _xlfn.TEXTJOIN("; ", TRUE, _xlfn._xlws.FILTER('Model output'!G:G, 'Model output'!Z:Z=A28)),1)),ISNUMBER(SEARCH("two", _xlfn.TEXTJOIN("; ", TRUE, _xlfn._xlws.FILTER('Model output'!G:G, 'Model output'!Z:Z=A28)),1)),ISNUMBER(SEARCH("III", _xlfn.TEXTJOIN("; ", TRUE, _xlfn._xlws.FILTER('Model output'!G:G, 'Model output'!Z:Z=A28)),1)),ISNUMBER(SEARCH("3", _xlfn.TEXTJOIN("; ", TRUE, _xlfn._xlws.FILTER('Model output'!G:G, 'Model output'!Z:Z=A28)),1)),ISNUMBER(SEARCH("three", _xlfn.TEXTJOIN("; ", TRUE, _xlfn._xlws.FILTER('Model output'!G:G, 'Model output'!Z:Z=A28)),1)),ISNUMBER(SEARCH("IV", _xlfn.TEXTJOIN("; ", TRUE, _xlfn._xlws.FILTER('Model output'!G:G, 'Model output'!Z:Z=A28)),1)),ISNUMBER(SEARCH("4", _xlfn.TEXTJOIN("; ", TRUE, _xlfn._xlws.FILTER('Model output'!G:G, 'Model output'!Z:Z=A28)),1)),ISNUMBER(SEARCH("five", _xlfn.TEXTJOIN("; ", TRUE, _xlfn._xlws.FILTER('Model output'!G:G, 'Model output'!Z:Z=A28)),1)),ISNUMBER(SEARCH("V ", _xlfn.TEXTJOIN("; ", TRUE, _xlfn._xlws.FILTER('Model output'!G:G, 'Model output'!Z:Z=A28)),1)),ISNUMBER(SEARCH("5", _xlfn.TEXTJOIN("; ", TRUE, _xlfn._xlws.FILTER('Model output'!G:G, 'Model output'!Z:Z=A28)),1)),ISNUMBER(SEARCH("five", _xlfn.TEXTJOIN("; ", TRUE, _xlfn._xlws.FILTER('Model output'!G:G, 'Model output'!Z:Z=A28)),1)),ISNUMBER(SEARCH(" lateral", _xlfn.TEXTJOIN("; ", TRUE, _xlfn._xlws.FILTER('Model output'!G:G, 'Model output'!Z:Z=A28)),1)))),ISNUMBER(SEARCH("cervical", _xlfn.TEXTJOIN("; ", TRUE, _xlfn._xlws.FILTER('Model output'!G:G, 'Model output'!Z:Z=A28)),1)),ISNUMBER(SEARCH("jugular", _xlfn.TEXTJOIN("; ", TRUE, _xlfn._xlws.FILTER('Model output'!G:G, 'Model output'!Z:Z=A28)),1)),ISNUMBER(SEARCH("left neck", _xlfn.TEXTJOIN("; ", TRUE, _xlfn._xlws.FILTER('Model output'!G:G, 'Model output'!Z:Z=A28)),1)),ISNUMBER(SEARCH("left anterior neck", _xlfn.TEXTJOIN("; ", TRUE, _xlfn._xlws.FILTER('Model output'!G:G, 'Model output'!Z:Z=A28)),1)),ISNUMBER(SEARCH("left posterior neck", _xlfn.TEXTJOIN("; ", TRUE, _xlfn._xlws.FILTER('Model output'!G:G, 'Model output'!Z:Z=A28)),1)),ISNUMBER(SEARCH("right neck", _xlfn.TEXTJOIN("; ", TRUE, _xlfn._xlws.FILTER('Model output'!G:G, 'Model output'!Z:Z=A28)),1)),ISNUMBER(SEARCH("right anterior neck", _xlfn.TEXTJOIN("; ", TRUE, _xlfn._xlws.FILTER('Model output'!G:G, 'Model output'!Z:Z=A28)),1)),ISNUMBER(SEARCH("right posterior neck", _xlfn.TEXTJOIN("; ", TRUE, _xlfn._xlws.FILTER('Model output'!G:G, 'Model output'!Z:Z=A28)),1)))),"lateral",IF(AND(K28=0, _xlfn.TEXTJOIN("; ", TRUE, _xlfn._xlws.FILTER('Model output'!G:G, 'Model output'!Z:Z=A28))=""),"", "central"))</f>
        <v/>
      </c>
      <c r="I28" s="17" t="str" cm="1">
        <f t="array" ref="I28">IF(OR(ISNUMBER(SEARCH("lymph",_xlfn.TEXTJOIN("; ", TRUE, _xlfn._xlws.FILTER('Model output'!H:H, 'Model output'!Z:Z=A28)),1)), ISNUMBER(SEARCH("Not mentioned",_xlfn.TEXTJOIN("; ", TRUE, _xlfn._xlws.FILTER('Model output'!H:H, 'Model output'!Z:Z=A28)),1)),ISNUMBER(SEARCH("subcutaneous soft tissues",_xlfn.TEXTJOIN("; ", TRUE, _xlfn._xlws.FILTER('Model output'!H:H, 'Model output'!Z:Z=A28)),1)),ISNUMBER(SEARCH("larynx",_xlfn.TEXTJOIN("; ", TRUE, _xlfn._xlws.FILTER('Model output'!H:H, 'Model output'!Z:Z=A28)),1)),ISNUMBER(SEARCH("trachea",_xlfn.TEXTJOIN("; ", TRUE, _xlfn._xlws.FILTER('Model output'!H:H, 'Model output'!Z:Z=A28)),1)),ISNUMBER(SEARCH("esophagus",_xlfn.TEXTJOIN("; ", TRUE, _xlfn._xlws.FILTER('Model output'!H:H, 'Model output'!Z:Z=A28)),1)),ISNUMBER(SEARCH("recurrent laryngeal nerve",_xlfn.TEXTJOIN("; ", TRUE, _xlfn._xlws.FILTER('Model output'!H:H, 'Model output'!Z:Z=A28)),1)),ISNUMBER(SEARCH("RLN",_xlfn.TEXTJOIN("; ", TRUE, _xlfn._xlws.FILTER('Model output'!H:H, 'Model output'!Z:Z=A28)),1)),_xlfn.TEXTJOIN("; ", TRUE, _xlfn._xlws.FILTER('Model output'!H:H, 'Model output'!Z:Z=A28))=""),"negative","positive")</f>
        <v>negative</v>
      </c>
      <c r="J28" s="17">
        <f>IF(IFERROR(INDEX('Model output'!I:I, MATCH(A28, 'Model output'!Z:Z, 0)), "") &lt; K28, "", IFERROR(INDEX('Model output'!I:I, MATCH(A28, 'Model output'!Z:Z, 0)), ""))</f>
        <v>1</v>
      </c>
      <c r="K28" s="17">
        <f>IFERROR(INDEX('Model output'!J:J, MATCH(A28, 'Model output'!Z:Z, 0)), "")</f>
        <v>0</v>
      </c>
      <c r="L28" s="18" t="str" cm="1">
        <f t="array" ref="L28">ReplaceTo(ReplaceAnd(SUBSTITUTE(SUBSTITUTE(_xlfn.TEXTJOIN("; ", TRUE, _xlfn._xlws.FILTER('Model output'!K:K, 'Model output'!Z:Z=A28)), " ", ""), ",", ";")))</f>
        <v>Notmentioned</v>
      </c>
      <c r="M28" t="str" cm="1">
        <f t="array" ref="M28">IF(LEFT(IF(RIGHT(SUBSTITUTE(FilterWithUnits(L28)&amp;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";")),1)=";",RIGHT(IF(RIGHT(SUBSTITUTE(FilterWithUnits(L28)&amp;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";")),LEN(IF(RIGHT(SUBSTITUTE(FilterWithUnits(L28)&amp;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";")))-1),IF(RIGHT(SUBSTITUTE(FilterWithUnits(L28)&amp;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f>
        <v/>
      </c>
      <c r="N28" t="str" cm="1">
        <f t="array" ref="N28">IF(MaxSize((SplitDimensions(M28)))=0, "", MaxSize((SplitDimensions(M28))))</f>
        <v/>
      </c>
      <c r="O28" t="str" cm="1">
        <f t="array" ref="O28">IF(ISERROR(INDEX(_xlfn._xlws.FILTER('Model output'!L:L, ('Model output'!Z:Z=A28)*('Model output'!L:L&lt;&gt;"")), 1)), " ", LOWER(INDEX(_xlfn._xlws.FILTER('Model output'!L:L, ('Model output'!Z:Z=A28)*('Model output'!L:L&lt;&gt;"")), 1)))</f>
        <v>papillary</v>
      </c>
      <c r="P28" t="str" cm="1">
        <f t="array" ref="P28">IF(ISERROR(INDEX(_xlfn._xlws.FILTER('Model output'!M:M, ('Model output'!Z:Z=A28)*('Model output'!M:M&lt;&gt;"")), 1)), " ", LOWER(INDEX(_xlfn._xlws.FILTER('Model output'!M:M, ('Model output'!Z:Z=A28)*('Model output'!M:M&lt;&gt;"")), 1)))</f>
        <v>classic</v>
      </c>
      <c r="Q28" t="str" cm="1">
        <f t="array" ref="Q28">IF(OR(ISNUMBER(SEARCH("ly",SUBSTITUTE(INDEX(_xlfn._xlws.FILTER('Model output'!N:N,('Model output'!Z:Z=A28)*('Model output'!N:N&lt;&gt;"")),1)," ",""),1)), ISNUMBER(SEARCH("pole",SUBSTITUTE(INDEX(_xlfn._xlws.FILTER('Model output'!N:N,('Model output'!Z:Z=A28)*('Model output'!N:N&lt;&gt;"")),1)," ",""),1))),"",SUBSTITUTE(INDEX(_xlfn._xlws.FILTER('Model output'!N:N,('Model output'!Z:Z=A28)*('Model output'!N:N&lt;&gt;"")),1)," ",""))</f>
        <v>11mm</v>
      </c>
      <c r="R28" t="str" cm="1">
        <f t="array" ref="R28">IF(LEFT(IF(RIGHT(SUBSTITUTE(FilterWithUnits(Q28)&amp;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";")),1)=";",RIGHT(IF(RIGHT(SUBSTITUTE(FilterWithUnits(Q28)&amp;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";")),LEN(IF(RIGHT(SUBSTITUTE(FilterWithUnits(Q28)&amp;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";")))-1),IF(RIGHT(SUBSTITUTE(FilterWithUnits(Q28)&amp;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f>
        <v>11mm</v>
      </c>
      <c r="S28" cm="1">
        <f t="array" ref="S28">IF(MaxSize((SplitDimensions(R28)))=0, "", MaxSize((SplitDimensions(R28))))</f>
        <v>1.1000000000000001</v>
      </c>
      <c r="T28" s="17" t="str" cm="1">
        <f t="array" ref="T28">IF(ISERROR(INDEX(_xlfn._xlws.FILTER('Model output'!P:P,('Model output'!Z:Z=A28)*('Model output'!P:P&lt;&gt;"")),1)),"negative",IF(OR(ISNUMBER(SEARCH("foc",INDEX(_xlfn._xlws.FILTER('Model output'!P:P,('Model output'!Z:Z=A28)*('Model output'!P:P&lt;&gt;"")),1),1)),ISNUMBER(SEARCH("extensive",INDEX(_xlfn._xlws.FILTER('Model output'!P:P,('Model output'!Z:Z=A28)*('Model output'!P:P&lt;&gt;"")),1),1)),ISNUMBER(SEARCH("present",INDEX(_xlfn._xlws.FILTER('Model output'!P:P,('Model output'!Z:Z=A28)*('Model output'!P:P&lt;&gt;"")),1),1)),ISNUMBER(SEARCH("yes",INDEX(_xlfn._xlws.FILTER('Model output'!P:P,('Model output'!Z:Z=A28)*('Model output'!P:P&lt;&gt;"")),1),1))),"positive","negative"))</f>
        <v>negative</v>
      </c>
      <c r="V28" t="str" cm="1">
        <f t="array" ref="V28">IF(ISNUMBER(SEARCH("4",INDEX(_xlfn._xlws.FILTER('Model output'!P:P,('Model output'!Z:Z=A28)*('Model output'!P:P&lt;&gt;"")),1),1)),INDEX(_xlfn._xlws.FILTER('Model output'!P:P,('Model output'!Z:Z=A28)*('Model output'!P:P&lt;&gt;"")),1),"") &amp; _xlfn.TEXTJOIN("",TRUE,_xlfn._xlws.FILTER('Model output'!Q:Q,'Model output'!Z:Z=A28))</f>
        <v>Not mentioned</v>
      </c>
      <c r="W28" t="str">
        <f t="shared" si="11"/>
        <v>no</v>
      </c>
      <c r="X28" t="str" cm="1">
        <f t="array" ref="X28">IF(OR(ISNUMBER(SEARCH("focal",_xlfn.TEXTJOIN("; ",TRUE,_xlfn._xlws.FILTER('Model output'!R:R,'Model output'!Z:Z=A28)),1)),ISNUMBER(SEARCH("present",_xlfn.TEXTJOIN("; ",TRUE,_xlfn._xlws.FILTER('Model output'!R:R,'Model output'!Z:Z=A28)),1))),"positive",IF(_xlfn.TEXTJOIN("; ",TRUE,_xlfn._xlws.FILTER('Model output'!R:R,'Model output'!Z:Z=A28))="","negative",IF(OR(ISNUMBER(SEARCH("no",_xlfn.TEXTJOIN("; ",TRUE,_xlfn._xlws.FILTER('Model output'!R:R,'Model output'!Z:Z=A28)),1)),ISNUMBER(SEARCH("absent",_xlfn.TEXTJOIN("; ",TRUE,_xlfn._xlws.FILTER('Model output'!R:R,'Model output'!Z:Z=A28)),1))),"negative","positive")))</f>
        <v>positive</v>
      </c>
      <c r="Y28" s="17" t="str">
        <f t="shared" si="12"/>
        <v>positive</v>
      </c>
      <c r="AC28" s="17" t="str">
        <f t="shared" si="13"/>
        <v>positive</v>
      </c>
      <c r="AD28" t="str" cm="1">
        <f t="array" ref="AD28">_xlfn.TEXTJOIN("; ",TRUE,_xlfn._xlws.FILTER('Model output'!S:S,'Model output'!Z:Z=A28))</f>
        <v>Microscopic extrathyroidal extension to skeletal muscle anterior to the thyroid gland is present (Block B2); Right thyroid 1cm tumour with gross ETE to strap muscle</v>
      </c>
      <c r="AE28" s="47" t="str" cm="1">
        <f t="array" ref="AE28">IF(OR(ISNUMBER(SEARCH("uninvolved",_xlfn.TEXTJOIN("; ",TRUE,_xlfn._xlws.FILTER('Model output'!V:V,'Model output'!Z:Z=A28)),1)),ISNUMBER(SEARCH("clear",_xlfn.TEXTJOIN("; ",TRUE,_xlfn._xlws.FILTER('Model output'!V:V,'Model output'!Z:Z=A28)),1))*ISNUMBER(SEARCH("not mentioned",_xlfn.TEXTJOIN("; ",TRUE,_xlfn._xlws.FILTER('Model output'!V:V,'Model output'!Z:Z=A28)),1))),"negative",IF(ISNUMBER(SEARCH("cannot be assessed",_xlfn.TEXTJOIN("; ",TRUE,_xlfn._xlws.FILTER('Model output'!V:V,'Model output'!Z:Z=A28)),1)),"negative","negative"))</f>
        <v>negative</v>
      </c>
      <c r="AG28" s="36" t="str">
        <f t="shared" si="14"/>
        <v>high</v>
      </c>
      <c r="AH28" s="37" t="str">
        <f t="shared" si="2"/>
        <v>3b</v>
      </c>
      <c r="AI28" s="37">
        <f t="shared" si="15"/>
        <v>0</v>
      </c>
      <c r="AJ28" s="37">
        <f t="shared" si="16"/>
        <v>0</v>
      </c>
      <c r="AK28" s="37" t="str">
        <f t="shared" si="17"/>
        <v>II</v>
      </c>
      <c r="AL28" s="10" t="s">
        <v>167</v>
      </c>
      <c r="AM28" s="32" t="s">
        <v>197</v>
      </c>
      <c r="AN28" s="32" t="s">
        <v>195</v>
      </c>
      <c r="AO28" s="32">
        <v>0</v>
      </c>
      <c r="AP28" s="32" t="s">
        <v>43</v>
      </c>
      <c r="AQ28" s="10">
        <f t="shared" si="6"/>
        <v>1</v>
      </c>
      <c r="AR28" s="32">
        <f t="shared" si="7"/>
        <v>1</v>
      </c>
      <c r="AS28" s="32">
        <f t="shared" si="8"/>
        <v>1</v>
      </c>
      <c r="AT28" s="32">
        <f t="shared" si="9"/>
        <v>1</v>
      </c>
      <c r="AU28" s="34">
        <f t="shared" si="10"/>
        <v>1</v>
      </c>
    </row>
    <row r="29" spans="1:47">
      <c r="A29" s="13">
        <v>27</v>
      </c>
      <c r="B29" s="16"/>
      <c r="C29" s="17">
        <f>_xlfn.MAXIFS('Model output'!C:C,'Model output'!Z:Z,'Classification result'!$A29)</f>
        <v>39</v>
      </c>
      <c r="D29" s="17" t="str" cm="1">
        <f t="array" ref="D29">LEFT(IF(ISERROR(RIGHT(IF(INDEX(_xlfn._xlws.FILTER('Model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output'!Z:Z=A29)),1),""),1))),"",(RIGHT(IF(INDEX(_xlfn._xlws.FILTER('Model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output'!Z:Z=A29)),1)))))),2)</f>
        <v>1a</v>
      </c>
      <c r="E29" s="17" t="str" cm="1">
        <f t="array" ref="E29">IF(ISNUMBER(SEARCH("N",IF(ISNUMBER(SEARCH("present",IF(INDEX(_xlfn._xlws.FILTER('Model output'!E:E,('Model output'!Z:Z=A29)),1)="","",INDEX(_xlfn._xlws.FILTER('Model output'!E:E,('Model output'!Z:Z=A29)),1)),1)),"N1", IF(INDEX(_xlfn._xlws.FILTER('Model output'!E:E,('Model output'!Z:Z=A29)),1)="","",INDEX(_xlfn._xlws.FILTER('Model output'!E:E,('Model output'!Z:Z=A29)),1))),1)),RIGHT(IF(ISNUMBER(SEARCH("present",IF(INDEX(_xlfn._xlws.FILTER('Model output'!E:E,('Model output'!Z:Z=A29)),1)="","",INDEX(_xlfn._xlws.FILTER('Model output'!E:E,('Model output'!Z:Z=A29)),1)),1)),"N1", IF(INDEX(_xlfn._xlws.FILTER('Model output'!E:E,('Model output'!Z:Z=A29)),1)="","",INDEX(_xlfn._xlws.FILTER('Model output'!E:E,('Model output'!Z:Z=A29)),1))),LEN(IF(ISNUMBER(SEARCH("present",IF(INDEX(_xlfn._xlws.FILTER('Model output'!E:E,('Model output'!Z:Z=A29)),1)="","",INDEX(_xlfn._xlws.FILTER('Model output'!E:E,('Model output'!Z:Z=A29)),1)),1)),"N1", IF(INDEX(_xlfn._xlws.FILTER('Model output'!E:E,('Model output'!Z:Z=A29)),1)="","",INDEX(_xlfn._xlws.FILTER('Model output'!E:E,('Model output'!Z:Z=A29)),1))))-FIND("N",IF(ISNUMBER(SEARCH("present",IF(INDEX(_xlfn._xlws.FILTER('Model output'!E:E,('Model output'!Z:Z=A29)),1)="","",INDEX(_xlfn._xlws.FILTER('Model output'!E:E,('Model output'!Z:Z=A29)),1)),1)),"N1", IF(INDEX(_xlfn._xlws.FILTER('Model output'!E:E,('Model output'!Z:Z=A29)),1)="","",INDEX(_xlfn._xlws.FILTER('Model output'!E:E,('Model output'!Z:Z=A29)),1))),1)), "")</f>
        <v/>
      </c>
      <c r="F29" s="17" cm="1">
        <f t="array" ref="F29">IF(AND(SUBSTITUTE(_xlfn.TEXTJOIN("/", TRUE, _xlfn._xlws.FILTER('Model output'!F:F, 'Model output'!Z:Z=A29)),"M", "")="", I29="negative"),0,IF(I29="positive",1,0))</f>
        <v>0</v>
      </c>
      <c r="G29" t="str">
        <f t="shared" si="0"/>
        <v>positive</v>
      </c>
      <c r="H29" t="str" cm="1">
        <f t="array" ref="H29">IF(AND(K29&gt;0, _xlfn.TEXTJOIN("; ", TRUE, _xlfn._xlws.FILTER('Model output'!G:G, 'Model output'!Z:Z=A29)) &lt;&gt;"", OR(AND(ISNUMBER(SEARCH("level", _xlfn.TEXTJOIN("; ", TRUE, _xlfn._xlws.FILTER('Model output'!G:G, 'Model output'!Z:Z=A29)),1)),OR(ISNUMBER(SEARCH(" II", _xlfn.TEXTJOIN("; ", TRUE, _xlfn._xlws.FILTER('Model output'!G:G, 'Model output'!Z:Z=A29)),1)),ISNUMBER(SEARCH("2", _xlfn.TEXTJOIN("; ", TRUE, _xlfn._xlws.FILTER('Model output'!G:G, 'Model output'!Z:Z=A29)),1)),ISNUMBER(SEARCH("two", _xlfn.TEXTJOIN("; ", TRUE, _xlfn._xlws.FILTER('Model output'!G:G, 'Model output'!Z:Z=A29)),1)),ISNUMBER(SEARCH("III", _xlfn.TEXTJOIN("; ", TRUE, _xlfn._xlws.FILTER('Model output'!G:G, 'Model output'!Z:Z=A29)),1)),ISNUMBER(SEARCH("3", _xlfn.TEXTJOIN("; ", TRUE, _xlfn._xlws.FILTER('Model output'!G:G, 'Model output'!Z:Z=A29)),1)),ISNUMBER(SEARCH("three", _xlfn.TEXTJOIN("; ", TRUE, _xlfn._xlws.FILTER('Model output'!G:G, 'Model output'!Z:Z=A29)),1)),ISNUMBER(SEARCH("IV", _xlfn.TEXTJOIN("; ", TRUE, _xlfn._xlws.FILTER('Model output'!G:G, 'Model output'!Z:Z=A29)),1)),ISNUMBER(SEARCH("4", _xlfn.TEXTJOIN("; ", TRUE, _xlfn._xlws.FILTER('Model output'!G:G, 'Model output'!Z:Z=A29)),1)),ISNUMBER(SEARCH("five", _xlfn.TEXTJOIN("; ", TRUE, _xlfn._xlws.FILTER('Model output'!G:G, 'Model output'!Z:Z=A29)),1)),ISNUMBER(SEARCH("V ", _xlfn.TEXTJOIN("; ", TRUE, _xlfn._xlws.FILTER('Model output'!G:G, 'Model output'!Z:Z=A29)),1)),ISNUMBER(SEARCH("5", _xlfn.TEXTJOIN("; ", TRUE, _xlfn._xlws.FILTER('Model output'!G:G, 'Model output'!Z:Z=A29)),1)),ISNUMBER(SEARCH("five", _xlfn.TEXTJOIN("; ", TRUE, _xlfn._xlws.FILTER('Model output'!G:G, 'Model output'!Z:Z=A29)),1)),ISNUMBER(SEARCH(" lateral", _xlfn.TEXTJOIN("; ", TRUE, _xlfn._xlws.FILTER('Model output'!G:G, 'Model output'!Z:Z=A29)),1)))),ISNUMBER(SEARCH("cervical", _xlfn.TEXTJOIN("; ", TRUE, _xlfn._xlws.FILTER('Model output'!G:G, 'Model output'!Z:Z=A29)),1)),ISNUMBER(SEARCH("jugular", _xlfn.TEXTJOIN("; ", TRUE, _xlfn._xlws.FILTER('Model output'!G:G, 'Model output'!Z:Z=A29)),1)),ISNUMBER(SEARCH("left neck", _xlfn.TEXTJOIN("; ", TRUE, _xlfn._xlws.FILTER('Model output'!G:G, 'Model output'!Z:Z=A29)),1)),ISNUMBER(SEARCH("left anterior neck", _xlfn.TEXTJOIN("; ", TRUE, _xlfn._xlws.FILTER('Model output'!G:G, 'Model output'!Z:Z=A29)),1)),ISNUMBER(SEARCH("left posterior neck", _xlfn.TEXTJOIN("; ", TRUE, _xlfn._xlws.FILTER('Model output'!G:G, 'Model output'!Z:Z=A29)),1)),ISNUMBER(SEARCH("right neck", _xlfn.TEXTJOIN("; ", TRUE, _xlfn._xlws.FILTER('Model output'!G:G, 'Model output'!Z:Z=A29)),1)),ISNUMBER(SEARCH("right anterior neck", _xlfn.TEXTJOIN("; ", TRUE, _xlfn._xlws.FILTER('Model output'!G:G, 'Model output'!Z:Z=A29)),1)),ISNUMBER(SEARCH("right posterior neck", _xlfn.TEXTJOIN("; ", TRUE, _xlfn._xlws.FILTER('Model output'!G:G, 'Model output'!Z:Z=A29)),1)))),"lateral",IF(AND(K29=0, _xlfn.TEXTJOIN("; ", TRUE, _xlfn._xlws.FILTER('Model output'!G:G, 'Model output'!Z:Z=A29))=""),"", "central"))</f>
        <v>central</v>
      </c>
      <c r="I29" s="17" t="str" cm="1">
        <f t="array" ref="I29">IF(OR(ISNUMBER(SEARCH("lymph",_xlfn.TEXTJOIN("; ", TRUE, _xlfn._xlws.FILTER('Model output'!H:H, 'Model output'!Z:Z=A29)),1)), ISNUMBER(SEARCH("Not mentioned",_xlfn.TEXTJOIN("; ", TRUE, _xlfn._xlws.FILTER('Model output'!H:H, 'Model output'!Z:Z=A29)),1)),ISNUMBER(SEARCH("subcutaneous soft tissues",_xlfn.TEXTJOIN("; ", TRUE, _xlfn._xlws.FILTER('Model output'!H:H, 'Model output'!Z:Z=A29)),1)),ISNUMBER(SEARCH("larynx",_xlfn.TEXTJOIN("; ", TRUE, _xlfn._xlws.FILTER('Model output'!H:H, 'Model output'!Z:Z=A29)),1)),ISNUMBER(SEARCH("trachea",_xlfn.TEXTJOIN("; ", TRUE, _xlfn._xlws.FILTER('Model output'!H:H, 'Model output'!Z:Z=A29)),1)),ISNUMBER(SEARCH("esophagus",_xlfn.TEXTJOIN("; ", TRUE, _xlfn._xlws.FILTER('Model output'!H:H, 'Model output'!Z:Z=A29)),1)),ISNUMBER(SEARCH("recurrent laryngeal nerve",_xlfn.TEXTJOIN("; ", TRUE, _xlfn._xlws.FILTER('Model output'!H:H, 'Model output'!Z:Z=A29)),1)),ISNUMBER(SEARCH("RLN",_xlfn.TEXTJOIN("; ", TRUE, _xlfn._xlws.FILTER('Model output'!H:H, 'Model output'!Z:Z=A29)),1)),_xlfn.TEXTJOIN("; ", TRUE, _xlfn._xlws.FILTER('Model output'!H:H, 'Model output'!Z:Z=A29))=""),"negative","positive")</f>
        <v>negative</v>
      </c>
      <c r="J29" s="17">
        <f>IF(IFERROR(INDEX('Model output'!I:I, MATCH(A29, 'Model output'!Z:Z, 0)), "") &lt; K29, "", IFERROR(INDEX('Model output'!I:I, MATCH(A29, 'Model output'!Z:Z, 0)), ""))</f>
        <v>2</v>
      </c>
      <c r="K29" s="17">
        <f>IFERROR(INDEX('Model output'!J:J, MATCH(A29, 'Model output'!Z:Z, 0)), "")</f>
        <v>1</v>
      </c>
      <c r="L29" s="18" t="str" cm="1">
        <f t="array" ref="L29">ReplaceTo(ReplaceAnd(SUBSTITUTE(SUBSTITUTE(_xlfn.TEXTJOIN("; ", TRUE, _xlfn._xlws.FILTER('Model output'!K:K, 'Model output'!Z:Z=A29)), " ", ""), ",", ";")))</f>
        <v/>
      </c>
      <c r="M29" t="str" cm="1">
        <f t="array" ref="M29">IF(LEFT(IF(RIGHT(SUBSTITUTE(FilterWithUnits(L29)&amp;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";")),1)=";",RIGHT(IF(RIGHT(SUBSTITUTE(FilterWithUnits(L29)&amp;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";")),LEN(IF(RIGHT(SUBSTITUTE(FilterWithUnits(L29)&amp;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";")))-1),IF(RIGHT(SUBSTITUTE(FilterWithUnits(L29)&amp;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f>
        <v/>
      </c>
      <c r="N29" t="str" cm="1">
        <f t="array" ref="N29">IF(MaxSize((SplitDimensions(M29)))=0, "", MaxSize((SplitDimensions(M29))))</f>
        <v/>
      </c>
      <c r="O29" t="str" cm="1">
        <f t="array" ref="O29">IF(ISERROR(INDEX(_xlfn._xlws.FILTER('Model output'!L:L, ('Model output'!Z:Z=A29)*('Model output'!L:L&lt;&gt;"")), 1)), " ", LOWER(INDEX(_xlfn._xlws.FILTER('Model output'!L:L, ('Model output'!Z:Z=A29)*('Model output'!L:L&lt;&gt;"")), 1)))</f>
        <v>papillary</v>
      </c>
      <c r="P29" t="str" cm="1">
        <f t="array" ref="P29">IF(ISERROR(INDEX(_xlfn._xlws.FILTER('Model output'!M:M, ('Model output'!Z:Z=A29)*('Model output'!M:M&lt;&gt;"")), 1)), " ", LOWER(INDEX(_xlfn._xlws.FILTER('Model output'!M:M, ('Model output'!Z:Z=A29)*('Model output'!M:M&lt;&gt;"")), 1)))</f>
        <v xml:space="preserve"> </v>
      </c>
      <c r="Q29" t="str" cm="1">
        <f t="array" ref="Q29">IF(OR(ISNUMBER(SEARCH("ly",SUBSTITUTE(INDEX(_xlfn._xlws.FILTER('Model output'!N:N,('Model output'!Z:Z=A29)*('Model output'!N:N&lt;&gt;"")),1)," ",""),1)), ISNUMBER(SEARCH("pole",SUBSTITUTE(INDEX(_xlfn._xlws.FILTER('Model output'!N:N,('Model output'!Z:Z=A29)*('Model output'!N:N&lt;&gt;"")),1)," ",""),1))),"",SUBSTITUTE(INDEX(_xlfn._xlws.FILTER('Model output'!N:N,('Model output'!Z:Z=A29)*('Model output'!N:N&lt;&gt;"")),1)," ",""))</f>
        <v>4cm</v>
      </c>
      <c r="R29" t="str" cm="1">
        <f t="array" ref="R29">IF(LEFT(IF(RIGHT(SUBSTITUTE(FilterWithUnits(Q29)&amp;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";")),1)=";",RIGHT(IF(RIGHT(SUBSTITUTE(FilterWithUnits(Q29)&amp;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";")),LEN(IF(RIGHT(SUBSTITUTE(FilterWithUnits(Q29)&amp;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";")))-1),IF(RIGHT(SUBSTITUTE(FilterWithUnits(Q29)&amp;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f>
        <v>4cm</v>
      </c>
      <c r="S29" cm="1">
        <f t="array" ref="S29">IF(MaxSize((SplitDimensions(R29)))=0, "", MaxSize((SplitDimensions(R29))))</f>
        <v>4</v>
      </c>
      <c r="T29" s="17" t="str" cm="1">
        <f t="array" ref="T29">IF(ISERROR(INDEX(_xlfn._xlws.FILTER('Model output'!P:P,('Model output'!Z:Z=A29)*('Model output'!P:P&lt;&gt;"")),1)),"negative",IF(OR(ISNUMBER(SEARCH("foc",INDEX(_xlfn._xlws.FILTER('Model output'!P:P,('Model output'!Z:Z=A29)*('Model output'!P:P&lt;&gt;"")),1),1)),ISNUMBER(SEARCH("extensive",INDEX(_xlfn._xlws.FILTER('Model output'!P:P,('Model output'!Z:Z=A29)*('Model output'!P:P&lt;&gt;"")),1),1)),ISNUMBER(SEARCH("present",INDEX(_xlfn._xlws.FILTER('Model output'!P:P,('Model output'!Z:Z=A29)*('Model output'!P:P&lt;&gt;"")),1),1)),ISNUMBER(SEARCH("yes",INDEX(_xlfn._xlws.FILTER('Model output'!P:P,('Model output'!Z:Z=A29)*('Model output'!P:P&lt;&gt;"")),1),1))),"positive","negative"))</f>
        <v>negative</v>
      </c>
      <c r="V29" t="str" cm="1">
        <f t="array" ref="V29">IF(ISNUMBER(SEARCH("4",INDEX(_xlfn._xlws.FILTER('Model output'!P:P,('Model output'!Z:Z=A29)*('Model output'!P:P&lt;&gt;"")),1),1)),INDEX(_xlfn._xlws.FILTER('Model output'!P:P,('Model output'!Z:Z=A29)*('Model output'!P:P&lt;&gt;"")),1),"") &amp; _xlfn.TEXTJOIN("",TRUE,_xlfn._xlws.FILTER('Model output'!Q:Q,'Model output'!Z:Z=A29))</f>
        <v/>
      </c>
      <c r="W29" t="str">
        <f t="shared" si="11"/>
        <v>no</v>
      </c>
      <c r="X29" t="str" cm="1">
        <f t="array" ref="X29">IF(OR(ISNUMBER(SEARCH("focal",_xlfn.TEXTJOIN("; ",TRUE,_xlfn._xlws.FILTER('Model output'!R:R,'Model output'!Z:Z=A29)),1)),ISNUMBER(SEARCH("present",_xlfn.TEXTJOIN("; ",TRUE,_xlfn._xlws.FILTER('Model output'!R:R,'Model output'!Z:Z=A29)),1))),"positive",IF(_xlfn.TEXTJOIN("; ",TRUE,_xlfn._xlws.FILTER('Model output'!R:R,'Model output'!Z:Z=A29))="","negative",IF(OR(ISNUMBER(SEARCH("no",_xlfn.TEXTJOIN("; ",TRUE,_xlfn._xlws.FILTER('Model output'!R:R,'Model output'!Z:Z=A29)),1)),ISNUMBER(SEARCH("absent",_xlfn.TEXTJOIN("; ",TRUE,_xlfn._xlws.FILTER('Model output'!R:R,'Model output'!Z:Z=A29)),1))),"negative","positive")))</f>
        <v>negative</v>
      </c>
      <c r="Y29" s="17" t="str">
        <f t="shared" si="12"/>
        <v>negative</v>
      </c>
      <c r="AC29" s="17" t="str">
        <f t="shared" si="13"/>
        <v>negative</v>
      </c>
      <c r="AD29" t="str" cm="1">
        <f t="array" ref="AD29">_xlfn.TEXTJOIN("; ",TRUE,_xlfn._xlws.FILTER('Model output'!S:S,'Model output'!Z:Z=A29))</f>
        <v>Not identified</v>
      </c>
      <c r="AE29" s="47" t="str" cm="1">
        <f t="array" ref="AE29">IF(OR(ISNUMBER(SEARCH("uninvolved",_xlfn.TEXTJOIN("; ",TRUE,_xlfn._xlws.FILTER('Model output'!V:V,'Model output'!Z:Z=A29)),1)),ISNUMBER(SEARCH("clear",_xlfn.TEXTJOIN("; ",TRUE,_xlfn._xlws.FILTER('Model output'!V:V,'Model output'!Z:Z=A29)),1))*ISNUMBER(SEARCH("not mentioned",_xlfn.TEXTJOIN("; ",TRUE,_xlfn._xlws.FILTER('Model output'!V:V,'Model output'!Z:Z=A29)),1))),"negative",IF(ISNUMBER(SEARCH("cannot be assessed",_xlfn.TEXTJOIN("; ",TRUE,_xlfn._xlws.FILTER('Model output'!V:V,'Model output'!Z:Z=A29)),1)),"negative","negative"))</f>
        <v>negative</v>
      </c>
      <c r="AG29" s="36" t="str">
        <f t="shared" si="14"/>
        <v>low</v>
      </c>
      <c r="AH29" s="37" t="str">
        <f t="shared" si="2"/>
        <v>2</v>
      </c>
      <c r="AI29" s="37" t="str">
        <f t="shared" si="15"/>
        <v>1a</v>
      </c>
      <c r="AJ29" s="37">
        <f t="shared" si="16"/>
        <v>0</v>
      </c>
      <c r="AK29" s="37" t="str">
        <f t="shared" si="17"/>
        <v>I</v>
      </c>
      <c r="AL29" s="10" t="s">
        <v>168</v>
      </c>
      <c r="AM29" s="32" t="s">
        <v>196</v>
      </c>
      <c r="AN29" s="32" t="s">
        <v>196</v>
      </c>
      <c r="AO29" s="32">
        <v>0</v>
      </c>
      <c r="AP29" s="32" t="s">
        <v>31</v>
      </c>
      <c r="AQ29" s="10">
        <f t="shared" si="6"/>
        <v>1</v>
      </c>
      <c r="AR29" s="32">
        <f t="shared" si="7"/>
        <v>0</v>
      </c>
      <c r="AS29" s="32">
        <f t="shared" si="8"/>
        <v>1</v>
      </c>
      <c r="AT29" s="32">
        <f t="shared" si="9"/>
        <v>1</v>
      </c>
      <c r="AU29" s="34">
        <f t="shared" si="10"/>
        <v>1</v>
      </c>
    </row>
    <row r="30" spans="1:47">
      <c r="A30" s="13">
        <v>28</v>
      </c>
      <c r="B30" s="16"/>
      <c r="C30" s="17">
        <f>_xlfn.MAXIFS('Model output'!C:C,'Model output'!Z:Z,'Classification result'!$A30)</f>
        <v>57</v>
      </c>
      <c r="D30" s="17" t="str" cm="1">
        <f t="array" ref="D30">LEFT(IF(ISERROR(RIGHT(IF(INDEX(_xlfn._xlws.FILTER('Model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output'!Z:Z=A30)),1),""),1))),"",(RIGHT(IF(INDEX(_xlfn._xlws.FILTER('Model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output'!Z:Z=A30)),1)))))),2)</f>
        <v>1a</v>
      </c>
      <c r="E30" s="17" t="str" cm="1">
        <f t="array" ref="E30">IF(ISNUMBER(SEARCH("N",IF(ISNUMBER(SEARCH("present",IF(INDEX(_xlfn._xlws.FILTER('Model output'!E:E,('Model output'!Z:Z=A30)),1)="","",INDEX(_xlfn._xlws.FILTER('Model output'!E:E,('Model output'!Z:Z=A30)),1)),1)),"N1", IF(INDEX(_xlfn._xlws.FILTER('Model output'!E:E,('Model output'!Z:Z=A30)),1)="","",INDEX(_xlfn._xlws.FILTER('Model output'!E:E,('Model output'!Z:Z=A30)),1))),1)),RIGHT(IF(ISNUMBER(SEARCH("present",IF(INDEX(_xlfn._xlws.FILTER('Model output'!E:E,('Model output'!Z:Z=A30)),1)="","",INDEX(_xlfn._xlws.FILTER('Model output'!E:E,('Model output'!Z:Z=A30)),1)),1)),"N1", IF(INDEX(_xlfn._xlws.FILTER('Model output'!E:E,('Model output'!Z:Z=A30)),1)="","",INDEX(_xlfn._xlws.FILTER('Model output'!E:E,('Model output'!Z:Z=A30)),1))),LEN(IF(ISNUMBER(SEARCH("present",IF(INDEX(_xlfn._xlws.FILTER('Model output'!E:E,('Model output'!Z:Z=A30)),1)="","",INDEX(_xlfn._xlws.FILTER('Model output'!E:E,('Model output'!Z:Z=A30)),1)),1)),"N1", IF(INDEX(_xlfn._xlws.FILTER('Model output'!E:E,('Model output'!Z:Z=A30)),1)="","",INDEX(_xlfn._xlws.FILTER('Model output'!E:E,('Model output'!Z:Z=A30)),1))))-FIND("N",IF(ISNUMBER(SEARCH("present",IF(INDEX(_xlfn._xlws.FILTER('Model output'!E:E,('Model output'!Z:Z=A30)),1)="","",INDEX(_xlfn._xlws.FILTER('Model output'!E:E,('Model output'!Z:Z=A30)),1)),1)),"N1", IF(INDEX(_xlfn._xlws.FILTER('Model output'!E:E,('Model output'!Z:Z=A30)),1)="","",INDEX(_xlfn._xlws.FILTER('Model output'!E:E,('Model output'!Z:Z=A30)),1))),1)), "")</f>
        <v/>
      </c>
      <c r="F30" s="17" cm="1">
        <f t="array" ref="F30">IF(AND(SUBSTITUTE(_xlfn.TEXTJOIN("/", TRUE, _xlfn._xlws.FILTER('Model output'!F:F, 'Model output'!Z:Z=A30)),"M", "")="", I30="negative"),0,IF(I30="positive",1,0))</f>
        <v>0</v>
      </c>
      <c r="G30" t="str">
        <f t="shared" si="0"/>
        <v>positive</v>
      </c>
      <c r="H30" t="str" cm="1">
        <f t="array" ref="H30">IF(AND(K30&gt;0, _xlfn.TEXTJOIN("; ", TRUE, _xlfn._xlws.FILTER('Model output'!G:G, 'Model output'!Z:Z=A30)) &lt;&gt;"", OR(AND(ISNUMBER(SEARCH("level", _xlfn.TEXTJOIN("; ", TRUE, _xlfn._xlws.FILTER('Model output'!G:G, 'Model output'!Z:Z=A30)),1)),OR(ISNUMBER(SEARCH(" II", _xlfn.TEXTJOIN("; ", TRUE, _xlfn._xlws.FILTER('Model output'!G:G, 'Model output'!Z:Z=A30)),1)),ISNUMBER(SEARCH("2", _xlfn.TEXTJOIN("; ", TRUE, _xlfn._xlws.FILTER('Model output'!G:G, 'Model output'!Z:Z=A30)),1)),ISNUMBER(SEARCH("two", _xlfn.TEXTJOIN("; ", TRUE, _xlfn._xlws.FILTER('Model output'!G:G, 'Model output'!Z:Z=A30)),1)),ISNUMBER(SEARCH("III", _xlfn.TEXTJOIN("; ", TRUE, _xlfn._xlws.FILTER('Model output'!G:G, 'Model output'!Z:Z=A30)),1)),ISNUMBER(SEARCH("3", _xlfn.TEXTJOIN("; ", TRUE, _xlfn._xlws.FILTER('Model output'!G:G, 'Model output'!Z:Z=A30)),1)),ISNUMBER(SEARCH("three", _xlfn.TEXTJOIN("; ", TRUE, _xlfn._xlws.FILTER('Model output'!G:G, 'Model output'!Z:Z=A30)),1)),ISNUMBER(SEARCH("IV", _xlfn.TEXTJOIN("; ", TRUE, _xlfn._xlws.FILTER('Model output'!G:G, 'Model output'!Z:Z=A30)),1)),ISNUMBER(SEARCH("4", _xlfn.TEXTJOIN("; ", TRUE, _xlfn._xlws.FILTER('Model output'!G:G, 'Model output'!Z:Z=A30)),1)),ISNUMBER(SEARCH("five", _xlfn.TEXTJOIN("; ", TRUE, _xlfn._xlws.FILTER('Model output'!G:G, 'Model output'!Z:Z=A30)),1)),ISNUMBER(SEARCH("V ", _xlfn.TEXTJOIN("; ", TRUE, _xlfn._xlws.FILTER('Model output'!G:G, 'Model output'!Z:Z=A30)),1)),ISNUMBER(SEARCH("5", _xlfn.TEXTJOIN("; ", TRUE, _xlfn._xlws.FILTER('Model output'!G:G, 'Model output'!Z:Z=A30)),1)),ISNUMBER(SEARCH("five", _xlfn.TEXTJOIN("; ", TRUE, _xlfn._xlws.FILTER('Model output'!G:G, 'Model output'!Z:Z=A30)),1)),ISNUMBER(SEARCH(" lateral", _xlfn.TEXTJOIN("; ", TRUE, _xlfn._xlws.FILTER('Model output'!G:G, 'Model output'!Z:Z=A30)),1)))),ISNUMBER(SEARCH("cervical", _xlfn.TEXTJOIN("; ", TRUE, _xlfn._xlws.FILTER('Model output'!G:G, 'Model output'!Z:Z=A30)),1)),ISNUMBER(SEARCH("jugular", _xlfn.TEXTJOIN("; ", TRUE, _xlfn._xlws.FILTER('Model output'!G:G, 'Model output'!Z:Z=A30)),1)),ISNUMBER(SEARCH("left neck", _xlfn.TEXTJOIN("; ", TRUE, _xlfn._xlws.FILTER('Model output'!G:G, 'Model output'!Z:Z=A30)),1)),ISNUMBER(SEARCH("left anterior neck", _xlfn.TEXTJOIN("; ", TRUE, _xlfn._xlws.FILTER('Model output'!G:G, 'Model output'!Z:Z=A30)),1)),ISNUMBER(SEARCH("left posterior neck", _xlfn.TEXTJOIN("; ", TRUE, _xlfn._xlws.FILTER('Model output'!G:G, 'Model output'!Z:Z=A30)),1)),ISNUMBER(SEARCH("right neck", _xlfn.TEXTJOIN("; ", TRUE, _xlfn._xlws.FILTER('Model output'!G:G, 'Model output'!Z:Z=A30)),1)),ISNUMBER(SEARCH("right anterior neck", _xlfn.TEXTJOIN("; ", TRUE, _xlfn._xlws.FILTER('Model output'!G:G, 'Model output'!Z:Z=A30)),1)),ISNUMBER(SEARCH("right posterior neck", _xlfn.TEXTJOIN("; ", TRUE, _xlfn._xlws.FILTER('Model output'!G:G, 'Model output'!Z:Z=A30)),1)))),"lateral",IF(AND(K30=0, _xlfn.TEXTJOIN("; ", TRUE, _xlfn._xlws.FILTER('Model output'!G:G, 'Model output'!Z:Z=A30))=""),"", "central"))</f>
        <v>central</v>
      </c>
      <c r="I30" s="17" t="str" cm="1">
        <f t="array" ref="I30">IF(OR(ISNUMBER(SEARCH("lymph",_xlfn.TEXTJOIN("; ", TRUE, _xlfn._xlws.FILTER('Model output'!H:H, 'Model output'!Z:Z=A30)),1)), ISNUMBER(SEARCH("Not mentioned",_xlfn.TEXTJOIN("; ", TRUE, _xlfn._xlws.FILTER('Model output'!H:H, 'Model output'!Z:Z=A30)),1)),ISNUMBER(SEARCH("subcutaneous soft tissues",_xlfn.TEXTJOIN("; ", TRUE, _xlfn._xlws.FILTER('Model output'!H:H, 'Model output'!Z:Z=A30)),1)),ISNUMBER(SEARCH("larynx",_xlfn.TEXTJOIN("; ", TRUE, _xlfn._xlws.FILTER('Model output'!H:H, 'Model output'!Z:Z=A30)),1)),ISNUMBER(SEARCH("trachea",_xlfn.TEXTJOIN("; ", TRUE, _xlfn._xlws.FILTER('Model output'!H:H, 'Model output'!Z:Z=A30)),1)),ISNUMBER(SEARCH("esophagus",_xlfn.TEXTJOIN("; ", TRUE, _xlfn._xlws.FILTER('Model output'!H:H, 'Model output'!Z:Z=A30)),1)),ISNUMBER(SEARCH("recurrent laryngeal nerve",_xlfn.TEXTJOIN("; ", TRUE, _xlfn._xlws.FILTER('Model output'!H:H, 'Model output'!Z:Z=A30)),1)),ISNUMBER(SEARCH("RLN",_xlfn.TEXTJOIN("; ", TRUE, _xlfn._xlws.FILTER('Model output'!H:H, 'Model output'!Z:Z=A30)),1)),_xlfn.TEXTJOIN("; ", TRUE, _xlfn._xlws.FILTER('Model output'!H:H, 'Model output'!Z:Z=A30))=""),"negative","positive")</f>
        <v>negative</v>
      </c>
      <c r="J30" s="17">
        <f>IF(IFERROR(INDEX('Model output'!I:I, MATCH(A30, 'Model output'!Z:Z, 0)), "") &lt; K30, "", IFERROR(INDEX('Model output'!I:I, MATCH(A30, 'Model output'!Z:Z, 0)), ""))</f>
        <v>5</v>
      </c>
      <c r="K30" s="17">
        <f>IFERROR(INDEX('Model output'!J:J, MATCH(A30, 'Model output'!Z:Z, 0)), "")</f>
        <v>1</v>
      </c>
      <c r="L30" s="18" t="str" cm="1">
        <f t="array" ref="L30">ReplaceTo(ReplaceAnd(SUBSTITUTE(SUBSTITUTE(_xlfn.TEXTJOIN("; ", TRUE, _xlfn._xlws.FILTER('Model output'!K:K, 'Model output'!Z:Z=A30)), " ", ""), ",", ";")))</f>
        <v>2.5</v>
      </c>
      <c r="M30" t="str" cm="1">
        <f t="array" ref="M30">IF(LEFT(IF(RIGHT(SUBSTITUTE(FilterWithUnits(L30)&amp;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";")),1)=";",RIGHT(IF(RIGHT(SUBSTITUTE(FilterWithUnits(L30)&amp;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";")),LEN(IF(RIGHT(SUBSTITUTE(FilterWithUnits(L30)&amp;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";")))-1),IF(RIGHT(SUBSTITUTE(FilterWithUnits(L30)&amp;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f>
        <v/>
      </c>
      <c r="N30" t="str" cm="1">
        <f t="array" ref="N30">IF(MaxSize((SplitDimensions(M30)))=0, "", MaxSize((SplitDimensions(M30))))</f>
        <v/>
      </c>
      <c r="O30" t="str" cm="1">
        <f t="array" ref="O30">IF(ISERROR(INDEX(_xlfn._xlws.FILTER('Model output'!L:L, ('Model output'!Z:Z=A30)*('Model output'!L:L&lt;&gt;"")), 1)), " ", LOWER(INDEX(_xlfn._xlws.FILTER('Model output'!L:L, ('Model output'!Z:Z=A30)*('Model output'!L:L&lt;&gt;"")), 1)))</f>
        <v>papillary</v>
      </c>
      <c r="P30" t="str" cm="1">
        <f t="array" ref="P30">IF(ISERROR(INDEX(_xlfn._xlws.FILTER('Model output'!M:M, ('Model output'!Z:Z=A30)*('Model output'!M:M&lt;&gt;"")), 1)), " ", LOWER(INDEX(_xlfn._xlws.FILTER('Model output'!M:M, ('Model output'!Z:Z=A30)*('Model output'!M:M&lt;&gt;"")), 1)))</f>
        <v xml:space="preserve"> </v>
      </c>
      <c r="Q30" t="str" cm="1">
        <f t="array" ref="Q30">IF(OR(ISNUMBER(SEARCH("ly",SUBSTITUTE(INDEX(_xlfn._xlws.FILTER('Model output'!N:N,('Model output'!Z:Z=A30)*('Model output'!N:N&lt;&gt;"")),1)," ",""),1)), ISNUMBER(SEARCH("pole",SUBSTITUTE(INDEX(_xlfn._xlws.FILTER('Model output'!N:N,('Model output'!Z:Z=A30)*('Model output'!N:N&lt;&gt;"")),1)," ",""),1))),"",SUBSTITUTE(INDEX(_xlfn._xlws.FILTER('Model output'!N:N,('Model output'!Z:Z=A30)*('Model output'!N:N&lt;&gt;"")),1)," ",""))</f>
        <v/>
      </c>
      <c r="R30" t="str" cm="1">
        <f t="array" ref="R30">IF(LEFT(IF(RIGHT(SUBSTITUTE(FilterWithUnits(Q30)&amp;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";")),1)=";",RIGHT(IF(RIGHT(SUBSTITUTE(FilterWithUnits(Q30)&amp;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";")),LEN(IF(RIGHT(SUBSTITUTE(FilterWithUnits(Q30)&amp;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";")))-1),IF(RIGHT(SUBSTITUTE(FilterWithUnits(Q30)&amp;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f>
        <v/>
      </c>
      <c r="S30" t="str" cm="1">
        <f t="array" ref="S30">IF(MaxSize((SplitDimensions(R30)))=0, "", MaxSize((SplitDimensions(R30))))</f>
        <v/>
      </c>
      <c r="T30" s="17" t="str" cm="1">
        <f t="array" ref="T30">IF(ISERROR(INDEX(_xlfn._xlws.FILTER('Model output'!P:P,('Model output'!Z:Z=A30)*('Model output'!P:P&lt;&gt;"")),1)),"negative",IF(OR(ISNUMBER(SEARCH("foc",INDEX(_xlfn._xlws.FILTER('Model output'!P:P,('Model output'!Z:Z=A30)*('Model output'!P:P&lt;&gt;"")),1),1)),ISNUMBER(SEARCH("extensive",INDEX(_xlfn._xlws.FILTER('Model output'!P:P,('Model output'!Z:Z=A30)*('Model output'!P:P&lt;&gt;"")),1),1)),ISNUMBER(SEARCH("present",INDEX(_xlfn._xlws.FILTER('Model output'!P:P,('Model output'!Z:Z=A30)*('Model output'!P:P&lt;&gt;"")),1),1)),ISNUMBER(SEARCH("yes",INDEX(_xlfn._xlws.FILTER('Model output'!P:P,('Model output'!Z:Z=A30)*('Model output'!P:P&lt;&gt;"")),1),1))),"positive","negative"))</f>
        <v>negative</v>
      </c>
      <c r="V30" t="str" cm="1">
        <f t="array" ref="V30">IF(ISNUMBER(SEARCH("4",INDEX(_xlfn._xlws.FILTER('Model output'!P:P,('Model output'!Z:Z=A30)*('Model output'!P:P&lt;&gt;"")),1),1)),INDEX(_xlfn._xlws.FILTER('Model output'!P:P,('Model output'!Z:Z=A30)*('Model output'!P:P&lt;&gt;"")),1),"") &amp; _xlfn.TEXTJOIN("",TRUE,_xlfn._xlws.FILTER('Model output'!Q:Q,'Model output'!Z:Z=A30))</f>
        <v>Not mentioned</v>
      </c>
      <c r="W30" t="str">
        <f t="shared" si="11"/>
        <v>no</v>
      </c>
      <c r="X30" t="str" cm="1">
        <f t="array" ref="X30">IF(OR(ISNUMBER(SEARCH("focal",_xlfn.TEXTJOIN("; ",TRUE,_xlfn._xlws.FILTER('Model output'!R:R,'Model output'!Z:Z=A30)),1)),ISNUMBER(SEARCH("present",_xlfn.TEXTJOIN("; ",TRUE,_xlfn._xlws.FILTER('Model output'!R:R,'Model output'!Z:Z=A30)),1))),"positive",IF(_xlfn.TEXTJOIN("; ",TRUE,_xlfn._xlws.FILTER('Model output'!R:R,'Model output'!Z:Z=A30))="","negative",IF(OR(ISNUMBER(SEARCH("no",_xlfn.TEXTJOIN("; ",TRUE,_xlfn._xlws.FILTER('Model output'!R:R,'Model output'!Z:Z=A30)),1)),ISNUMBER(SEARCH("absent",_xlfn.TEXTJOIN("; ",TRUE,_xlfn._xlws.FILTER('Model output'!R:R,'Model output'!Z:Z=A30)),1))),"negative","positive")))</f>
        <v>negative</v>
      </c>
      <c r="Y30" s="17" t="str">
        <f t="shared" si="12"/>
        <v>negative</v>
      </c>
      <c r="AC30" s="17" t="str">
        <f t="shared" si="13"/>
        <v>negative</v>
      </c>
      <c r="AD30" t="str" cm="1">
        <f t="array" ref="AD30">_xlfn.TEXTJOIN("; ",TRUE,_xlfn._xlws.FILTER('Model output'!S:S,'Model output'!Z:Z=A30))</f>
        <v>Not identified; Not mentioned</v>
      </c>
      <c r="AE30" s="47" t="str" cm="1">
        <f t="array" ref="AE30">IF(OR(ISNUMBER(SEARCH("uninvolved",_xlfn.TEXTJOIN("; ",TRUE,_xlfn._xlws.FILTER('Model output'!V:V,'Model output'!Z:Z=A30)),1)),ISNUMBER(SEARCH("clear",_xlfn.TEXTJOIN("; ",TRUE,_xlfn._xlws.FILTER('Model output'!V:V,'Model output'!Z:Z=A30)),1))*ISNUMBER(SEARCH("not mentioned",_xlfn.TEXTJOIN("; ",TRUE,_xlfn._xlws.FILTER('Model output'!V:V,'Model output'!Z:Z=A30)),1))),"negative",IF(ISNUMBER(SEARCH("cannot be assessed",_xlfn.TEXTJOIN("; ",TRUE,_xlfn._xlws.FILTER('Model output'!V:V,'Model output'!Z:Z=A30)),1)),"negative","negative"))</f>
        <v>negative</v>
      </c>
      <c r="AG30" s="36" t="str">
        <f t="shared" si="14"/>
        <v>low</v>
      </c>
      <c r="AH30" s="37" t="str">
        <f t="shared" si="2"/>
        <v>1a</v>
      </c>
      <c r="AI30" s="37" t="str">
        <f t="shared" si="15"/>
        <v>1a</v>
      </c>
      <c r="AJ30" s="37">
        <f t="shared" si="16"/>
        <v>0</v>
      </c>
      <c r="AK30" s="37" t="str">
        <f t="shared" si="17"/>
        <v>II</v>
      </c>
      <c r="AL30" s="10" t="s">
        <v>168</v>
      </c>
      <c r="AM30" s="32" t="s">
        <v>196</v>
      </c>
      <c r="AN30" s="32" t="s">
        <v>196</v>
      </c>
      <c r="AO30" s="32">
        <v>0</v>
      </c>
      <c r="AP30" s="32" t="s">
        <v>43</v>
      </c>
      <c r="AQ30" s="10">
        <f t="shared" si="6"/>
        <v>1</v>
      </c>
      <c r="AR30" s="32">
        <f t="shared" si="7"/>
        <v>1</v>
      </c>
      <c r="AS30" s="32">
        <f t="shared" si="8"/>
        <v>1</v>
      </c>
      <c r="AT30" s="32">
        <f t="shared" si="9"/>
        <v>1</v>
      </c>
      <c r="AU30" s="34">
        <f t="shared" si="10"/>
        <v>1</v>
      </c>
    </row>
    <row r="31" spans="1:47">
      <c r="A31" s="13">
        <v>29</v>
      </c>
      <c r="B31" s="16"/>
      <c r="C31" s="17">
        <f>_xlfn.MAXIFS('Model output'!C:C,'Model output'!Z:Z,'Classification result'!$A31)</f>
        <v>63</v>
      </c>
      <c r="D31" s="17" t="str" cm="1">
        <f t="array" ref="D31">LEFT(IF(ISERROR(RIGHT(IF(INDEX(_xlfn._xlws.FILTER('Model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output'!Z:Z=A31)),1),""),1))),"",(RIGHT(IF(INDEX(_xlfn._xlws.FILTER('Model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output'!Z:Z=A31)),1)))))),2)</f>
        <v>1a</v>
      </c>
      <c r="E31" s="17" t="str" cm="1">
        <f t="array" ref="E31">IF(ISNUMBER(SEARCH("N",IF(ISNUMBER(SEARCH("present",IF(INDEX(_xlfn._xlws.FILTER('Model output'!E:E,('Model output'!Z:Z=A31)),1)="","",INDEX(_xlfn._xlws.FILTER('Model output'!E:E,('Model output'!Z:Z=A31)),1)),1)),"N1", IF(INDEX(_xlfn._xlws.FILTER('Model output'!E:E,('Model output'!Z:Z=A31)),1)="","",INDEX(_xlfn._xlws.FILTER('Model output'!E:E,('Model output'!Z:Z=A31)),1))),1)),RIGHT(IF(ISNUMBER(SEARCH("present",IF(INDEX(_xlfn._xlws.FILTER('Model output'!E:E,('Model output'!Z:Z=A31)),1)="","",INDEX(_xlfn._xlws.FILTER('Model output'!E:E,('Model output'!Z:Z=A31)),1)),1)),"N1", IF(INDEX(_xlfn._xlws.FILTER('Model output'!E:E,('Model output'!Z:Z=A31)),1)="","",INDEX(_xlfn._xlws.FILTER('Model output'!E:E,('Model output'!Z:Z=A31)),1))),LEN(IF(ISNUMBER(SEARCH("present",IF(INDEX(_xlfn._xlws.FILTER('Model output'!E:E,('Model output'!Z:Z=A31)),1)="","",INDEX(_xlfn._xlws.FILTER('Model output'!E:E,('Model output'!Z:Z=A31)),1)),1)),"N1", IF(INDEX(_xlfn._xlws.FILTER('Model output'!E:E,('Model output'!Z:Z=A31)),1)="","",INDEX(_xlfn._xlws.FILTER('Model output'!E:E,('Model output'!Z:Z=A31)),1))))-FIND("N",IF(ISNUMBER(SEARCH("present",IF(INDEX(_xlfn._xlws.FILTER('Model output'!E:E,('Model output'!Z:Z=A31)),1)="","",INDEX(_xlfn._xlws.FILTER('Model output'!E:E,('Model output'!Z:Z=A31)),1)),1)),"N1", IF(INDEX(_xlfn._xlws.FILTER('Model output'!E:E,('Model output'!Z:Z=A31)),1)="","",INDEX(_xlfn._xlws.FILTER('Model output'!E:E,('Model output'!Z:Z=A31)),1))),1)), "")</f>
        <v/>
      </c>
      <c r="F31" s="17" cm="1">
        <f t="array" ref="F31">IF(AND(SUBSTITUTE(_xlfn.TEXTJOIN("/", TRUE, _xlfn._xlws.FILTER('Model output'!F:F, 'Model output'!Z:Z=A31)),"M", "")="", I31="negative"),0,IF(I31="positive",1,0))</f>
        <v>0</v>
      </c>
      <c r="G31" t="str">
        <f t="shared" si="0"/>
        <v/>
      </c>
      <c r="H31" t="str" cm="1">
        <f t="array" ref="H31">IF(AND(K31&gt;0, _xlfn.TEXTJOIN("; ", TRUE, _xlfn._xlws.FILTER('Model output'!G:G, 'Model output'!Z:Z=A31)) &lt;&gt;"", OR(AND(ISNUMBER(SEARCH("level", _xlfn.TEXTJOIN("; ", TRUE, _xlfn._xlws.FILTER('Model output'!G:G, 'Model output'!Z:Z=A31)),1)),OR(ISNUMBER(SEARCH(" II", _xlfn.TEXTJOIN("; ", TRUE, _xlfn._xlws.FILTER('Model output'!G:G, 'Model output'!Z:Z=A31)),1)),ISNUMBER(SEARCH("2", _xlfn.TEXTJOIN("; ", TRUE, _xlfn._xlws.FILTER('Model output'!G:G, 'Model output'!Z:Z=A31)),1)),ISNUMBER(SEARCH("two", _xlfn.TEXTJOIN("; ", TRUE, _xlfn._xlws.FILTER('Model output'!G:G, 'Model output'!Z:Z=A31)),1)),ISNUMBER(SEARCH("III", _xlfn.TEXTJOIN("; ", TRUE, _xlfn._xlws.FILTER('Model output'!G:G, 'Model output'!Z:Z=A31)),1)),ISNUMBER(SEARCH("3", _xlfn.TEXTJOIN("; ", TRUE, _xlfn._xlws.FILTER('Model output'!G:G, 'Model output'!Z:Z=A31)),1)),ISNUMBER(SEARCH("three", _xlfn.TEXTJOIN("; ", TRUE, _xlfn._xlws.FILTER('Model output'!G:G, 'Model output'!Z:Z=A31)),1)),ISNUMBER(SEARCH("IV", _xlfn.TEXTJOIN("; ", TRUE, _xlfn._xlws.FILTER('Model output'!G:G, 'Model output'!Z:Z=A31)),1)),ISNUMBER(SEARCH("4", _xlfn.TEXTJOIN("; ", TRUE, _xlfn._xlws.FILTER('Model output'!G:G, 'Model output'!Z:Z=A31)),1)),ISNUMBER(SEARCH("five", _xlfn.TEXTJOIN("; ", TRUE, _xlfn._xlws.FILTER('Model output'!G:G, 'Model output'!Z:Z=A31)),1)),ISNUMBER(SEARCH("V ", _xlfn.TEXTJOIN("; ", TRUE, _xlfn._xlws.FILTER('Model output'!G:G, 'Model output'!Z:Z=A31)),1)),ISNUMBER(SEARCH("5", _xlfn.TEXTJOIN("; ", TRUE, _xlfn._xlws.FILTER('Model output'!G:G, 'Model output'!Z:Z=A31)),1)),ISNUMBER(SEARCH("five", _xlfn.TEXTJOIN("; ", TRUE, _xlfn._xlws.FILTER('Model output'!G:G, 'Model output'!Z:Z=A31)),1)),ISNUMBER(SEARCH(" lateral", _xlfn.TEXTJOIN("; ", TRUE, _xlfn._xlws.FILTER('Model output'!G:G, 'Model output'!Z:Z=A31)),1)))),ISNUMBER(SEARCH("cervical", _xlfn.TEXTJOIN("; ", TRUE, _xlfn._xlws.FILTER('Model output'!G:G, 'Model output'!Z:Z=A31)),1)),ISNUMBER(SEARCH("jugular", _xlfn.TEXTJOIN("; ", TRUE, _xlfn._xlws.FILTER('Model output'!G:G, 'Model output'!Z:Z=A31)),1)),ISNUMBER(SEARCH("left neck", _xlfn.TEXTJOIN("; ", TRUE, _xlfn._xlws.FILTER('Model output'!G:G, 'Model output'!Z:Z=A31)),1)),ISNUMBER(SEARCH("left anterior neck", _xlfn.TEXTJOIN("; ", TRUE, _xlfn._xlws.FILTER('Model output'!G:G, 'Model output'!Z:Z=A31)),1)),ISNUMBER(SEARCH("left posterior neck", _xlfn.TEXTJOIN("; ", TRUE, _xlfn._xlws.FILTER('Model output'!G:G, 'Model output'!Z:Z=A31)),1)),ISNUMBER(SEARCH("right neck", _xlfn.TEXTJOIN("; ", TRUE, _xlfn._xlws.FILTER('Model output'!G:G, 'Model output'!Z:Z=A31)),1)),ISNUMBER(SEARCH("right anterior neck", _xlfn.TEXTJOIN("; ", TRUE, _xlfn._xlws.FILTER('Model output'!G:G, 'Model output'!Z:Z=A31)),1)),ISNUMBER(SEARCH("right posterior neck", _xlfn.TEXTJOIN("; ", TRUE, _xlfn._xlws.FILTER('Model output'!G:G, 'Model output'!Z:Z=A31)),1)))),"lateral",IF(AND(K31=0, _xlfn.TEXTJOIN("; ", TRUE, _xlfn._xlws.FILTER('Model output'!G:G, 'Model output'!Z:Z=A31))=""),"", "central"))</f>
        <v/>
      </c>
      <c r="I31" s="17" t="str" cm="1">
        <f t="array" ref="I31">IF(OR(ISNUMBER(SEARCH("lymph",_xlfn.TEXTJOIN("; ", TRUE, _xlfn._xlws.FILTER('Model output'!H:H, 'Model output'!Z:Z=A31)),1)), ISNUMBER(SEARCH("Not mentioned",_xlfn.TEXTJOIN("; ", TRUE, _xlfn._xlws.FILTER('Model output'!H:H, 'Model output'!Z:Z=A31)),1)),ISNUMBER(SEARCH("subcutaneous soft tissues",_xlfn.TEXTJOIN("; ", TRUE, _xlfn._xlws.FILTER('Model output'!H:H, 'Model output'!Z:Z=A31)),1)),ISNUMBER(SEARCH("larynx",_xlfn.TEXTJOIN("; ", TRUE, _xlfn._xlws.FILTER('Model output'!H:H, 'Model output'!Z:Z=A31)),1)),ISNUMBER(SEARCH("trachea",_xlfn.TEXTJOIN("; ", TRUE, _xlfn._xlws.FILTER('Model output'!H:H, 'Model output'!Z:Z=A31)),1)),ISNUMBER(SEARCH("esophagus",_xlfn.TEXTJOIN("; ", TRUE, _xlfn._xlws.FILTER('Model output'!H:H, 'Model output'!Z:Z=A31)),1)),ISNUMBER(SEARCH("recurrent laryngeal nerve",_xlfn.TEXTJOIN("; ", TRUE, _xlfn._xlws.FILTER('Model output'!H:H, 'Model output'!Z:Z=A31)),1)),ISNUMBER(SEARCH("RLN",_xlfn.TEXTJOIN("; ", TRUE, _xlfn._xlws.FILTER('Model output'!H:H, 'Model output'!Z:Z=A31)),1)),_xlfn.TEXTJOIN("; ", TRUE, _xlfn._xlws.FILTER('Model output'!H:H, 'Model output'!Z:Z=A31))=""),"negative","positive")</f>
        <v>negative</v>
      </c>
      <c r="J31" s="17">
        <f>IF(IFERROR(INDEX('Model output'!I:I, MATCH(A31, 'Model output'!Z:Z, 0)), "") &lt; K31, "", IFERROR(INDEX('Model output'!I:I, MATCH(A31, 'Model output'!Z:Z, 0)), ""))</f>
        <v>5</v>
      </c>
      <c r="K31" s="17">
        <f>IFERROR(INDEX('Model output'!J:J, MATCH(A31, 'Model output'!Z:Z, 0)), "")</f>
        <v>0</v>
      </c>
      <c r="L31" s="18" t="str" cm="1">
        <f t="array" ref="L31">ReplaceTo(ReplaceAnd(SUBSTITUTE(SUBSTITUTE(_xlfn.TEXTJOIN("; ", TRUE, _xlfn._xlws.FILTER('Model output'!K:K, 'Model output'!Z:Z=A31)), " ", ""), ",", ";")))</f>
        <v/>
      </c>
      <c r="M31" t="str" cm="1">
        <f t="array" ref="M31">IF(LEFT(IF(RIGHT(SUBSTITUTE(FilterWithUnits(L31)&amp;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";")),1)=";",RIGHT(IF(RIGHT(SUBSTITUTE(FilterWithUnits(L31)&amp;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";")),LEN(IF(RIGHT(SUBSTITUTE(FilterWithUnits(L31)&amp;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";")))-1),IF(RIGHT(SUBSTITUTE(FilterWithUnits(L31)&amp;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f>
        <v/>
      </c>
      <c r="N31" t="str" cm="1">
        <f t="array" ref="N31">IF(MaxSize((SplitDimensions(M31)))=0, "", MaxSize((SplitDimensions(M31))))</f>
        <v/>
      </c>
      <c r="O31" t="str" cm="1">
        <f t="array" ref="O31">IF(ISERROR(INDEX(_xlfn._xlws.FILTER('Model output'!L:L, ('Model output'!Z:Z=A31)*('Model output'!L:L&lt;&gt;"")), 1)), " ", LOWER(INDEX(_xlfn._xlws.FILTER('Model output'!L:L, ('Model output'!Z:Z=A31)*('Model output'!L:L&lt;&gt;"")), 1)))</f>
        <v>papillary</v>
      </c>
      <c r="P31" t="str" cm="1">
        <f t="array" ref="P31">IF(ISERROR(INDEX(_xlfn._xlws.FILTER('Model output'!M:M, ('Model output'!Z:Z=A31)*('Model output'!M:M&lt;&gt;"")), 1)), " ", LOWER(INDEX(_xlfn._xlws.FILTER('Model output'!M:M, ('Model output'!Z:Z=A31)*('Model output'!M:M&lt;&gt;"")), 1)))</f>
        <v>classic</v>
      </c>
      <c r="Q31" t="str" cm="1">
        <f t="array" ref="Q31">IF(OR(ISNUMBER(SEARCH("ly",SUBSTITUTE(INDEX(_xlfn._xlws.FILTER('Model output'!N:N,('Model output'!Z:Z=A31)*('Model output'!N:N&lt;&gt;"")),1)," ",""),1)), ISNUMBER(SEARCH("pole",SUBSTITUTE(INDEX(_xlfn._xlws.FILTER('Model output'!N:N,('Model output'!Z:Z=A31)*('Model output'!N:N&lt;&gt;"")),1)," ",""),1))),"",SUBSTITUTE(INDEX(_xlfn._xlws.FILTER('Model output'!N:N,('Model output'!Z:Z=A31)*('Model output'!N:N&lt;&gt;"")),1)," ",""))</f>
        <v>7mm(microscopicaldimension)</v>
      </c>
      <c r="R31" t="str" cm="1">
        <f t="array" ref="R31">IF(LEFT(IF(RIGHT(SUBSTITUTE(FilterWithUnits(Q31)&amp;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";")),1)=";",RIGHT(IF(RIGHT(SUBSTITUTE(FilterWithUnits(Q31)&amp;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";")),LEN(IF(RIGHT(SUBSTITUTE(FilterWithUnits(Q31)&amp;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";")))-1),IF(RIGHT(SUBSTITUTE(FilterWithUnits(Q31)&amp;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f>
        <v>7mm</v>
      </c>
      <c r="S31" cm="1">
        <f t="array" ref="S31">IF(MaxSize((SplitDimensions(R31)))=0, "", MaxSize((SplitDimensions(R31))))</f>
        <v>0.7</v>
      </c>
      <c r="T31" s="17" t="str" cm="1">
        <f t="array" ref="T31">IF(ISERROR(INDEX(_xlfn._xlws.FILTER('Model output'!P:P,('Model output'!Z:Z=A31)*('Model output'!P:P&lt;&gt;"")),1)),"negative",IF(OR(ISNUMBER(SEARCH("foc",INDEX(_xlfn._xlws.FILTER('Model output'!P:P,('Model output'!Z:Z=A31)*('Model output'!P:P&lt;&gt;"")),1),1)),ISNUMBER(SEARCH("extensive",INDEX(_xlfn._xlws.FILTER('Model output'!P:P,('Model output'!Z:Z=A31)*('Model output'!P:P&lt;&gt;"")),1),1)),ISNUMBER(SEARCH("present",INDEX(_xlfn._xlws.FILTER('Model output'!P:P,('Model output'!Z:Z=A31)*('Model output'!P:P&lt;&gt;"")),1),1)),ISNUMBER(SEARCH("yes",INDEX(_xlfn._xlws.FILTER('Model output'!P:P,('Model output'!Z:Z=A31)*('Model output'!P:P&lt;&gt;"")),1),1))),"positive","negative"))</f>
        <v>negative</v>
      </c>
      <c r="V31" t="str" cm="1">
        <f t="array" ref="V31">IF(ISNUMBER(SEARCH("4",INDEX(_xlfn._xlws.FILTER('Model output'!P:P,('Model output'!Z:Z=A31)*('Model output'!P:P&lt;&gt;"")),1),1)),INDEX(_xlfn._xlws.FILTER('Model output'!P:P,('Model output'!Z:Z=A31)*('Model output'!P:P&lt;&gt;"")),1),"") &amp; _xlfn.TEXTJOIN("",TRUE,_xlfn._xlws.FILTER('Model output'!Q:Q,'Model output'!Z:Z=A31))</f>
        <v/>
      </c>
      <c r="W31" t="str">
        <f t="shared" si="11"/>
        <v>no</v>
      </c>
      <c r="X31" t="str" cm="1">
        <f t="array" ref="X31">IF(OR(ISNUMBER(SEARCH("focal",_xlfn.TEXTJOIN("; ",TRUE,_xlfn._xlws.FILTER('Model output'!R:R,'Model output'!Z:Z=A31)),1)),ISNUMBER(SEARCH("present",_xlfn.TEXTJOIN("; ",TRUE,_xlfn._xlws.FILTER('Model output'!R:R,'Model output'!Z:Z=A31)),1))),"positive",IF(_xlfn.TEXTJOIN("; ",TRUE,_xlfn._xlws.FILTER('Model output'!R:R,'Model output'!Z:Z=A31))="","negative",IF(OR(ISNUMBER(SEARCH("no",_xlfn.TEXTJOIN("; ",TRUE,_xlfn._xlws.FILTER('Model output'!R:R,'Model output'!Z:Z=A31)),1)),ISNUMBER(SEARCH("absent",_xlfn.TEXTJOIN("; ",TRUE,_xlfn._xlws.FILTER('Model output'!R:R,'Model output'!Z:Z=A31)),1))),"negative","positive")))</f>
        <v>negative</v>
      </c>
      <c r="Y31" s="17" t="str">
        <f t="shared" si="12"/>
        <v>negative</v>
      </c>
      <c r="AC31" s="17" t="str">
        <f t="shared" si="13"/>
        <v>negative</v>
      </c>
      <c r="AD31" t="str" cm="1">
        <f t="array" ref="AD31">_xlfn.TEXTJOIN("; ",TRUE,_xlfn._xlws.FILTER('Model output'!S:S,'Model output'!Z:Z=A31))</f>
        <v>Not identified; Not identified</v>
      </c>
      <c r="AE31" s="47" t="str" cm="1">
        <f t="array" ref="AE31">IF(OR(ISNUMBER(SEARCH("uninvolved",_xlfn.TEXTJOIN("; ",TRUE,_xlfn._xlws.FILTER('Model output'!V:V,'Model output'!Z:Z=A31)),1)),ISNUMBER(SEARCH("clear",_xlfn.TEXTJOIN("; ",TRUE,_xlfn._xlws.FILTER('Model output'!V:V,'Model output'!Z:Z=A31)),1))*ISNUMBER(SEARCH("not mentioned",_xlfn.TEXTJOIN("; ",TRUE,_xlfn._xlws.FILTER('Model output'!V:V,'Model output'!Z:Z=A31)),1))),"negative",IF(ISNUMBER(SEARCH("cannot be assessed",_xlfn.TEXTJOIN("; ",TRUE,_xlfn._xlws.FILTER('Model output'!V:V,'Model output'!Z:Z=A31)),1)),"negative","negative"))</f>
        <v>negative</v>
      </c>
      <c r="AG31" s="36" t="str">
        <f t="shared" si="14"/>
        <v>low</v>
      </c>
      <c r="AH31" s="37" t="str">
        <f t="shared" si="2"/>
        <v>1a</v>
      </c>
      <c r="AI31" s="37">
        <f t="shared" si="15"/>
        <v>0</v>
      </c>
      <c r="AJ31" s="37">
        <f t="shared" si="16"/>
        <v>0</v>
      </c>
      <c r="AK31" s="37" t="str">
        <f t="shared" si="17"/>
        <v>I</v>
      </c>
      <c r="AL31" s="10" t="s">
        <v>168</v>
      </c>
      <c r="AM31" s="32" t="s">
        <v>196</v>
      </c>
      <c r="AN31" s="32" t="s">
        <v>195</v>
      </c>
      <c r="AO31" s="32">
        <v>0</v>
      </c>
      <c r="AP31" s="32" t="s">
        <v>31</v>
      </c>
      <c r="AQ31" s="10">
        <f t="shared" si="6"/>
        <v>1</v>
      </c>
      <c r="AR31" s="32">
        <f t="shared" si="7"/>
        <v>1</v>
      </c>
      <c r="AS31" s="32">
        <f t="shared" si="8"/>
        <v>1</v>
      </c>
      <c r="AT31" s="32">
        <f t="shared" si="9"/>
        <v>1</v>
      </c>
      <c r="AU31" s="34">
        <f t="shared" si="10"/>
        <v>1</v>
      </c>
    </row>
    <row r="32" spans="1:47">
      <c r="A32" s="13">
        <v>30</v>
      </c>
      <c r="B32" s="16"/>
      <c r="C32" s="17">
        <f>_xlfn.MAXIFS('Model output'!C:C,'Model output'!Z:Z,'Classification result'!$A32)</f>
        <v>39</v>
      </c>
      <c r="D32" s="17" t="str" cm="1">
        <f t="array" ref="D32">LEFT(IF(ISERROR(RIGHT(IF(INDEX(_xlfn._xlws.FILTER('Model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output'!Z:Z=A32)),1),""),1))),"",(RIGHT(IF(INDEX(_xlfn._xlws.FILTER('Model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output'!Z:Z=A32)),1)))))),2)</f>
        <v>1b</v>
      </c>
      <c r="E32" s="17" t="str" cm="1">
        <f t="array" ref="E32">IF(ISNUMBER(SEARCH("N",IF(ISNUMBER(SEARCH("present",IF(INDEX(_xlfn._xlws.FILTER('Model output'!E:E,('Model output'!Z:Z=A32)),1)="","",INDEX(_xlfn._xlws.FILTER('Model output'!E:E,('Model output'!Z:Z=A32)),1)),1)),"N1", IF(INDEX(_xlfn._xlws.FILTER('Model output'!E:E,('Model output'!Z:Z=A32)),1)="","",INDEX(_xlfn._xlws.FILTER('Model output'!E:E,('Model output'!Z:Z=A32)),1))),1)),RIGHT(IF(ISNUMBER(SEARCH("present",IF(INDEX(_xlfn._xlws.FILTER('Model output'!E:E,('Model output'!Z:Z=A32)),1)="","",INDEX(_xlfn._xlws.FILTER('Model output'!E:E,('Model output'!Z:Z=A32)),1)),1)),"N1", IF(INDEX(_xlfn._xlws.FILTER('Model output'!E:E,('Model output'!Z:Z=A32)),1)="","",INDEX(_xlfn._xlws.FILTER('Model output'!E:E,('Model output'!Z:Z=A32)),1))),LEN(IF(ISNUMBER(SEARCH("present",IF(INDEX(_xlfn._xlws.FILTER('Model output'!E:E,('Model output'!Z:Z=A32)),1)="","",INDEX(_xlfn._xlws.FILTER('Model output'!E:E,('Model output'!Z:Z=A32)),1)),1)),"N1", IF(INDEX(_xlfn._xlws.FILTER('Model output'!E:E,('Model output'!Z:Z=A32)),1)="","",INDEX(_xlfn._xlws.FILTER('Model output'!E:E,('Model output'!Z:Z=A32)),1))))-FIND("N",IF(ISNUMBER(SEARCH("present",IF(INDEX(_xlfn._xlws.FILTER('Model output'!E:E,('Model output'!Z:Z=A32)),1)="","",INDEX(_xlfn._xlws.FILTER('Model output'!E:E,('Model output'!Z:Z=A32)),1)),1)),"N1", IF(INDEX(_xlfn._xlws.FILTER('Model output'!E:E,('Model output'!Z:Z=A32)),1)="","",INDEX(_xlfn._xlws.FILTER('Model output'!E:E,('Model output'!Z:Z=A32)),1))),1)), "")</f>
        <v/>
      </c>
      <c r="F32" s="17" cm="1">
        <f t="array" ref="F32">IF(AND(SUBSTITUTE(_xlfn.TEXTJOIN("/", TRUE, _xlfn._xlws.FILTER('Model output'!F:F, 'Model output'!Z:Z=A32)),"M", "")="", I32="negative"),0,IF(I32="positive",1,0))</f>
        <v>0</v>
      </c>
      <c r="G32" t="str">
        <f t="shared" si="0"/>
        <v>positive</v>
      </c>
      <c r="H32" t="str" cm="1">
        <f t="array" ref="H32">IF(AND(K32&gt;0, _xlfn.TEXTJOIN("; ", TRUE, _xlfn._xlws.FILTER('Model output'!G:G, 'Model output'!Z:Z=A32)) &lt;&gt;"", OR(AND(ISNUMBER(SEARCH("level", _xlfn.TEXTJOIN("; ", TRUE, _xlfn._xlws.FILTER('Model output'!G:G, 'Model output'!Z:Z=A32)),1)),OR(ISNUMBER(SEARCH(" II", _xlfn.TEXTJOIN("; ", TRUE, _xlfn._xlws.FILTER('Model output'!G:G, 'Model output'!Z:Z=A32)),1)),ISNUMBER(SEARCH("2", _xlfn.TEXTJOIN("; ", TRUE, _xlfn._xlws.FILTER('Model output'!G:G, 'Model output'!Z:Z=A32)),1)),ISNUMBER(SEARCH("two", _xlfn.TEXTJOIN("; ", TRUE, _xlfn._xlws.FILTER('Model output'!G:G, 'Model output'!Z:Z=A32)),1)),ISNUMBER(SEARCH("III", _xlfn.TEXTJOIN("; ", TRUE, _xlfn._xlws.FILTER('Model output'!G:G, 'Model output'!Z:Z=A32)),1)),ISNUMBER(SEARCH("3", _xlfn.TEXTJOIN("; ", TRUE, _xlfn._xlws.FILTER('Model output'!G:G, 'Model output'!Z:Z=A32)),1)),ISNUMBER(SEARCH("three", _xlfn.TEXTJOIN("; ", TRUE, _xlfn._xlws.FILTER('Model output'!G:G, 'Model output'!Z:Z=A32)),1)),ISNUMBER(SEARCH("IV", _xlfn.TEXTJOIN("; ", TRUE, _xlfn._xlws.FILTER('Model output'!G:G, 'Model output'!Z:Z=A32)),1)),ISNUMBER(SEARCH("4", _xlfn.TEXTJOIN("; ", TRUE, _xlfn._xlws.FILTER('Model output'!G:G, 'Model output'!Z:Z=A32)),1)),ISNUMBER(SEARCH("five", _xlfn.TEXTJOIN("; ", TRUE, _xlfn._xlws.FILTER('Model output'!G:G, 'Model output'!Z:Z=A32)),1)),ISNUMBER(SEARCH("V ", _xlfn.TEXTJOIN("; ", TRUE, _xlfn._xlws.FILTER('Model output'!G:G, 'Model output'!Z:Z=A32)),1)),ISNUMBER(SEARCH("5", _xlfn.TEXTJOIN("; ", TRUE, _xlfn._xlws.FILTER('Model output'!G:G, 'Model output'!Z:Z=A32)),1)),ISNUMBER(SEARCH("five", _xlfn.TEXTJOIN("; ", TRUE, _xlfn._xlws.FILTER('Model output'!G:G, 'Model output'!Z:Z=A32)),1)),ISNUMBER(SEARCH(" lateral", _xlfn.TEXTJOIN("; ", TRUE, _xlfn._xlws.FILTER('Model output'!G:G, 'Model output'!Z:Z=A32)),1)))),ISNUMBER(SEARCH("cervical", _xlfn.TEXTJOIN("; ", TRUE, _xlfn._xlws.FILTER('Model output'!G:G, 'Model output'!Z:Z=A32)),1)),ISNUMBER(SEARCH("jugular", _xlfn.TEXTJOIN("; ", TRUE, _xlfn._xlws.FILTER('Model output'!G:G, 'Model output'!Z:Z=A32)),1)),ISNUMBER(SEARCH("left neck", _xlfn.TEXTJOIN("; ", TRUE, _xlfn._xlws.FILTER('Model output'!G:G, 'Model output'!Z:Z=A32)),1)),ISNUMBER(SEARCH("left anterior neck", _xlfn.TEXTJOIN("; ", TRUE, _xlfn._xlws.FILTER('Model output'!G:G, 'Model output'!Z:Z=A32)),1)),ISNUMBER(SEARCH("left posterior neck", _xlfn.TEXTJOIN("; ", TRUE, _xlfn._xlws.FILTER('Model output'!G:G, 'Model output'!Z:Z=A32)),1)),ISNUMBER(SEARCH("right neck", _xlfn.TEXTJOIN("; ", TRUE, _xlfn._xlws.FILTER('Model output'!G:G, 'Model output'!Z:Z=A32)),1)),ISNUMBER(SEARCH("right anterior neck", _xlfn.TEXTJOIN("; ", TRUE, _xlfn._xlws.FILTER('Model output'!G:G, 'Model output'!Z:Z=A32)),1)),ISNUMBER(SEARCH("right posterior neck", _xlfn.TEXTJOIN("; ", TRUE, _xlfn._xlws.FILTER('Model output'!G:G, 'Model output'!Z:Z=A32)),1)))),"lateral",IF(AND(K32=0, _xlfn.TEXTJOIN("; ", TRUE, _xlfn._xlws.FILTER('Model output'!G:G, 'Model output'!Z:Z=A32))=""),"", "central"))</f>
        <v>central</v>
      </c>
      <c r="I32" s="17" t="str" cm="1">
        <f t="array" ref="I32">IF(OR(ISNUMBER(SEARCH("lymph",_xlfn.TEXTJOIN("; ", TRUE, _xlfn._xlws.FILTER('Model output'!H:H, 'Model output'!Z:Z=A32)),1)), ISNUMBER(SEARCH("Not mentioned",_xlfn.TEXTJOIN("; ", TRUE, _xlfn._xlws.FILTER('Model output'!H:H, 'Model output'!Z:Z=A32)),1)),ISNUMBER(SEARCH("subcutaneous soft tissues",_xlfn.TEXTJOIN("; ", TRUE, _xlfn._xlws.FILTER('Model output'!H:H, 'Model output'!Z:Z=A32)),1)),ISNUMBER(SEARCH("larynx",_xlfn.TEXTJOIN("; ", TRUE, _xlfn._xlws.FILTER('Model output'!H:H, 'Model output'!Z:Z=A32)),1)),ISNUMBER(SEARCH("trachea",_xlfn.TEXTJOIN("; ", TRUE, _xlfn._xlws.FILTER('Model output'!H:H, 'Model output'!Z:Z=A32)),1)),ISNUMBER(SEARCH("esophagus",_xlfn.TEXTJOIN("; ", TRUE, _xlfn._xlws.FILTER('Model output'!H:H, 'Model output'!Z:Z=A32)),1)),ISNUMBER(SEARCH("recurrent laryngeal nerve",_xlfn.TEXTJOIN("; ", TRUE, _xlfn._xlws.FILTER('Model output'!H:H, 'Model output'!Z:Z=A32)),1)),ISNUMBER(SEARCH("RLN",_xlfn.TEXTJOIN("; ", TRUE, _xlfn._xlws.FILTER('Model output'!H:H, 'Model output'!Z:Z=A32)),1)),_xlfn.TEXTJOIN("; ", TRUE, _xlfn._xlws.FILTER('Model output'!H:H, 'Model output'!Z:Z=A32))=""),"negative","positive")</f>
        <v>negative</v>
      </c>
      <c r="J32" s="17">
        <f>IF(IFERROR(INDEX('Model output'!I:I, MATCH(A32, 'Model output'!Z:Z, 0)), "") &lt; K32, "", IFERROR(INDEX('Model output'!I:I, MATCH(A32, 'Model output'!Z:Z, 0)), ""))</f>
        <v>24</v>
      </c>
      <c r="K32" s="17">
        <f>IFERROR(INDEX('Model output'!J:J, MATCH(A32, 'Model output'!Z:Z, 0)), "")</f>
        <v>3</v>
      </c>
      <c r="L32" s="18" t="str" cm="1">
        <f t="array" ref="L32">ReplaceTo(ReplaceAnd(SUBSTITUTE(SUBSTITUTE(_xlfn.TEXTJOIN("; ", TRUE, _xlfn._xlws.FILTER('Model output'!K:K, 'Model output'!Z:Z=A32)), " ", ""), ",", ";")))</f>
        <v>4.5mm</v>
      </c>
      <c r="M32" t="str" cm="1">
        <f t="array" ref="M32">IF(LEFT(IF(RIGHT(SUBSTITUTE(FilterWithUnits(L32)&amp;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";")),1)=";",RIGHT(IF(RIGHT(SUBSTITUTE(FilterWithUnits(L32)&amp;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";")),LEN(IF(RIGHT(SUBSTITUTE(FilterWithUnits(L32)&amp;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";")))-1),IF(RIGHT(SUBSTITUTE(FilterWithUnits(L32)&amp;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f>
        <v>4.5mm</v>
      </c>
      <c r="N32" cm="1">
        <f t="array" ref="N32">IF(MaxSize((SplitDimensions(M32)))=0, "", MaxSize((SplitDimensions(M32))))</f>
        <v>0.45</v>
      </c>
      <c r="O32" t="str" cm="1">
        <f t="array" ref="O32">IF(ISERROR(INDEX(_xlfn._xlws.FILTER('Model output'!L:L, ('Model output'!Z:Z=A32)*('Model output'!L:L&lt;&gt;"")), 1)), " ", LOWER(INDEX(_xlfn._xlws.FILTER('Model output'!L:L, ('Model output'!Z:Z=A32)*('Model output'!L:L&lt;&gt;"")), 1)))</f>
        <v>papillary</v>
      </c>
      <c r="P32" t="str" cm="1">
        <f t="array" ref="P32">IF(ISERROR(INDEX(_xlfn._xlws.FILTER('Model output'!M:M, ('Model output'!Z:Z=A32)*('Model output'!M:M&lt;&gt;"")), 1)), " ", LOWER(INDEX(_xlfn._xlws.FILTER('Model output'!M:M, ('Model output'!Z:Z=A32)*('Model output'!M:M&lt;&gt;"")), 1)))</f>
        <v>infiltrative follicular subtype</v>
      </c>
      <c r="Q32" t="str" cm="1">
        <f t="array" ref="Q32">IF(OR(ISNUMBER(SEARCH("ly",SUBSTITUTE(INDEX(_xlfn._xlws.FILTER('Model output'!N:N,('Model output'!Z:Z=A32)*('Model output'!N:N&lt;&gt;"")),1)," ",""),1)), ISNUMBER(SEARCH("pole",SUBSTITUTE(INDEX(_xlfn._xlws.FILTER('Model output'!N:N,('Model output'!Z:Z=A32)*('Model output'!N:N&lt;&gt;"")),1)," ",""),1))),"",SUBSTITUTE(INDEX(_xlfn._xlws.FILTER('Model output'!N:N,('Model output'!Z:Z=A32)*('Model output'!N:N&lt;&gt;"")),1)," ",""))</f>
        <v>12mm</v>
      </c>
      <c r="R32" t="str" cm="1">
        <f t="array" ref="R32">IF(LEFT(IF(RIGHT(SUBSTITUTE(FilterWithUnits(Q32)&amp;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";")),1)=";",RIGHT(IF(RIGHT(SUBSTITUTE(FilterWithUnits(Q32)&amp;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";")),LEN(IF(RIGHT(SUBSTITUTE(FilterWithUnits(Q32)&amp;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";")))-1),IF(RIGHT(SUBSTITUTE(FilterWithUnits(Q32)&amp;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f>
        <v>12mm</v>
      </c>
      <c r="S32" cm="1">
        <f t="array" ref="S32">IF(MaxSize((SplitDimensions(R32)))=0, "", MaxSize((SplitDimensions(R32))))</f>
        <v>1.2</v>
      </c>
      <c r="T32" s="17" t="str" cm="1">
        <f t="array" ref="T32">IF(ISERROR(INDEX(_xlfn._xlws.FILTER('Model output'!P:P,('Model output'!Z:Z=A32)*('Model output'!P:P&lt;&gt;"")),1)),"negative",IF(OR(ISNUMBER(SEARCH("foc",INDEX(_xlfn._xlws.FILTER('Model output'!P:P,('Model output'!Z:Z=A32)*('Model output'!P:P&lt;&gt;"")),1),1)),ISNUMBER(SEARCH("extensive",INDEX(_xlfn._xlws.FILTER('Model output'!P:P,('Model output'!Z:Z=A32)*('Model output'!P:P&lt;&gt;"")),1),1)),ISNUMBER(SEARCH("present",INDEX(_xlfn._xlws.FILTER('Model output'!P:P,('Model output'!Z:Z=A32)*('Model output'!P:P&lt;&gt;"")),1),1)),ISNUMBER(SEARCH("yes",INDEX(_xlfn._xlws.FILTER('Model output'!P:P,('Model output'!Z:Z=A32)*('Model output'!P:P&lt;&gt;"")),1),1))),"positive","negative"))</f>
        <v>positive</v>
      </c>
      <c r="V32" t="str" cm="1">
        <f t="array" ref="V32">IF(ISNUMBER(SEARCH("4",INDEX(_xlfn._xlws.FILTER('Model output'!P:P,('Model output'!Z:Z=A32)*('Model output'!P:P&lt;&gt;"")),1),1)),INDEX(_xlfn._xlws.FILTER('Model output'!P:P,('Model output'!Z:Z=A32)*('Model output'!P:P&lt;&gt;"")),1),"") &amp; _xlfn.TEXTJOIN("",TRUE,_xlfn._xlws.FILTER('Model output'!Q:Q,'Model output'!Z:Z=A32))</f>
        <v/>
      </c>
      <c r="W32" t="str">
        <f t="shared" si="11"/>
        <v>minimal</v>
      </c>
      <c r="X32" t="str" cm="1">
        <f t="array" ref="X32">IF(OR(ISNUMBER(SEARCH("focal",_xlfn.TEXTJOIN("; ",TRUE,_xlfn._xlws.FILTER('Model output'!R:R,'Model output'!Z:Z=A32)),1)),ISNUMBER(SEARCH("present",_xlfn.TEXTJOIN("; ",TRUE,_xlfn._xlws.FILTER('Model output'!R:R,'Model output'!Z:Z=A32)),1))),"positive",IF(_xlfn.TEXTJOIN("; ",TRUE,_xlfn._xlws.FILTER('Model output'!R:R,'Model output'!Z:Z=A32))="","negative",IF(OR(ISNUMBER(SEARCH("no",_xlfn.TEXTJOIN("; ",TRUE,_xlfn._xlws.FILTER('Model output'!R:R,'Model output'!Z:Z=A32)),1)),ISNUMBER(SEARCH("absent",_xlfn.TEXTJOIN("; ",TRUE,_xlfn._xlws.FILTER('Model output'!R:R,'Model output'!Z:Z=A32)),1))),"negative","positive")))</f>
        <v>negative</v>
      </c>
      <c r="Y32" s="17" t="str">
        <f t="shared" si="12"/>
        <v>negative</v>
      </c>
      <c r="AC32" s="17" t="str">
        <f t="shared" si="13"/>
        <v>negative</v>
      </c>
      <c r="AD32" t="str" cm="1">
        <f t="array" ref="AD32">_xlfn.TEXTJOIN("; ",TRUE,_xlfn._xlws.FILTER('Model output'!S:S,'Model output'!Z:Z=A32))</f>
        <v>Not identified; Not identified</v>
      </c>
      <c r="AE32" s="47" t="str" cm="1">
        <f t="array" ref="AE32">IF(OR(ISNUMBER(SEARCH("uninvolved",_xlfn.TEXTJOIN("; ",TRUE,_xlfn._xlws.FILTER('Model output'!V:V,'Model output'!Z:Z=A32)),1)),ISNUMBER(SEARCH("clear",_xlfn.TEXTJOIN("; ",TRUE,_xlfn._xlws.FILTER('Model output'!V:V,'Model output'!Z:Z=A32)),1))*ISNUMBER(SEARCH("not mentioned",_xlfn.TEXTJOIN("; ",TRUE,_xlfn._xlws.FILTER('Model output'!V:V,'Model output'!Z:Z=A32)),1))),"negative",IF(ISNUMBER(SEARCH("cannot be assessed",_xlfn.TEXTJOIN("; ",TRUE,_xlfn._xlws.FILTER('Model output'!V:V,'Model output'!Z:Z=A32)),1)),"negative","negative"))</f>
        <v>negative</v>
      </c>
      <c r="AG32" s="36" t="str">
        <f t="shared" si="14"/>
        <v>low</v>
      </c>
      <c r="AH32" s="37" t="str">
        <f t="shared" ref="AH32:AH37" si="18">IF(OR(ISNUMBER(SEARCH("non-invasive follicular",O32)),ISNUMBER(SEARCH("papillary-like nuclear features",O32)),ISNUMBER(SEARCH("non-invasive follicular",P32)),ISNUMBER(SEARCH("papillary-like nuclear features",P32))),"NIFTP", IF(OR(D32="4b",AND(AC32="positive",OR(ISNUMBER(SEARCH("prevertebral",AD32)),ISNUMBER(SEARCH("fascia",AD32)),ISNUMBER(SEARCH("carotid artery",AD32)),ISNUMBER(SEARCH("mediastinal",AD32))))),"4b",IF(OR(D32="4a",AND(AC32="positive",OR(ISNUMBER(SEARCH("soft tissue",AD32)),ISNUMBER(SEARCH("larynx",AD32)),ISNUMBER(SEARCH("trachea",AD32)),ISNUMBER(SEARCH("esophagus",AD32)),ISNUMBER(SEARCH("recurrent laryngeal nerve",AD32)),ISNUMBER(SEARCH("RLN",AD32))))),"4a", IF(OR(D32="3b", AC32="positive",ISNUMBER(SEARCH("strap",AD32)),ISNUMBER(SEARCH("sternothyroid",AD32)),ISNUMBER(SEARCH("sternohyoid",AD32)),ISNUMBER(SEARCH("thyrohyoid",AD32)),ISNUMBER(SEARCH("omohyoid",AD32))),"3b",IF(OR(D32="3a", AND(S32&lt;&gt;"",S32&gt;4)),"3a",IF(AND(S32&lt;&gt;"", S32&lt;=4,S32&gt;2),"2",IF(AND(S32&lt;&gt;"",S32&lt;=2,S32&gt;1),"1b",IF(AND(S32&lt;&gt;"",S32&lt;=1),"1a","1a"))))))))</f>
        <v>1b</v>
      </c>
      <c r="AI32" s="37" t="str">
        <f t="shared" si="15"/>
        <v>1a</v>
      </c>
      <c r="AJ32" s="37">
        <f t="shared" si="16"/>
        <v>0</v>
      </c>
      <c r="AK32" s="37" t="str">
        <f t="shared" si="17"/>
        <v>I</v>
      </c>
      <c r="AL32" s="10" t="s">
        <v>166</v>
      </c>
      <c r="AM32" s="32" t="s">
        <v>194</v>
      </c>
      <c r="AN32" s="32" t="s">
        <v>194</v>
      </c>
      <c r="AO32" s="32">
        <v>0</v>
      </c>
      <c r="AP32" s="32" t="s">
        <v>31</v>
      </c>
      <c r="AQ32" s="10">
        <f t="shared" si="6"/>
        <v>0</v>
      </c>
      <c r="AR32" s="32">
        <f t="shared" si="7"/>
        <v>1</v>
      </c>
      <c r="AS32" s="32">
        <f t="shared" si="8"/>
        <v>0</v>
      </c>
      <c r="AT32" s="32">
        <f t="shared" si="9"/>
        <v>1</v>
      </c>
      <c r="AU32" s="34">
        <f t="shared" si="10"/>
        <v>1</v>
      </c>
    </row>
    <row r="33" spans="1:48">
      <c r="A33" s="13">
        <v>31</v>
      </c>
      <c r="B33" s="16"/>
      <c r="C33" s="17">
        <f>_xlfn.MAXIFS('Model output'!C:C,'Model output'!Z:Z,'Classification result'!$A33)</f>
        <v>60</v>
      </c>
      <c r="D33" s="17" t="str" cm="1">
        <f t="array" ref="D33">LEFT(IF(ISERROR(RIGHT(IF(INDEX(_xlfn._xlws.FILTER('Model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output'!Z:Z=A33)),1),""),1))),"",(RIGHT(IF(INDEX(_xlfn._xlws.FILTER('Model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output'!Z:Z=A33)),1)))))),2)</f>
        <v/>
      </c>
      <c r="E33" s="17" t="str" cm="1">
        <f t="array" ref="E33">IF(ISNUMBER(SEARCH("N",IF(ISNUMBER(SEARCH("present",IF(INDEX(_xlfn._xlws.FILTER('Model output'!E:E,('Model output'!Z:Z=A33)),1)="","",INDEX(_xlfn._xlws.FILTER('Model output'!E:E,('Model output'!Z:Z=A33)),1)),1)),"N1", IF(INDEX(_xlfn._xlws.FILTER('Model output'!E:E,('Model output'!Z:Z=A33)),1)="","",INDEX(_xlfn._xlws.FILTER('Model output'!E:E,('Model output'!Z:Z=A33)),1))),1)),RIGHT(IF(ISNUMBER(SEARCH("present",IF(INDEX(_xlfn._xlws.FILTER('Model output'!E:E,('Model output'!Z:Z=A33)),1)="","",INDEX(_xlfn._xlws.FILTER('Model output'!E:E,('Model output'!Z:Z=A33)),1)),1)),"N1", IF(INDEX(_xlfn._xlws.FILTER('Model output'!E:E,('Model output'!Z:Z=A33)),1)="","",INDEX(_xlfn._xlws.FILTER('Model output'!E:E,('Model output'!Z:Z=A33)),1))),LEN(IF(ISNUMBER(SEARCH("present",IF(INDEX(_xlfn._xlws.FILTER('Model output'!E:E,('Model output'!Z:Z=A33)),1)="","",INDEX(_xlfn._xlws.FILTER('Model output'!E:E,('Model output'!Z:Z=A33)),1)),1)),"N1", IF(INDEX(_xlfn._xlws.FILTER('Model output'!E:E,('Model output'!Z:Z=A33)),1)="","",INDEX(_xlfn._xlws.FILTER('Model output'!E:E,('Model output'!Z:Z=A33)),1))))-FIND("N",IF(ISNUMBER(SEARCH("present",IF(INDEX(_xlfn._xlws.FILTER('Model output'!E:E,('Model output'!Z:Z=A33)),1)="","",INDEX(_xlfn._xlws.FILTER('Model output'!E:E,('Model output'!Z:Z=A33)),1)),1)),"N1", IF(INDEX(_xlfn._xlws.FILTER('Model output'!E:E,('Model output'!Z:Z=A33)),1)="","",INDEX(_xlfn._xlws.FILTER('Model output'!E:E,('Model output'!Z:Z=A33)),1))),1)), "")</f>
        <v/>
      </c>
      <c r="F33" s="17" cm="1">
        <f t="array" ref="F33">IF(AND(SUBSTITUTE(_xlfn.TEXTJOIN("/", TRUE, _xlfn._xlws.FILTER('Model output'!F:F, 'Model output'!Z:Z=A33)),"M", "")="", I33="negative"),0,IF(I33="positive",1,0))</f>
        <v>0</v>
      </c>
      <c r="G33" t="str">
        <f t="shared" si="0"/>
        <v>positive</v>
      </c>
      <c r="H33" t="str" cm="1">
        <f t="array" ref="H33">IF(AND(K33&gt;0, _xlfn.TEXTJOIN("; ", TRUE, _xlfn._xlws.FILTER('Model output'!G:G, 'Model output'!Z:Z=A33)) &lt;&gt;"", OR(AND(ISNUMBER(SEARCH("level", _xlfn.TEXTJOIN("; ", TRUE, _xlfn._xlws.FILTER('Model output'!G:G, 'Model output'!Z:Z=A33)),1)),OR(ISNUMBER(SEARCH(" II", _xlfn.TEXTJOIN("; ", TRUE, _xlfn._xlws.FILTER('Model output'!G:G, 'Model output'!Z:Z=A33)),1)),ISNUMBER(SEARCH("2", _xlfn.TEXTJOIN("; ", TRUE, _xlfn._xlws.FILTER('Model output'!G:G, 'Model output'!Z:Z=A33)),1)),ISNUMBER(SEARCH("two", _xlfn.TEXTJOIN("; ", TRUE, _xlfn._xlws.FILTER('Model output'!G:G, 'Model output'!Z:Z=A33)),1)),ISNUMBER(SEARCH("III", _xlfn.TEXTJOIN("; ", TRUE, _xlfn._xlws.FILTER('Model output'!G:G, 'Model output'!Z:Z=A33)),1)),ISNUMBER(SEARCH("3", _xlfn.TEXTJOIN("; ", TRUE, _xlfn._xlws.FILTER('Model output'!G:G, 'Model output'!Z:Z=A33)),1)),ISNUMBER(SEARCH("three", _xlfn.TEXTJOIN("; ", TRUE, _xlfn._xlws.FILTER('Model output'!G:G, 'Model output'!Z:Z=A33)),1)),ISNUMBER(SEARCH("IV", _xlfn.TEXTJOIN("; ", TRUE, _xlfn._xlws.FILTER('Model output'!G:G, 'Model output'!Z:Z=A33)),1)),ISNUMBER(SEARCH("4", _xlfn.TEXTJOIN("; ", TRUE, _xlfn._xlws.FILTER('Model output'!G:G, 'Model output'!Z:Z=A33)),1)),ISNUMBER(SEARCH("five", _xlfn.TEXTJOIN("; ", TRUE, _xlfn._xlws.FILTER('Model output'!G:G, 'Model output'!Z:Z=A33)),1)),ISNUMBER(SEARCH("V ", _xlfn.TEXTJOIN("; ", TRUE, _xlfn._xlws.FILTER('Model output'!G:G, 'Model output'!Z:Z=A33)),1)),ISNUMBER(SEARCH("5", _xlfn.TEXTJOIN("; ", TRUE, _xlfn._xlws.FILTER('Model output'!G:G, 'Model output'!Z:Z=A33)),1)),ISNUMBER(SEARCH("five", _xlfn.TEXTJOIN("; ", TRUE, _xlfn._xlws.FILTER('Model output'!G:G, 'Model output'!Z:Z=A33)),1)),ISNUMBER(SEARCH(" lateral", _xlfn.TEXTJOIN("; ", TRUE, _xlfn._xlws.FILTER('Model output'!G:G, 'Model output'!Z:Z=A33)),1)))),ISNUMBER(SEARCH("cervical", _xlfn.TEXTJOIN("; ", TRUE, _xlfn._xlws.FILTER('Model output'!G:G, 'Model output'!Z:Z=A33)),1)),ISNUMBER(SEARCH("jugular", _xlfn.TEXTJOIN("; ", TRUE, _xlfn._xlws.FILTER('Model output'!G:G, 'Model output'!Z:Z=A33)),1)),ISNUMBER(SEARCH("left neck", _xlfn.TEXTJOIN("; ", TRUE, _xlfn._xlws.FILTER('Model output'!G:G, 'Model output'!Z:Z=A33)),1)),ISNUMBER(SEARCH("left anterior neck", _xlfn.TEXTJOIN("; ", TRUE, _xlfn._xlws.FILTER('Model output'!G:G, 'Model output'!Z:Z=A33)),1)),ISNUMBER(SEARCH("left posterior neck", _xlfn.TEXTJOIN("; ", TRUE, _xlfn._xlws.FILTER('Model output'!G:G, 'Model output'!Z:Z=A33)),1)),ISNUMBER(SEARCH("right neck", _xlfn.TEXTJOIN("; ", TRUE, _xlfn._xlws.FILTER('Model output'!G:G, 'Model output'!Z:Z=A33)),1)),ISNUMBER(SEARCH("right anterior neck", _xlfn.TEXTJOIN("; ", TRUE, _xlfn._xlws.FILTER('Model output'!G:G, 'Model output'!Z:Z=A33)),1)),ISNUMBER(SEARCH("right posterior neck", _xlfn.TEXTJOIN("; ", TRUE, _xlfn._xlws.FILTER('Model output'!G:G, 'Model output'!Z:Z=A33)),1)))),"lateral",IF(AND(K33=0, _xlfn.TEXTJOIN("; ", TRUE, _xlfn._xlws.FILTER('Model output'!G:G, 'Model output'!Z:Z=A33))=""),"", "central"))</f>
        <v>central</v>
      </c>
      <c r="I33" s="17" t="str" cm="1">
        <f t="array" ref="I33">IF(OR(ISNUMBER(SEARCH("lymph",_xlfn.TEXTJOIN("; ", TRUE, _xlfn._xlws.FILTER('Model output'!H:H, 'Model output'!Z:Z=A33)),1)), ISNUMBER(SEARCH("Not mentioned",_xlfn.TEXTJOIN("; ", TRUE, _xlfn._xlws.FILTER('Model output'!H:H, 'Model output'!Z:Z=A33)),1)),ISNUMBER(SEARCH("subcutaneous soft tissues",_xlfn.TEXTJOIN("; ", TRUE, _xlfn._xlws.FILTER('Model output'!H:H, 'Model output'!Z:Z=A33)),1)),ISNUMBER(SEARCH("larynx",_xlfn.TEXTJOIN("; ", TRUE, _xlfn._xlws.FILTER('Model output'!H:H, 'Model output'!Z:Z=A33)),1)),ISNUMBER(SEARCH("trachea",_xlfn.TEXTJOIN("; ", TRUE, _xlfn._xlws.FILTER('Model output'!H:H, 'Model output'!Z:Z=A33)),1)),ISNUMBER(SEARCH("esophagus",_xlfn.TEXTJOIN("; ", TRUE, _xlfn._xlws.FILTER('Model output'!H:H, 'Model output'!Z:Z=A33)),1)),ISNUMBER(SEARCH("recurrent laryngeal nerve",_xlfn.TEXTJOIN("; ", TRUE, _xlfn._xlws.FILTER('Model output'!H:H, 'Model output'!Z:Z=A33)),1)),ISNUMBER(SEARCH("RLN",_xlfn.TEXTJOIN("; ", TRUE, _xlfn._xlws.FILTER('Model output'!H:H, 'Model output'!Z:Z=A33)),1)),_xlfn.TEXTJOIN("; ", TRUE, _xlfn._xlws.FILTER('Model output'!H:H, 'Model output'!Z:Z=A33))=""),"negative","positive")</f>
        <v>negative</v>
      </c>
      <c r="J33" s="17">
        <f>IF(IFERROR(INDEX('Model output'!I:I, MATCH(A33, 'Model output'!Z:Z, 0)), "") &lt; K33, "", IFERROR(INDEX('Model output'!I:I, MATCH(A33, 'Model output'!Z:Z, 0)), ""))</f>
        <v>1</v>
      </c>
      <c r="K33" s="17">
        <f>IFERROR(INDEX('Model output'!J:J, MATCH(A33, 'Model output'!Z:Z, 0)), "")</f>
        <v>1</v>
      </c>
      <c r="L33" s="18" t="str" cm="1">
        <f t="array" ref="L33">ReplaceTo(ReplaceAnd(SUBSTITUTE(SUBSTITUTE(_xlfn.TEXTJOIN("; ", TRUE, _xlfn._xlws.FILTER('Model output'!K:K, 'Model output'!Z:Z=A33)), " ", ""), ",", ";")))</f>
        <v>4mm</v>
      </c>
      <c r="M33" t="str" cm="1">
        <f t="array" ref="M33">IF(LEFT(IF(RIGHT(SUBSTITUTE(FilterWithUnits(L33)&amp;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";")),1)=";",RIGHT(IF(RIGHT(SUBSTITUTE(FilterWithUnits(L33)&amp;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";")),LEN(IF(RIGHT(SUBSTITUTE(FilterWithUnits(L33)&amp;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";")))-1),IF(RIGHT(SUBSTITUTE(FilterWithUnits(L33)&amp;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f>
        <v>4mm</v>
      </c>
      <c r="N33" cm="1">
        <f t="array" ref="N33">IF(MaxSize((SplitDimensions(M33)))=0, "", MaxSize((SplitDimensions(M33))))</f>
        <v>0.4</v>
      </c>
      <c r="O33" t="str" cm="1">
        <f t="array" ref="O33">IF(ISERROR(INDEX(_xlfn._xlws.FILTER('Model output'!L:L, ('Model output'!Z:Z=A33)*('Model output'!L:L&lt;&gt;"")), 1)), " ", LOWER(INDEX(_xlfn._xlws.FILTER('Model output'!L:L, ('Model output'!Z:Z=A33)*('Model output'!L:L&lt;&gt;"")), 1)))</f>
        <v>papillary</v>
      </c>
      <c r="P33" t="str" cm="1">
        <f t="array" ref="P33">IF(ISERROR(INDEX(_xlfn._xlws.FILTER('Model output'!M:M, ('Model output'!Z:Z=A33)*('Model output'!M:M&lt;&gt;"")), 1)), " ", LOWER(INDEX(_xlfn._xlws.FILTER('Model output'!M:M, ('Model output'!Z:Z=A33)*('Model output'!M:M&lt;&gt;"")), 1)))</f>
        <v>infiltrative follicular</v>
      </c>
      <c r="Q33" t="str" cm="1">
        <f t="array" ref="Q33">IF(OR(ISNUMBER(SEARCH("ly",SUBSTITUTE(INDEX(_xlfn._xlws.FILTER('Model output'!N:N,('Model output'!Z:Z=A33)*('Model output'!N:N&lt;&gt;"")),1)," ",""),1)), ISNUMBER(SEARCH("pole",SUBSTITUTE(INDEX(_xlfn._xlws.FILTER('Model output'!N:N,('Model output'!Z:Z=A33)*('Model output'!N:N&lt;&gt;"")),1)," ",""),1))),"",SUBSTITUTE(INDEX(_xlfn._xlws.FILTER('Model output'!N:N,('Model output'!Z:Z=A33)*('Model output'!N:N&lt;&gt;"")),1)," ",""))</f>
        <v>4.5x3x2cm(forleftthyroid)</v>
      </c>
      <c r="R33" t="str" cm="1">
        <f t="array" ref="R33">IF(LEFT(IF(RIGHT(SUBSTITUTE(FilterWithUnits(Q33)&amp;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";")),1)=";",RIGHT(IF(RIGHT(SUBSTITUTE(FilterWithUnits(Q33)&amp;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";")),LEN(IF(RIGHT(SUBSTITUTE(FilterWithUnits(Q33)&amp;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";")))-1),IF(RIGHT(SUBSTITUTE(FilterWithUnits(Q33)&amp;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f>
        <v>4.5x3x2cm(forleftthyroid)</v>
      </c>
      <c r="S33" t="str" cm="1">
        <f t="array" ref="S33">IF(MaxSize((SplitDimensions(R33)))=0, "", MaxSize((SplitDimensions(R33))))</f>
        <v/>
      </c>
      <c r="T33" s="17" t="str" cm="1">
        <f t="array" ref="T33">IF(ISERROR(INDEX(_xlfn._xlws.FILTER('Model output'!P:P,('Model output'!Z:Z=A33)*('Model output'!P:P&lt;&gt;"")),1)),"negative",IF(OR(ISNUMBER(SEARCH("foc",INDEX(_xlfn._xlws.FILTER('Model output'!P:P,('Model output'!Z:Z=A33)*('Model output'!P:P&lt;&gt;"")),1),1)),ISNUMBER(SEARCH("extensive",INDEX(_xlfn._xlws.FILTER('Model output'!P:P,('Model output'!Z:Z=A33)*('Model output'!P:P&lt;&gt;"")),1),1)),ISNUMBER(SEARCH("present",INDEX(_xlfn._xlws.FILTER('Model output'!P:P,('Model output'!Z:Z=A33)*('Model output'!P:P&lt;&gt;"")),1),1)),ISNUMBER(SEARCH("yes",INDEX(_xlfn._xlws.FILTER('Model output'!P:P,('Model output'!Z:Z=A33)*('Model output'!P:P&lt;&gt;"")),1),1))),"positive","negative"))</f>
        <v>positive</v>
      </c>
      <c r="V33" t="str" cm="1">
        <f t="array" ref="V33">IF(ISNUMBER(SEARCH("4",INDEX(_xlfn._xlws.FILTER('Model output'!P:P,('Model output'!Z:Z=A33)*('Model output'!P:P&lt;&gt;"")),1),1)),INDEX(_xlfn._xlws.FILTER('Model output'!P:P,('Model output'!Z:Z=A33)*('Model output'!P:P&lt;&gt;"")),1),"") &amp; _xlfn.TEXTJOIN("",TRUE,_xlfn._xlws.FILTER('Model output'!Q:Q,'Model output'!Z:Z=A33))</f>
        <v>invading to carotid sheath and wrapped around RLN at lower pole</v>
      </c>
      <c r="W33" t="str">
        <f t="shared" si="11"/>
        <v>minimal</v>
      </c>
      <c r="X33" t="str" cm="1">
        <f t="array" ref="X33">IF(OR(ISNUMBER(SEARCH("focal",_xlfn.TEXTJOIN("; ",TRUE,_xlfn._xlws.FILTER('Model output'!R:R,'Model output'!Z:Z=A33)),1)),ISNUMBER(SEARCH("present",_xlfn.TEXTJOIN("; ",TRUE,_xlfn._xlws.FILTER('Model output'!R:R,'Model output'!Z:Z=A33)),1))),"positive",IF(_xlfn.TEXTJOIN("; ",TRUE,_xlfn._xlws.FILTER('Model output'!R:R,'Model output'!Z:Z=A33))="","negative",IF(OR(ISNUMBER(SEARCH("no",_xlfn.TEXTJOIN("; ",TRUE,_xlfn._xlws.FILTER('Model output'!R:R,'Model output'!Z:Z=A33)),1)),ISNUMBER(SEARCH("absent",_xlfn.TEXTJOIN("; ",TRUE,_xlfn._xlws.FILTER('Model output'!R:R,'Model output'!Z:Z=A33)),1))),"negative","positive")))</f>
        <v>positive</v>
      </c>
      <c r="Y33" s="17" t="str">
        <f t="shared" si="12"/>
        <v>positive</v>
      </c>
      <c r="AC33" s="17" t="str">
        <f t="shared" si="13"/>
        <v>negative</v>
      </c>
      <c r="AD33" t="str" cm="1">
        <f t="array" ref="AD33">_xlfn.TEXTJOIN("; ",TRUE,_xlfn._xlws.FILTER('Model output'!S:S,'Model output'!Z:Z=A33))</f>
        <v>Present; Present</v>
      </c>
      <c r="AE33" s="47" t="str" cm="1">
        <f t="array" ref="AE33">IF(OR(ISNUMBER(SEARCH("uninvolved",_xlfn.TEXTJOIN("; ",TRUE,_xlfn._xlws.FILTER('Model output'!V:V,'Model output'!Z:Z=A33)),1)),ISNUMBER(SEARCH("clear",_xlfn.TEXTJOIN("; ",TRUE,_xlfn._xlws.FILTER('Model output'!V:V,'Model output'!Z:Z=A33)),1))*ISNUMBER(SEARCH("not mentioned",_xlfn.TEXTJOIN("; ",TRUE,_xlfn._xlws.FILTER('Model output'!V:V,'Model output'!Z:Z=A33)),1))),"negative",IF(ISNUMBER(SEARCH("cannot be assessed",_xlfn.TEXTJOIN("; ",TRUE,_xlfn._xlws.FILTER('Model output'!V:V,'Model output'!Z:Z=A33)),1)),"negative","negative"))</f>
        <v>negative</v>
      </c>
      <c r="AG33" s="36" t="str">
        <f t="shared" si="14"/>
        <v>intermediate</v>
      </c>
      <c r="AH33" s="37" t="str">
        <f>IF(OR(ISNUMBER(SEARCH("non-invasive follicular",O33)),ISNUMBER(SEARCH("papillary-like nuclear features",O33)),ISNUMBER(SEARCH("non-invasive follicular",P33)),ISNUMBER(SEARCH("papillary-like nuclear features",P33))),"NIFTP", IF(OR(D33="4b",AND(AC33="positive",OR(ISNUMBER(SEARCH("prevertebral",AD33)),ISNUMBER(SEARCH("fascia",AD33)),ISNUMBER(SEARCH("carotid artery",AD33)),ISNUMBER(SEARCH("mediastinal",AD33))))),"4b",IF(OR(D33="4a",AND(AC33="positive",OR(ISNUMBER(SEARCH("soft tissue",AD33)),ISNUMBER(SEARCH("larynx",AD33)),ISNUMBER(SEARCH("trachea",AD33)),ISNUMBER(SEARCH("esophagus",AD33)),ISNUMBER(SEARCH("recurrent laryngeal nerve",AD33)),ISNUMBER(SEARCH("RLN",AD33))))),"4a", IF(OR(D33="3b", AC33="positive",ISNUMBER(SEARCH("strap",AD33)),ISNUMBER(SEARCH("sternothyroid",AD33)),ISNUMBER(SEARCH("sternohyoid",AD33)),ISNUMBER(SEARCH("thyrohyoid",AD33)),ISNUMBER(SEARCH("omohyoid",AD33))),"3b",IF(OR(D33="3a", AND(S33&lt;&gt;"",S33&gt;4)),"3a",IF(AND(S33&lt;&gt;"", S33&lt;=4,S33&gt;2),"2",IF(AND(S33&lt;&gt;"",S33&lt;=2,S33&gt;1),"1b",IF(AND(S33&lt;&gt;"",S33&lt;=1),"1a","1a"))))))))</f>
        <v>1a</v>
      </c>
      <c r="AI33" s="37" t="str">
        <f t="shared" si="15"/>
        <v>1a</v>
      </c>
      <c r="AJ33" s="37">
        <f t="shared" si="16"/>
        <v>0</v>
      </c>
      <c r="AK33" s="37" t="str">
        <f t="shared" si="17"/>
        <v>II</v>
      </c>
      <c r="AL33" s="10" t="s">
        <v>167</v>
      </c>
      <c r="AM33" s="32" t="s">
        <v>200</v>
      </c>
      <c r="AN33" s="32" t="s">
        <v>196</v>
      </c>
      <c r="AO33" s="32">
        <v>0</v>
      </c>
      <c r="AP33" s="32" t="s">
        <v>362</v>
      </c>
      <c r="AQ33" s="10">
        <f t="shared" si="6"/>
        <v>0</v>
      </c>
      <c r="AR33" s="32">
        <f t="shared" si="7"/>
        <v>0</v>
      </c>
      <c r="AS33" s="32">
        <f t="shared" si="8"/>
        <v>1</v>
      </c>
      <c r="AT33" s="32">
        <f t="shared" si="9"/>
        <v>1</v>
      </c>
      <c r="AU33" s="34">
        <f t="shared" si="10"/>
        <v>0</v>
      </c>
    </row>
    <row r="34" spans="1:48">
      <c r="A34" s="13">
        <v>32</v>
      </c>
      <c r="B34" s="16"/>
      <c r="C34" s="17">
        <f>_xlfn.MAXIFS('Model output'!C:C,'Model output'!Z:Z,'Classification result'!$A34)</f>
        <v>72</v>
      </c>
      <c r="D34" s="17" t="str" cm="1">
        <f t="array" ref="D34">LEFT(IF(ISERROR(RIGHT(IF(INDEX(_xlfn._xlws.FILTER('Model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output'!Z:Z=A34)),1),""),1))),"",(RIGHT(IF(INDEX(_xlfn._xlws.FILTER('Model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output'!Z:Z=A34)),1)))))),2)</f>
        <v>4</v>
      </c>
      <c r="E34" s="17" t="str" cm="1">
        <f t="array" ref="E34">IF(ISNUMBER(SEARCH("N",IF(ISNUMBER(SEARCH("present",IF(INDEX(_xlfn._xlws.FILTER('Model output'!E:E,('Model output'!Z:Z=A34)),1)="","",INDEX(_xlfn._xlws.FILTER('Model output'!E:E,('Model output'!Z:Z=A34)),1)),1)),"N1", IF(INDEX(_xlfn._xlws.FILTER('Model output'!E:E,('Model output'!Z:Z=A34)),1)="","",INDEX(_xlfn._xlws.FILTER('Model output'!E:E,('Model output'!Z:Z=A34)),1))),1)),RIGHT(IF(ISNUMBER(SEARCH("present",IF(INDEX(_xlfn._xlws.FILTER('Model output'!E:E,('Model output'!Z:Z=A34)),1)="","",INDEX(_xlfn._xlws.FILTER('Model output'!E:E,('Model output'!Z:Z=A34)),1)),1)),"N1", IF(INDEX(_xlfn._xlws.FILTER('Model output'!E:E,('Model output'!Z:Z=A34)),1)="","",INDEX(_xlfn._xlws.FILTER('Model output'!E:E,('Model output'!Z:Z=A34)),1))),LEN(IF(ISNUMBER(SEARCH("present",IF(INDEX(_xlfn._xlws.FILTER('Model output'!E:E,('Model output'!Z:Z=A34)),1)="","",INDEX(_xlfn._xlws.FILTER('Model output'!E:E,('Model output'!Z:Z=A34)),1)),1)),"N1", IF(INDEX(_xlfn._xlws.FILTER('Model output'!E:E,('Model output'!Z:Z=A34)),1)="","",INDEX(_xlfn._xlws.FILTER('Model output'!E:E,('Model output'!Z:Z=A34)),1))))-FIND("N",IF(ISNUMBER(SEARCH("present",IF(INDEX(_xlfn._xlws.FILTER('Model output'!E:E,('Model output'!Z:Z=A34)),1)="","",INDEX(_xlfn._xlws.FILTER('Model output'!E:E,('Model output'!Z:Z=A34)),1)),1)),"N1", IF(INDEX(_xlfn._xlws.FILTER('Model output'!E:E,('Model output'!Z:Z=A34)),1)="","",INDEX(_xlfn._xlws.FILTER('Model output'!E:E,('Model output'!Z:Z=A34)),1))),1)), "")</f>
        <v/>
      </c>
      <c r="F34" s="17" cm="1">
        <f t="array" ref="F34">IF(AND(SUBSTITUTE(_xlfn.TEXTJOIN("/", TRUE, _xlfn._xlws.FILTER('Model output'!F:F, 'Model output'!Z:Z=A34)),"M", "")="", I34="negative"),0,IF(I34="positive",1,0))</f>
        <v>0</v>
      </c>
      <c r="G34" t="str">
        <f t="shared" si="0"/>
        <v>positive</v>
      </c>
      <c r="H34" t="str" cm="1">
        <f t="array" ref="H34">IF(AND(K34&gt;0, _xlfn.TEXTJOIN("; ", TRUE, _xlfn._xlws.FILTER('Model output'!G:G, 'Model output'!Z:Z=A34)) &lt;&gt;"", OR(AND(ISNUMBER(SEARCH("level", _xlfn.TEXTJOIN("; ", TRUE, _xlfn._xlws.FILTER('Model output'!G:G, 'Model output'!Z:Z=A34)),1)),OR(ISNUMBER(SEARCH(" II", _xlfn.TEXTJOIN("; ", TRUE, _xlfn._xlws.FILTER('Model output'!G:G, 'Model output'!Z:Z=A34)),1)),ISNUMBER(SEARCH("2", _xlfn.TEXTJOIN("; ", TRUE, _xlfn._xlws.FILTER('Model output'!G:G, 'Model output'!Z:Z=A34)),1)),ISNUMBER(SEARCH("two", _xlfn.TEXTJOIN("; ", TRUE, _xlfn._xlws.FILTER('Model output'!G:G, 'Model output'!Z:Z=A34)),1)),ISNUMBER(SEARCH("III", _xlfn.TEXTJOIN("; ", TRUE, _xlfn._xlws.FILTER('Model output'!G:G, 'Model output'!Z:Z=A34)),1)),ISNUMBER(SEARCH("3", _xlfn.TEXTJOIN("; ", TRUE, _xlfn._xlws.FILTER('Model output'!G:G, 'Model output'!Z:Z=A34)),1)),ISNUMBER(SEARCH("three", _xlfn.TEXTJOIN("; ", TRUE, _xlfn._xlws.FILTER('Model output'!G:G, 'Model output'!Z:Z=A34)),1)),ISNUMBER(SEARCH("IV", _xlfn.TEXTJOIN("; ", TRUE, _xlfn._xlws.FILTER('Model output'!G:G, 'Model output'!Z:Z=A34)),1)),ISNUMBER(SEARCH("4", _xlfn.TEXTJOIN("; ", TRUE, _xlfn._xlws.FILTER('Model output'!G:G, 'Model output'!Z:Z=A34)),1)),ISNUMBER(SEARCH("five", _xlfn.TEXTJOIN("; ", TRUE, _xlfn._xlws.FILTER('Model output'!G:G, 'Model output'!Z:Z=A34)),1)),ISNUMBER(SEARCH("V ", _xlfn.TEXTJOIN("; ", TRUE, _xlfn._xlws.FILTER('Model output'!G:G, 'Model output'!Z:Z=A34)),1)),ISNUMBER(SEARCH("5", _xlfn.TEXTJOIN("; ", TRUE, _xlfn._xlws.FILTER('Model output'!G:G, 'Model output'!Z:Z=A34)),1)),ISNUMBER(SEARCH("five", _xlfn.TEXTJOIN("; ", TRUE, _xlfn._xlws.FILTER('Model output'!G:G, 'Model output'!Z:Z=A34)),1)),ISNUMBER(SEARCH(" lateral", _xlfn.TEXTJOIN("; ", TRUE, _xlfn._xlws.FILTER('Model output'!G:G, 'Model output'!Z:Z=A34)),1)))),ISNUMBER(SEARCH("cervical", _xlfn.TEXTJOIN("; ", TRUE, _xlfn._xlws.FILTER('Model output'!G:G, 'Model output'!Z:Z=A34)),1)),ISNUMBER(SEARCH("jugular", _xlfn.TEXTJOIN("; ", TRUE, _xlfn._xlws.FILTER('Model output'!G:G, 'Model output'!Z:Z=A34)),1)),ISNUMBER(SEARCH("left neck", _xlfn.TEXTJOIN("; ", TRUE, _xlfn._xlws.FILTER('Model output'!G:G, 'Model output'!Z:Z=A34)),1)),ISNUMBER(SEARCH("left anterior neck", _xlfn.TEXTJOIN("; ", TRUE, _xlfn._xlws.FILTER('Model output'!G:G, 'Model output'!Z:Z=A34)),1)),ISNUMBER(SEARCH("left posterior neck", _xlfn.TEXTJOIN("; ", TRUE, _xlfn._xlws.FILTER('Model output'!G:G, 'Model output'!Z:Z=A34)),1)),ISNUMBER(SEARCH("right neck", _xlfn.TEXTJOIN("; ", TRUE, _xlfn._xlws.FILTER('Model output'!G:G, 'Model output'!Z:Z=A34)),1)),ISNUMBER(SEARCH("right anterior neck", _xlfn.TEXTJOIN("; ", TRUE, _xlfn._xlws.FILTER('Model output'!G:G, 'Model output'!Z:Z=A34)),1)),ISNUMBER(SEARCH("right posterior neck", _xlfn.TEXTJOIN("; ", TRUE, _xlfn._xlws.FILTER('Model output'!G:G, 'Model output'!Z:Z=A34)),1)))),"lateral",IF(AND(K34=0, _xlfn.TEXTJOIN("; ", TRUE, _xlfn._xlws.FILTER('Model output'!G:G, 'Model output'!Z:Z=A34))=""),"", "central"))</f>
        <v>central</v>
      </c>
      <c r="I34" s="17" t="str" cm="1">
        <f t="array" ref="I34">IF(OR(ISNUMBER(SEARCH("lymph",_xlfn.TEXTJOIN("; ", TRUE, _xlfn._xlws.FILTER('Model output'!H:H, 'Model output'!Z:Z=A34)),1)), ISNUMBER(SEARCH("Not mentioned",_xlfn.TEXTJOIN("; ", TRUE, _xlfn._xlws.FILTER('Model output'!H:H, 'Model output'!Z:Z=A34)),1)),ISNUMBER(SEARCH("subcutaneous soft tissues",_xlfn.TEXTJOIN("; ", TRUE, _xlfn._xlws.FILTER('Model output'!H:H, 'Model output'!Z:Z=A34)),1)),ISNUMBER(SEARCH("larynx",_xlfn.TEXTJOIN("; ", TRUE, _xlfn._xlws.FILTER('Model output'!H:H, 'Model output'!Z:Z=A34)),1)),ISNUMBER(SEARCH("trachea",_xlfn.TEXTJOIN("; ", TRUE, _xlfn._xlws.FILTER('Model output'!H:H, 'Model output'!Z:Z=A34)),1)),ISNUMBER(SEARCH("esophagus",_xlfn.TEXTJOIN("; ", TRUE, _xlfn._xlws.FILTER('Model output'!H:H, 'Model output'!Z:Z=A34)),1)),ISNUMBER(SEARCH("recurrent laryngeal nerve",_xlfn.TEXTJOIN("; ", TRUE, _xlfn._xlws.FILTER('Model output'!H:H, 'Model output'!Z:Z=A34)),1)),ISNUMBER(SEARCH("RLN",_xlfn.TEXTJOIN("; ", TRUE, _xlfn._xlws.FILTER('Model output'!H:H, 'Model output'!Z:Z=A34)),1)),_xlfn.TEXTJOIN("; ", TRUE, _xlfn._xlws.FILTER('Model output'!H:H, 'Model output'!Z:Z=A34))=""),"negative","positive")</f>
        <v>negative</v>
      </c>
      <c r="J34" s="17">
        <f>IF(IFERROR(INDEX('Model output'!I:I, MATCH(A34, 'Model output'!Z:Z, 0)), "") &lt; K34, "", IFERROR(INDEX('Model output'!I:I, MATCH(A34, 'Model output'!Z:Z, 0)), ""))</f>
        <v>12</v>
      </c>
      <c r="K34" s="17">
        <f>IFERROR(INDEX('Model output'!J:J, MATCH(A34, 'Model output'!Z:Z, 0)), "")</f>
        <v>4</v>
      </c>
      <c r="L34" s="18" t="str" cm="1">
        <f t="array" ref="L34">ReplaceTo(ReplaceAnd(SUBSTITUTE(SUBSTITUTE(_xlfn.TEXTJOIN("; ", TRUE, _xlfn._xlws.FILTER('Model output'!K:K, 'Model output'!Z:Z=A34)), " ", ""), ",", ";")))</f>
        <v>6cm</v>
      </c>
      <c r="M34" t="str" cm="1">
        <f t="array" ref="M34">IF(LEFT(IF(RIGHT(SUBSTITUTE(FilterWithUnits(L34)&amp;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";")),1)=";",RIGHT(IF(RIGHT(SUBSTITUTE(FilterWithUnits(L34)&amp;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";")),LEN(IF(RIGHT(SUBSTITUTE(FilterWithUnits(L34)&amp;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";")))-1),IF(RIGHT(SUBSTITUTE(FilterWithUnits(L34)&amp;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f>
        <v>6cm</v>
      </c>
      <c r="N34" cm="1">
        <f t="array" ref="N34">IF(MaxSize((SplitDimensions(M34)))=0, "", MaxSize((SplitDimensions(M34))))</f>
        <v>6</v>
      </c>
      <c r="O34" t="str" cm="1">
        <f t="array" ref="O34">IF(ISERROR(INDEX(_xlfn._xlws.FILTER('Model output'!L:L, ('Model output'!Z:Z=A34)*('Model output'!L:L&lt;&gt;"")), 1)), " ", LOWER(INDEX(_xlfn._xlws.FILTER('Model output'!L:L, ('Model output'!Z:Z=A34)*('Model output'!L:L&lt;&gt;"")), 1)))</f>
        <v>follicular</v>
      </c>
      <c r="P34" t="str" cm="1">
        <f t="array" ref="P34">IF(ISERROR(INDEX(_xlfn._xlws.FILTER('Model output'!M:M, ('Model output'!Z:Z=A34)*('Model output'!M:M&lt;&gt;"")), 1)), " ", LOWER(INDEX(_xlfn._xlws.FILTER('Model output'!M:M, ('Model output'!Z:Z=A34)*('Model output'!M:M&lt;&gt;"")), 1)))</f>
        <v xml:space="preserve"> </v>
      </c>
      <c r="Q34" t="str" cm="1">
        <f t="array" ref="Q34">IF(OR(ISNUMBER(SEARCH("ly",SUBSTITUTE(INDEX(_xlfn._xlws.FILTER('Model output'!N:N,('Model output'!Z:Z=A34)*('Model output'!N:N&lt;&gt;"")),1)," ",""),1)), ISNUMBER(SEARCH("pole",SUBSTITUTE(INDEX(_xlfn._xlws.FILTER('Model output'!N:N,('Model output'!Z:Z=A34)*('Model output'!N:N&lt;&gt;"")),1)," ",""),1))),"",SUBSTITUTE(INDEX(_xlfn._xlws.FILTER('Model output'!N:N,('Model output'!Z:Z=A34)*('Model output'!N:N&lt;&gt;"")),1)," ",""))</f>
        <v>6cm</v>
      </c>
      <c r="R34" t="str" cm="1">
        <f t="array" ref="R34">IF(LEFT(IF(RIGHT(SUBSTITUTE(FilterWithUnits(Q34)&amp;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";")),1)=";",RIGHT(IF(RIGHT(SUBSTITUTE(FilterWithUnits(Q34)&amp;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";")),LEN(IF(RIGHT(SUBSTITUTE(FilterWithUnits(Q34)&amp;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";")))-1),IF(RIGHT(SUBSTITUTE(FilterWithUnits(Q34)&amp;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f>
        <v>6cm</v>
      </c>
      <c r="S34" cm="1">
        <f t="array" ref="S34">IF(MaxSize((SplitDimensions(R34)))=0, "", MaxSize((SplitDimensions(R34))))</f>
        <v>6</v>
      </c>
      <c r="T34" s="17" t="str" cm="1">
        <f t="array" ref="T34">IF(ISERROR(INDEX(_xlfn._xlws.FILTER('Model output'!P:P,('Model output'!Z:Z=A34)*('Model output'!P:P&lt;&gt;"")),1)),"negative",IF(OR(ISNUMBER(SEARCH("foc",INDEX(_xlfn._xlws.FILTER('Model output'!P:P,('Model output'!Z:Z=A34)*('Model output'!P:P&lt;&gt;"")),1),1)),ISNUMBER(SEARCH("extensive",INDEX(_xlfn._xlws.FILTER('Model output'!P:P,('Model output'!Z:Z=A34)*('Model output'!P:P&lt;&gt;"")),1),1)),ISNUMBER(SEARCH("present",INDEX(_xlfn._xlws.FILTER('Model output'!P:P,('Model output'!Z:Z=A34)*('Model output'!P:P&lt;&gt;"")),1),1)),ISNUMBER(SEARCH("yes",INDEX(_xlfn._xlws.FILTER('Model output'!P:P,('Model output'!Z:Z=A34)*('Model output'!P:P&lt;&gt;"")),1),1))),"positive","negative"))</f>
        <v>positive</v>
      </c>
      <c r="V34" t="str" cm="1">
        <f t="array" ref="V34">IF(ISNUMBER(SEARCH("4",INDEX(_xlfn._xlws.FILTER('Model output'!P:P,('Model output'!Z:Z=A34)*('Model output'!P:P&lt;&gt;"")),1),1)),INDEX(_xlfn._xlws.FILTER('Model output'!P:P,('Model output'!Z:Z=A34)*('Model output'!P:P&lt;&gt;"")),1),"") &amp; _xlfn.TEXTJOIN("",TRUE,_xlfn._xlws.FILTER('Model output'!Q:Q,'Model output'!Z:Z=A34))</f>
        <v>4 or more4 or more</v>
      </c>
      <c r="W34" t="str">
        <f t="shared" si="11"/>
        <v>extensive</v>
      </c>
      <c r="X34" t="str" cm="1">
        <f t="array" ref="X34">IF(OR(ISNUMBER(SEARCH("focal",_xlfn.TEXTJOIN("; ",TRUE,_xlfn._xlws.FILTER('Model output'!R:R,'Model output'!Z:Z=A34)),1)),ISNUMBER(SEARCH("present",_xlfn.TEXTJOIN("; ",TRUE,_xlfn._xlws.FILTER('Model output'!R:R,'Model output'!Z:Z=A34)),1))),"positive",IF(_xlfn.TEXTJOIN("; ",TRUE,_xlfn._xlws.FILTER('Model output'!R:R,'Model output'!Z:Z=A34))="","negative",IF(OR(ISNUMBER(SEARCH("no",_xlfn.TEXTJOIN("; ",TRUE,_xlfn._xlws.FILTER('Model output'!R:R,'Model output'!Z:Z=A34)),1)),ISNUMBER(SEARCH("absent",_xlfn.TEXTJOIN("; ",TRUE,_xlfn._xlws.FILTER('Model output'!R:R,'Model output'!Z:Z=A34)),1))),"negative","positive")))</f>
        <v>positive</v>
      </c>
      <c r="Y34" s="17" t="str">
        <f t="shared" si="12"/>
        <v>positive</v>
      </c>
      <c r="AC34" s="17" t="str">
        <f t="shared" si="13"/>
        <v>negative</v>
      </c>
      <c r="AD34" t="str" cm="1">
        <f t="array" ref="AD34">_xlfn.TEXTJOIN("; ",TRUE,_xlfn._xlws.FILTER('Model output'!S:S,'Model output'!Z:Z=A34))</f>
        <v>Focally into adjacent fibroadipose tissue; Present</v>
      </c>
      <c r="AE34" s="47" t="str" cm="1">
        <f t="array" ref="AE34">IF(OR(ISNUMBER(SEARCH("uninvolved",_xlfn.TEXTJOIN("; ",TRUE,_xlfn._xlws.FILTER('Model output'!V:V,'Model output'!Z:Z=A34)),1)),ISNUMBER(SEARCH("clear",_xlfn.TEXTJOIN("; ",TRUE,_xlfn._xlws.FILTER('Model output'!V:V,'Model output'!Z:Z=A34)),1))*ISNUMBER(SEARCH("not mentioned",_xlfn.TEXTJOIN("; ",TRUE,_xlfn._xlws.FILTER('Model output'!V:V,'Model output'!Z:Z=A34)),1))),"negative",IF(ISNUMBER(SEARCH("cannot be assessed",_xlfn.TEXTJOIN("; ",TRUE,_xlfn._xlws.FILTER('Model output'!V:V,'Model output'!Z:Z=A34)),1)),"negative","negative"))</f>
        <v>negative</v>
      </c>
      <c r="AG34" s="36" t="str">
        <f t="shared" si="14"/>
        <v>high</v>
      </c>
      <c r="AH34" s="37" t="str">
        <f t="shared" si="18"/>
        <v>3a</v>
      </c>
      <c r="AI34" s="37" t="str">
        <f t="shared" si="15"/>
        <v>1a</v>
      </c>
      <c r="AJ34" s="37">
        <f t="shared" si="16"/>
        <v>0</v>
      </c>
      <c r="AK34" s="37" t="str">
        <f t="shared" si="17"/>
        <v>II</v>
      </c>
      <c r="AL34" s="10" t="s">
        <v>167</v>
      </c>
      <c r="AM34" s="32" t="s">
        <v>198</v>
      </c>
      <c r="AN34" s="32">
        <v>0</v>
      </c>
      <c r="AO34" s="32">
        <v>0</v>
      </c>
      <c r="AP34" s="32" t="s">
        <v>43</v>
      </c>
      <c r="AQ34" s="10">
        <f t="shared" si="6"/>
        <v>1</v>
      </c>
      <c r="AR34" s="32">
        <f t="shared" si="7"/>
        <v>1</v>
      </c>
      <c r="AS34" s="32">
        <f t="shared" si="8"/>
        <v>0</v>
      </c>
      <c r="AT34" s="32">
        <f t="shared" si="9"/>
        <v>1</v>
      </c>
      <c r="AU34" s="34">
        <f t="shared" si="10"/>
        <v>1</v>
      </c>
    </row>
    <row r="35" spans="1:48">
      <c r="A35" s="13">
        <v>33</v>
      </c>
      <c r="B35" s="16"/>
      <c r="C35" s="17">
        <f>_xlfn.MAXIFS('Model output'!C:C,'Model output'!Z:Z,'Classification result'!$A35)</f>
        <v>41</v>
      </c>
      <c r="D35" s="17" t="str" cm="1">
        <f t="array" ref="D35">LEFT(IF(ISERROR(RIGHT(IF(INDEX(_xlfn._xlws.FILTER('Model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output'!Z:Z=A35)),1),""),1))),"",(RIGHT(IF(INDEX(_xlfn._xlws.FILTER('Model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output'!Z:Z=A35)),1)))))),2)</f>
        <v>1a</v>
      </c>
      <c r="E35" s="17" t="str" cm="1">
        <f t="array" ref="E35">IF(ISNUMBER(SEARCH("N",IF(ISNUMBER(SEARCH("present",IF(INDEX(_xlfn._xlws.FILTER('Model output'!E:E,('Model output'!Z:Z=A35)),1)="","",INDEX(_xlfn._xlws.FILTER('Model output'!E:E,('Model output'!Z:Z=A35)),1)),1)),"N1", IF(INDEX(_xlfn._xlws.FILTER('Model output'!E:E,('Model output'!Z:Z=A35)),1)="","",INDEX(_xlfn._xlws.FILTER('Model output'!E:E,('Model output'!Z:Z=A35)),1))),1)),RIGHT(IF(ISNUMBER(SEARCH("present",IF(INDEX(_xlfn._xlws.FILTER('Model output'!E:E,('Model output'!Z:Z=A35)),1)="","",INDEX(_xlfn._xlws.FILTER('Model output'!E:E,('Model output'!Z:Z=A35)),1)),1)),"N1", IF(INDEX(_xlfn._xlws.FILTER('Model output'!E:E,('Model output'!Z:Z=A35)),1)="","",INDEX(_xlfn._xlws.FILTER('Model output'!E:E,('Model output'!Z:Z=A35)),1))),LEN(IF(ISNUMBER(SEARCH("present",IF(INDEX(_xlfn._xlws.FILTER('Model output'!E:E,('Model output'!Z:Z=A35)),1)="","",INDEX(_xlfn._xlws.FILTER('Model output'!E:E,('Model output'!Z:Z=A35)),1)),1)),"N1", IF(INDEX(_xlfn._xlws.FILTER('Model output'!E:E,('Model output'!Z:Z=A35)),1)="","",INDEX(_xlfn._xlws.FILTER('Model output'!E:E,('Model output'!Z:Z=A35)),1))))-FIND("N",IF(ISNUMBER(SEARCH("present",IF(INDEX(_xlfn._xlws.FILTER('Model output'!E:E,('Model output'!Z:Z=A35)),1)="","",INDEX(_xlfn._xlws.FILTER('Model output'!E:E,('Model output'!Z:Z=A35)),1)),1)),"N1", IF(INDEX(_xlfn._xlws.FILTER('Model output'!E:E,('Model output'!Z:Z=A35)),1)="","",INDEX(_xlfn._xlws.FILTER('Model output'!E:E,('Model output'!Z:Z=A35)),1))),1)), "")</f>
        <v/>
      </c>
      <c r="F35" s="17" cm="1">
        <f t="array" ref="F35">IF(AND(SUBSTITUTE(_xlfn.TEXTJOIN("/", TRUE, _xlfn._xlws.FILTER('Model output'!F:F, 'Model output'!Z:Z=A35)),"M", "")="", I35="negative"),0,IF(I35="positive",1,0))</f>
        <v>1</v>
      </c>
      <c r="G35" t="str">
        <f t="shared" si="0"/>
        <v/>
      </c>
      <c r="H35" t="str" cm="1">
        <f t="array" ref="H35">IF(AND(K35&gt;0, _xlfn.TEXTJOIN("; ", TRUE, _xlfn._xlws.FILTER('Model output'!G:G, 'Model output'!Z:Z=A35)) &lt;&gt;"", OR(AND(ISNUMBER(SEARCH("level", _xlfn.TEXTJOIN("; ", TRUE, _xlfn._xlws.FILTER('Model output'!G:G, 'Model output'!Z:Z=A35)),1)),OR(ISNUMBER(SEARCH(" II", _xlfn.TEXTJOIN("; ", TRUE, _xlfn._xlws.FILTER('Model output'!G:G, 'Model output'!Z:Z=A35)),1)),ISNUMBER(SEARCH("2", _xlfn.TEXTJOIN("; ", TRUE, _xlfn._xlws.FILTER('Model output'!G:G, 'Model output'!Z:Z=A35)),1)),ISNUMBER(SEARCH("two", _xlfn.TEXTJOIN("; ", TRUE, _xlfn._xlws.FILTER('Model output'!G:G, 'Model output'!Z:Z=A35)),1)),ISNUMBER(SEARCH("III", _xlfn.TEXTJOIN("; ", TRUE, _xlfn._xlws.FILTER('Model output'!G:G, 'Model output'!Z:Z=A35)),1)),ISNUMBER(SEARCH("3", _xlfn.TEXTJOIN("; ", TRUE, _xlfn._xlws.FILTER('Model output'!G:G, 'Model output'!Z:Z=A35)),1)),ISNUMBER(SEARCH("three", _xlfn.TEXTJOIN("; ", TRUE, _xlfn._xlws.FILTER('Model output'!G:G, 'Model output'!Z:Z=A35)),1)),ISNUMBER(SEARCH("IV", _xlfn.TEXTJOIN("; ", TRUE, _xlfn._xlws.FILTER('Model output'!G:G, 'Model output'!Z:Z=A35)),1)),ISNUMBER(SEARCH("4", _xlfn.TEXTJOIN("; ", TRUE, _xlfn._xlws.FILTER('Model output'!G:G, 'Model output'!Z:Z=A35)),1)),ISNUMBER(SEARCH("five", _xlfn.TEXTJOIN("; ", TRUE, _xlfn._xlws.FILTER('Model output'!G:G, 'Model output'!Z:Z=A35)),1)),ISNUMBER(SEARCH("V ", _xlfn.TEXTJOIN("; ", TRUE, _xlfn._xlws.FILTER('Model output'!G:G, 'Model output'!Z:Z=A35)),1)),ISNUMBER(SEARCH("5", _xlfn.TEXTJOIN("; ", TRUE, _xlfn._xlws.FILTER('Model output'!G:G, 'Model output'!Z:Z=A35)),1)),ISNUMBER(SEARCH("five", _xlfn.TEXTJOIN("; ", TRUE, _xlfn._xlws.FILTER('Model output'!G:G, 'Model output'!Z:Z=A35)),1)),ISNUMBER(SEARCH(" lateral", _xlfn.TEXTJOIN("; ", TRUE, _xlfn._xlws.FILTER('Model output'!G:G, 'Model output'!Z:Z=A35)),1)))),ISNUMBER(SEARCH("cervical", _xlfn.TEXTJOIN("; ", TRUE, _xlfn._xlws.FILTER('Model output'!G:G, 'Model output'!Z:Z=A35)),1)),ISNUMBER(SEARCH("jugular", _xlfn.TEXTJOIN("; ", TRUE, _xlfn._xlws.FILTER('Model output'!G:G, 'Model output'!Z:Z=A35)),1)),ISNUMBER(SEARCH("left neck", _xlfn.TEXTJOIN("; ", TRUE, _xlfn._xlws.FILTER('Model output'!G:G, 'Model output'!Z:Z=A35)),1)),ISNUMBER(SEARCH("left anterior neck", _xlfn.TEXTJOIN("; ", TRUE, _xlfn._xlws.FILTER('Model output'!G:G, 'Model output'!Z:Z=A35)),1)),ISNUMBER(SEARCH("left posterior neck", _xlfn.TEXTJOIN("; ", TRUE, _xlfn._xlws.FILTER('Model output'!G:G, 'Model output'!Z:Z=A35)),1)),ISNUMBER(SEARCH("right neck", _xlfn.TEXTJOIN("; ", TRUE, _xlfn._xlws.FILTER('Model output'!G:G, 'Model output'!Z:Z=A35)),1)),ISNUMBER(SEARCH("right anterior neck", _xlfn.TEXTJOIN("; ", TRUE, _xlfn._xlws.FILTER('Model output'!G:G, 'Model output'!Z:Z=A35)),1)),ISNUMBER(SEARCH("right posterior neck", _xlfn.TEXTJOIN("; ", TRUE, _xlfn._xlws.FILTER('Model output'!G:G, 'Model output'!Z:Z=A35)),1)))),"lateral",IF(AND(K35=0, _xlfn.TEXTJOIN("; ", TRUE, _xlfn._xlws.FILTER('Model output'!G:G, 'Model output'!Z:Z=A35))=""),"", "central"))</f>
        <v/>
      </c>
      <c r="I35" s="17" t="str" cm="1">
        <f t="array" ref="I35">IF(OR(ISNUMBER(SEARCH("lymph",_xlfn.TEXTJOIN("; ", TRUE, _xlfn._xlws.FILTER('Model output'!H:H, 'Model output'!Z:Z=A35)),1)), ISNUMBER(SEARCH("Not mentioned",_xlfn.TEXTJOIN("; ", TRUE, _xlfn._xlws.FILTER('Model output'!H:H, 'Model output'!Z:Z=A35)),1)),ISNUMBER(SEARCH("subcutaneous soft tissues",_xlfn.TEXTJOIN("; ", TRUE, _xlfn._xlws.FILTER('Model output'!H:H, 'Model output'!Z:Z=A35)),1)),ISNUMBER(SEARCH("larynx",_xlfn.TEXTJOIN("; ", TRUE, _xlfn._xlws.FILTER('Model output'!H:H, 'Model output'!Z:Z=A35)),1)),ISNUMBER(SEARCH("trachea",_xlfn.TEXTJOIN("; ", TRUE, _xlfn._xlws.FILTER('Model output'!H:H, 'Model output'!Z:Z=A35)),1)),ISNUMBER(SEARCH("esophagus",_xlfn.TEXTJOIN("; ", TRUE, _xlfn._xlws.FILTER('Model output'!H:H, 'Model output'!Z:Z=A35)),1)),ISNUMBER(SEARCH("recurrent laryngeal nerve",_xlfn.TEXTJOIN("; ", TRUE, _xlfn._xlws.FILTER('Model output'!H:H, 'Model output'!Z:Z=A35)),1)),ISNUMBER(SEARCH("RLN",_xlfn.TEXTJOIN("; ", TRUE, _xlfn._xlws.FILTER('Model output'!H:H, 'Model output'!Z:Z=A35)),1)),_xlfn.TEXTJOIN("; ", TRUE, _xlfn._xlws.FILTER('Model output'!H:H, 'Model output'!Z:Z=A35))=""),"negative","positive")</f>
        <v>positive</v>
      </c>
      <c r="J35" s="17">
        <f>IF(IFERROR(INDEX('Model output'!I:I, MATCH(A35, 'Model output'!Z:Z, 0)), "") &lt; K35, "", IFERROR(INDEX('Model output'!I:I, MATCH(A35, 'Model output'!Z:Z, 0)), ""))</f>
        <v>0</v>
      </c>
      <c r="K35" s="17">
        <f>IFERROR(INDEX('Model output'!J:J, MATCH(A35, 'Model output'!Z:Z, 0)), "")</f>
        <v>0</v>
      </c>
      <c r="L35" s="18" t="str" cm="1">
        <f t="array" ref="L35">ReplaceTo(ReplaceAnd(SUBSTITUTE(SUBSTITUTE(_xlfn.TEXTJOIN("; ", TRUE, _xlfn._xlws.FILTER('Model output'!K:K, 'Model output'!Z:Z=A35)), " ", ""), ",", ";")))</f>
        <v/>
      </c>
      <c r="M35" t="str" cm="1">
        <f t="array" ref="M35">IF(LEFT(IF(RIGHT(SUBSTITUTE(FilterWithUnits(L35)&amp;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";")),1)=";",RIGHT(IF(RIGHT(SUBSTITUTE(FilterWithUnits(L35)&amp;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";")),LEN(IF(RIGHT(SUBSTITUTE(FilterWithUnits(L35)&amp;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";")))-1),IF(RIGHT(SUBSTITUTE(FilterWithUnits(L35)&amp;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f>
        <v/>
      </c>
      <c r="N35" t="str" cm="1">
        <f t="array" ref="N35">IF(MaxSize((SplitDimensions(M35)))=0, "", MaxSize((SplitDimensions(M35))))</f>
        <v/>
      </c>
      <c r="O35" t="str" cm="1">
        <f t="array" ref="O35">IF(ISERROR(INDEX(_xlfn._xlws.FILTER('Model output'!L:L, ('Model output'!Z:Z=A35)*('Model output'!L:L&lt;&gt;"")), 1)), " ", LOWER(INDEX(_xlfn._xlws.FILTER('Model output'!L:L, ('Model output'!Z:Z=A35)*('Model output'!L:L&lt;&gt;"")), 1)))</f>
        <v>papillary</v>
      </c>
      <c r="P35" t="str" cm="1">
        <f t="array" ref="P35">IF(ISERROR(INDEX(_xlfn._xlws.FILTER('Model output'!M:M, ('Model output'!Z:Z=A35)*('Model output'!M:M&lt;&gt;"")), 1)), " ", LOWER(INDEX(_xlfn._xlws.FILTER('Model output'!M:M, ('Model output'!Z:Z=A35)*('Model output'!M:M&lt;&gt;"")), 1)))</f>
        <v xml:space="preserve"> </v>
      </c>
      <c r="Q35" t="str" cm="1">
        <f t="array" ref="Q35">IF(OR(ISNUMBER(SEARCH("ly",SUBSTITUTE(INDEX(_xlfn._xlws.FILTER('Model output'!N:N,('Model output'!Z:Z=A35)*('Model output'!N:N&lt;&gt;"")),1)," ",""),1)), ISNUMBER(SEARCH("pole",SUBSTITUTE(INDEX(_xlfn._xlws.FILTER('Model output'!N:N,('Model output'!Z:Z=A35)*('Model output'!N:N&lt;&gt;"")),1)," ",""),1))),"",SUBSTITUTE(INDEX(_xlfn._xlws.FILTER('Model output'!N:N,('Model output'!Z:Z=A35)*('Model output'!N:N&lt;&gt;"")),1)," ",""))</f>
        <v>0.6mm</v>
      </c>
      <c r="R35" t="str" cm="1">
        <f t="array" ref="R35">IF(LEFT(IF(RIGHT(SUBSTITUTE(FilterWithUnits(Q35)&amp;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";")),1)=";",RIGHT(IF(RIGHT(SUBSTITUTE(FilterWithUnits(Q35)&amp;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";")),LEN(IF(RIGHT(SUBSTITUTE(FilterWithUnits(Q35)&amp;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";")))-1),IF(RIGHT(SUBSTITUTE(FilterWithUnits(Q35)&amp;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f>
        <v>0.6mm</v>
      </c>
      <c r="S35" cm="1">
        <f t="array" ref="S35">IF(MaxSize((SplitDimensions(R35)))=0, "", MaxSize((SplitDimensions(R35))))</f>
        <v>0.06</v>
      </c>
      <c r="T35" s="17" t="str" cm="1">
        <f t="array" ref="T35">IF(ISERROR(INDEX(_xlfn._xlws.FILTER('Model output'!P:P,('Model output'!Z:Z=A35)*('Model output'!P:P&lt;&gt;"")),1)),"negative",IF(OR(ISNUMBER(SEARCH("foc",INDEX(_xlfn._xlws.FILTER('Model output'!P:P,('Model output'!Z:Z=A35)*('Model output'!P:P&lt;&gt;"")),1),1)),ISNUMBER(SEARCH("extensive",INDEX(_xlfn._xlws.FILTER('Model output'!P:P,('Model output'!Z:Z=A35)*('Model output'!P:P&lt;&gt;"")),1),1)),ISNUMBER(SEARCH("present",INDEX(_xlfn._xlws.FILTER('Model output'!P:P,('Model output'!Z:Z=A35)*('Model output'!P:P&lt;&gt;"")),1),1)),ISNUMBER(SEARCH("yes",INDEX(_xlfn._xlws.FILTER('Model output'!P:P,('Model output'!Z:Z=A35)*('Model output'!P:P&lt;&gt;"")),1),1))),"positive","negative"))</f>
        <v>negative</v>
      </c>
      <c r="V35" t="str" cm="1">
        <f t="array" ref="V35">IF(ISNUMBER(SEARCH("4",INDEX(_xlfn._xlws.FILTER('Model output'!P:P,('Model output'!Z:Z=A35)*('Model output'!P:P&lt;&gt;"")),1),1)),INDEX(_xlfn._xlws.FILTER('Model output'!P:P,('Model output'!Z:Z=A35)*('Model output'!P:P&lt;&gt;"")),1),"") &amp; _xlfn.TEXTJOIN("",TRUE,_xlfn._xlws.FILTER('Model output'!Q:Q,'Model output'!Z:Z=A35))</f>
        <v>4 or more</v>
      </c>
      <c r="W35" t="str">
        <f t="shared" si="11"/>
        <v>no</v>
      </c>
      <c r="X35" t="str" cm="1">
        <f t="array" ref="X35">IF(OR(ISNUMBER(SEARCH("focal",_xlfn.TEXTJOIN("; ",TRUE,_xlfn._xlws.FILTER('Model output'!R:R,'Model output'!Z:Z=A35)),1)),ISNUMBER(SEARCH("present",_xlfn.TEXTJOIN("; ",TRUE,_xlfn._xlws.FILTER('Model output'!R:R,'Model output'!Z:Z=A35)),1))),"positive",IF(_xlfn.TEXTJOIN("; ",TRUE,_xlfn._xlws.FILTER('Model output'!R:R,'Model output'!Z:Z=A35))="","negative",IF(OR(ISNUMBER(SEARCH("no",_xlfn.TEXTJOIN("; ",TRUE,_xlfn._xlws.FILTER('Model output'!R:R,'Model output'!Z:Z=A35)),1)),ISNUMBER(SEARCH("absent",_xlfn.TEXTJOIN("; ",TRUE,_xlfn._xlws.FILTER('Model output'!R:R,'Model output'!Z:Z=A35)),1))),"negative","positive")))</f>
        <v>positive</v>
      </c>
      <c r="Y35" s="17" t="str">
        <f t="shared" si="12"/>
        <v>positive</v>
      </c>
      <c r="AC35" s="17" t="str">
        <f t="shared" si="13"/>
        <v>negative</v>
      </c>
      <c r="AD35" t="str" cm="1">
        <f t="array" ref="AD35">_xlfn.TEXTJOIN("; ",TRUE,_xlfn._xlws.FILTER('Model output'!S:S,'Model output'!Z:Z=A35))</f>
        <v>Not identified; Present</v>
      </c>
      <c r="AE35" s="47" t="str" cm="1">
        <f t="array" ref="AE35">IF(OR(ISNUMBER(SEARCH("uninvolved",_xlfn.TEXTJOIN("; ",TRUE,_xlfn._xlws.FILTER('Model output'!V:V,'Model output'!Z:Z=A35)),1)),ISNUMBER(SEARCH("clear",_xlfn.TEXTJOIN("; ",TRUE,_xlfn._xlws.FILTER('Model output'!V:V,'Model output'!Z:Z=A35)),1))*ISNUMBER(SEARCH("not mentioned",_xlfn.TEXTJOIN("; ",TRUE,_xlfn._xlws.FILTER('Model output'!V:V,'Model output'!Z:Z=A35)),1))),"negative",IF(ISNUMBER(SEARCH("cannot be assessed",_xlfn.TEXTJOIN("; ",TRUE,_xlfn._xlws.FILTER('Model output'!V:V,'Model output'!Z:Z=A35)),1)),"negative","negative"))</f>
        <v>negative</v>
      </c>
      <c r="AG35" s="36" t="str">
        <f t="shared" si="14"/>
        <v>high</v>
      </c>
      <c r="AH35" s="37" t="str">
        <f t="shared" si="18"/>
        <v>1a</v>
      </c>
      <c r="AI35" s="37" t="str">
        <f t="shared" si="15"/>
        <v>x</v>
      </c>
      <c r="AJ35" s="37">
        <f t="shared" si="16"/>
        <v>1</v>
      </c>
      <c r="AK35" s="37" t="str">
        <f t="shared" si="17"/>
        <v>II</v>
      </c>
      <c r="AL35" s="10" t="s">
        <v>167</v>
      </c>
      <c r="AM35" s="32" t="s">
        <v>196</v>
      </c>
      <c r="AN35" s="32" t="s">
        <v>195</v>
      </c>
      <c r="AO35" s="32">
        <v>1</v>
      </c>
      <c r="AP35" s="32" t="s">
        <v>43</v>
      </c>
      <c r="AQ35" s="10">
        <f t="shared" si="6"/>
        <v>1</v>
      </c>
      <c r="AR35" s="32">
        <f t="shared" si="7"/>
        <v>1</v>
      </c>
      <c r="AS35" s="32">
        <f t="shared" si="8"/>
        <v>1</v>
      </c>
      <c r="AT35" s="32">
        <f t="shared" si="9"/>
        <v>1</v>
      </c>
      <c r="AU35" s="34">
        <f t="shared" si="10"/>
        <v>1</v>
      </c>
    </row>
    <row r="36" spans="1:48">
      <c r="A36" s="13">
        <v>34</v>
      </c>
      <c r="B36" s="16"/>
      <c r="C36" s="17">
        <f>_xlfn.MAXIFS('Model output'!C:C,'Model output'!Z:Z,'Classification result'!$A36)</f>
        <v>63</v>
      </c>
      <c r="D36" s="17" t="str" cm="1">
        <f t="array" ref="D36">LEFT(IF(ISERROR(RIGHT(IF(INDEX(_xlfn._xlws.FILTER('Model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output'!Z:Z=A36)),1),""),1))),"",(RIGHT(IF(INDEX(_xlfn._xlws.FILTER('Model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output'!Z:Z=A36)),1)))))),2)</f>
        <v>4a</v>
      </c>
      <c r="E36" s="17" t="str" cm="1">
        <f t="array" ref="E36">IF(ISNUMBER(SEARCH("N",IF(ISNUMBER(SEARCH("present",IF(INDEX(_xlfn._xlws.FILTER('Model output'!E:E,('Model output'!Z:Z=A36)),1)="","",INDEX(_xlfn._xlws.FILTER('Model output'!E:E,('Model output'!Z:Z=A36)),1)),1)),"N1", IF(INDEX(_xlfn._xlws.FILTER('Model output'!E:E,('Model output'!Z:Z=A36)),1)="","",INDEX(_xlfn._xlws.FILTER('Model output'!E:E,('Model output'!Z:Z=A36)),1))),1)),RIGHT(IF(ISNUMBER(SEARCH("present",IF(INDEX(_xlfn._xlws.FILTER('Model output'!E:E,('Model output'!Z:Z=A36)),1)="","",INDEX(_xlfn._xlws.FILTER('Model output'!E:E,('Model output'!Z:Z=A36)),1)),1)),"N1", IF(INDEX(_xlfn._xlws.FILTER('Model output'!E:E,('Model output'!Z:Z=A36)),1)="","",INDEX(_xlfn._xlws.FILTER('Model output'!E:E,('Model output'!Z:Z=A36)),1))),LEN(IF(ISNUMBER(SEARCH("present",IF(INDEX(_xlfn._xlws.FILTER('Model output'!E:E,('Model output'!Z:Z=A36)),1)="","",INDEX(_xlfn._xlws.FILTER('Model output'!E:E,('Model output'!Z:Z=A36)),1)),1)),"N1", IF(INDEX(_xlfn._xlws.FILTER('Model output'!E:E,('Model output'!Z:Z=A36)),1)="","",INDEX(_xlfn._xlws.FILTER('Model output'!E:E,('Model output'!Z:Z=A36)),1))))-FIND("N",IF(ISNUMBER(SEARCH("present",IF(INDEX(_xlfn._xlws.FILTER('Model output'!E:E,('Model output'!Z:Z=A36)),1)="","",INDEX(_xlfn._xlws.FILTER('Model output'!E:E,('Model output'!Z:Z=A36)),1)),1)),"N1", IF(INDEX(_xlfn._xlws.FILTER('Model output'!E:E,('Model output'!Z:Z=A36)),1)="","",INDEX(_xlfn._xlws.FILTER('Model output'!E:E,('Model output'!Z:Z=A36)),1))),1)), "")</f>
        <v/>
      </c>
      <c r="F36" s="17" cm="1">
        <f t="array" ref="F36">IF(AND(SUBSTITUTE(_xlfn.TEXTJOIN("/", TRUE, _xlfn._xlws.FILTER('Model output'!F:F, 'Model output'!Z:Z=A36)),"M", "")="", I36="negative"),0,IF(I36="positive",1,0))</f>
        <v>0</v>
      </c>
      <c r="G36" t="str">
        <f t="shared" si="0"/>
        <v/>
      </c>
      <c r="H36" t="str" cm="1">
        <f t="array" ref="H36">IF(AND(K36&gt;0, _xlfn.TEXTJOIN("; ", TRUE, _xlfn._xlws.FILTER('Model output'!G:G, 'Model output'!Z:Z=A36)) &lt;&gt;"", OR(AND(ISNUMBER(SEARCH("level", _xlfn.TEXTJOIN("; ", TRUE, _xlfn._xlws.FILTER('Model output'!G:G, 'Model output'!Z:Z=A36)),1)),OR(ISNUMBER(SEARCH(" II", _xlfn.TEXTJOIN("; ", TRUE, _xlfn._xlws.FILTER('Model output'!G:G, 'Model output'!Z:Z=A36)),1)),ISNUMBER(SEARCH("2", _xlfn.TEXTJOIN("; ", TRUE, _xlfn._xlws.FILTER('Model output'!G:G, 'Model output'!Z:Z=A36)),1)),ISNUMBER(SEARCH("two", _xlfn.TEXTJOIN("; ", TRUE, _xlfn._xlws.FILTER('Model output'!G:G, 'Model output'!Z:Z=A36)),1)),ISNUMBER(SEARCH("III", _xlfn.TEXTJOIN("; ", TRUE, _xlfn._xlws.FILTER('Model output'!G:G, 'Model output'!Z:Z=A36)),1)),ISNUMBER(SEARCH("3", _xlfn.TEXTJOIN("; ", TRUE, _xlfn._xlws.FILTER('Model output'!G:G, 'Model output'!Z:Z=A36)),1)),ISNUMBER(SEARCH("three", _xlfn.TEXTJOIN("; ", TRUE, _xlfn._xlws.FILTER('Model output'!G:G, 'Model output'!Z:Z=A36)),1)),ISNUMBER(SEARCH("IV", _xlfn.TEXTJOIN("; ", TRUE, _xlfn._xlws.FILTER('Model output'!G:G, 'Model output'!Z:Z=A36)),1)),ISNUMBER(SEARCH("4", _xlfn.TEXTJOIN("; ", TRUE, _xlfn._xlws.FILTER('Model output'!G:G, 'Model output'!Z:Z=A36)),1)),ISNUMBER(SEARCH("five", _xlfn.TEXTJOIN("; ", TRUE, _xlfn._xlws.FILTER('Model output'!G:G, 'Model output'!Z:Z=A36)),1)),ISNUMBER(SEARCH("V ", _xlfn.TEXTJOIN("; ", TRUE, _xlfn._xlws.FILTER('Model output'!G:G, 'Model output'!Z:Z=A36)),1)),ISNUMBER(SEARCH("5", _xlfn.TEXTJOIN("; ", TRUE, _xlfn._xlws.FILTER('Model output'!G:G, 'Model output'!Z:Z=A36)),1)),ISNUMBER(SEARCH("five", _xlfn.TEXTJOIN("; ", TRUE, _xlfn._xlws.FILTER('Model output'!G:G, 'Model output'!Z:Z=A36)),1)),ISNUMBER(SEARCH(" lateral", _xlfn.TEXTJOIN("; ", TRUE, _xlfn._xlws.FILTER('Model output'!G:G, 'Model output'!Z:Z=A36)),1)))),ISNUMBER(SEARCH("cervical", _xlfn.TEXTJOIN("; ", TRUE, _xlfn._xlws.FILTER('Model output'!G:G, 'Model output'!Z:Z=A36)),1)),ISNUMBER(SEARCH("jugular", _xlfn.TEXTJOIN("; ", TRUE, _xlfn._xlws.FILTER('Model output'!G:G, 'Model output'!Z:Z=A36)),1)),ISNUMBER(SEARCH("left neck", _xlfn.TEXTJOIN("; ", TRUE, _xlfn._xlws.FILTER('Model output'!G:G, 'Model output'!Z:Z=A36)),1)),ISNUMBER(SEARCH("left anterior neck", _xlfn.TEXTJOIN("; ", TRUE, _xlfn._xlws.FILTER('Model output'!G:G, 'Model output'!Z:Z=A36)),1)),ISNUMBER(SEARCH("left posterior neck", _xlfn.TEXTJOIN("; ", TRUE, _xlfn._xlws.FILTER('Model output'!G:G, 'Model output'!Z:Z=A36)),1)),ISNUMBER(SEARCH("right neck", _xlfn.TEXTJOIN("; ", TRUE, _xlfn._xlws.FILTER('Model output'!G:G, 'Model output'!Z:Z=A36)),1)),ISNUMBER(SEARCH("right anterior neck", _xlfn.TEXTJOIN("; ", TRUE, _xlfn._xlws.FILTER('Model output'!G:G, 'Model output'!Z:Z=A36)),1)),ISNUMBER(SEARCH("right posterior neck", _xlfn.TEXTJOIN("; ", TRUE, _xlfn._xlws.FILTER('Model output'!G:G, 'Model output'!Z:Z=A36)),1)))),"lateral",IF(AND(K36=0, _xlfn.TEXTJOIN("; ", TRUE, _xlfn._xlws.FILTER('Model output'!G:G, 'Model output'!Z:Z=A36))=""),"", "central"))</f>
        <v/>
      </c>
      <c r="I36" s="17" t="str" cm="1">
        <f t="array" ref="I36">IF(OR(ISNUMBER(SEARCH("lymph",_xlfn.TEXTJOIN("; ", TRUE, _xlfn._xlws.FILTER('Model output'!H:H, 'Model output'!Z:Z=A36)),1)), ISNUMBER(SEARCH("Not mentioned",_xlfn.TEXTJOIN("; ", TRUE, _xlfn._xlws.FILTER('Model output'!H:H, 'Model output'!Z:Z=A36)),1)),ISNUMBER(SEARCH("subcutaneous soft tissues",_xlfn.TEXTJOIN("; ", TRUE, _xlfn._xlws.FILTER('Model output'!H:H, 'Model output'!Z:Z=A36)),1)),ISNUMBER(SEARCH("larynx",_xlfn.TEXTJOIN("; ", TRUE, _xlfn._xlws.FILTER('Model output'!H:H, 'Model output'!Z:Z=A36)),1)),ISNUMBER(SEARCH("trachea",_xlfn.TEXTJOIN("; ", TRUE, _xlfn._xlws.FILTER('Model output'!H:H, 'Model output'!Z:Z=A36)),1)),ISNUMBER(SEARCH("esophagus",_xlfn.TEXTJOIN("; ", TRUE, _xlfn._xlws.FILTER('Model output'!H:H, 'Model output'!Z:Z=A36)),1)),ISNUMBER(SEARCH("recurrent laryngeal nerve",_xlfn.TEXTJOIN("; ", TRUE, _xlfn._xlws.FILTER('Model output'!H:H, 'Model output'!Z:Z=A36)),1)),ISNUMBER(SEARCH("RLN",_xlfn.TEXTJOIN("; ", TRUE, _xlfn._xlws.FILTER('Model output'!H:H, 'Model output'!Z:Z=A36)),1)),_xlfn.TEXTJOIN("; ", TRUE, _xlfn._xlws.FILTER('Model output'!H:H, 'Model output'!Z:Z=A36))=""),"negative","positive")</f>
        <v>negative</v>
      </c>
      <c r="J36" s="17">
        <f>IF(IFERROR(INDEX('Model output'!I:I, MATCH(A36, 'Model output'!Z:Z, 0)), "") &lt; K36, "", IFERROR(INDEX('Model output'!I:I, MATCH(A36, 'Model output'!Z:Z, 0)), ""))</f>
        <v>0</v>
      </c>
      <c r="K36" s="17">
        <f>IFERROR(INDEX('Model output'!J:J, MATCH(A36, 'Model output'!Z:Z, 0)), "")</f>
        <v>0</v>
      </c>
      <c r="L36" s="18" t="str" cm="1">
        <f t="array" ref="L36">ReplaceTo(ReplaceAnd(SUBSTITUTE(SUBSTITUTE(_xlfn.TEXTJOIN("; ", TRUE, _xlfn._xlws.FILTER('Model output'!K:K, 'Model output'!Z:Z=A36)), " ", ""), ",", ";")))</f>
        <v/>
      </c>
      <c r="M36" t="str" cm="1">
        <f t="array" ref="M36">IF(LEFT(IF(RIGHT(SUBSTITUTE(FilterWithUnits(L36)&amp;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";")),1)=";",RIGHT(IF(RIGHT(SUBSTITUTE(FilterWithUnits(L36)&amp;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";")),LEN(IF(RIGHT(SUBSTITUTE(FilterWithUnits(L36)&amp;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";")))-1),IF(RIGHT(SUBSTITUTE(FilterWithUnits(L36)&amp;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f>
        <v/>
      </c>
      <c r="N36" t="str" cm="1">
        <f t="array" ref="N36">IF(MaxSize((SplitDimensions(M36)))=0, "", MaxSize((SplitDimensions(M36))))</f>
        <v/>
      </c>
      <c r="O36" t="str" cm="1">
        <f t="array" ref="O36">IF(ISERROR(INDEX(_xlfn._xlws.FILTER('Model output'!L:L, ('Model output'!Z:Z=A36)*('Model output'!L:L&lt;&gt;"")), 1)), " ", LOWER(INDEX(_xlfn._xlws.FILTER('Model output'!L:L, ('Model output'!Z:Z=A36)*('Model output'!L:L&lt;&gt;"")), 1)))</f>
        <v>papillary</v>
      </c>
      <c r="P36" t="str" cm="1">
        <f t="array" ref="P36">IF(ISERROR(INDEX(_xlfn._xlws.FILTER('Model output'!M:M, ('Model output'!Z:Z=A36)*('Model output'!M:M&lt;&gt;"")), 1)), " ", LOWER(INDEX(_xlfn._xlws.FILTER('Model output'!M:M, ('Model output'!Z:Z=A36)*('Model output'!M:M&lt;&gt;"")), 1)))</f>
        <v>tall cell variant</v>
      </c>
      <c r="Q36" t="str" cm="1">
        <f t="array" ref="Q36">IF(OR(ISNUMBER(SEARCH("ly",SUBSTITUTE(INDEX(_xlfn._xlws.FILTER('Model output'!N:N,('Model output'!Z:Z=A36)*('Model output'!N:N&lt;&gt;"")),1)," ",""),1)), ISNUMBER(SEARCH("pole",SUBSTITUTE(INDEX(_xlfn._xlws.FILTER('Model output'!N:N,('Model output'!Z:Z=A36)*('Model output'!N:N&lt;&gt;"")),1)," ",""),1))),"",SUBSTITUTE(INDEX(_xlfn._xlws.FILTER('Model output'!N:N,('Model output'!Z:Z=A36)*('Model output'!N:N&lt;&gt;"")),1)," ",""))</f>
        <v>24.5mm</v>
      </c>
      <c r="R36" t="str" cm="1">
        <f t="array" ref="R36">IF(LEFT(IF(RIGHT(SUBSTITUTE(FilterWithUnits(Q36)&amp;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";")),1)=";",RIGHT(IF(RIGHT(SUBSTITUTE(FilterWithUnits(Q36)&amp;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";")),LEN(IF(RIGHT(SUBSTITUTE(FilterWithUnits(Q36)&amp;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";")))-1),IF(RIGHT(SUBSTITUTE(FilterWithUnits(Q36)&amp;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f>
        <v>24.5mm</v>
      </c>
      <c r="S36" cm="1">
        <f t="array" ref="S36">IF(MaxSize((SplitDimensions(R36)))=0, "", MaxSize((SplitDimensions(R36))))</f>
        <v>2.4500000000000002</v>
      </c>
      <c r="T36" s="17" t="str" cm="1">
        <f t="array" ref="T36">IF(ISERROR(INDEX(_xlfn._xlws.FILTER('Model output'!P:P,('Model output'!Z:Z=A36)*('Model output'!P:P&lt;&gt;"")),1)),"negative",IF(OR(ISNUMBER(SEARCH("foc",INDEX(_xlfn._xlws.FILTER('Model output'!P:P,('Model output'!Z:Z=A36)*('Model output'!P:P&lt;&gt;"")),1),1)),ISNUMBER(SEARCH("extensive",INDEX(_xlfn._xlws.FILTER('Model output'!P:P,('Model output'!Z:Z=A36)*('Model output'!P:P&lt;&gt;"")),1),1)),ISNUMBER(SEARCH("present",INDEX(_xlfn._xlws.FILTER('Model output'!P:P,('Model output'!Z:Z=A36)*('Model output'!P:P&lt;&gt;"")),1),1)),ISNUMBER(SEARCH("yes",INDEX(_xlfn._xlws.FILTER('Model output'!P:P,('Model output'!Z:Z=A36)*('Model output'!P:P&lt;&gt;"")),1),1))),"positive","negative"))</f>
        <v>positive</v>
      </c>
      <c r="V36" t="str" cm="1">
        <f t="array" ref="V36">IF(ISNUMBER(SEARCH("4",INDEX(_xlfn._xlws.FILTER('Model output'!P:P,('Model output'!Z:Z=A36)*('Model output'!P:P&lt;&gt;"")),1),1)),INDEX(_xlfn._xlws.FILTER('Model output'!P:P,('Model output'!Z:Z=A36)*('Model output'!P:P&lt;&gt;"")),1),"") &amp; _xlfn.TEXTJOIN("",TRUE,_xlfn._xlws.FILTER('Model output'!Q:Q,'Model output'!Z:Z=A36))</f>
        <v>Extensive (= or &gt;4 vessels)Invading subcutaneous soft tissues, larynx, trachea, esophagus or recurrent laryngeal nerve4 or more</v>
      </c>
      <c r="W36" t="str">
        <f t="shared" si="11"/>
        <v>extensive</v>
      </c>
      <c r="X36" t="str" cm="1">
        <f t="array" ref="X36">IF(OR(ISNUMBER(SEARCH("focal",_xlfn.TEXTJOIN("; ",TRUE,_xlfn._xlws.FILTER('Model output'!R:R,'Model output'!Z:Z=A36)),1)),ISNUMBER(SEARCH("present",_xlfn.TEXTJOIN("; ",TRUE,_xlfn._xlws.FILTER('Model output'!R:R,'Model output'!Z:Z=A36)),1))),"positive",IF(_xlfn.TEXTJOIN("; ",TRUE,_xlfn._xlws.FILTER('Model output'!R:R,'Model output'!Z:Z=A36))="","negative",IF(OR(ISNUMBER(SEARCH("no",_xlfn.TEXTJOIN("; ",TRUE,_xlfn._xlws.FILTER('Model output'!R:R,'Model output'!Z:Z=A36)),1)),ISNUMBER(SEARCH("absent",_xlfn.TEXTJOIN("; ",TRUE,_xlfn._xlws.FILTER('Model output'!R:R,'Model output'!Z:Z=A36)),1))),"negative","positive")))</f>
        <v>positive</v>
      </c>
      <c r="Y36" s="17" t="str">
        <f t="shared" si="12"/>
        <v>positive</v>
      </c>
      <c r="AC36" s="17" t="str">
        <f t="shared" si="13"/>
        <v>negative</v>
      </c>
      <c r="AD36" t="str" cm="1">
        <f t="array" ref="AD36">_xlfn.TEXTJOIN("; ",TRUE,_xlfn._xlws.FILTER('Model output'!S:S,'Model output'!Z:Z=A36))</f>
        <v>Present; Present</v>
      </c>
      <c r="AE36" s="47" t="str" cm="1">
        <f t="array" ref="AE36">IF(OR(ISNUMBER(SEARCH("uninvolved",_xlfn.TEXTJOIN("; ",TRUE,_xlfn._xlws.FILTER('Model output'!V:V,'Model output'!Z:Z=A36)),1)),ISNUMBER(SEARCH("clear",_xlfn.TEXTJOIN("; ",TRUE,_xlfn._xlws.FILTER('Model output'!V:V,'Model output'!Z:Z=A36)),1))*ISNUMBER(SEARCH("not mentioned",_xlfn.TEXTJOIN("; ",TRUE,_xlfn._xlws.FILTER('Model output'!V:V,'Model output'!Z:Z=A36)),1))),"negative",IF(ISNUMBER(SEARCH("cannot be assessed",_xlfn.TEXTJOIN("; ",TRUE,_xlfn._xlws.FILTER('Model output'!V:V,'Model output'!Z:Z=A36)),1)),"negative","negative"))</f>
        <v>negative</v>
      </c>
      <c r="AG36" s="36" t="str">
        <f t="shared" si="14"/>
        <v>intermediate</v>
      </c>
      <c r="AH36" s="37" t="str">
        <f t="shared" si="18"/>
        <v>4a</v>
      </c>
      <c r="AI36" s="37" t="str">
        <f t="shared" si="15"/>
        <v>x</v>
      </c>
      <c r="AJ36" s="37">
        <f t="shared" si="16"/>
        <v>0</v>
      </c>
      <c r="AK36" s="37" t="str">
        <f t="shared" si="17"/>
        <v>III</v>
      </c>
      <c r="AL36" s="10" t="s">
        <v>167</v>
      </c>
      <c r="AM36" s="32" t="s">
        <v>199</v>
      </c>
      <c r="AN36" s="32">
        <v>0</v>
      </c>
      <c r="AO36" s="32">
        <v>0</v>
      </c>
      <c r="AP36" s="32" t="s">
        <v>68</v>
      </c>
      <c r="AQ36" s="10">
        <f t="shared" si="6"/>
        <v>0</v>
      </c>
      <c r="AR36" s="32">
        <f t="shared" si="7"/>
        <v>1</v>
      </c>
      <c r="AS36" s="32">
        <f t="shared" si="8"/>
        <v>1</v>
      </c>
      <c r="AT36" s="32">
        <f t="shared" si="9"/>
        <v>1</v>
      </c>
      <c r="AU36" s="34">
        <f t="shared" si="10"/>
        <v>1</v>
      </c>
    </row>
    <row r="37" spans="1:48">
      <c r="A37" s="25">
        <v>35</v>
      </c>
      <c r="B37" s="26"/>
      <c r="C37" s="27">
        <f>_xlfn.MAXIFS('Model output'!C:C,'Model output'!Z:Z,'Classification result'!$A37)</f>
        <v>62</v>
      </c>
      <c r="D37" s="27" t="str" cm="1">
        <f t="array" ref="D37">LEFT(IF(ISERROR(RIGHT(IF(INDEX(_xlfn._xlws.FILTER('Model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output'!Z:Z=A37)),1),""),1))),"",(RIGHT(IF(INDEX(_xlfn._xlws.FILTER('Model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output'!Z:Z=A37)),1)))))),2)</f>
        <v/>
      </c>
      <c r="E37" s="27" t="str" cm="1">
        <f t="array" ref="E37">IF(ISNUMBER(SEARCH("N",IF(ISNUMBER(SEARCH("present",IF(INDEX(_xlfn._xlws.FILTER('Model output'!E:E,('Model output'!Z:Z=A37)),1)="","",INDEX(_xlfn._xlws.FILTER('Model output'!E:E,('Model output'!Z:Z=A37)),1)),1)),"N1", IF(INDEX(_xlfn._xlws.FILTER('Model output'!E:E,('Model output'!Z:Z=A37)),1)="","",INDEX(_xlfn._xlws.FILTER('Model output'!E:E,('Model output'!Z:Z=A37)),1))),1)),RIGHT(IF(ISNUMBER(SEARCH("present",IF(INDEX(_xlfn._xlws.FILTER('Model output'!E:E,('Model output'!Z:Z=A37)),1)="","",INDEX(_xlfn._xlws.FILTER('Model output'!E:E,('Model output'!Z:Z=A37)),1)),1)),"N1", IF(INDEX(_xlfn._xlws.FILTER('Model output'!E:E,('Model output'!Z:Z=A37)),1)="","",INDEX(_xlfn._xlws.FILTER('Model output'!E:E,('Model output'!Z:Z=A37)),1))),LEN(IF(ISNUMBER(SEARCH("present",IF(INDEX(_xlfn._xlws.FILTER('Model output'!E:E,('Model output'!Z:Z=A37)),1)="","",INDEX(_xlfn._xlws.FILTER('Model output'!E:E,('Model output'!Z:Z=A37)),1)),1)),"N1", IF(INDEX(_xlfn._xlws.FILTER('Model output'!E:E,('Model output'!Z:Z=A37)),1)="","",INDEX(_xlfn._xlws.FILTER('Model output'!E:E,('Model output'!Z:Z=A37)),1))))-FIND("N",IF(ISNUMBER(SEARCH("present",IF(INDEX(_xlfn._xlws.FILTER('Model output'!E:E,('Model output'!Z:Z=A37)),1)="","",INDEX(_xlfn._xlws.FILTER('Model output'!E:E,('Model output'!Z:Z=A37)),1)),1)),"N1", IF(INDEX(_xlfn._xlws.FILTER('Model output'!E:E,('Model output'!Z:Z=A37)),1)="","",INDEX(_xlfn._xlws.FILTER('Model output'!E:E,('Model output'!Z:Z=A37)),1))),1)), "")</f>
        <v/>
      </c>
      <c r="F37" s="27" cm="1">
        <f t="array" ref="F37">IF(AND(SUBSTITUTE(_xlfn.TEXTJOIN("/", TRUE, _xlfn._xlws.FILTER('Model output'!F:F, 'Model output'!Z:Z=A37)),"M", "")="", I37="negative"),0,IF(I37="positive",1,0))</f>
        <v>1</v>
      </c>
      <c r="G37" s="24" t="str">
        <f t="shared" si="0"/>
        <v>positive</v>
      </c>
      <c r="H37" s="24" t="str" cm="1">
        <f t="array" ref="H37">IF(AND(K37&gt;0, _xlfn.TEXTJOIN("; ", TRUE, _xlfn._xlws.FILTER('Model output'!G:G, 'Model output'!Z:Z=A37)) &lt;&gt;"", OR(AND(ISNUMBER(SEARCH("level", _xlfn.TEXTJOIN("; ", TRUE, _xlfn._xlws.FILTER('Model output'!G:G, 'Model output'!Z:Z=A37)),1)),OR(ISNUMBER(SEARCH(" II", _xlfn.TEXTJOIN("; ", TRUE, _xlfn._xlws.FILTER('Model output'!G:G, 'Model output'!Z:Z=A37)),1)),ISNUMBER(SEARCH("2", _xlfn.TEXTJOIN("; ", TRUE, _xlfn._xlws.FILTER('Model output'!G:G, 'Model output'!Z:Z=A37)),1)),ISNUMBER(SEARCH("two", _xlfn.TEXTJOIN("; ", TRUE, _xlfn._xlws.FILTER('Model output'!G:G, 'Model output'!Z:Z=A37)),1)),ISNUMBER(SEARCH("III", _xlfn.TEXTJOIN("; ", TRUE, _xlfn._xlws.FILTER('Model output'!G:G, 'Model output'!Z:Z=A37)),1)),ISNUMBER(SEARCH("3", _xlfn.TEXTJOIN("; ", TRUE, _xlfn._xlws.FILTER('Model output'!G:G, 'Model output'!Z:Z=A37)),1)),ISNUMBER(SEARCH("three", _xlfn.TEXTJOIN("; ", TRUE, _xlfn._xlws.FILTER('Model output'!G:G, 'Model output'!Z:Z=A37)),1)),ISNUMBER(SEARCH("IV", _xlfn.TEXTJOIN("; ", TRUE, _xlfn._xlws.FILTER('Model output'!G:G, 'Model output'!Z:Z=A37)),1)),ISNUMBER(SEARCH("4", _xlfn.TEXTJOIN("; ", TRUE, _xlfn._xlws.FILTER('Model output'!G:G, 'Model output'!Z:Z=A37)),1)),ISNUMBER(SEARCH("five", _xlfn.TEXTJOIN("; ", TRUE, _xlfn._xlws.FILTER('Model output'!G:G, 'Model output'!Z:Z=A37)),1)),ISNUMBER(SEARCH("V ", _xlfn.TEXTJOIN("; ", TRUE, _xlfn._xlws.FILTER('Model output'!G:G, 'Model output'!Z:Z=A37)),1)),ISNUMBER(SEARCH("5", _xlfn.TEXTJOIN("; ", TRUE, _xlfn._xlws.FILTER('Model output'!G:G, 'Model output'!Z:Z=A37)),1)),ISNUMBER(SEARCH("five", _xlfn.TEXTJOIN("; ", TRUE, _xlfn._xlws.FILTER('Model output'!G:G, 'Model output'!Z:Z=A37)),1)),ISNUMBER(SEARCH(" lateral", _xlfn.TEXTJOIN("; ", TRUE, _xlfn._xlws.FILTER('Model output'!G:G, 'Model output'!Z:Z=A37)),1)))),ISNUMBER(SEARCH("cervical", _xlfn.TEXTJOIN("; ", TRUE, _xlfn._xlws.FILTER('Model output'!G:G, 'Model output'!Z:Z=A37)),1)),ISNUMBER(SEARCH("jugular", _xlfn.TEXTJOIN("; ", TRUE, _xlfn._xlws.FILTER('Model output'!G:G, 'Model output'!Z:Z=A37)),1)),ISNUMBER(SEARCH("left neck", _xlfn.TEXTJOIN("; ", TRUE, _xlfn._xlws.FILTER('Model output'!G:G, 'Model output'!Z:Z=A37)),1)),ISNUMBER(SEARCH("left anterior neck", _xlfn.TEXTJOIN("; ", TRUE, _xlfn._xlws.FILTER('Model output'!G:G, 'Model output'!Z:Z=A37)),1)),ISNUMBER(SEARCH("left posterior neck", _xlfn.TEXTJOIN("; ", TRUE, _xlfn._xlws.FILTER('Model output'!G:G, 'Model output'!Z:Z=A37)),1)),ISNUMBER(SEARCH("right neck", _xlfn.TEXTJOIN("; ", TRUE, _xlfn._xlws.FILTER('Model output'!G:G, 'Model output'!Z:Z=A37)),1)),ISNUMBER(SEARCH("right anterior neck", _xlfn.TEXTJOIN("; ", TRUE, _xlfn._xlws.FILTER('Model output'!G:G, 'Model output'!Z:Z=A37)),1)),ISNUMBER(SEARCH("right posterior neck", _xlfn.TEXTJOIN("; ", TRUE, _xlfn._xlws.FILTER('Model output'!G:G, 'Model output'!Z:Z=A37)),1)))),"lateral",IF(AND(K37=0, _xlfn.TEXTJOIN("; ", TRUE, _xlfn._xlws.FILTER('Model output'!G:G, 'Model output'!Z:Z=A37))=""),"", "central"))</f>
        <v>lateral</v>
      </c>
      <c r="I37" s="27" t="str" cm="1">
        <f t="array" ref="I37">IF(OR(ISNUMBER(SEARCH("lymph",_xlfn.TEXTJOIN("; ", TRUE, _xlfn._xlws.FILTER('Model output'!H:H, 'Model output'!Z:Z=A37)),1)), ISNUMBER(SEARCH("Not mentioned",_xlfn.TEXTJOIN("; ", TRUE, _xlfn._xlws.FILTER('Model output'!H:H, 'Model output'!Z:Z=A37)),1)),ISNUMBER(SEARCH("subcutaneous soft tissues",_xlfn.TEXTJOIN("; ", TRUE, _xlfn._xlws.FILTER('Model output'!H:H, 'Model output'!Z:Z=A37)),1)),ISNUMBER(SEARCH("larynx",_xlfn.TEXTJOIN("; ", TRUE, _xlfn._xlws.FILTER('Model output'!H:H, 'Model output'!Z:Z=A37)),1)),ISNUMBER(SEARCH("trachea",_xlfn.TEXTJOIN("; ", TRUE, _xlfn._xlws.FILTER('Model output'!H:H, 'Model output'!Z:Z=A37)),1)),ISNUMBER(SEARCH("esophagus",_xlfn.TEXTJOIN("; ", TRUE, _xlfn._xlws.FILTER('Model output'!H:H, 'Model output'!Z:Z=A37)),1)),ISNUMBER(SEARCH("recurrent laryngeal nerve",_xlfn.TEXTJOIN("; ", TRUE, _xlfn._xlws.FILTER('Model output'!H:H, 'Model output'!Z:Z=A37)),1)),ISNUMBER(SEARCH("RLN",_xlfn.TEXTJOIN("; ", TRUE, _xlfn._xlws.FILTER('Model output'!H:H, 'Model output'!Z:Z=A37)),1)),_xlfn.TEXTJOIN("; ", TRUE, _xlfn._xlws.FILTER('Model output'!H:H, 'Model output'!Z:Z=A37))=""),"negative","positive")</f>
        <v>positive</v>
      </c>
      <c r="J37" s="27">
        <f>IF(IFERROR(INDEX('Model output'!I:I, MATCH(A37, 'Model output'!Z:Z, 0)), "") &lt; K37, "", IFERROR(INDEX('Model output'!I:I, MATCH(A37, 'Model output'!Z:Z, 0)), ""))</f>
        <v>35</v>
      </c>
      <c r="K37" s="27">
        <f>IFERROR(INDEX('Model output'!J:J, MATCH(A37, 'Model output'!Z:Z, 0)), "")</f>
        <v>7</v>
      </c>
      <c r="L37" s="28" t="str" cm="1">
        <f t="array" ref="L37">ReplaceTo(ReplaceAnd(SUBSTITUTE(SUBSTITUTE(_xlfn.TEXTJOIN("; ", TRUE, _xlfn._xlws.FILTER('Model output'!K:K, 'Model output'!Z:Z=A37)), " ", ""), ",", ";")))</f>
        <v/>
      </c>
      <c r="M37" s="24" t="str" cm="1">
        <f t="array" ref="M37">IF(LEFT(IF(RIGHT(SUBSTITUTE(FilterWithUnits(L37)&amp;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";")),1)=";",RIGHT(IF(RIGHT(SUBSTITUTE(FilterWithUnits(L37)&amp;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";")),LEN(IF(RIGHT(SUBSTITUTE(FilterWithUnits(L37)&amp;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";")))-1),IF(RIGHT(SUBSTITUTE(FilterWithUnits(L37)&amp;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f>
        <v/>
      </c>
      <c r="N37" s="24" t="str" cm="1">
        <f t="array" ref="N37">IF(MaxSize((SplitDimensions(M37)))=0, "", MaxSize((SplitDimensions(M37))))</f>
        <v/>
      </c>
      <c r="O37" s="24" t="str" cm="1">
        <f t="array" ref="O37">IF(ISERROR(INDEX(_xlfn._xlws.FILTER('Model output'!L:L, ('Model output'!Z:Z=A37)*('Model output'!L:L&lt;&gt;"")), 1)), " ", LOWER(INDEX(_xlfn._xlws.FILTER('Model output'!L:L, ('Model output'!Z:Z=A37)*('Model output'!L:L&lt;&gt;"")), 1)))</f>
        <v>papillary</v>
      </c>
      <c r="P37" s="24" t="str" cm="1">
        <f t="array" ref="P37">IF(ISERROR(INDEX(_xlfn._xlws.FILTER('Model output'!M:M, ('Model output'!Z:Z=A37)*('Model output'!M:M&lt;&gt;"")), 1)), " ", LOWER(INDEX(_xlfn._xlws.FILTER('Model output'!M:M, ('Model output'!Z:Z=A37)*('Model output'!M:M&lt;&gt;"")), 1)))</f>
        <v>tall cell</v>
      </c>
      <c r="Q37" s="24" t="str" cm="1">
        <f t="array" ref="Q37">IF(OR(ISNUMBER(SEARCH("ly",SUBSTITUTE(INDEX(_xlfn._xlws.FILTER('Model output'!N:N,('Model output'!Z:Z=A37)*('Model output'!N:N&lt;&gt;"")),1)," ",""),1)), ISNUMBER(SEARCH("pole",SUBSTITUTE(INDEX(_xlfn._xlws.FILTER('Model output'!N:N,('Model output'!Z:Z=A37)*('Model output'!N:N&lt;&gt;"")),1)," ",""),1))),"",SUBSTITUTE(INDEX(_xlfn._xlws.FILTER('Model output'!N:N,('Model output'!Z:Z=A37)*('Model output'!N:N&lt;&gt;"")),1)," ",""))</f>
        <v>4cm</v>
      </c>
      <c r="R37" s="24" t="str" cm="1">
        <f t="array" ref="R37">IF(LEFT(IF(RIGHT(SUBSTITUTE(FilterWithUnits(Q37)&amp;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";")),1)=";",RIGHT(IF(RIGHT(SUBSTITUTE(FilterWithUnits(Q37)&amp;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";")),LEN(IF(RIGHT(SUBSTITUTE(FilterWithUnits(Q37)&amp;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";")))-1),IF(RIGHT(SUBSTITUTE(FilterWithUnits(Q37)&amp;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f>
        <v>4cm</v>
      </c>
      <c r="S37" s="24" cm="1">
        <f t="array" ref="S37">IF(MaxSize((SplitDimensions(R37)))=0, "", MaxSize((SplitDimensions(R37))))</f>
        <v>4</v>
      </c>
      <c r="T37" s="27" t="str" cm="1">
        <f t="array" ref="T37">IF(ISERROR(INDEX(_xlfn._xlws.FILTER('Model output'!P:P,('Model output'!Z:Z=A37)*('Model output'!P:P&lt;&gt;"")),1)),"negative",IF(OR(ISNUMBER(SEARCH("foc",INDEX(_xlfn._xlws.FILTER('Model output'!P:P,('Model output'!Z:Z=A37)*('Model output'!P:P&lt;&gt;"")),1),1)),ISNUMBER(SEARCH("extensive",INDEX(_xlfn._xlws.FILTER('Model output'!P:P,('Model output'!Z:Z=A37)*('Model output'!P:P&lt;&gt;"")),1),1)),ISNUMBER(SEARCH("present",INDEX(_xlfn._xlws.FILTER('Model output'!P:P,('Model output'!Z:Z=A37)*('Model output'!P:P&lt;&gt;"")),1),1)),ISNUMBER(SEARCH("yes",INDEX(_xlfn._xlws.FILTER('Model output'!P:P,('Model output'!Z:Z=A37)*('Model output'!P:P&lt;&gt;"")),1),1))),"positive","negative"))</f>
        <v>positive</v>
      </c>
      <c r="U37" s="27"/>
      <c r="V37" s="24" t="str" cm="1">
        <f t="array" ref="V37">IF(ISNUMBER(SEARCH("4",INDEX(_xlfn._xlws.FILTER('Model output'!P:P,('Model output'!Z:Z=A37)*('Model output'!P:P&lt;&gt;"")),1),1)),INDEX(_xlfn._xlws.FILTER('Model output'!P:P,('Model output'!Z:Z=A37)*('Model output'!P:P&lt;&gt;"")),1),"") &amp; _xlfn.TEXTJOIN("",TRUE,_xlfn._xlws.FILTER('Model output'!Q:Q,'Model output'!Z:Z=A37))</f>
        <v>Not identified4 or more</v>
      </c>
      <c r="W37" s="24" t="str">
        <f t="shared" si="11"/>
        <v>extensive</v>
      </c>
      <c r="X37" s="24" t="str" cm="1">
        <f t="array" ref="X37">IF(OR(ISNUMBER(SEARCH("focal",_xlfn.TEXTJOIN("; ",TRUE,_xlfn._xlws.FILTER('Model output'!R:R,'Model output'!Z:Z=A37)),1)),ISNUMBER(SEARCH("present",_xlfn.TEXTJOIN("; ",TRUE,_xlfn._xlws.FILTER('Model output'!R:R,'Model output'!Z:Z=A37)),1))),"positive",IF(_xlfn.TEXTJOIN("; ",TRUE,_xlfn._xlws.FILTER('Model output'!R:R,'Model output'!Z:Z=A37))="","negative",IF(OR(ISNUMBER(SEARCH("no",_xlfn.TEXTJOIN("; ",TRUE,_xlfn._xlws.FILTER('Model output'!R:R,'Model output'!Z:Z=A37)),1)),ISNUMBER(SEARCH("absent",_xlfn.TEXTJOIN("; ",TRUE,_xlfn._xlws.FILTER('Model output'!R:R,'Model output'!Z:Z=A37)),1))),"negative","positive")))</f>
        <v>positive</v>
      </c>
      <c r="Y37" s="27" t="str">
        <f t="shared" si="12"/>
        <v>positive</v>
      </c>
      <c r="Z37" s="27"/>
      <c r="AA37" s="27"/>
      <c r="AB37" s="27"/>
      <c r="AC37" s="27" t="str">
        <f t="shared" si="13"/>
        <v>negative</v>
      </c>
      <c r="AD37" s="24" t="str" cm="1">
        <f t="array" ref="AD37">_xlfn.TEXTJOIN("; ",TRUE,_xlfn._xlws.FILTER('Model output'!S:S,'Model output'!Z:Z=A37))</f>
        <v>Present; Present</v>
      </c>
      <c r="AE37" s="27" t="str" cm="1">
        <f t="array" ref="AE37">IF(OR(ISNUMBER(SEARCH("uninvolved",_xlfn.TEXTJOIN("; ",TRUE,_xlfn._xlws.FILTER('Model output'!V:V,'Model output'!Z:Z=A37)),1)),ISNUMBER(SEARCH("clear",_xlfn.TEXTJOIN("; ",TRUE,_xlfn._xlws.FILTER('Model output'!V:V,'Model output'!Z:Z=A37)),1))*ISNUMBER(SEARCH("not mentioned",_xlfn.TEXTJOIN("; ",TRUE,_xlfn._xlws.FILTER('Model output'!V:V,'Model output'!Z:Z=A37)),1))),"negative",IF(ISNUMBER(SEARCH("cannot be assessed",_xlfn.TEXTJOIN("; ",TRUE,_xlfn._xlws.FILTER('Model output'!V:V,'Model output'!Z:Z=A37)),1)),"negative","negative"))</f>
        <v>negative</v>
      </c>
      <c r="AF37" s="27"/>
      <c r="AG37" s="38" t="str">
        <f t="shared" si="14"/>
        <v>high</v>
      </c>
      <c r="AH37" s="39" t="str">
        <f t="shared" si="18"/>
        <v>2</v>
      </c>
      <c r="AI37" s="39" t="str">
        <f t="shared" si="15"/>
        <v>1b</v>
      </c>
      <c r="AJ37" s="39">
        <f t="shared" si="16"/>
        <v>1</v>
      </c>
      <c r="AK37" s="39" t="str">
        <f t="shared" si="17"/>
        <v>IVB</v>
      </c>
      <c r="AL37" s="29" t="s">
        <v>167</v>
      </c>
      <c r="AM37" s="30" t="s">
        <v>361</v>
      </c>
      <c r="AN37" s="30" t="s">
        <v>194</v>
      </c>
      <c r="AO37" s="30">
        <v>1</v>
      </c>
      <c r="AP37" s="30" t="s">
        <v>363</v>
      </c>
      <c r="AQ37" s="29">
        <f t="shared" si="6"/>
        <v>1</v>
      </c>
      <c r="AR37" s="30">
        <f t="shared" si="7"/>
        <v>1</v>
      </c>
      <c r="AS37" s="30">
        <f t="shared" si="8"/>
        <v>1</v>
      </c>
      <c r="AT37" s="30">
        <f t="shared" si="9"/>
        <v>1</v>
      </c>
      <c r="AU37" s="35">
        <f t="shared" si="10"/>
        <v>1</v>
      </c>
    </row>
    <row r="38" spans="1:48">
      <c r="A38" s="13"/>
    </row>
    <row r="39" spans="1:48">
      <c r="A39" s="13"/>
      <c r="D39" s="18"/>
      <c r="E39" s="18"/>
      <c r="X39" s="12"/>
      <c r="AQ39" s="11"/>
      <c r="AR39" s="21"/>
      <c r="AS39" s="21"/>
      <c r="AT39" s="21"/>
      <c r="AU39" s="21"/>
      <c r="AV39" s="12"/>
    </row>
    <row r="40" spans="1:48">
      <c r="A40" s="13"/>
      <c r="D40" s="18"/>
      <c r="E40" t="str">
        <f>IF(ISNUMBER(SEARCH("N",E3,1)),FIND("N",E3,1), "")</f>
        <v/>
      </c>
      <c r="AP40" s="12"/>
      <c r="AQ40" s="20"/>
      <c r="AR40" s="20"/>
      <c r="AS40" s="20"/>
      <c r="AT40" s="20"/>
      <c r="AU40" s="20"/>
    </row>
    <row r="41" spans="1:48">
      <c r="A41" s="13"/>
      <c r="D41" s="18"/>
      <c r="E41" t="str">
        <f>IF(ISNUMBER(SEARCH("N",E4,1)),FIND("N",E4,1), "")</f>
        <v/>
      </c>
    </row>
    <row r="42" spans="1:48">
      <c r="A42" s="13"/>
      <c r="D42" s="18"/>
    </row>
    <row r="43" spans="1:48">
      <c r="A43" s="13"/>
      <c r="D43" s="18"/>
    </row>
    <row r="44" spans="1:48">
      <c r="A44" s="13"/>
      <c r="D44" s="18"/>
    </row>
    <row r="45" spans="1:48">
      <c r="A45" s="13"/>
      <c r="D45" s="18"/>
    </row>
    <row r="46" spans="1:48">
      <c r="A46" s="13"/>
      <c r="D46" s="18"/>
    </row>
    <row r="47" spans="1:48">
      <c r="A47" s="13"/>
      <c r="D47" s="18"/>
    </row>
    <row r="48" spans="1:48">
      <c r="A48" s="13"/>
      <c r="D48" s="18"/>
    </row>
    <row r="49" spans="1:4">
      <c r="A49" s="13"/>
      <c r="D49" s="18"/>
    </row>
    <row r="50" spans="1:4">
      <c r="A50" s="13"/>
    </row>
    <row r="51" spans="1:4">
      <c r="A51" s="13"/>
    </row>
    <row r="52" spans="1:4">
      <c r="A52" s="13"/>
    </row>
    <row r="53" spans="1:4">
      <c r="A53" s="13"/>
    </row>
    <row r="54" spans="1:4">
      <c r="A54" s="13"/>
    </row>
    <row r="55" spans="1:4">
      <c r="A55" s="13"/>
    </row>
    <row r="56" spans="1:4">
      <c r="A56" s="13"/>
    </row>
    <row r="57" spans="1:4">
      <c r="A57" s="13"/>
    </row>
    <row r="58" spans="1:4">
      <c r="A58" s="13"/>
    </row>
    <row r="59" spans="1:4">
      <c r="A59" s="13"/>
    </row>
    <row r="60" spans="1:4">
      <c r="A60" s="13"/>
    </row>
    <row r="61" spans="1:4">
      <c r="A61" s="13"/>
    </row>
    <row r="62" spans="1:4">
      <c r="A62" s="13"/>
    </row>
    <row r="63" spans="1:4">
      <c r="A63" s="13"/>
    </row>
    <row r="64" spans="1:4">
      <c r="A64" s="13"/>
    </row>
  </sheetData>
  <mergeCells count="4">
    <mergeCell ref="A1:AE1"/>
    <mergeCell ref="AG1:AK1"/>
    <mergeCell ref="AL1:AP1"/>
    <mergeCell ref="AQ1:AU1"/>
  </mergeCells>
  <conditionalFormatting sqref="AJ1:AJ2">
    <cfRule type="containsText" dxfId="2" priority="8" operator="containsText" text="x">
      <formula>NOT(ISERROR(SEARCH("x",AJ1)))</formula>
    </cfRule>
  </conditionalFormatting>
  <conditionalFormatting sqref="AO1">
    <cfRule type="containsText" dxfId="1" priority="7" operator="containsText" text="x">
      <formula>NOT(ISERROR(SEARCH("x",AO1)))</formula>
    </cfRule>
  </conditionalFormatting>
  <conditionalFormatting sqref="AT1">
    <cfRule type="containsText" dxfId="0" priority="6" operator="containsText" text="x">
      <formula>NOT(ISERROR(SEARCH("x",AT1)))</formula>
    </cfRule>
  </conditionalFormatting>
  <pageMargins left="0.7" right="0.7" top="0.75" bottom="0.75" header="0.3" footer="0.3"/>
  <pageSetup paperSize="9" orientation="portrait" horizontalDpi="0" verticalDpi="0"/>
  <ignoredErrors>
    <ignoredError sqref="AS3:AS37" formula="1"/>
    <ignoredError sqref="AM4:AP37"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C90A-B424-8A4C-A32B-07F03E2F7322}">
  <dimension ref="A1:Z72"/>
  <sheetViews>
    <sheetView zoomScale="70" zoomScaleNormal="70" workbookViewId="0">
      <pane xSplit="1" topLeftCell="B1" activePane="topRight" state="frozen"/>
      <selection sqref="A1:AG1"/>
      <selection pane="topRight"/>
    </sheetView>
  </sheetViews>
  <sheetFormatPr defaultColWidth="10.6640625" defaultRowHeight="14.25"/>
  <cols>
    <col min="2" max="2" width="10.6640625" hidden="1" customWidth="1"/>
    <col min="4" max="4" width="46.1328125" customWidth="1"/>
    <col min="7" max="7" width="26.59765625" customWidth="1"/>
    <col min="11" max="11" width="37.1328125" customWidth="1"/>
    <col min="14" max="14" width="65" customWidth="1"/>
    <col min="16" max="16" width="21.33203125" customWidth="1"/>
    <col min="18" max="18" width="17" customWidth="1"/>
    <col min="19" max="19" width="32.46484375" customWidth="1"/>
    <col min="22" max="22" width="167.73046875" bestFit="1" customWidth="1"/>
    <col min="23" max="25" width="0" hidden="1" customWidth="1"/>
    <col min="26" max="26" width="0" style="15" hidden="1" customWidth="1"/>
  </cols>
  <sheetData>
    <row r="1" spans="1:26">
      <c r="A1" s="41" t="s">
        <v>215</v>
      </c>
      <c r="B1" t="s">
        <v>216</v>
      </c>
      <c r="C1" t="s">
        <v>217</v>
      </c>
      <c r="D1" t="s">
        <v>218</v>
      </c>
      <c r="E1" t="s">
        <v>219</v>
      </c>
      <c r="F1" t="s">
        <v>220</v>
      </c>
      <c r="G1" t="s">
        <v>221</v>
      </c>
      <c r="H1" t="s">
        <v>222</v>
      </c>
      <c r="I1" t="s">
        <v>223</v>
      </c>
      <c r="J1" t="s">
        <v>224</v>
      </c>
      <c r="K1" t="s">
        <v>225</v>
      </c>
      <c r="L1" t="s">
        <v>226</v>
      </c>
      <c r="M1" t="s">
        <v>227</v>
      </c>
      <c r="N1" t="s">
        <v>228</v>
      </c>
      <c r="O1" t="s">
        <v>229</v>
      </c>
      <c r="P1" t="s">
        <v>230</v>
      </c>
      <c r="Q1" t="s">
        <v>231</v>
      </c>
      <c r="R1" t="s">
        <v>232</v>
      </c>
      <c r="S1" t="s">
        <v>249</v>
      </c>
      <c r="T1" t="s">
        <v>233</v>
      </c>
      <c r="U1" t="s">
        <v>234</v>
      </c>
      <c r="V1" t="s">
        <v>235</v>
      </c>
      <c r="W1" t="s">
        <v>236</v>
      </c>
      <c r="X1" t="s">
        <v>237</v>
      </c>
      <c r="Z1" s="14" t="s">
        <v>248</v>
      </c>
    </row>
    <row r="2" spans="1:26">
      <c r="A2" t="s">
        <v>30</v>
      </c>
      <c r="B2" s="22"/>
      <c r="C2">
        <v>67</v>
      </c>
      <c r="D2" t="s">
        <v>155</v>
      </c>
      <c r="L2" t="s">
        <v>32</v>
      </c>
      <c r="M2" t="s">
        <v>33</v>
      </c>
      <c r="N2" t="s">
        <v>203</v>
      </c>
      <c r="O2">
        <v>2</v>
      </c>
      <c r="P2" t="s">
        <v>171</v>
      </c>
      <c r="R2" t="s">
        <v>171</v>
      </c>
      <c r="S2" t="s">
        <v>171</v>
      </c>
      <c r="V2" t="s">
        <v>238</v>
      </c>
      <c r="W2">
        <v>1</v>
      </c>
      <c r="X2">
        <v>1</v>
      </c>
      <c r="Z2" s="15" cm="1">
        <f t="array" ref="Z2">VALUE(LEFT(A2, MIN(IFERROR(FIND({"o","p"}, A2), LEN(A2)+1))-1))</f>
        <v>1</v>
      </c>
    </row>
    <row r="3" spans="1:26">
      <c r="A3" t="s">
        <v>34</v>
      </c>
      <c r="C3">
        <v>67</v>
      </c>
      <c r="D3" t="s">
        <v>158</v>
      </c>
      <c r="E3" t="s">
        <v>250</v>
      </c>
      <c r="I3">
        <v>1</v>
      </c>
      <c r="L3" t="s">
        <v>35</v>
      </c>
      <c r="N3" t="s">
        <v>172</v>
      </c>
      <c r="O3">
        <v>1</v>
      </c>
      <c r="P3" t="s">
        <v>277</v>
      </c>
      <c r="R3" t="s">
        <v>175</v>
      </c>
      <c r="S3" t="s">
        <v>175</v>
      </c>
      <c r="V3" t="s">
        <v>278</v>
      </c>
      <c r="W3">
        <v>1</v>
      </c>
      <c r="X3">
        <v>2</v>
      </c>
      <c r="Z3" s="15" cm="1">
        <f t="array" ref="Z3">VALUE(LEFT(A3, MIN(IFERROR(FIND({"o","p"}, A3), LEN(A3)+1))-1))</f>
        <v>1</v>
      </c>
    </row>
    <row r="4" spans="1:26">
      <c r="A4" t="s">
        <v>36</v>
      </c>
      <c r="B4" s="22"/>
      <c r="C4">
        <v>39</v>
      </c>
      <c r="D4" t="s">
        <v>210</v>
      </c>
      <c r="L4" t="s">
        <v>32</v>
      </c>
      <c r="M4" t="s">
        <v>279</v>
      </c>
      <c r="N4" t="s">
        <v>37</v>
      </c>
      <c r="O4">
        <v>1</v>
      </c>
      <c r="P4" t="s">
        <v>171</v>
      </c>
      <c r="R4" t="s">
        <v>252</v>
      </c>
      <c r="S4" t="s">
        <v>171</v>
      </c>
      <c r="V4" t="s">
        <v>253</v>
      </c>
      <c r="W4">
        <v>2</v>
      </c>
      <c r="X4">
        <v>1</v>
      </c>
      <c r="Z4" s="15" cm="1">
        <f t="array" ref="Z4">VALUE(LEFT(A4, MIN(IFERROR(FIND({"o","p"}, A4), LEN(A4)+1))-1))</f>
        <v>2</v>
      </c>
    </row>
    <row r="5" spans="1:26">
      <c r="A5" t="s">
        <v>38</v>
      </c>
      <c r="C5">
        <v>39</v>
      </c>
      <c r="D5" t="s">
        <v>156</v>
      </c>
      <c r="E5" t="s">
        <v>250</v>
      </c>
      <c r="F5" t="s">
        <v>251</v>
      </c>
      <c r="I5">
        <v>1</v>
      </c>
      <c r="J5">
        <v>0</v>
      </c>
      <c r="L5" t="s">
        <v>206</v>
      </c>
      <c r="N5" t="s">
        <v>173</v>
      </c>
      <c r="O5">
        <v>1</v>
      </c>
      <c r="P5" t="s">
        <v>171</v>
      </c>
      <c r="Q5" t="s">
        <v>257</v>
      </c>
      <c r="R5" t="s">
        <v>257</v>
      </c>
      <c r="S5" t="s">
        <v>257</v>
      </c>
      <c r="V5" t="s">
        <v>257</v>
      </c>
      <c r="W5">
        <v>2</v>
      </c>
      <c r="X5">
        <v>2</v>
      </c>
      <c r="Z5" s="15" cm="1">
        <f t="array" ref="Z5">VALUE(LEFT(A5, MIN(IFERROR(FIND({"o","p"}, A5), LEN(A5)+1))-1))</f>
        <v>2</v>
      </c>
    </row>
    <row r="6" spans="1:26">
      <c r="A6" t="s">
        <v>39</v>
      </c>
      <c r="B6" s="22"/>
      <c r="D6" t="s">
        <v>154</v>
      </c>
      <c r="E6" t="s">
        <v>161</v>
      </c>
      <c r="I6">
        <v>5</v>
      </c>
      <c r="J6">
        <v>1</v>
      </c>
      <c r="K6" t="s">
        <v>40</v>
      </c>
      <c r="L6" t="s">
        <v>170</v>
      </c>
      <c r="M6" t="s">
        <v>174</v>
      </c>
      <c r="N6" t="s">
        <v>254</v>
      </c>
      <c r="O6">
        <v>2</v>
      </c>
      <c r="P6" t="s">
        <v>171</v>
      </c>
      <c r="R6" t="s">
        <v>255</v>
      </c>
      <c r="S6" t="s">
        <v>280</v>
      </c>
      <c r="V6" t="s">
        <v>255</v>
      </c>
      <c r="W6">
        <v>3</v>
      </c>
      <c r="X6">
        <v>1</v>
      </c>
      <c r="Z6" s="15" cm="1">
        <f t="array" ref="Z6">VALUE(LEFT(A6, MIN(IFERROR(FIND({"o","p"}, A6), LEN(A6)+1))-1))</f>
        <v>3</v>
      </c>
    </row>
    <row r="7" spans="1:26">
      <c r="A7" t="s">
        <v>41</v>
      </c>
      <c r="C7">
        <v>52</v>
      </c>
      <c r="L7" t="s">
        <v>257</v>
      </c>
      <c r="N7" t="s">
        <v>281</v>
      </c>
      <c r="O7">
        <v>1</v>
      </c>
      <c r="P7" t="s">
        <v>171</v>
      </c>
      <c r="R7" t="s">
        <v>257</v>
      </c>
      <c r="S7" t="s">
        <v>257</v>
      </c>
      <c r="V7" t="s">
        <v>257</v>
      </c>
      <c r="W7">
        <v>3</v>
      </c>
      <c r="X7">
        <v>2</v>
      </c>
      <c r="Z7" s="15" cm="1">
        <f t="array" ref="Z7">VALUE(LEFT(A7, MIN(IFERROR(FIND({"o","p"}, A7), LEN(A7)+1))-1))</f>
        <v>3</v>
      </c>
    </row>
    <row r="8" spans="1:26">
      <c r="A8" t="s">
        <v>42</v>
      </c>
      <c r="B8" s="22"/>
      <c r="D8" t="s">
        <v>282</v>
      </c>
      <c r="E8" t="s">
        <v>211</v>
      </c>
      <c r="I8">
        <v>4</v>
      </c>
      <c r="J8">
        <v>1</v>
      </c>
      <c r="K8" t="s">
        <v>44</v>
      </c>
      <c r="L8" t="s">
        <v>170</v>
      </c>
      <c r="M8" t="s">
        <v>204</v>
      </c>
      <c r="N8" t="s">
        <v>45</v>
      </c>
      <c r="O8">
        <v>1</v>
      </c>
      <c r="P8" t="s">
        <v>175</v>
      </c>
      <c r="Q8" t="s">
        <v>171</v>
      </c>
      <c r="R8" t="s">
        <v>175</v>
      </c>
      <c r="S8" t="s">
        <v>256</v>
      </c>
      <c r="V8" t="s">
        <v>283</v>
      </c>
      <c r="W8">
        <v>4</v>
      </c>
      <c r="X8">
        <v>1</v>
      </c>
      <c r="Z8" s="15" cm="1">
        <f t="array" ref="Z8">VALUE(LEFT(A8, MIN(IFERROR(FIND({"o","p"}, A8), LEN(A8)+1))-1))</f>
        <v>4</v>
      </c>
    </row>
    <row r="9" spans="1:26">
      <c r="A9" t="s">
        <v>46</v>
      </c>
      <c r="C9">
        <v>61</v>
      </c>
      <c r="D9" t="s">
        <v>158</v>
      </c>
      <c r="E9" t="s">
        <v>160</v>
      </c>
      <c r="F9" t="s">
        <v>251</v>
      </c>
      <c r="I9" t="s">
        <v>284</v>
      </c>
      <c r="J9" t="s">
        <v>257</v>
      </c>
      <c r="L9" t="s">
        <v>285</v>
      </c>
      <c r="N9" t="s">
        <v>286</v>
      </c>
      <c r="O9">
        <v>2</v>
      </c>
      <c r="P9" t="s">
        <v>257</v>
      </c>
      <c r="R9" t="s">
        <v>257</v>
      </c>
      <c r="S9" t="s">
        <v>257</v>
      </c>
      <c r="T9" t="s">
        <v>257</v>
      </c>
      <c r="U9" t="s">
        <v>257</v>
      </c>
      <c r="V9" t="s">
        <v>257</v>
      </c>
      <c r="W9">
        <v>4</v>
      </c>
      <c r="X9">
        <v>2</v>
      </c>
      <c r="Z9" s="15" cm="1">
        <f t="array" ref="Z9">VALUE(LEFT(A9, MIN(IFERROR(FIND({"o","p"}, A9), LEN(A9)+1))-1))</f>
        <v>4</v>
      </c>
    </row>
    <row r="10" spans="1:26">
      <c r="A10" t="s">
        <v>47</v>
      </c>
      <c r="B10" s="22"/>
      <c r="C10">
        <v>34</v>
      </c>
      <c r="D10" t="s">
        <v>212</v>
      </c>
      <c r="E10" t="s">
        <v>211</v>
      </c>
      <c r="I10">
        <v>5</v>
      </c>
      <c r="J10">
        <v>1</v>
      </c>
      <c r="L10" t="s">
        <v>32</v>
      </c>
      <c r="M10" t="s">
        <v>287</v>
      </c>
      <c r="N10" t="s">
        <v>288</v>
      </c>
      <c r="O10">
        <v>2</v>
      </c>
      <c r="P10" t="s">
        <v>289</v>
      </c>
      <c r="Q10" t="s">
        <v>292</v>
      </c>
      <c r="R10" t="s">
        <v>175</v>
      </c>
      <c r="S10" t="s">
        <v>290</v>
      </c>
      <c r="V10" t="s">
        <v>291</v>
      </c>
      <c r="W10">
        <v>5</v>
      </c>
      <c r="X10">
        <v>1</v>
      </c>
      <c r="Z10" s="15" cm="1">
        <f t="array" ref="Z10">VALUE(LEFT(A10, MIN(IFERROR(FIND({"o","p"}, A10), LEN(A10)+1))-1))</f>
        <v>5</v>
      </c>
    </row>
    <row r="11" spans="1:26">
      <c r="A11" t="s">
        <v>49</v>
      </c>
      <c r="B11" s="22"/>
      <c r="C11">
        <v>34</v>
      </c>
      <c r="E11" t="s">
        <v>164</v>
      </c>
      <c r="G11" t="s">
        <v>331</v>
      </c>
      <c r="I11">
        <v>2</v>
      </c>
      <c r="J11">
        <v>1</v>
      </c>
      <c r="K11" t="s">
        <v>48</v>
      </c>
      <c r="L11" t="s">
        <v>206</v>
      </c>
      <c r="P11" t="s">
        <v>277</v>
      </c>
      <c r="R11" t="s">
        <v>175</v>
      </c>
      <c r="S11" t="s">
        <v>340</v>
      </c>
      <c r="W11">
        <v>5</v>
      </c>
      <c r="X11">
        <v>1</v>
      </c>
      <c r="Z11" s="15" cm="1">
        <f t="array" ref="Z11">VALUE(LEFT(A11, MIN(IFERROR(FIND({"o","p"}, A11), LEN(A11)+1))-1))</f>
        <v>5</v>
      </c>
    </row>
    <row r="12" spans="1:26">
      <c r="A12" t="s">
        <v>50</v>
      </c>
      <c r="C12">
        <v>34</v>
      </c>
      <c r="D12" t="s">
        <v>158</v>
      </c>
      <c r="I12">
        <v>16</v>
      </c>
      <c r="J12">
        <v>6</v>
      </c>
      <c r="K12" t="s">
        <v>257</v>
      </c>
      <c r="L12" t="s">
        <v>35</v>
      </c>
      <c r="N12" t="s">
        <v>341</v>
      </c>
      <c r="O12">
        <v>2</v>
      </c>
      <c r="P12" t="s">
        <v>175</v>
      </c>
      <c r="Q12" t="s">
        <v>257</v>
      </c>
      <c r="R12" t="s">
        <v>175</v>
      </c>
      <c r="S12" t="s">
        <v>175</v>
      </c>
      <c r="V12" t="s">
        <v>257</v>
      </c>
      <c r="W12">
        <v>5</v>
      </c>
      <c r="X12">
        <v>2</v>
      </c>
      <c r="Z12" s="15" cm="1">
        <f t="array" ref="Z12">VALUE(LEFT(A12, MIN(IFERROR(FIND({"o","p"}, A12), LEN(A12)+1))-1))</f>
        <v>5</v>
      </c>
    </row>
    <row r="13" spans="1:26">
      <c r="A13" t="s">
        <v>51</v>
      </c>
      <c r="B13" s="22"/>
      <c r="C13">
        <v>66</v>
      </c>
      <c r="D13" t="s">
        <v>261</v>
      </c>
      <c r="I13">
        <v>5</v>
      </c>
      <c r="L13" t="s">
        <v>113</v>
      </c>
      <c r="M13" t="s">
        <v>342</v>
      </c>
      <c r="N13" t="s">
        <v>322</v>
      </c>
      <c r="O13">
        <v>1</v>
      </c>
      <c r="P13" t="s">
        <v>171</v>
      </c>
      <c r="R13" t="s">
        <v>262</v>
      </c>
      <c r="S13" t="s">
        <v>175</v>
      </c>
      <c r="V13" t="s">
        <v>343</v>
      </c>
      <c r="W13">
        <v>6</v>
      </c>
      <c r="X13">
        <v>1</v>
      </c>
      <c r="Z13" s="15" cm="1">
        <f t="array" ref="Z13">VALUE(LEFT(A13, MIN(IFERROR(FIND({"o","p"}, A13), LEN(A13)+1))-1))</f>
        <v>6</v>
      </c>
    </row>
    <row r="14" spans="1:26">
      <c r="A14" t="s">
        <v>52</v>
      </c>
      <c r="C14">
        <v>66</v>
      </c>
      <c r="L14" t="s">
        <v>257</v>
      </c>
      <c r="N14" t="s">
        <v>176</v>
      </c>
      <c r="O14">
        <v>1</v>
      </c>
      <c r="P14" t="s">
        <v>171</v>
      </c>
      <c r="R14" t="s">
        <v>257</v>
      </c>
      <c r="S14" t="s">
        <v>257</v>
      </c>
      <c r="V14" t="s">
        <v>257</v>
      </c>
      <c r="W14">
        <v>6</v>
      </c>
      <c r="X14">
        <v>2</v>
      </c>
      <c r="Z14" s="15" cm="1">
        <f t="array" ref="Z14">VALUE(LEFT(A14, MIN(IFERROR(FIND({"o","p"}, A14), LEN(A14)+1))-1))</f>
        <v>6</v>
      </c>
    </row>
    <row r="15" spans="1:26">
      <c r="A15" t="s">
        <v>53</v>
      </c>
      <c r="B15" s="22"/>
      <c r="C15">
        <v>67</v>
      </c>
      <c r="D15" t="s">
        <v>154</v>
      </c>
      <c r="I15">
        <v>12</v>
      </c>
      <c r="J15">
        <v>0</v>
      </c>
      <c r="L15" t="s">
        <v>32</v>
      </c>
      <c r="M15" t="s">
        <v>174</v>
      </c>
      <c r="N15" t="s">
        <v>258</v>
      </c>
      <c r="O15">
        <v>2</v>
      </c>
      <c r="P15" t="s">
        <v>171</v>
      </c>
      <c r="R15" t="s">
        <v>293</v>
      </c>
      <c r="S15" t="s">
        <v>171</v>
      </c>
      <c r="V15" t="s">
        <v>255</v>
      </c>
      <c r="W15">
        <v>7</v>
      </c>
      <c r="X15">
        <v>1</v>
      </c>
      <c r="Z15" s="15" cm="1">
        <f t="array" ref="Z15">VALUE(LEFT(A15, MIN(IFERROR(FIND({"o","p"}, A15), LEN(A15)+1))-1))</f>
        <v>7</v>
      </c>
    </row>
    <row r="16" spans="1:26">
      <c r="A16" t="s">
        <v>54</v>
      </c>
      <c r="C16">
        <v>67</v>
      </c>
      <c r="I16" t="s">
        <v>257</v>
      </c>
      <c r="J16" t="s">
        <v>257</v>
      </c>
      <c r="K16" t="s">
        <v>257</v>
      </c>
      <c r="L16" t="s">
        <v>239</v>
      </c>
      <c r="N16" t="s">
        <v>294</v>
      </c>
      <c r="O16">
        <v>2</v>
      </c>
      <c r="P16" t="s">
        <v>257</v>
      </c>
      <c r="Q16" t="s">
        <v>257</v>
      </c>
      <c r="R16" t="s">
        <v>257</v>
      </c>
      <c r="S16" t="s">
        <v>257</v>
      </c>
      <c r="V16" t="s">
        <v>257</v>
      </c>
      <c r="W16">
        <v>7</v>
      </c>
      <c r="X16">
        <v>2</v>
      </c>
      <c r="Z16" s="15" cm="1">
        <f t="array" ref="Z16">VALUE(LEFT(A16, MIN(IFERROR(FIND({"o","p"}, A16), LEN(A16)+1))-1))</f>
        <v>7</v>
      </c>
    </row>
    <row r="17" spans="1:26">
      <c r="A17" t="s">
        <v>55</v>
      </c>
      <c r="B17" s="22"/>
      <c r="C17">
        <v>78</v>
      </c>
      <c r="D17" t="s">
        <v>155</v>
      </c>
      <c r="I17">
        <v>6</v>
      </c>
      <c r="L17" t="s">
        <v>32</v>
      </c>
      <c r="M17" t="s">
        <v>204</v>
      </c>
      <c r="N17" t="s">
        <v>56</v>
      </c>
      <c r="O17">
        <v>1</v>
      </c>
      <c r="P17" t="s">
        <v>171</v>
      </c>
      <c r="R17" t="s">
        <v>171</v>
      </c>
      <c r="S17" t="s">
        <v>171</v>
      </c>
      <c r="V17" t="s">
        <v>259</v>
      </c>
      <c r="W17">
        <v>8</v>
      </c>
      <c r="X17">
        <v>1</v>
      </c>
      <c r="Z17" s="15" cm="1">
        <f t="array" ref="Z17">VALUE(LEFT(A17, MIN(IFERROR(FIND({"o","p"}, A17), LEN(A17)+1))-1))</f>
        <v>8</v>
      </c>
    </row>
    <row r="18" spans="1:26">
      <c r="A18" t="s">
        <v>57</v>
      </c>
      <c r="C18">
        <v>78</v>
      </c>
      <c r="D18" t="s">
        <v>153</v>
      </c>
      <c r="E18" t="s">
        <v>250</v>
      </c>
      <c r="F18" t="s">
        <v>251</v>
      </c>
      <c r="I18" t="s">
        <v>257</v>
      </c>
      <c r="J18" t="s">
        <v>257</v>
      </c>
      <c r="K18" t="s">
        <v>257</v>
      </c>
      <c r="L18" t="s">
        <v>257</v>
      </c>
      <c r="M18" t="s">
        <v>257</v>
      </c>
      <c r="N18" t="s">
        <v>99</v>
      </c>
      <c r="O18">
        <v>1</v>
      </c>
      <c r="P18" t="s">
        <v>171</v>
      </c>
      <c r="Q18" t="s">
        <v>257</v>
      </c>
      <c r="R18" t="s">
        <v>257</v>
      </c>
      <c r="S18" t="s">
        <v>257</v>
      </c>
      <c r="V18" t="s">
        <v>257</v>
      </c>
      <c r="W18">
        <v>8</v>
      </c>
      <c r="X18">
        <v>2</v>
      </c>
      <c r="Z18" s="15" cm="1">
        <f t="array" ref="Z18">VALUE(LEFT(A18, MIN(IFERROR(FIND({"o","p"}, A18), LEN(A18)+1))-1))</f>
        <v>8</v>
      </c>
    </row>
    <row r="19" spans="1:26">
      <c r="A19" t="s">
        <v>58</v>
      </c>
      <c r="B19" s="22"/>
      <c r="C19">
        <v>55</v>
      </c>
      <c r="D19" t="s">
        <v>210</v>
      </c>
      <c r="I19">
        <v>7</v>
      </c>
      <c r="J19">
        <v>4</v>
      </c>
      <c r="L19" t="s">
        <v>240</v>
      </c>
      <c r="N19" t="s">
        <v>260</v>
      </c>
      <c r="O19">
        <v>3</v>
      </c>
      <c r="P19" t="s">
        <v>171</v>
      </c>
      <c r="R19" t="s">
        <v>175</v>
      </c>
      <c r="S19" t="s">
        <v>171</v>
      </c>
      <c r="V19" t="s">
        <v>241</v>
      </c>
      <c r="W19">
        <v>9</v>
      </c>
      <c r="X19">
        <v>1</v>
      </c>
      <c r="Z19" s="15" cm="1">
        <f t="array" ref="Z19">VALUE(LEFT(A19, MIN(IFERROR(FIND({"o","p"}, A19), LEN(A19)+1))-1))</f>
        <v>9</v>
      </c>
    </row>
    <row r="20" spans="1:26">
      <c r="A20" t="s">
        <v>59</v>
      </c>
      <c r="C20">
        <v>55</v>
      </c>
      <c r="E20" t="s">
        <v>162</v>
      </c>
      <c r="G20" t="s">
        <v>295</v>
      </c>
      <c r="I20">
        <v>6</v>
      </c>
      <c r="J20">
        <v>2</v>
      </c>
      <c r="L20" t="s">
        <v>32</v>
      </c>
      <c r="N20" t="s">
        <v>257</v>
      </c>
      <c r="O20" t="s">
        <v>296</v>
      </c>
      <c r="P20" t="s">
        <v>171</v>
      </c>
      <c r="R20" t="s">
        <v>171</v>
      </c>
      <c r="S20" t="s">
        <v>171</v>
      </c>
      <c r="V20" t="s">
        <v>257</v>
      </c>
      <c r="W20">
        <v>9</v>
      </c>
      <c r="X20">
        <v>2</v>
      </c>
      <c r="Z20" s="15" cm="1">
        <f t="array" ref="Z20">VALUE(LEFT(A20, MIN(IFERROR(FIND({"o","p"}, A20), LEN(A20)+1))-1))</f>
        <v>9</v>
      </c>
    </row>
    <row r="21" spans="1:26">
      <c r="A21" t="s">
        <v>60</v>
      </c>
      <c r="B21" s="22"/>
      <c r="C21">
        <v>24</v>
      </c>
      <c r="D21" t="s">
        <v>155</v>
      </c>
      <c r="I21">
        <v>1</v>
      </c>
      <c r="J21">
        <v>1</v>
      </c>
      <c r="L21" t="s">
        <v>32</v>
      </c>
      <c r="M21" t="s">
        <v>204</v>
      </c>
      <c r="N21" t="s">
        <v>61</v>
      </c>
      <c r="O21">
        <v>1</v>
      </c>
      <c r="P21" t="s">
        <v>171</v>
      </c>
      <c r="R21" t="s">
        <v>175</v>
      </c>
      <c r="S21" t="s">
        <v>171</v>
      </c>
      <c r="V21" t="s">
        <v>297</v>
      </c>
      <c r="W21">
        <v>10</v>
      </c>
      <c r="X21">
        <v>1</v>
      </c>
      <c r="Z21" s="15" cm="1">
        <f t="array" ref="Z21">VALUE(LEFT(A21, MIN(IFERROR(FIND({"o","p"}, A21), LEN(A21)+1))-1))</f>
        <v>10</v>
      </c>
    </row>
    <row r="22" spans="1:26">
      <c r="A22" t="s">
        <v>62</v>
      </c>
      <c r="C22">
        <v>24</v>
      </c>
      <c r="L22" t="s">
        <v>206</v>
      </c>
      <c r="N22" t="s">
        <v>172</v>
      </c>
      <c r="O22">
        <v>1</v>
      </c>
      <c r="P22" t="s">
        <v>171</v>
      </c>
      <c r="R22" t="s">
        <v>314</v>
      </c>
      <c r="S22" t="s">
        <v>171</v>
      </c>
      <c r="V22" t="s">
        <v>257</v>
      </c>
      <c r="W22">
        <v>10</v>
      </c>
      <c r="X22">
        <v>2</v>
      </c>
      <c r="Z22" s="15" cm="1">
        <f t="array" ref="Z22">VALUE(LEFT(A22, MIN(IFERROR(FIND({"o","p"}, A22), LEN(A22)+1))-1))</f>
        <v>10</v>
      </c>
    </row>
    <row r="23" spans="1:26">
      <c r="A23" t="s">
        <v>63</v>
      </c>
      <c r="B23" s="22"/>
      <c r="C23">
        <v>70</v>
      </c>
      <c r="D23" t="s">
        <v>213</v>
      </c>
      <c r="L23" t="s">
        <v>177</v>
      </c>
      <c r="N23" t="s">
        <v>178</v>
      </c>
      <c r="O23">
        <v>2</v>
      </c>
      <c r="P23" t="s">
        <v>171</v>
      </c>
      <c r="R23" t="s">
        <v>171</v>
      </c>
      <c r="S23" t="s">
        <v>171</v>
      </c>
      <c r="V23" t="s">
        <v>298</v>
      </c>
      <c r="W23">
        <v>11</v>
      </c>
      <c r="X23">
        <v>1</v>
      </c>
      <c r="Z23" s="15" cm="1">
        <f t="array" ref="Z23">VALUE(LEFT(A23, MIN(IFERROR(FIND({"o","p"}, A23), LEN(A23)+1))-1))</f>
        <v>11</v>
      </c>
    </row>
    <row r="24" spans="1:26">
      <c r="A24" t="s">
        <v>64</v>
      </c>
      <c r="B24" s="23"/>
      <c r="C24">
        <v>70</v>
      </c>
      <c r="L24" t="s">
        <v>299</v>
      </c>
      <c r="N24" t="s">
        <v>242</v>
      </c>
      <c r="O24">
        <v>1</v>
      </c>
      <c r="W24">
        <v>11</v>
      </c>
      <c r="X24">
        <v>2</v>
      </c>
      <c r="Z24" s="15" cm="1">
        <f t="array" ref="Z24">VALUE(LEFT(A24, MIN(IFERROR(FIND({"o","p"}, A24), LEN(A24)+1))-1))</f>
        <v>11</v>
      </c>
    </row>
    <row r="25" spans="1:26">
      <c r="A25" t="s">
        <v>65</v>
      </c>
      <c r="B25" s="22"/>
      <c r="C25">
        <v>67</v>
      </c>
      <c r="D25" t="s">
        <v>213</v>
      </c>
      <c r="I25">
        <v>22</v>
      </c>
      <c r="L25" t="s">
        <v>247</v>
      </c>
      <c r="M25" t="s">
        <v>300</v>
      </c>
      <c r="N25" t="s">
        <v>179</v>
      </c>
      <c r="O25">
        <v>1</v>
      </c>
      <c r="P25" t="s">
        <v>289</v>
      </c>
      <c r="Q25" t="s">
        <v>301</v>
      </c>
      <c r="R25" t="s">
        <v>262</v>
      </c>
      <c r="S25" t="s">
        <v>171</v>
      </c>
      <c r="V25" t="s">
        <v>302</v>
      </c>
      <c r="W25">
        <v>12</v>
      </c>
      <c r="X25">
        <v>1</v>
      </c>
      <c r="Z25" s="15" cm="1">
        <f t="array" ref="Z25">VALUE(LEFT(A25, MIN(IFERROR(FIND({"o","p"}, A25), LEN(A25)+1))-1))</f>
        <v>12</v>
      </c>
    </row>
    <row r="26" spans="1:26">
      <c r="A26" t="s">
        <v>66</v>
      </c>
      <c r="C26">
        <v>67</v>
      </c>
      <c r="I26">
        <v>2</v>
      </c>
      <c r="J26">
        <v>1</v>
      </c>
      <c r="L26" t="s">
        <v>247</v>
      </c>
      <c r="N26">
        <v>6.5</v>
      </c>
      <c r="O26">
        <v>1</v>
      </c>
      <c r="P26" t="s">
        <v>171</v>
      </c>
      <c r="R26" t="s">
        <v>171</v>
      </c>
      <c r="S26" t="s">
        <v>171</v>
      </c>
      <c r="V26" t="s">
        <v>257</v>
      </c>
      <c r="W26">
        <v>12</v>
      </c>
      <c r="X26">
        <v>2</v>
      </c>
      <c r="Z26" s="15" cm="1">
        <f t="array" ref="Z26">VALUE(LEFT(A26, MIN(IFERROR(FIND({"o","p"}, A26), LEN(A26)+1))-1))</f>
        <v>12</v>
      </c>
    </row>
    <row r="27" spans="1:26">
      <c r="A27" t="s">
        <v>67</v>
      </c>
      <c r="B27" s="22"/>
      <c r="C27">
        <v>66</v>
      </c>
      <c r="D27" t="s">
        <v>157</v>
      </c>
      <c r="E27" t="s">
        <v>162</v>
      </c>
      <c r="I27">
        <v>19</v>
      </c>
      <c r="J27">
        <v>2</v>
      </c>
      <c r="L27" t="s">
        <v>32</v>
      </c>
      <c r="M27" t="s">
        <v>279</v>
      </c>
      <c r="N27" t="s">
        <v>205</v>
      </c>
      <c r="O27">
        <v>1</v>
      </c>
      <c r="P27" t="s">
        <v>175</v>
      </c>
      <c r="Q27" t="s">
        <v>303</v>
      </c>
      <c r="R27" t="s">
        <v>175</v>
      </c>
      <c r="S27" t="s">
        <v>175</v>
      </c>
      <c r="V27" t="s">
        <v>263</v>
      </c>
      <c r="W27">
        <v>13</v>
      </c>
      <c r="X27">
        <v>1</v>
      </c>
      <c r="Z27" s="15" cm="1">
        <f t="array" ref="Z27">VALUE(LEFT(A27, MIN(IFERROR(FIND({"o","p"}, A27), LEN(A27)+1))-1))</f>
        <v>13</v>
      </c>
    </row>
    <row r="28" spans="1:26">
      <c r="A28" t="s">
        <v>70</v>
      </c>
      <c r="C28">
        <v>66</v>
      </c>
      <c r="D28" t="s">
        <v>158</v>
      </c>
      <c r="E28" t="s">
        <v>160</v>
      </c>
      <c r="G28" t="s">
        <v>264</v>
      </c>
      <c r="I28">
        <v>1</v>
      </c>
      <c r="J28">
        <v>1</v>
      </c>
      <c r="L28" t="s">
        <v>257</v>
      </c>
      <c r="M28" t="s">
        <v>257</v>
      </c>
      <c r="N28" t="s">
        <v>257</v>
      </c>
      <c r="O28">
        <v>1</v>
      </c>
      <c r="P28" t="s">
        <v>175</v>
      </c>
      <c r="Q28" t="s">
        <v>292</v>
      </c>
      <c r="R28" t="s">
        <v>175</v>
      </c>
      <c r="S28" t="s">
        <v>175</v>
      </c>
      <c r="V28" t="s">
        <v>262</v>
      </c>
      <c r="W28">
        <v>13</v>
      </c>
      <c r="X28">
        <v>2</v>
      </c>
      <c r="Z28" s="15" cm="1">
        <f t="array" ref="Z28">VALUE(LEFT(A28, MIN(IFERROR(FIND({"o","p"}, A28), LEN(A28)+1))-1))</f>
        <v>13</v>
      </c>
    </row>
    <row r="29" spans="1:26">
      <c r="A29" t="s">
        <v>71</v>
      </c>
      <c r="B29" s="22"/>
      <c r="C29">
        <v>51</v>
      </c>
      <c r="D29" t="s">
        <v>212</v>
      </c>
      <c r="L29" t="s">
        <v>32</v>
      </c>
      <c r="M29" t="s">
        <v>304</v>
      </c>
      <c r="N29" t="s">
        <v>72</v>
      </c>
      <c r="O29">
        <v>1</v>
      </c>
      <c r="P29" t="s">
        <v>243</v>
      </c>
      <c r="Q29" t="s">
        <v>344</v>
      </c>
      <c r="R29" t="s">
        <v>175</v>
      </c>
      <c r="S29" t="s">
        <v>265</v>
      </c>
      <c r="V29" t="s">
        <v>298</v>
      </c>
      <c r="W29">
        <v>14</v>
      </c>
      <c r="X29">
        <v>1</v>
      </c>
      <c r="Z29" s="15" cm="1">
        <f t="array" ref="Z29">VALUE(LEFT(A29, MIN(IFERROR(FIND({"o","p"}, A29), LEN(A29)+1))-1))</f>
        <v>14</v>
      </c>
    </row>
    <row r="30" spans="1:26">
      <c r="A30" t="s">
        <v>73</v>
      </c>
      <c r="C30">
        <v>51</v>
      </c>
      <c r="D30" t="s">
        <v>158</v>
      </c>
      <c r="E30" t="s">
        <v>250</v>
      </c>
      <c r="F30" t="s">
        <v>251</v>
      </c>
      <c r="I30" t="s">
        <v>257</v>
      </c>
      <c r="J30" t="s">
        <v>257</v>
      </c>
      <c r="K30" t="s">
        <v>257</v>
      </c>
      <c r="L30" t="s">
        <v>35</v>
      </c>
      <c r="N30" t="s">
        <v>345</v>
      </c>
      <c r="O30">
        <v>1</v>
      </c>
      <c r="P30" t="s">
        <v>171</v>
      </c>
      <c r="Q30" t="s">
        <v>257</v>
      </c>
      <c r="R30" t="s">
        <v>175</v>
      </c>
      <c r="S30" t="s">
        <v>175</v>
      </c>
      <c r="V30" t="s">
        <v>305</v>
      </c>
      <c r="W30">
        <v>14</v>
      </c>
      <c r="X30">
        <v>2</v>
      </c>
      <c r="Z30" s="15" cm="1">
        <f t="array" ref="Z30">VALUE(LEFT(A30, MIN(IFERROR(FIND({"o","p"}, A30), LEN(A30)+1))-1))</f>
        <v>14</v>
      </c>
    </row>
    <row r="31" spans="1:26">
      <c r="A31" t="s">
        <v>74</v>
      </c>
      <c r="B31" s="22"/>
      <c r="C31">
        <v>64</v>
      </c>
      <c r="I31">
        <v>7</v>
      </c>
      <c r="L31" t="s">
        <v>247</v>
      </c>
      <c r="N31" t="s">
        <v>306</v>
      </c>
      <c r="O31">
        <v>1</v>
      </c>
      <c r="P31" t="s">
        <v>293</v>
      </c>
      <c r="R31" t="s">
        <v>188</v>
      </c>
      <c r="S31" t="s">
        <v>171</v>
      </c>
      <c r="V31" t="s">
        <v>293</v>
      </c>
      <c r="W31">
        <v>15</v>
      </c>
      <c r="X31">
        <v>1</v>
      </c>
      <c r="Z31" s="15" cm="1">
        <f t="array" ref="Z31">VALUE(LEFT(A31, MIN(IFERROR(FIND({"o","p"}, A31), LEN(A31)+1))-1))</f>
        <v>15</v>
      </c>
    </row>
    <row r="32" spans="1:26">
      <c r="A32" t="s">
        <v>76</v>
      </c>
      <c r="C32">
        <v>64</v>
      </c>
      <c r="L32" t="s">
        <v>35</v>
      </c>
      <c r="O32">
        <v>1</v>
      </c>
      <c r="P32" t="s">
        <v>277</v>
      </c>
      <c r="R32" t="s">
        <v>346</v>
      </c>
      <c r="V32" t="s">
        <v>307</v>
      </c>
      <c r="W32">
        <v>15</v>
      </c>
      <c r="X32">
        <v>2</v>
      </c>
      <c r="Z32" s="15" cm="1">
        <f t="array" ref="Z32">VALUE(LEFT(A32, MIN(IFERROR(FIND({"o","p"}, A32), LEN(A32)+1))-1))</f>
        <v>15</v>
      </c>
    </row>
    <row r="33" spans="1:26">
      <c r="A33" t="s">
        <v>77</v>
      </c>
      <c r="B33" s="22"/>
      <c r="D33" t="s">
        <v>210</v>
      </c>
      <c r="I33">
        <v>11</v>
      </c>
      <c r="J33">
        <v>1</v>
      </c>
      <c r="L33" t="s">
        <v>183</v>
      </c>
      <c r="N33" t="s">
        <v>308</v>
      </c>
      <c r="O33">
        <v>2</v>
      </c>
      <c r="P33" t="s">
        <v>244</v>
      </c>
      <c r="R33" t="s">
        <v>347</v>
      </c>
      <c r="S33" t="s">
        <v>171</v>
      </c>
      <c r="V33" t="s">
        <v>348</v>
      </c>
      <c r="W33">
        <v>16</v>
      </c>
      <c r="X33">
        <v>1</v>
      </c>
      <c r="Z33" s="15" cm="1">
        <f t="array" ref="Z33">VALUE(LEFT(A33, MIN(IFERROR(FIND({"o","p"}, A33), LEN(A33)+1))-1))</f>
        <v>16</v>
      </c>
    </row>
    <row r="34" spans="1:26">
      <c r="A34" t="s">
        <v>78</v>
      </c>
      <c r="C34">
        <v>43</v>
      </c>
      <c r="D34" t="s">
        <v>158</v>
      </c>
      <c r="I34">
        <v>3</v>
      </c>
      <c r="J34">
        <v>1</v>
      </c>
      <c r="L34" t="s">
        <v>35</v>
      </c>
      <c r="N34" t="s">
        <v>309</v>
      </c>
      <c r="O34">
        <v>2</v>
      </c>
      <c r="P34" t="s">
        <v>175</v>
      </c>
      <c r="Q34" t="s">
        <v>257</v>
      </c>
      <c r="R34" t="s">
        <v>175</v>
      </c>
      <c r="S34" t="s">
        <v>175</v>
      </c>
      <c r="V34" t="s">
        <v>257</v>
      </c>
      <c r="W34">
        <v>16</v>
      </c>
      <c r="X34">
        <v>2</v>
      </c>
      <c r="Z34" s="15" cm="1">
        <f t="array" ref="Z34">VALUE(LEFT(A34, MIN(IFERROR(FIND({"o","p"}, A34), LEN(A34)+1))-1))</f>
        <v>16</v>
      </c>
    </row>
    <row r="35" spans="1:26">
      <c r="A35" t="s">
        <v>79</v>
      </c>
      <c r="B35" s="22"/>
      <c r="C35">
        <v>49</v>
      </c>
      <c r="D35" t="s">
        <v>155</v>
      </c>
      <c r="E35" t="s">
        <v>162</v>
      </c>
      <c r="I35">
        <v>21</v>
      </c>
      <c r="J35">
        <v>5</v>
      </c>
      <c r="K35">
        <v>8</v>
      </c>
      <c r="L35" t="s">
        <v>183</v>
      </c>
      <c r="N35" t="s">
        <v>69</v>
      </c>
      <c r="O35">
        <v>1</v>
      </c>
      <c r="P35" t="s">
        <v>171</v>
      </c>
      <c r="R35" t="s">
        <v>310</v>
      </c>
      <c r="S35" t="s">
        <v>171</v>
      </c>
      <c r="V35" t="s">
        <v>267</v>
      </c>
      <c r="W35">
        <v>17</v>
      </c>
      <c r="X35">
        <v>1</v>
      </c>
      <c r="Z35" s="15" cm="1">
        <f t="array" ref="Z35">VALUE(LEFT(A35, MIN(IFERROR(FIND({"o","p"}, A35), LEN(A35)+1))-1))</f>
        <v>17</v>
      </c>
    </row>
    <row r="36" spans="1:26">
      <c r="A36" t="s">
        <v>81</v>
      </c>
      <c r="C36">
        <v>49</v>
      </c>
      <c r="L36" t="s">
        <v>257</v>
      </c>
      <c r="N36" t="s">
        <v>182</v>
      </c>
      <c r="O36">
        <v>1</v>
      </c>
      <c r="P36" t="s">
        <v>171</v>
      </c>
      <c r="R36" t="s">
        <v>257</v>
      </c>
      <c r="S36" t="s">
        <v>257</v>
      </c>
      <c r="V36" t="s">
        <v>257</v>
      </c>
      <c r="W36">
        <v>17</v>
      </c>
      <c r="X36">
        <v>2</v>
      </c>
      <c r="Z36" s="15" cm="1">
        <f t="array" ref="Z36">VALUE(LEFT(A36, MIN(IFERROR(FIND({"o","p"}, A36), LEN(A36)+1))-1))</f>
        <v>17</v>
      </c>
    </row>
    <row r="37" spans="1:26">
      <c r="A37" t="s">
        <v>82</v>
      </c>
      <c r="B37" s="22"/>
      <c r="C37">
        <v>55</v>
      </c>
      <c r="D37" t="s">
        <v>214</v>
      </c>
      <c r="E37" t="s">
        <v>211</v>
      </c>
      <c r="I37">
        <v>4</v>
      </c>
      <c r="J37">
        <v>4</v>
      </c>
      <c r="L37" t="s">
        <v>32</v>
      </c>
      <c r="M37" t="s">
        <v>279</v>
      </c>
      <c r="N37" t="s">
        <v>37</v>
      </c>
      <c r="O37">
        <v>1</v>
      </c>
      <c r="P37" t="s">
        <v>175</v>
      </c>
      <c r="Q37" t="s">
        <v>265</v>
      </c>
      <c r="R37" t="s">
        <v>311</v>
      </c>
      <c r="S37" t="s">
        <v>265</v>
      </c>
      <c r="V37" t="s">
        <v>312</v>
      </c>
      <c r="W37">
        <v>18</v>
      </c>
      <c r="X37">
        <v>1</v>
      </c>
      <c r="Z37" s="15" cm="1">
        <f t="array" ref="Z37">VALUE(LEFT(A37, MIN(IFERROR(FIND({"o","p"}, A37), LEN(A37)+1))-1))</f>
        <v>18</v>
      </c>
    </row>
    <row r="38" spans="1:26">
      <c r="A38" t="s">
        <v>83</v>
      </c>
      <c r="C38">
        <v>55</v>
      </c>
      <c r="D38" t="s">
        <v>158</v>
      </c>
      <c r="I38">
        <v>12</v>
      </c>
      <c r="J38" t="s">
        <v>257</v>
      </c>
      <c r="L38" t="s">
        <v>35</v>
      </c>
      <c r="N38" t="s">
        <v>349</v>
      </c>
      <c r="O38">
        <v>1</v>
      </c>
      <c r="P38" t="s">
        <v>175</v>
      </c>
      <c r="Q38" t="s">
        <v>257</v>
      </c>
      <c r="R38" t="s">
        <v>175</v>
      </c>
      <c r="S38" t="s">
        <v>175</v>
      </c>
      <c r="V38" t="s">
        <v>257</v>
      </c>
      <c r="W38">
        <v>18</v>
      </c>
      <c r="X38">
        <v>2</v>
      </c>
      <c r="Z38" s="15" cm="1">
        <f t="array" ref="Z38">VALUE(LEFT(A38, MIN(IFERROR(FIND({"o","p"}, A38), LEN(A38)+1))-1))</f>
        <v>18</v>
      </c>
    </row>
    <row r="39" spans="1:26">
      <c r="A39" t="s">
        <v>84</v>
      </c>
      <c r="B39" s="22"/>
      <c r="C39">
        <v>23</v>
      </c>
      <c r="I39">
        <v>1</v>
      </c>
      <c r="J39">
        <v>0</v>
      </c>
      <c r="L39" t="s">
        <v>170</v>
      </c>
      <c r="M39" t="s">
        <v>279</v>
      </c>
      <c r="N39" t="s">
        <v>184</v>
      </c>
      <c r="O39">
        <v>1</v>
      </c>
      <c r="P39" t="s">
        <v>171</v>
      </c>
      <c r="R39" t="s">
        <v>293</v>
      </c>
      <c r="S39" t="s">
        <v>171</v>
      </c>
      <c r="V39" t="s">
        <v>298</v>
      </c>
      <c r="W39">
        <v>19</v>
      </c>
      <c r="X39">
        <v>1</v>
      </c>
      <c r="Z39" s="15" cm="1">
        <f t="array" ref="Z39">VALUE(LEFT(A39, MIN(IFERROR(FIND({"o","p"}, A39), LEN(A39)+1))-1))</f>
        <v>19</v>
      </c>
    </row>
    <row r="40" spans="1:26">
      <c r="A40" t="s">
        <v>85</v>
      </c>
      <c r="C40">
        <v>23</v>
      </c>
      <c r="I40" t="s">
        <v>257</v>
      </c>
      <c r="J40" t="s">
        <v>257</v>
      </c>
      <c r="K40" t="s">
        <v>257</v>
      </c>
      <c r="L40" t="s">
        <v>257</v>
      </c>
      <c r="M40" t="s">
        <v>257</v>
      </c>
      <c r="N40" t="s">
        <v>350</v>
      </c>
      <c r="O40">
        <v>1</v>
      </c>
      <c r="P40" t="s">
        <v>171</v>
      </c>
      <c r="Q40" t="s">
        <v>257</v>
      </c>
      <c r="R40" t="s">
        <v>257</v>
      </c>
      <c r="S40" t="s">
        <v>257</v>
      </c>
      <c r="V40" t="s">
        <v>257</v>
      </c>
      <c r="W40">
        <v>19</v>
      </c>
      <c r="X40">
        <v>2</v>
      </c>
      <c r="Z40" s="15" cm="1">
        <f t="array" ref="Z40">VALUE(LEFT(A40, MIN(IFERROR(FIND({"o","p"}, A40), LEN(A40)+1))-1))</f>
        <v>19</v>
      </c>
    </row>
    <row r="41" spans="1:26">
      <c r="A41" t="s">
        <v>86</v>
      </c>
      <c r="B41" s="22"/>
      <c r="C41">
        <v>61</v>
      </c>
      <c r="D41" t="s">
        <v>153</v>
      </c>
      <c r="I41">
        <v>4</v>
      </c>
      <c r="J41">
        <v>3</v>
      </c>
      <c r="L41" t="s">
        <v>206</v>
      </c>
      <c r="N41" t="s">
        <v>80</v>
      </c>
      <c r="O41">
        <v>2</v>
      </c>
      <c r="P41" t="s">
        <v>175</v>
      </c>
      <c r="Q41" t="s">
        <v>292</v>
      </c>
      <c r="R41" t="s">
        <v>175</v>
      </c>
      <c r="S41" t="s">
        <v>175</v>
      </c>
      <c r="V41" t="s">
        <v>262</v>
      </c>
      <c r="W41">
        <v>20</v>
      </c>
      <c r="X41">
        <v>1</v>
      </c>
      <c r="Z41" s="15" cm="1">
        <f t="array" ref="Z41">VALUE(LEFT(A41, MIN(IFERROR(FIND({"o","p"}, A41), LEN(A41)+1))-1))</f>
        <v>20</v>
      </c>
    </row>
    <row r="42" spans="1:26">
      <c r="A42" t="s">
        <v>87</v>
      </c>
      <c r="C42">
        <v>61</v>
      </c>
      <c r="I42" t="s">
        <v>257</v>
      </c>
      <c r="J42" t="s">
        <v>257</v>
      </c>
      <c r="K42" t="s">
        <v>257</v>
      </c>
      <c r="L42" t="s">
        <v>257</v>
      </c>
      <c r="M42" t="s">
        <v>257</v>
      </c>
      <c r="N42" t="s">
        <v>294</v>
      </c>
      <c r="O42">
        <v>2</v>
      </c>
      <c r="Q42" t="s">
        <v>257</v>
      </c>
      <c r="W42">
        <v>20</v>
      </c>
      <c r="X42">
        <v>2</v>
      </c>
      <c r="Z42" s="15" cm="1">
        <f t="array" ref="Z42">VALUE(LEFT(A42, MIN(IFERROR(FIND({"o","p"}, A42), LEN(A42)+1))-1))</f>
        <v>20</v>
      </c>
    </row>
    <row r="43" spans="1:26">
      <c r="A43" t="s">
        <v>88</v>
      </c>
      <c r="B43" s="22"/>
      <c r="C43">
        <v>51</v>
      </c>
      <c r="D43" t="s">
        <v>153</v>
      </c>
      <c r="I43">
        <v>7</v>
      </c>
      <c r="J43">
        <v>4</v>
      </c>
      <c r="L43" t="s">
        <v>206</v>
      </c>
      <c r="N43" t="s">
        <v>89</v>
      </c>
      <c r="O43">
        <v>1</v>
      </c>
      <c r="P43" t="s">
        <v>175</v>
      </c>
      <c r="Q43" t="s">
        <v>292</v>
      </c>
      <c r="R43" t="s">
        <v>175</v>
      </c>
      <c r="S43" t="s">
        <v>175</v>
      </c>
      <c r="V43" t="s">
        <v>351</v>
      </c>
      <c r="W43">
        <v>21</v>
      </c>
      <c r="X43">
        <v>1</v>
      </c>
      <c r="Z43" s="15" cm="1">
        <f t="array" ref="Z43">VALUE(LEFT(A43, MIN(IFERROR(FIND({"o","p"}, A43), LEN(A43)+1))-1))</f>
        <v>21</v>
      </c>
    </row>
    <row r="44" spans="1:26">
      <c r="A44" t="s">
        <v>90</v>
      </c>
      <c r="C44">
        <v>51</v>
      </c>
      <c r="L44" t="s">
        <v>257</v>
      </c>
      <c r="N44" t="s">
        <v>185</v>
      </c>
      <c r="O44">
        <v>1</v>
      </c>
      <c r="P44" t="s">
        <v>171</v>
      </c>
      <c r="R44" t="s">
        <v>257</v>
      </c>
      <c r="S44" t="s">
        <v>257</v>
      </c>
      <c r="V44" t="s">
        <v>257</v>
      </c>
      <c r="W44">
        <v>21</v>
      </c>
      <c r="X44">
        <v>2</v>
      </c>
      <c r="Z44" s="15" cm="1">
        <f t="array" ref="Z44">VALUE(LEFT(A44, MIN(IFERROR(FIND({"o","p"}, A44), LEN(A44)+1))-1))</f>
        <v>21</v>
      </c>
    </row>
    <row r="45" spans="1:26">
      <c r="A45" t="s">
        <v>91</v>
      </c>
      <c r="B45" s="22"/>
      <c r="C45">
        <v>50</v>
      </c>
      <c r="D45" t="s">
        <v>154</v>
      </c>
      <c r="I45">
        <v>1</v>
      </c>
      <c r="J45">
        <v>0</v>
      </c>
      <c r="L45" t="s">
        <v>170</v>
      </c>
      <c r="M45" t="s">
        <v>204</v>
      </c>
      <c r="N45" t="s">
        <v>186</v>
      </c>
      <c r="O45">
        <v>1</v>
      </c>
      <c r="P45" t="s">
        <v>171</v>
      </c>
      <c r="R45" t="s">
        <v>171</v>
      </c>
      <c r="S45" t="s">
        <v>171</v>
      </c>
      <c r="V45" t="s">
        <v>313</v>
      </c>
      <c r="W45">
        <v>22</v>
      </c>
      <c r="X45">
        <v>1</v>
      </c>
      <c r="Z45" s="15" cm="1">
        <f t="array" ref="Z45">VALUE(LEFT(A45, MIN(IFERROR(FIND({"o","p"}, A45), LEN(A45)+1))-1))</f>
        <v>22</v>
      </c>
    </row>
    <row r="46" spans="1:26">
      <c r="A46" t="s">
        <v>92</v>
      </c>
      <c r="C46">
        <v>50</v>
      </c>
      <c r="D46" t="s">
        <v>153</v>
      </c>
      <c r="E46" t="s">
        <v>159</v>
      </c>
      <c r="F46" t="s">
        <v>163</v>
      </c>
      <c r="I46">
        <v>16</v>
      </c>
      <c r="L46" t="s">
        <v>206</v>
      </c>
      <c r="N46" t="s">
        <v>257</v>
      </c>
      <c r="O46">
        <v>1</v>
      </c>
      <c r="P46" t="s">
        <v>171</v>
      </c>
      <c r="R46" t="s">
        <v>171</v>
      </c>
      <c r="S46" t="s">
        <v>171</v>
      </c>
      <c r="T46" t="s">
        <v>257</v>
      </c>
      <c r="V46" t="s">
        <v>257</v>
      </c>
      <c r="W46">
        <v>22</v>
      </c>
      <c r="X46">
        <v>2</v>
      </c>
      <c r="Z46" s="15" cm="1">
        <f t="array" ref="Z46">VALUE(LEFT(A46, MIN(IFERROR(FIND({"o","p"}, A46), LEN(A46)+1))-1))</f>
        <v>22</v>
      </c>
    </row>
    <row r="47" spans="1:26">
      <c r="A47" t="s">
        <v>93</v>
      </c>
      <c r="B47" s="22"/>
      <c r="C47">
        <v>61</v>
      </c>
      <c r="D47" t="s">
        <v>154</v>
      </c>
      <c r="I47">
        <v>1</v>
      </c>
      <c r="J47">
        <v>0</v>
      </c>
      <c r="L47" t="s">
        <v>206</v>
      </c>
      <c r="M47" t="s">
        <v>33</v>
      </c>
      <c r="N47" t="s">
        <v>315</v>
      </c>
      <c r="O47">
        <v>2</v>
      </c>
      <c r="P47" t="s">
        <v>171</v>
      </c>
      <c r="R47" t="s">
        <v>293</v>
      </c>
      <c r="S47" t="s">
        <v>175</v>
      </c>
      <c r="V47" t="s">
        <v>298</v>
      </c>
      <c r="W47">
        <v>23</v>
      </c>
      <c r="X47">
        <v>1</v>
      </c>
      <c r="Z47" s="15" cm="1">
        <f t="array" ref="Z47">VALUE(LEFT(A47, MIN(IFERROR(FIND({"o","p"}, A47), LEN(A47)+1))-1))</f>
        <v>23</v>
      </c>
    </row>
    <row r="48" spans="1:26">
      <c r="A48" t="s">
        <v>94</v>
      </c>
      <c r="C48">
        <v>61</v>
      </c>
      <c r="L48" t="s">
        <v>247</v>
      </c>
      <c r="N48" t="s">
        <v>187</v>
      </c>
      <c r="O48">
        <v>1</v>
      </c>
      <c r="P48" t="s">
        <v>171</v>
      </c>
      <c r="R48" t="s">
        <v>188</v>
      </c>
      <c r="S48" t="s">
        <v>171</v>
      </c>
      <c r="V48" t="s">
        <v>293</v>
      </c>
      <c r="W48">
        <v>23</v>
      </c>
      <c r="X48">
        <v>2</v>
      </c>
      <c r="Z48" s="15" cm="1">
        <f t="array" ref="Z48">VALUE(LEFT(A48, MIN(IFERROR(FIND({"o","p"}, A48), LEN(A48)+1))-1))</f>
        <v>23</v>
      </c>
    </row>
    <row r="49" spans="1:26">
      <c r="A49" t="s">
        <v>95</v>
      </c>
      <c r="B49" s="22"/>
      <c r="C49">
        <v>55</v>
      </c>
      <c r="D49" t="s">
        <v>214</v>
      </c>
      <c r="I49">
        <v>15</v>
      </c>
      <c r="J49">
        <v>9</v>
      </c>
      <c r="K49" t="s">
        <v>316</v>
      </c>
      <c r="L49" t="s">
        <v>32</v>
      </c>
      <c r="N49" t="s">
        <v>352</v>
      </c>
      <c r="O49">
        <v>2</v>
      </c>
      <c r="P49" t="s">
        <v>175</v>
      </c>
      <c r="Q49" t="s">
        <v>268</v>
      </c>
      <c r="R49" t="s">
        <v>245</v>
      </c>
      <c r="S49" t="s">
        <v>269</v>
      </c>
      <c r="V49" t="s">
        <v>189</v>
      </c>
      <c r="W49">
        <v>24</v>
      </c>
      <c r="X49">
        <v>1</v>
      </c>
      <c r="Z49" s="15" cm="1">
        <f t="array" ref="Z49">VALUE(LEFT(A49, MIN(IFERROR(FIND({"o","p"}, A49), LEN(A49)+1))-1))</f>
        <v>24</v>
      </c>
    </row>
    <row r="50" spans="1:26">
      <c r="A50" t="s">
        <v>96</v>
      </c>
      <c r="C50">
        <v>55</v>
      </c>
      <c r="D50" t="s">
        <v>158</v>
      </c>
      <c r="E50" t="s">
        <v>160</v>
      </c>
      <c r="G50" t="s">
        <v>270</v>
      </c>
      <c r="I50" t="s">
        <v>317</v>
      </c>
      <c r="J50" t="s">
        <v>257</v>
      </c>
      <c r="L50" t="s">
        <v>181</v>
      </c>
      <c r="N50" t="s">
        <v>165</v>
      </c>
      <c r="O50" t="s">
        <v>271</v>
      </c>
      <c r="P50" t="s">
        <v>175</v>
      </c>
      <c r="Q50" t="s">
        <v>318</v>
      </c>
      <c r="R50" t="s">
        <v>353</v>
      </c>
      <c r="S50" t="s">
        <v>353</v>
      </c>
      <c r="V50" t="s">
        <v>257</v>
      </c>
      <c r="W50">
        <v>24</v>
      </c>
      <c r="X50">
        <v>2</v>
      </c>
      <c r="Z50" s="15" cm="1">
        <f t="array" ref="Z50">VALUE(LEFT(A50, MIN(IFERROR(FIND({"o","p"}, A50), LEN(A50)+1))-1))</f>
        <v>24</v>
      </c>
    </row>
    <row r="51" spans="1:26">
      <c r="A51" t="s">
        <v>97</v>
      </c>
      <c r="B51" s="22"/>
      <c r="C51">
        <v>42</v>
      </c>
      <c r="D51" t="s">
        <v>155</v>
      </c>
      <c r="L51" t="s">
        <v>32</v>
      </c>
      <c r="N51" t="s">
        <v>80</v>
      </c>
      <c r="O51">
        <v>1</v>
      </c>
      <c r="P51" t="s">
        <v>188</v>
      </c>
      <c r="R51" t="s">
        <v>188</v>
      </c>
      <c r="S51" t="s">
        <v>188</v>
      </c>
      <c r="V51" t="s">
        <v>266</v>
      </c>
      <c r="W51">
        <v>25</v>
      </c>
      <c r="X51">
        <v>1</v>
      </c>
      <c r="Z51" s="15" cm="1">
        <f t="array" ref="Z51">VALUE(LEFT(A51, MIN(IFERROR(FIND({"o","p"}, A51), LEN(A51)+1))-1))</f>
        <v>25</v>
      </c>
    </row>
    <row r="52" spans="1:26">
      <c r="A52" t="s">
        <v>98</v>
      </c>
      <c r="C52">
        <v>42</v>
      </c>
      <c r="D52" t="s">
        <v>153</v>
      </c>
      <c r="I52">
        <v>1</v>
      </c>
      <c r="L52" t="s">
        <v>206</v>
      </c>
      <c r="N52" t="s">
        <v>99</v>
      </c>
      <c r="O52">
        <v>1</v>
      </c>
      <c r="W52">
        <v>25</v>
      </c>
      <c r="X52">
        <v>2</v>
      </c>
      <c r="Z52" s="15" cm="1">
        <f t="array" ref="Z52">VALUE(LEFT(A52, MIN(IFERROR(FIND({"o","p"}, A52), LEN(A52)+1))-1))</f>
        <v>25</v>
      </c>
    </row>
    <row r="53" spans="1:26">
      <c r="A53" t="s">
        <v>100</v>
      </c>
      <c r="B53" s="22"/>
      <c r="C53">
        <v>73</v>
      </c>
      <c r="D53" t="s">
        <v>153</v>
      </c>
      <c r="I53">
        <v>1</v>
      </c>
      <c r="J53">
        <v>0</v>
      </c>
      <c r="L53" t="s">
        <v>206</v>
      </c>
      <c r="M53" t="s">
        <v>204</v>
      </c>
      <c r="N53" t="s">
        <v>80</v>
      </c>
      <c r="O53">
        <v>1</v>
      </c>
      <c r="P53" t="s">
        <v>171</v>
      </c>
      <c r="R53" t="s">
        <v>272</v>
      </c>
      <c r="S53" t="s">
        <v>272</v>
      </c>
      <c r="V53" t="s">
        <v>319</v>
      </c>
      <c r="W53">
        <v>26</v>
      </c>
      <c r="X53">
        <v>1</v>
      </c>
      <c r="Z53" s="15" cm="1">
        <f t="array" ref="Z53">VALUE(LEFT(A53, MIN(IFERROR(FIND({"o","p"}, A53), LEN(A53)+1))-1))</f>
        <v>26</v>
      </c>
    </row>
    <row r="54" spans="1:26">
      <c r="A54" t="s">
        <v>101</v>
      </c>
      <c r="C54">
        <v>73</v>
      </c>
      <c r="D54" t="s">
        <v>153</v>
      </c>
      <c r="E54" t="s">
        <v>250</v>
      </c>
      <c r="F54" t="s">
        <v>251</v>
      </c>
      <c r="I54" t="s">
        <v>257</v>
      </c>
      <c r="J54" t="s">
        <v>257</v>
      </c>
      <c r="K54" t="s">
        <v>257</v>
      </c>
      <c r="L54" t="s">
        <v>320</v>
      </c>
      <c r="N54" t="s">
        <v>99</v>
      </c>
      <c r="O54">
        <v>1</v>
      </c>
      <c r="P54" t="s">
        <v>175</v>
      </c>
      <c r="Q54" t="s">
        <v>257</v>
      </c>
      <c r="R54" t="s">
        <v>175</v>
      </c>
      <c r="S54" t="s">
        <v>321</v>
      </c>
      <c r="V54" t="s">
        <v>257</v>
      </c>
      <c r="W54">
        <v>26</v>
      </c>
      <c r="X54">
        <v>2</v>
      </c>
      <c r="Z54" s="15" cm="1">
        <f t="array" ref="Z54">VALUE(LEFT(A54, MIN(IFERROR(FIND({"o","p"}, A54), LEN(A54)+1))-1))</f>
        <v>26</v>
      </c>
    </row>
    <row r="55" spans="1:26">
      <c r="A55" t="s">
        <v>102</v>
      </c>
      <c r="B55" s="22"/>
      <c r="C55">
        <v>39</v>
      </c>
      <c r="D55" t="s">
        <v>154</v>
      </c>
      <c r="I55">
        <v>2</v>
      </c>
      <c r="J55">
        <v>1</v>
      </c>
      <c r="L55" t="s">
        <v>32</v>
      </c>
      <c r="N55" t="s">
        <v>322</v>
      </c>
      <c r="O55">
        <v>2</v>
      </c>
      <c r="P55" t="s">
        <v>171</v>
      </c>
      <c r="R55" t="s">
        <v>171</v>
      </c>
      <c r="S55" t="s">
        <v>171</v>
      </c>
      <c r="V55" t="s">
        <v>323</v>
      </c>
      <c r="W55">
        <v>27</v>
      </c>
      <c r="X55">
        <v>1</v>
      </c>
      <c r="Z55" s="15" cm="1">
        <f t="array" ref="Z55">VALUE(LEFT(A55, MIN(IFERROR(FIND({"o","p"}, A55), LEN(A55)+1))-1))</f>
        <v>27</v>
      </c>
    </row>
    <row r="56" spans="1:26">
      <c r="A56" t="s">
        <v>103</v>
      </c>
      <c r="C56">
        <v>39</v>
      </c>
      <c r="L56" t="s">
        <v>324</v>
      </c>
      <c r="N56" t="s">
        <v>176</v>
      </c>
      <c r="O56">
        <v>1</v>
      </c>
      <c r="W56">
        <v>27</v>
      </c>
      <c r="X56">
        <v>2</v>
      </c>
      <c r="Z56" s="15" cm="1">
        <f t="array" ref="Z56">VALUE(LEFT(A56, MIN(IFERROR(FIND({"o","p"}, A56), LEN(A56)+1))-1))</f>
        <v>27</v>
      </c>
    </row>
    <row r="57" spans="1:26">
      <c r="A57" t="s">
        <v>104</v>
      </c>
      <c r="B57" s="22"/>
      <c r="C57">
        <v>57</v>
      </c>
      <c r="D57" t="s">
        <v>154</v>
      </c>
      <c r="I57">
        <v>5</v>
      </c>
      <c r="J57">
        <v>1</v>
      </c>
      <c r="K57">
        <v>2.5</v>
      </c>
      <c r="L57" t="s">
        <v>32</v>
      </c>
      <c r="N57" t="s">
        <v>325</v>
      </c>
      <c r="O57">
        <v>2</v>
      </c>
      <c r="P57" t="s">
        <v>171</v>
      </c>
      <c r="R57" t="s">
        <v>314</v>
      </c>
      <c r="S57" t="s">
        <v>171</v>
      </c>
      <c r="V57" t="s">
        <v>274</v>
      </c>
      <c r="W57">
        <v>28</v>
      </c>
      <c r="X57">
        <v>1</v>
      </c>
      <c r="Z57" s="15" cm="1">
        <f t="array" ref="Z57">VALUE(LEFT(A57, MIN(IFERROR(FIND({"o","p"}, A57), LEN(A57)+1))-1))</f>
        <v>28</v>
      </c>
    </row>
    <row r="58" spans="1:26">
      <c r="A58" t="s">
        <v>105</v>
      </c>
      <c r="C58">
        <v>57</v>
      </c>
      <c r="D58" t="s">
        <v>153</v>
      </c>
      <c r="E58" t="s">
        <v>250</v>
      </c>
      <c r="F58" t="s">
        <v>251</v>
      </c>
      <c r="I58" t="s">
        <v>257</v>
      </c>
      <c r="J58" t="s">
        <v>257</v>
      </c>
      <c r="L58" t="s">
        <v>181</v>
      </c>
      <c r="N58" t="s">
        <v>185</v>
      </c>
      <c r="O58">
        <v>1</v>
      </c>
      <c r="P58" t="s">
        <v>257</v>
      </c>
      <c r="Q58" t="s">
        <v>257</v>
      </c>
      <c r="R58" t="s">
        <v>257</v>
      </c>
      <c r="S58" t="s">
        <v>257</v>
      </c>
      <c r="V58" t="s">
        <v>257</v>
      </c>
      <c r="W58">
        <v>28</v>
      </c>
      <c r="X58">
        <v>2</v>
      </c>
      <c r="Z58" s="15" cm="1">
        <f t="array" ref="Z58">VALUE(LEFT(A58, MIN(IFERROR(FIND({"o","p"}, A58), LEN(A58)+1))-1))</f>
        <v>28</v>
      </c>
    </row>
    <row r="59" spans="1:26">
      <c r="A59" t="s">
        <v>106</v>
      </c>
      <c r="B59" s="22"/>
      <c r="C59">
        <v>63</v>
      </c>
      <c r="D59" t="s">
        <v>154</v>
      </c>
      <c r="I59">
        <v>5</v>
      </c>
      <c r="L59" t="s">
        <v>32</v>
      </c>
      <c r="M59" t="s">
        <v>279</v>
      </c>
      <c r="N59" t="s">
        <v>190</v>
      </c>
      <c r="O59">
        <v>1</v>
      </c>
      <c r="P59" t="s">
        <v>171</v>
      </c>
      <c r="R59" t="s">
        <v>293</v>
      </c>
      <c r="S59" t="s">
        <v>171</v>
      </c>
      <c r="V59" t="s">
        <v>298</v>
      </c>
      <c r="W59">
        <v>29</v>
      </c>
      <c r="X59">
        <v>1</v>
      </c>
      <c r="Z59" s="15" cm="1">
        <f t="array" ref="Z59">VALUE(LEFT(A59, MIN(IFERROR(FIND({"o","p"}, A59), LEN(A59)+1))-1))</f>
        <v>29</v>
      </c>
    </row>
    <row r="60" spans="1:26">
      <c r="A60" t="s">
        <v>107</v>
      </c>
      <c r="C60">
        <v>63</v>
      </c>
      <c r="D60" t="s">
        <v>261</v>
      </c>
      <c r="L60" t="s">
        <v>35</v>
      </c>
      <c r="O60">
        <v>1</v>
      </c>
      <c r="P60" t="s">
        <v>171</v>
      </c>
      <c r="R60" t="s">
        <v>171</v>
      </c>
      <c r="S60" t="s">
        <v>171</v>
      </c>
      <c r="V60" t="s">
        <v>171</v>
      </c>
      <c r="W60">
        <v>29</v>
      </c>
      <c r="X60">
        <v>2</v>
      </c>
      <c r="Z60" s="15" cm="1">
        <f t="array" ref="Z60">VALUE(LEFT(A60, MIN(IFERROR(FIND({"o","p"}, A60), LEN(A60)+1))-1))</f>
        <v>29</v>
      </c>
    </row>
    <row r="61" spans="1:26">
      <c r="A61" t="s">
        <v>108</v>
      </c>
      <c r="B61" s="22"/>
      <c r="C61">
        <v>39</v>
      </c>
      <c r="D61" t="s">
        <v>209</v>
      </c>
      <c r="I61">
        <v>24</v>
      </c>
      <c r="J61">
        <v>3</v>
      </c>
      <c r="K61" t="s">
        <v>191</v>
      </c>
      <c r="L61" t="s">
        <v>32</v>
      </c>
      <c r="M61" t="s">
        <v>174</v>
      </c>
      <c r="N61" t="s">
        <v>326</v>
      </c>
      <c r="O61">
        <v>1</v>
      </c>
      <c r="P61" t="s">
        <v>175</v>
      </c>
      <c r="R61" t="s">
        <v>171</v>
      </c>
      <c r="S61" t="s">
        <v>171</v>
      </c>
      <c r="V61" t="s">
        <v>354</v>
      </c>
      <c r="W61">
        <v>30</v>
      </c>
      <c r="X61">
        <v>1</v>
      </c>
      <c r="Z61" s="15" cm="1">
        <f t="array" ref="Z61">VALUE(LEFT(A61, MIN(IFERROR(FIND({"o","p"}, A61), LEN(A61)+1))-1))</f>
        <v>30</v>
      </c>
    </row>
    <row r="62" spans="1:26">
      <c r="A62" t="s">
        <v>109</v>
      </c>
      <c r="C62">
        <v>39</v>
      </c>
      <c r="D62" t="s">
        <v>153</v>
      </c>
      <c r="E62" t="s">
        <v>160</v>
      </c>
      <c r="J62">
        <v>1</v>
      </c>
      <c r="L62" t="s">
        <v>181</v>
      </c>
      <c r="O62">
        <v>1</v>
      </c>
      <c r="P62" t="s">
        <v>171</v>
      </c>
      <c r="R62" t="s">
        <v>188</v>
      </c>
      <c r="S62" t="s">
        <v>171</v>
      </c>
      <c r="V62" t="s">
        <v>293</v>
      </c>
      <c r="W62">
        <v>30</v>
      </c>
      <c r="X62">
        <v>2</v>
      </c>
      <c r="Z62" s="15" cm="1">
        <f t="array" ref="Z62">VALUE(LEFT(A62, MIN(IFERROR(FIND({"o","p"}, A62), LEN(A62)+1))-1))</f>
        <v>30</v>
      </c>
    </row>
    <row r="63" spans="1:26">
      <c r="A63" t="s">
        <v>110</v>
      </c>
      <c r="B63" s="22"/>
      <c r="I63">
        <v>1</v>
      </c>
      <c r="J63">
        <v>1</v>
      </c>
      <c r="K63" t="s">
        <v>152</v>
      </c>
      <c r="L63" t="s">
        <v>206</v>
      </c>
      <c r="M63" t="s">
        <v>33</v>
      </c>
      <c r="N63" t="s">
        <v>327</v>
      </c>
      <c r="O63" t="s">
        <v>328</v>
      </c>
      <c r="R63" t="s">
        <v>175</v>
      </c>
      <c r="S63" t="s">
        <v>175</v>
      </c>
      <c r="V63" t="s">
        <v>275</v>
      </c>
      <c r="W63">
        <v>31</v>
      </c>
      <c r="X63">
        <v>1</v>
      </c>
      <c r="Z63" s="15" cm="1">
        <f t="array" ref="Z63">VALUE(LEFT(A63, MIN(IFERROR(FIND({"o","p"}, A63), LEN(A63)+1))-1))</f>
        <v>31</v>
      </c>
    </row>
    <row r="64" spans="1:26">
      <c r="A64" t="s">
        <v>111</v>
      </c>
      <c r="B64" s="23"/>
      <c r="C64">
        <v>60</v>
      </c>
      <c r="D64" t="s">
        <v>158</v>
      </c>
      <c r="G64" t="s">
        <v>355</v>
      </c>
      <c r="L64" t="s">
        <v>257</v>
      </c>
      <c r="M64" t="s">
        <v>257</v>
      </c>
      <c r="N64" t="s">
        <v>180</v>
      </c>
      <c r="O64">
        <v>1</v>
      </c>
      <c r="P64" t="s">
        <v>175</v>
      </c>
      <c r="Q64" t="s">
        <v>329</v>
      </c>
      <c r="R64" t="s">
        <v>330</v>
      </c>
      <c r="S64" t="s">
        <v>175</v>
      </c>
      <c r="V64" t="s">
        <v>356</v>
      </c>
      <c r="W64">
        <v>31</v>
      </c>
      <c r="X64">
        <v>2</v>
      </c>
      <c r="Z64" s="15" cm="1">
        <f t="array" ref="Z64">VALUE(LEFT(A64, MIN(IFERROR(FIND({"o","p"}, A64), LEN(A64)+1))-1))</f>
        <v>31</v>
      </c>
    </row>
    <row r="65" spans="1:26">
      <c r="A65" t="s">
        <v>112</v>
      </c>
      <c r="B65" s="22"/>
      <c r="D65" t="s">
        <v>158</v>
      </c>
      <c r="G65" t="s">
        <v>331</v>
      </c>
      <c r="I65">
        <v>12</v>
      </c>
      <c r="J65">
        <v>4</v>
      </c>
      <c r="K65" t="s">
        <v>246</v>
      </c>
      <c r="L65" t="s">
        <v>113</v>
      </c>
      <c r="N65" t="s">
        <v>246</v>
      </c>
      <c r="O65">
        <v>1</v>
      </c>
      <c r="P65" t="s">
        <v>175</v>
      </c>
      <c r="Q65" t="s">
        <v>292</v>
      </c>
      <c r="R65" t="s">
        <v>175</v>
      </c>
      <c r="S65" t="s">
        <v>332</v>
      </c>
      <c r="V65" t="s">
        <v>333</v>
      </c>
      <c r="W65">
        <v>32</v>
      </c>
      <c r="X65">
        <v>1</v>
      </c>
      <c r="Z65" s="15" cm="1">
        <f t="array" ref="Z65">VALUE(LEFT(A65, MIN(IFERROR(FIND({"o","p"}, A65), LEN(A65)+1))-1))</f>
        <v>32</v>
      </c>
    </row>
    <row r="66" spans="1:26">
      <c r="A66" t="s">
        <v>114</v>
      </c>
      <c r="B66" s="23"/>
      <c r="C66">
        <v>72</v>
      </c>
      <c r="D66" t="s">
        <v>158</v>
      </c>
      <c r="L66" t="s">
        <v>247</v>
      </c>
      <c r="N66" t="s">
        <v>334</v>
      </c>
      <c r="O66">
        <v>1</v>
      </c>
      <c r="P66" t="s">
        <v>175</v>
      </c>
      <c r="Q66" t="s">
        <v>292</v>
      </c>
      <c r="R66" t="s">
        <v>175</v>
      </c>
      <c r="S66" t="s">
        <v>175</v>
      </c>
      <c r="V66" t="s">
        <v>278</v>
      </c>
      <c r="W66">
        <v>32</v>
      </c>
      <c r="X66">
        <v>2</v>
      </c>
      <c r="Z66" s="15" cm="1">
        <f t="array" ref="Z66">VALUE(LEFT(A66, MIN(IFERROR(FIND({"o","p"}, A66), LEN(A66)+1))-1))</f>
        <v>32</v>
      </c>
    </row>
    <row r="67" spans="1:26">
      <c r="A67" t="s">
        <v>115</v>
      </c>
      <c r="B67" s="22"/>
      <c r="D67" t="s">
        <v>154</v>
      </c>
      <c r="L67" t="s">
        <v>206</v>
      </c>
      <c r="N67" t="s">
        <v>48</v>
      </c>
      <c r="O67">
        <v>1</v>
      </c>
      <c r="P67" t="s">
        <v>171</v>
      </c>
      <c r="R67" t="s">
        <v>293</v>
      </c>
      <c r="S67" t="s">
        <v>171</v>
      </c>
      <c r="V67" t="s">
        <v>357</v>
      </c>
      <c r="W67">
        <v>33</v>
      </c>
      <c r="X67">
        <v>1</v>
      </c>
      <c r="Z67" s="15" cm="1">
        <f t="array" ref="Z67">VALUE(LEFT(A67, MIN(IFERROR(FIND({"o","p"}, A67), LEN(A67)+1))-1))</f>
        <v>33</v>
      </c>
    </row>
    <row r="68" spans="1:26">
      <c r="A68" t="s">
        <v>116</v>
      </c>
      <c r="B68" s="23"/>
      <c r="C68">
        <v>41</v>
      </c>
      <c r="F68" t="s">
        <v>164</v>
      </c>
      <c r="H68" t="s">
        <v>335</v>
      </c>
      <c r="L68" t="s">
        <v>273</v>
      </c>
      <c r="N68" t="s">
        <v>336</v>
      </c>
      <c r="O68">
        <v>2</v>
      </c>
      <c r="P68" t="s">
        <v>175</v>
      </c>
      <c r="Q68" t="s">
        <v>292</v>
      </c>
      <c r="R68" t="s">
        <v>175</v>
      </c>
      <c r="S68" t="s">
        <v>175</v>
      </c>
      <c r="V68" t="s">
        <v>278</v>
      </c>
      <c r="W68">
        <v>33</v>
      </c>
      <c r="X68">
        <v>2</v>
      </c>
      <c r="Z68" s="15" cm="1">
        <f t="array" ref="Z68">VALUE(LEFT(A68, MIN(IFERROR(FIND({"o","p"}, A68), LEN(A68)+1))-1))</f>
        <v>33</v>
      </c>
    </row>
    <row r="69" spans="1:26">
      <c r="A69" t="s">
        <v>117</v>
      </c>
      <c r="B69" s="22"/>
      <c r="D69" t="s">
        <v>214</v>
      </c>
      <c r="L69" t="s">
        <v>32</v>
      </c>
      <c r="M69" t="s">
        <v>337</v>
      </c>
      <c r="N69" t="s">
        <v>192</v>
      </c>
      <c r="P69" t="s">
        <v>358</v>
      </c>
      <c r="Q69" t="s">
        <v>359</v>
      </c>
      <c r="R69" t="s">
        <v>333</v>
      </c>
      <c r="S69" t="s">
        <v>175</v>
      </c>
      <c r="V69" t="s">
        <v>311</v>
      </c>
      <c r="W69">
        <v>34</v>
      </c>
      <c r="X69">
        <v>1</v>
      </c>
      <c r="Z69" s="15" cm="1">
        <f t="array" ref="Z69">VALUE(LEFT(A69, MIN(IFERROR(FIND({"o","p"}, A69), LEN(A69)+1))-1))</f>
        <v>34</v>
      </c>
    </row>
    <row r="70" spans="1:26">
      <c r="A70" t="s">
        <v>118</v>
      </c>
      <c r="B70" s="23"/>
      <c r="C70">
        <v>63</v>
      </c>
      <c r="D70" t="s">
        <v>157</v>
      </c>
      <c r="L70" t="s">
        <v>206</v>
      </c>
      <c r="N70" t="s">
        <v>193</v>
      </c>
      <c r="O70">
        <v>1</v>
      </c>
      <c r="P70" t="s">
        <v>175</v>
      </c>
      <c r="Q70" t="s">
        <v>292</v>
      </c>
      <c r="R70" t="s">
        <v>175</v>
      </c>
      <c r="S70" t="s">
        <v>175</v>
      </c>
      <c r="V70" t="s">
        <v>262</v>
      </c>
      <c r="W70">
        <v>34</v>
      </c>
      <c r="X70">
        <v>2</v>
      </c>
      <c r="Z70" s="15" cm="1">
        <f t="array" ref="Z70">VALUE(LEFT(A70, MIN(IFERROR(FIND({"o","p"}, A70), LEN(A70)+1))-1))</f>
        <v>34</v>
      </c>
    </row>
    <row r="71" spans="1:26">
      <c r="A71" t="s">
        <v>119</v>
      </c>
      <c r="B71" s="22"/>
      <c r="G71" t="s">
        <v>338</v>
      </c>
      <c r="I71">
        <v>35</v>
      </c>
      <c r="J71">
        <v>7</v>
      </c>
      <c r="L71" t="s">
        <v>206</v>
      </c>
      <c r="M71" t="s">
        <v>207</v>
      </c>
      <c r="P71" t="s">
        <v>175</v>
      </c>
      <c r="Q71" t="s">
        <v>171</v>
      </c>
      <c r="R71" t="s">
        <v>360</v>
      </c>
      <c r="S71" t="s">
        <v>175</v>
      </c>
      <c r="V71" t="s">
        <v>360</v>
      </c>
      <c r="W71">
        <v>35</v>
      </c>
      <c r="X71">
        <v>1</v>
      </c>
      <c r="Z71" s="15" cm="1">
        <f t="array" ref="Z71">VALUE(LEFT(A71, MIN(IFERROR(FIND({"o","p"}, A71), LEN(A71)+1))-1))</f>
        <v>35</v>
      </c>
    </row>
    <row r="72" spans="1:26">
      <c r="A72" t="s">
        <v>120</v>
      </c>
      <c r="B72" s="23"/>
      <c r="C72">
        <v>62</v>
      </c>
      <c r="D72" t="s">
        <v>158</v>
      </c>
      <c r="E72" t="s">
        <v>250</v>
      </c>
      <c r="F72" t="s">
        <v>164</v>
      </c>
      <c r="H72" t="s">
        <v>339</v>
      </c>
      <c r="L72" t="s">
        <v>181</v>
      </c>
      <c r="N72" t="s">
        <v>180</v>
      </c>
      <c r="O72">
        <v>1</v>
      </c>
      <c r="P72" t="s">
        <v>175</v>
      </c>
      <c r="Q72" t="s">
        <v>292</v>
      </c>
      <c r="R72" t="s">
        <v>175</v>
      </c>
      <c r="S72" t="s">
        <v>175</v>
      </c>
      <c r="V72" t="s">
        <v>278</v>
      </c>
      <c r="W72">
        <v>35</v>
      </c>
      <c r="X72">
        <v>2</v>
      </c>
      <c r="Z72" s="15" cm="1">
        <f t="array" ref="Z72">VALUE(LEFT(A72, MIN(IFERROR(FIND({"o","p"}, A72), LEN(A72)+1))-1))</f>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6B7BF-4793-40D9-B3B5-825389DF0028}">
  <sheetPr codeName="Sheet2"/>
  <dimension ref="A1:B28"/>
  <sheetViews>
    <sheetView workbookViewId="0"/>
  </sheetViews>
  <sheetFormatPr defaultColWidth="9" defaultRowHeight="13.9"/>
  <cols>
    <col min="1" max="1" width="16.6640625" style="1" bestFit="1" customWidth="1"/>
    <col min="2" max="2" width="82.1328125" style="1" bestFit="1" customWidth="1"/>
    <col min="3" max="16384" width="9" style="1"/>
  </cols>
  <sheetData>
    <row r="1" spans="1:2">
      <c r="A1" s="2" t="s">
        <v>121</v>
      </c>
      <c r="B1" s="2" t="s">
        <v>122</v>
      </c>
    </row>
    <row r="2" spans="1:2">
      <c r="A2" s="1" t="s">
        <v>2</v>
      </c>
      <c r="B2" s="1" t="s">
        <v>123</v>
      </c>
    </row>
    <row r="3" spans="1:2">
      <c r="A3" s="1" t="s">
        <v>3</v>
      </c>
      <c r="B3" s="1" t="s">
        <v>124</v>
      </c>
    </row>
    <row r="4" spans="1:2">
      <c r="A4" s="1" t="s">
        <v>4</v>
      </c>
      <c r="B4" s="1" t="s">
        <v>125</v>
      </c>
    </row>
    <row r="5" spans="1:2">
      <c r="A5" s="1" t="s">
        <v>5</v>
      </c>
      <c r="B5" s="1" t="s">
        <v>126</v>
      </c>
    </row>
    <row r="6" spans="1:2">
      <c r="A6" s="1" t="s">
        <v>6</v>
      </c>
      <c r="B6" s="1" t="s">
        <v>127</v>
      </c>
    </row>
    <row r="7" spans="1:2">
      <c r="A7" s="1" t="s">
        <v>7</v>
      </c>
      <c r="B7" s="1" t="s">
        <v>128</v>
      </c>
    </row>
    <row r="8" spans="1:2">
      <c r="A8" s="1" t="s">
        <v>10</v>
      </c>
      <c r="B8" s="1" t="s">
        <v>129</v>
      </c>
    </row>
    <row r="9" spans="1:2">
      <c r="A9" s="1" t="s">
        <v>12</v>
      </c>
      <c r="B9" s="1" t="s">
        <v>130</v>
      </c>
    </row>
    <row r="10" spans="1:2">
      <c r="A10" s="1" t="s">
        <v>13</v>
      </c>
      <c r="B10" s="1" t="s">
        <v>131</v>
      </c>
    </row>
    <row r="11" spans="1:2">
      <c r="A11" s="1" t="s">
        <v>14</v>
      </c>
      <c r="B11" s="1" t="s">
        <v>132</v>
      </c>
    </row>
    <row r="12" spans="1:2">
      <c r="A12" s="1" t="s">
        <v>15</v>
      </c>
      <c r="B12" s="1" t="s">
        <v>133</v>
      </c>
    </row>
    <row r="13" spans="1:2">
      <c r="A13" s="1" t="s">
        <v>16</v>
      </c>
      <c r="B13" s="1" t="s">
        <v>134</v>
      </c>
    </row>
    <row r="14" spans="1:2">
      <c r="A14" s="1" t="s">
        <v>18</v>
      </c>
      <c r="B14" s="1" t="s">
        <v>135</v>
      </c>
    </row>
    <row r="15" spans="1:2">
      <c r="A15" s="1" t="s">
        <v>19</v>
      </c>
      <c r="B15" s="1" t="s">
        <v>136</v>
      </c>
    </row>
    <row r="16" spans="1:2">
      <c r="A16" s="1" t="s">
        <v>20</v>
      </c>
      <c r="B16" s="1" t="s">
        <v>137</v>
      </c>
    </row>
    <row r="17" spans="1:2">
      <c r="A17" s="1" t="s">
        <v>21</v>
      </c>
      <c r="B17" s="1" t="s">
        <v>21</v>
      </c>
    </row>
    <row r="18" spans="1:2">
      <c r="A18" s="1" t="s">
        <v>22</v>
      </c>
      <c r="B18" s="1" t="s">
        <v>138</v>
      </c>
    </row>
    <row r="19" spans="1:2">
      <c r="A19" s="1" t="s">
        <v>23</v>
      </c>
      <c r="B19" s="1" t="s">
        <v>139</v>
      </c>
    </row>
    <row r="20" spans="1:2">
      <c r="A20" s="1" t="s">
        <v>24</v>
      </c>
      <c r="B20" s="1" t="s">
        <v>140</v>
      </c>
    </row>
    <row r="21" spans="1:2">
      <c r="A21" s="1" t="s">
        <v>25</v>
      </c>
      <c r="B21" s="1" t="s">
        <v>25</v>
      </c>
    </row>
    <row r="22" spans="1:2">
      <c r="A22" s="1" t="s">
        <v>26</v>
      </c>
      <c r="B22" s="1" t="s">
        <v>141</v>
      </c>
    </row>
    <row r="23" spans="1:2">
      <c r="A23" s="1" t="s">
        <v>27</v>
      </c>
      <c r="B23" s="1" t="s">
        <v>142</v>
      </c>
    </row>
    <row r="24" spans="1:2">
      <c r="A24" s="1" t="s">
        <v>28</v>
      </c>
      <c r="B24" s="1" t="s">
        <v>143</v>
      </c>
    </row>
    <row r="25" spans="1:2">
      <c r="A25" s="2" t="s">
        <v>29</v>
      </c>
      <c r="B25" s="2" t="s">
        <v>144</v>
      </c>
    </row>
    <row r="27" spans="1:2">
      <c r="A27" s="1" t="s">
        <v>145</v>
      </c>
    </row>
    <row r="28" spans="1:2">
      <c r="A28" s="1" t="s">
        <v>146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Classification result</vt:lpstr>
      <vt:lpstr>Model output</vt:lpstr>
      <vt:lpstr>Schema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Eric Tang</dc:creator>
  <cp:keywords/>
  <dc:description/>
  <cp:lastModifiedBy>Eric Tang</cp:lastModifiedBy>
  <cp:revision/>
  <dcterms:created xsi:type="dcterms:W3CDTF">2024-02-07T07:43:00Z</dcterms:created>
  <dcterms:modified xsi:type="dcterms:W3CDTF">2024-12-12T07:45:28Z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6BD3FE08F50D43308719C3E877096B98_12</vt:lpwstr>
  </property>
  <property fmtid="{D5CDD505-2E9C-101B-9397-08002B2CF9AE}" pid="3" name="KSOProductBuildVer">
    <vt:lpwstr>2052-12.1.0.16388</vt:lpwstr>
  </property>
</Properties>
</file>