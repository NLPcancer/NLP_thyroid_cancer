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llama\"/>
    </mc:Choice>
  </mc:AlternateContent>
  <xr:revisionPtr revIDLastSave="0" documentId="13_ncr:1_{F8A5EE6D-1AB1-4022-8934-A8AAA978B253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result'!$A$2:$AW$37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6" l="1" a="1"/>
  <c r="V4" i="16" s="1"/>
  <c r="Y4" i="16" s="1"/>
  <c r="V5" i="16" a="1"/>
  <c r="V5" i="16" s="1"/>
  <c r="Y5" i="16" s="1"/>
  <c r="V6" i="16" a="1"/>
  <c r="V6" i="16" s="1"/>
  <c r="Y6" i="16" s="1"/>
  <c r="V7" i="16" a="1"/>
  <c r="V7" i="16" s="1"/>
  <c r="V8" i="16" a="1"/>
  <c r="V8" i="16" s="1"/>
  <c r="Y8" i="16" s="1"/>
  <c r="V9" i="16" a="1"/>
  <c r="V9" i="16" s="1"/>
  <c r="Y9" i="16" s="1"/>
  <c r="V10" i="16" a="1"/>
  <c r="V10" i="16" s="1"/>
  <c r="Y10" i="16" s="1"/>
  <c r="V11" i="16" a="1"/>
  <c r="V11" i="16" s="1"/>
  <c r="Y11" i="16" s="1"/>
  <c r="V12" i="16" a="1"/>
  <c r="V12" i="16" s="1"/>
  <c r="Y12" i="16" s="1"/>
  <c r="V13" i="16" a="1"/>
  <c r="V13" i="16" s="1"/>
  <c r="Y13" i="16" s="1"/>
  <c r="V14" i="16" a="1"/>
  <c r="V14" i="16" s="1"/>
  <c r="V15" i="16" a="1"/>
  <c r="V15" i="16" s="1"/>
  <c r="V16" i="16" a="1"/>
  <c r="V16" i="16" s="1"/>
  <c r="V17" i="16" a="1"/>
  <c r="V17" i="16" s="1"/>
  <c r="Y17" i="16" s="1"/>
  <c r="V18" i="16" a="1"/>
  <c r="V18" i="16" s="1"/>
  <c r="V19" i="16" a="1"/>
  <c r="V19" i="16" s="1"/>
  <c r="Y19" i="16" s="1"/>
  <c r="V20" i="16" a="1"/>
  <c r="V20" i="16" s="1"/>
  <c r="V21" i="16" a="1"/>
  <c r="V21" i="16" s="1"/>
  <c r="Y21" i="16" s="1"/>
  <c r="V22" i="16" a="1"/>
  <c r="V22" i="16" s="1"/>
  <c r="V23" i="16" a="1"/>
  <c r="V23" i="16" s="1"/>
  <c r="V24" i="16" a="1"/>
  <c r="V24" i="16" s="1"/>
  <c r="Y24" i="16" s="1"/>
  <c r="V25" i="16" a="1"/>
  <c r="V25" i="16" s="1"/>
  <c r="Y25" i="16" s="1"/>
  <c r="V26" i="16" a="1"/>
  <c r="V26" i="16" s="1"/>
  <c r="V27" i="16" a="1"/>
  <c r="V27" i="16" s="1"/>
  <c r="Y27" i="16" s="1"/>
  <c r="V28" i="16" a="1"/>
  <c r="V28" i="16" s="1"/>
  <c r="Y28" i="16" s="1"/>
  <c r="V29" i="16" a="1"/>
  <c r="V29" i="16" s="1"/>
  <c r="Y29" i="16" s="1"/>
  <c r="V30" i="16" a="1"/>
  <c r="V30" i="16" s="1"/>
  <c r="Y30" i="16" s="1"/>
  <c r="V31" i="16" a="1"/>
  <c r="V31" i="16" s="1"/>
  <c r="Y31" i="16" s="1"/>
  <c r="V32" i="16" a="1"/>
  <c r="V32" i="16" s="1"/>
  <c r="Y32" i="16" s="1"/>
  <c r="V33" i="16" a="1"/>
  <c r="V33" i="16" s="1"/>
  <c r="V34" i="16" a="1"/>
  <c r="V34" i="16" s="1"/>
  <c r="V35" i="16" a="1"/>
  <c r="V35" i="16" s="1"/>
  <c r="Y35" i="16" s="1"/>
  <c r="V36" i="16" a="1"/>
  <c r="V36" i="16" s="1"/>
  <c r="V37" i="16" a="1"/>
  <c r="V37" i="16" s="1"/>
  <c r="V3" i="16" a="1"/>
  <c r="V3" i="16" s="1"/>
  <c r="Y3" i="16" s="1"/>
  <c r="F7" i="16" a="1"/>
  <c r="F7" i="16" s="1"/>
  <c r="F8" i="16" a="1"/>
  <c r="F8" i="16" s="1"/>
  <c r="F9" i="16" a="1"/>
  <c r="F9" i="16" s="1"/>
  <c r="F10" i="16" a="1"/>
  <c r="F10" i="16" s="1"/>
  <c r="F11" i="16" a="1"/>
  <c r="F11" i="16" s="1"/>
  <c r="F12" i="16" a="1"/>
  <c r="F12" i="16" s="1"/>
  <c r="F13" i="16" a="1"/>
  <c r="F13" i="16" s="1"/>
  <c r="F14" i="16" a="1"/>
  <c r="F14" i="16" s="1"/>
  <c r="F15" i="16" a="1"/>
  <c r="F15" i="16" s="1"/>
  <c r="F16" i="16" a="1"/>
  <c r="F16" i="16" s="1"/>
  <c r="F17" i="16" a="1"/>
  <c r="F17" i="16" s="1"/>
  <c r="F18" i="16" a="1"/>
  <c r="F18" i="16" s="1"/>
  <c r="F19" i="16" a="1"/>
  <c r="F19" i="16" s="1"/>
  <c r="F20" i="16" a="1"/>
  <c r="F20" i="16" s="1"/>
  <c r="F21" i="16" a="1"/>
  <c r="F21" i="16" s="1"/>
  <c r="F22" i="16" a="1"/>
  <c r="F22" i="16" s="1"/>
  <c r="F23" i="16" a="1"/>
  <c r="F23" i="16" s="1"/>
  <c r="F24" i="16" a="1"/>
  <c r="F24" i="16" s="1"/>
  <c r="F25" i="16" a="1"/>
  <c r="F25" i="16" s="1"/>
  <c r="F26" i="16" a="1"/>
  <c r="F26" i="16" s="1"/>
  <c r="F27" i="16" a="1"/>
  <c r="F27" i="16" s="1"/>
  <c r="F28" i="16" a="1"/>
  <c r="F28" i="16" s="1"/>
  <c r="F29" i="16" a="1"/>
  <c r="F29" i="16" s="1"/>
  <c r="F30" i="16" a="1"/>
  <c r="F30" i="16" s="1"/>
  <c r="F31" i="16" a="1"/>
  <c r="F31" i="16" s="1"/>
  <c r="F32" i="16" a="1"/>
  <c r="F32" i="16" s="1"/>
  <c r="F33" i="16" a="1"/>
  <c r="F33" i="16" s="1"/>
  <c r="F34" i="16" a="1"/>
  <c r="F34" i="16" s="1"/>
  <c r="F35" i="16" a="1"/>
  <c r="F35" i="16" s="1"/>
  <c r="F36" i="16" a="1"/>
  <c r="F36" i="16" s="1"/>
  <c r="F37" i="16" a="1"/>
  <c r="F37" i="16" s="1"/>
  <c r="F3" i="16" a="1"/>
  <c r="F3" i="16" s="1"/>
  <c r="F4" i="16" a="1"/>
  <c r="F4" i="16" s="1"/>
  <c r="F5" i="16" a="1"/>
  <c r="F5" i="16" s="1"/>
  <c r="F6" i="16" a="1"/>
  <c r="F6" i="16" s="1"/>
  <c r="K4" i="16" l="1" a="1"/>
  <c r="K4" i="16" s="1"/>
  <c r="K5" i="16" a="1"/>
  <c r="K5" i="16" s="1"/>
  <c r="K6" i="16" a="1"/>
  <c r="K6" i="16" s="1"/>
  <c r="K7" i="16" a="1"/>
  <c r="K7" i="16" s="1"/>
  <c r="K8" i="16" a="1"/>
  <c r="K8" i="16" s="1"/>
  <c r="K9" i="16" a="1"/>
  <c r="K9" i="16" s="1"/>
  <c r="K10" i="16" a="1"/>
  <c r="K10" i="16" s="1"/>
  <c r="K11" i="16" a="1"/>
  <c r="K11" i="16" s="1"/>
  <c r="K12" i="16" a="1"/>
  <c r="K12" i="16" s="1"/>
  <c r="K13" i="16" a="1"/>
  <c r="K13" i="16" s="1"/>
  <c r="K14" i="16" a="1"/>
  <c r="K14" i="16" s="1"/>
  <c r="K15" i="16" a="1"/>
  <c r="K15" i="16" s="1"/>
  <c r="K16" i="16" a="1"/>
  <c r="K16" i="16" s="1"/>
  <c r="K17" i="16" a="1"/>
  <c r="K17" i="16" s="1"/>
  <c r="K18" i="16" a="1"/>
  <c r="K18" i="16" s="1"/>
  <c r="K19" i="16" a="1"/>
  <c r="K19" i="16" s="1"/>
  <c r="K20" i="16" a="1"/>
  <c r="K20" i="16" s="1"/>
  <c r="K21" i="16" a="1"/>
  <c r="K21" i="16" s="1"/>
  <c r="K22" i="16" a="1"/>
  <c r="K22" i="16" s="1"/>
  <c r="K23" i="16" a="1"/>
  <c r="K23" i="16" s="1"/>
  <c r="K24" i="16" a="1"/>
  <c r="K24" i="16" s="1"/>
  <c r="K25" i="16" a="1"/>
  <c r="K25" i="16" s="1"/>
  <c r="K26" i="16" a="1"/>
  <c r="K26" i="16" s="1"/>
  <c r="K27" i="16" a="1"/>
  <c r="K27" i="16" s="1"/>
  <c r="K28" i="16" a="1"/>
  <c r="K28" i="16" s="1"/>
  <c r="K29" i="16" a="1"/>
  <c r="K29" i="16" s="1"/>
  <c r="K30" i="16" a="1"/>
  <c r="K30" i="16" s="1"/>
  <c r="K31" i="16" a="1"/>
  <c r="K31" i="16" s="1"/>
  <c r="K32" i="16" a="1"/>
  <c r="K32" i="16" s="1"/>
  <c r="K33" i="16" a="1"/>
  <c r="K33" i="16" s="1"/>
  <c r="K34" i="16" a="1"/>
  <c r="K34" i="16" s="1"/>
  <c r="K35" i="16" a="1"/>
  <c r="K35" i="16" s="1"/>
  <c r="K36" i="16" a="1"/>
  <c r="K36" i="16" s="1"/>
  <c r="K37" i="16" a="1"/>
  <c r="K37" i="16" s="1"/>
  <c r="K3" i="16" a="1"/>
  <c r="K3" i="16" s="1"/>
  <c r="AF4" i="16" a="1"/>
  <c r="AF4" i="16" s="1"/>
  <c r="AF5" i="16" a="1"/>
  <c r="AF5" i="16" s="1"/>
  <c r="AF6" i="16" a="1"/>
  <c r="AF6" i="16" s="1"/>
  <c r="AF7" i="16" a="1"/>
  <c r="AF7" i="16" s="1"/>
  <c r="AF8" i="16" a="1"/>
  <c r="AF8" i="16" s="1"/>
  <c r="AF9" i="16" a="1"/>
  <c r="AF9" i="16" s="1"/>
  <c r="AF10" i="16" a="1"/>
  <c r="AF10" i="16" s="1"/>
  <c r="AF11" i="16" a="1"/>
  <c r="AF11" i="16" s="1"/>
  <c r="AF12" i="16" a="1"/>
  <c r="AF12" i="16" s="1"/>
  <c r="AF13" i="16" a="1"/>
  <c r="AF13" i="16" s="1"/>
  <c r="AF14" i="16" a="1"/>
  <c r="AF14" i="16" s="1"/>
  <c r="AF15" i="16" a="1"/>
  <c r="AF15" i="16" s="1"/>
  <c r="AF16" i="16" a="1"/>
  <c r="AF16" i="16" s="1"/>
  <c r="AF17" i="16" a="1"/>
  <c r="AF17" i="16" s="1"/>
  <c r="AF18" i="16" a="1"/>
  <c r="AF18" i="16" s="1"/>
  <c r="AF19" i="16" a="1"/>
  <c r="AF19" i="16" s="1"/>
  <c r="AF20" i="16" a="1"/>
  <c r="AF20" i="16" s="1"/>
  <c r="AF21" i="16" a="1"/>
  <c r="AF21" i="16" s="1"/>
  <c r="AF22" i="16" a="1"/>
  <c r="AF22" i="16" s="1"/>
  <c r="AF23" i="16" a="1"/>
  <c r="AF23" i="16" s="1"/>
  <c r="AF24" i="16" a="1"/>
  <c r="AF24" i="16" s="1"/>
  <c r="AF25" i="16" a="1"/>
  <c r="AF25" i="16" s="1"/>
  <c r="AF26" i="16" a="1"/>
  <c r="AF26" i="16" s="1"/>
  <c r="AF27" i="16" a="1"/>
  <c r="AF27" i="16" s="1"/>
  <c r="AF28" i="16" a="1"/>
  <c r="AF28" i="16" s="1"/>
  <c r="AF29" i="16" a="1"/>
  <c r="AF29" i="16" s="1"/>
  <c r="AF30" i="16" a="1"/>
  <c r="AF30" i="16" s="1"/>
  <c r="AF31" i="16" a="1"/>
  <c r="AF31" i="16" s="1"/>
  <c r="AF32" i="16" a="1"/>
  <c r="AF32" i="16" s="1"/>
  <c r="AF33" i="16" a="1"/>
  <c r="AF33" i="16" s="1"/>
  <c r="AF34" i="16" a="1"/>
  <c r="AF34" i="16" s="1"/>
  <c r="AF35" i="16" a="1"/>
  <c r="AF35" i="16" s="1"/>
  <c r="AF36" i="16" a="1"/>
  <c r="AF36" i="16" s="1"/>
  <c r="AF37" i="16" a="1"/>
  <c r="AF37" i="16" s="1"/>
  <c r="AF3" i="16" a="1"/>
  <c r="AF3" i="16" s="1"/>
  <c r="AG3" i="16" a="1"/>
  <c r="AG3" i="16" s="1"/>
  <c r="AG4" i="16" a="1"/>
  <c r="AG4" i="16" s="1"/>
  <c r="AG5" i="16" a="1"/>
  <c r="AG5" i="16" s="1"/>
  <c r="AG6" i="16" a="1"/>
  <c r="AG6" i="16" s="1"/>
  <c r="AG7" i="16" a="1"/>
  <c r="AG7" i="16" s="1"/>
  <c r="AG8" i="16" a="1"/>
  <c r="AG8" i="16" s="1"/>
  <c r="AG9" i="16" a="1"/>
  <c r="AG9" i="16" s="1"/>
  <c r="AG10" i="16" a="1"/>
  <c r="AG10" i="16" s="1"/>
  <c r="AG11" i="16" a="1"/>
  <c r="AG11" i="16" s="1"/>
  <c r="AG12" i="16" a="1"/>
  <c r="AG12" i="16" s="1"/>
  <c r="AG13" i="16" a="1"/>
  <c r="AG13" i="16" s="1"/>
  <c r="AG14" i="16" a="1"/>
  <c r="AG14" i="16" s="1"/>
  <c r="AG15" i="16" a="1"/>
  <c r="AG15" i="16" s="1"/>
  <c r="AG16" i="16" a="1"/>
  <c r="AG16" i="16" s="1"/>
  <c r="AG17" i="16" a="1"/>
  <c r="AG17" i="16" s="1"/>
  <c r="AG18" i="16" a="1"/>
  <c r="AG18" i="16" s="1"/>
  <c r="AG19" i="16" a="1"/>
  <c r="AG19" i="16" s="1"/>
  <c r="AG20" i="16" a="1"/>
  <c r="AG20" i="16" s="1"/>
  <c r="AG21" i="16" a="1"/>
  <c r="AG21" i="16" s="1"/>
  <c r="AG22" i="16" a="1"/>
  <c r="AG22" i="16" s="1"/>
  <c r="AG23" i="16" a="1"/>
  <c r="AG23" i="16" s="1"/>
  <c r="AG24" i="16" a="1"/>
  <c r="AG24" i="16" s="1"/>
  <c r="AG25" i="16" a="1"/>
  <c r="AG25" i="16" s="1"/>
  <c r="AG26" i="16" a="1"/>
  <c r="AG26" i="16" s="1"/>
  <c r="AG27" i="16" a="1"/>
  <c r="AG27" i="16" s="1"/>
  <c r="AG28" i="16" a="1"/>
  <c r="AG28" i="16" s="1"/>
  <c r="AG29" i="16" a="1"/>
  <c r="AG29" i="16" s="1"/>
  <c r="AG30" i="16" a="1"/>
  <c r="AG30" i="16" s="1"/>
  <c r="AG31" i="16" a="1"/>
  <c r="AG31" i="16" s="1"/>
  <c r="AG32" i="16" a="1"/>
  <c r="AG32" i="16" s="1"/>
  <c r="AG33" i="16" a="1"/>
  <c r="AG33" i="16" s="1"/>
  <c r="AG34" i="16" a="1"/>
  <c r="AG34" i="16" s="1"/>
  <c r="AG35" i="16" a="1"/>
  <c r="AG35" i="16" s="1"/>
  <c r="AG36" i="16" a="1"/>
  <c r="AG36" i="16" s="1"/>
  <c r="AG37" i="16" a="1"/>
  <c r="AG37" i="16" s="1"/>
  <c r="AE28" i="16" l="1"/>
  <c r="AA28" i="16"/>
  <c r="AE8" i="16"/>
  <c r="AA8" i="16"/>
  <c r="AE23" i="16"/>
  <c r="AA23" i="16"/>
  <c r="AE21" i="16"/>
  <c r="AA21" i="16"/>
  <c r="AE27" i="16"/>
  <c r="AA27" i="16"/>
  <c r="AE7" i="16"/>
  <c r="AA7" i="16"/>
  <c r="AE20" i="16"/>
  <c r="AA20" i="16"/>
  <c r="AE19" i="16"/>
  <c r="AA19" i="16"/>
  <c r="AE3" i="16"/>
  <c r="AA3" i="16"/>
  <c r="AE18" i="16"/>
  <c r="AA18" i="16"/>
  <c r="AE36" i="16"/>
  <c r="AA36" i="16"/>
  <c r="AE16" i="16"/>
  <c r="AA16" i="16"/>
  <c r="AE15" i="16"/>
  <c r="AA15" i="16"/>
  <c r="AE32" i="16"/>
  <c r="AA32" i="16"/>
  <c r="AE12" i="16"/>
  <c r="AA12" i="16"/>
  <c r="AE31" i="16"/>
  <c r="AA31" i="16"/>
  <c r="AE30" i="16"/>
  <c r="AA30" i="16"/>
  <c r="AE29" i="16"/>
  <c r="AA29" i="16"/>
  <c r="AE9" i="16"/>
  <c r="AA9" i="16"/>
  <c r="AE26" i="16"/>
  <c r="AA26" i="16"/>
  <c r="AE6" i="16"/>
  <c r="AA6" i="16"/>
  <c r="AE37" i="16"/>
  <c r="AA37" i="16"/>
  <c r="AE17" i="16"/>
  <c r="AA17" i="16"/>
  <c r="AE35" i="16"/>
  <c r="AA35" i="16"/>
  <c r="AE34" i="16"/>
  <c r="AA34" i="16"/>
  <c r="AE14" i="16"/>
  <c r="AA14" i="16"/>
  <c r="AE33" i="16"/>
  <c r="AA33" i="16"/>
  <c r="AE13" i="16"/>
  <c r="AA13" i="16"/>
  <c r="AE11" i="16"/>
  <c r="AA11" i="16"/>
  <c r="AE10" i="16"/>
  <c r="AA10" i="16"/>
  <c r="AE25" i="16"/>
  <c r="AA25" i="16"/>
  <c r="AE5" i="16"/>
  <c r="AA5" i="16"/>
  <c r="AE22" i="16"/>
  <c r="AA22" i="16"/>
  <c r="AE24" i="16"/>
  <c r="AA24" i="16"/>
  <c r="AE4" i="16"/>
  <c r="AA4" i="16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/>
  <c r="Z37" i="15" a="1"/>
  <c r="Z37" i="15" s="1"/>
  <c r="Z38" i="15" a="1"/>
  <c r="Z38" i="15"/>
  <c r="Z39" i="15" a="1"/>
  <c r="Z39" i="15" s="1"/>
  <c r="Z40" i="15" a="1"/>
  <c r="Z40" i="15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/>
  <c r="Z71" i="15" a="1"/>
  <c r="Z71" i="15" s="1"/>
  <c r="Z72" i="15" a="1"/>
  <c r="Z72" i="15" s="1"/>
  <c r="Z2" i="15" a="1"/>
  <c r="Z2" i="15" s="1"/>
  <c r="E19" i="16" l="1"/>
  <c r="Z16" i="16" a="1"/>
  <c r="Z16" i="16" s="1"/>
  <c r="Q35" i="16" a="1"/>
  <c r="Q35" i="16" s="1"/>
  <c r="Q37" i="16" a="1"/>
  <c r="Q37" i="16" s="1"/>
  <c r="E9" i="16"/>
  <c r="E29" i="16"/>
  <c r="B14" i="16"/>
  <c r="B34" i="16"/>
  <c r="E20" i="16"/>
  <c r="B5" i="16"/>
  <c r="B25" i="16"/>
  <c r="E10" i="16"/>
  <c r="E30" i="16"/>
  <c r="B15" i="16"/>
  <c r="B35" i="16"/>
  <c r="E4" i="16"/>
  <c r="E24" i="16"/>
  <c r="B9" i="16"/>
  <c r="B29" i="16"/>
  <c r="E23" i="16"/>
  <c r="B8" i="16"/>
  <c r="B28" i="16"/>
  <c r="E6" i="16"/>
  <c r="E26" i="16"/>
  <c r="B11" i="16"/>
  <c r="B31" i="16"/>
  <c r="E8" i="16"/>
  <c r="E28" i="16"/>
  <c r="B13" i="16"/>
  <c r="B33" i="16"/>
  <c r="Q33" i="16" a="1"/>
  <c r="Q33" i="16" s="1"/>
  <c r="Q13" i="16" a="1"/>
  <c r="Q13" i="16" s="1"/>
  <c r="H28" i="16" a="1"/>
  <c r="H28" i="16" s="1"/>
  <c r="H8" i="16" a="1"/>
  <c r="H8" i="16" s="1"/>
  <c r="Z23" i="16" a="1"/>
  <c r="Z23" i="16" s="1"/>
  <c r="B30" i="16"/>
  <c r="B10" i="16"/>
  <c r="E25" i="16"/>
  <c r="E5" i="16"/>
  <c r="Q32" i="16" a="1"/>
  <c r="Q32" i="16" s="1"/>
  <c r="Q12" i="16" a="1"/>
  <c r="Q12" i="16" s="1"/>
  <c r="H27" i="16" a="1"/>
  <c r="H27" i="16" s="1"/>
  <c r="H7" i="16" a="1"/>
  <c r="H7" i="16" s="1"/>
  <c r="Z22" i="16" a="1"/>
  <c r="Z22" i="16" s="1"/>
  <c r="Q31" i="16" a="1"/>
  <c r="Q31" i="16" s="1"/>
  <c r="Q11" i="16" a="1"/>
  <c r="Q11" i="16" s="1"/>
  <c r="H26" i="16" a="1"/>
  <c r="H26" i="16" s="1"/>
  <c r="H6" i="16" a="1"/>
  <c r="H6" i="16" s="1"/>
  <c r="Z21" i="16" a="1"/>
  <c r="Z21" i="16" s="1"/>
  <c r="Q30" i="16" a="1"/>
  <c r="Q30" i="16" s="1"/>
  <c r="Q10" i="16" a="1"/>
  <c r="Q10" i="16" s="1"/>
  <c r="H25" i="16" a="1"/>
  <c r="H25" i="16" s="1"/>
  <c r="H5" i="16" a="1"/>
  <c r="H5" i="16" s="1"/>
  <c r="Z20" i="16" a="1"/>
  <c r="Z20" i="16" s="1"/>
  <c r="B27" i="16"/>
  <c r="B7" i="16"/>
  <c r="E22" i="16"/>
  <c r="Q29" i="16" a="1"/>
  <c r="Q29" i="16" s="1"/>
  <c r="Q9" i="16" a="1"/>
  <c r="Q9" i="16" s="1"/>
  <c r="H24" i="16" a="1"/>
  <c r="H24" i="16" s="1"/>
  <c r="H4" i="16" a="1"/>
  <c r="H4" i="16" s="1"/>
  <c r="Z19" i="16" a="1"/>
  <c r="Z19" i="16" s="1"/>
  <c r="B26" i="16"/>
  <c r="B6" i="16"/>
  <c r="E21" i="16"/>
  <c r="Q28" i="16" a="1"/>
  <c r="Q28" i="16" s="1"/>
  <c r="Q8" i="16" a="1"/>
  <c r="Q8" i="16" s="1"/>
  <c r="H23" i="16" a="1"/>
  <c r="H23" i="16" s="1"/>
  <c r="Z3" i="16" a="1"/>
  <c r="Z3" i="16" s="1"/>
  <c r="Z18" i="16" a="1"/>
  <c r="Z18" i="16" s="1"/>
  <c r="Q27" i="16" a="1"/>
  <c r="Q27" i="16" s="1"/>
  <c r="Q7" i="16" a="1"/>
  <c r="Q7" i="16" s="1"/>
  <c r="H22" i="16" a="1"/>
  <c r="H22" i="16" s="1"/>
  <c r="Z37" i="16" a="1"/>
  <c r="Z37" i="16" s="1"/>
  <c r="Z17" i="16" a="1"/>
  <c r="Z17" i="16" s="1"/>
  <c r="Q26" i="16" a="1"/>
  <c r="Q26" i="16" s="1"/>
  <c r="Q6" i="16" a="1"/>
  <c r="Q6" i="16" s="1"/>
  <c r="H21" i="16" a="1"/>
  <c r="H21" i="16" s="1"/>
  <c r="Z36" i="16" a="1"/>
  <c r="Z36" i="16" s="1"/>
  <c r="G37" i="16" a="1"/>
  <c r="G37" i="16" s="1"/>
  <c r="G25" i="16" a="1"/>
  <c r="G25" i="16" s="1"/>
  <c r="G5" i="16" a="1"/>
  <c r="G5" i="16" s="1"/>
  <c r="S12" i="16" a="1"/>
  <c r="S12" i="16" s="1"/>
  <c r="S32" i="16" a="1"/>
  <c r="S32" i="16" s="1"/>
  <c r="G24" i="16" a="1"/>
  <c r="G24" i="16" s="1"/>
  <c r="G4" i="16" a="1"/>
  <c r="G4" i="16" s="1"/>
  <c r="G41" i="16" s="1"/>
  <c r="S13" i="16" a="1"/>
  <c r="S13" i="16" s="1"/>
  <c r="S33" i="16" a="1"/>
  <c r="S33" i="16" s="1"/>
  <c r="M21" i="16"/>
  <c r="J21" i="16" s="1" a="1"/>
  <c r="J21" i="16" s="1"/>
  <c r="G36" i="16" a="1"/>
  <c r="G36" i="16" s="1"/>
  <c r="G23" i="16" a="1"/>
  <c r="G23" i="16" s="1"/>
  <c r="S14" i="16" a="1"/>
  <c r="S14" i="16" s="1"/>
  <c r="S34" i="16" a="1"/>
  <c r="S34" i="16" s="1"/>
  <c r="R18" i="16" a="1"/>
  <c r="R18" i="16" s="1"/>
  <c r="M18" i="16"/>
  <c r="J18" i="16" s="1" a="1"/>
  <c r="J18" i="16" s="1"/>
  <c r="M3" i="16"/>
  <c r="J3" i="16" s="1" a="1"/>
  <c r="J3" i="16" s="1"/>
  <c r="R21" i="16" a="1"/>
  <c r="R21" i="16" s="1"/>
  <c r="G22" i="16" a="1"/>
  <c r="G22" i="16" s="1"/>
  <c r="G3" i="16" a="1"/>
  <c r="G3" i="16" s="1"/>
  <c r="G40" i="16" s="1"/>
  <c r="S15" i="16" a="1"/>
  <c r="S15" i="16" s="1"/>
  <c r="S35" i="16" a="1"/>
  <c r="S35" i="16" s="1"/>
  <c r="M17" i="16"/>
  <c r="J17" i="16" s="1" a="1"/>
  <c r="J17" i="16" s="1"/>
  <c r="M37" i="16"/>
  <c r="J37" i="16" s="1" a="1"/>
  <c r="J37" i="16" s="1"/>
  <c r="G35" i="16" a="1"/>
  <c r="G35" i="16" s="1"/>
  <c r="G21" i="16" a="1"/>
  <c r="G21" i="16" s="1"/>
  <c r="S16" i="16" a="1"/>
  <c r="S16" i="16" s="1"/>
  <c r="S36" i="16" a="1"/>
  <c r="S36" i="16" s="1"/>
  <c r="R20" i="16" a="1"/>
  <c r="R20" i="16" s="1"/>
  <c r="G20" i="16" a="1"/>
  <c r="G20" i="16" s="1"/>
  <c r="S17" i="16" a="1"/>
  <c r="S17" i="16" s="1"/>
  <c r="S37" i="16" a="1"/>
  <c r="S37" i="16" s="1"/>
  <c r="G34" i="16" a="1"/>
  <c r="G34" i="16" s="1"/>
  <c r="G19" i="16" a="1"/>
  <c r="G19" i="16" s="1"/>
  <c r="S18" i="16" a="1"/>
  <c r="S18" i="16" s="1"/>
  <c r="S3" i="16" a="1"/>
  <c r="S3" i="16" s="1"/>
  <c r="M20" i="16"/>
  <c r="J20" i="16" s="1" a="1"/>
  <c r="J20" i="16" s="1"/>
  <c r="G18" i="16" a="1"/>
  <c r="G18" i="16" s="1"/>
  <c r="S19" i="16" a="1"/>
  <c r="S19" i="16" s="1"/>
  <c r="M11" i="16"/>
  <c r="J11" i="16" s="1" a="1"/>
  <c r="J11" i="16" s="1"/>
  <c r="R23" i="16" a="1"/>
  <c r="R23" i="16" s="1"/>
  <c r="G33" i="16" a="1"/>
  <c r="G33" i="16" s="1"/>
  <c r="G17" i="16" a="1"/>
  <c r="G17" i="16" s="1"/>
  <c r="S20" i="16" a="1"/>
  <c r="S20" i="16" s="1"/>
  <c r="R4" i="16" a="1"/>
  <c r="R4" i="16" s="1"/>
  <c r="R24" i="16" a="1"/>
  <c r="R24" i="16" s="1"/>
  <c r="G16" i="16" a="1"/>
  <c r="G16" i="16" s="1"/>
  <c r="S21" i="16" a="1"/>
  <c r="S21" i="16" s="1"/>
  <c r="R5" i="16" a="1"/>
  <c r="R5" i="16" s="1"/>
  <c r="R25" i="16" a="1"/>
  <c r="R25" i="16" s="1"/>
  <c r="G32" i="16" a="1"/>
  <c r="G32" i="16" s="1"/>
  <c r="G15" i="16" a="1"/>
  <c r="G15" i="16" s="1"/>
  <c r="S22" i="16" a="1"/>
  <c r="S22" i="16" s="1"/>
  <c r="R6" i="16" a="1"/>
  <c r="R6" i="16" s="1"/>
  <c r="R26" i="16" a="1"/>
  <c r="R26" i="16" s="1"/>
  <c r="G14" i="16" a="1"/>
  <c r="G14" i="16" s="1"/>
  <c r="S23" i="16" a="1"/>
  <c r="S23" i="16" s="1"/>
  <c r="R7" i="16" a="1"/>
  <c r="R7" i="16" s="1"/>
  <c r="R27" i="16" a="1"/>
  <c r="R27" i="16" s="1"/>
  <c r="M5" i="16"/>
  <c r="J5" i="16" s="1" a="1"/>
  <c r="J5" i="16" s="1"/>
  <c r="M25" i="16"/>
  <c r="J25" i="16" s="1" a="1"/>
  <c r="J25" i="16" s="1"/>
  <c r="M6" i="16"/>
  <c r="J6" i="16" s="1" a="1"/>
  <c r="J6" i="16" s="1"/>
  <c r="M26" i="16"/>
  <c r="J26" i="16" s="1" a="1"/>
  <c r="J26" i="16" s="1"/>
  <c r="M7" i="16"/>
  <c r="J7" i="16" s="1" a="1"/>
  <c r="J7" i="16" s="1"/>
  <c r="M27" i="16"/>
  <c r="J27" i="16" s="1" a="1"/>
  <c r="J27" i="16" s="1"/>
  <c r="S26" i="16" a="1"/>
  <c r="S26" i="16" s="1"/>
  <c r="M8" i="16"/>
  <c r="J8" i="16" s="1" a="1"/>
  <c r="J8" i="16" s="1"/>
  <c r="M28" i="16"/>
  <c r="J28" i="16" s="1" a="1"/>
  <c r="J28" i="16" s="1"/>
  <c r="R11" i="16" a="1"/>
  <c r="R11" i="16" s="1"/>
  <c r="M16" i="16"/>
  <c r="J16" i="16" s="1" a="1"/>
  <c r="J16" i="16" s="1"/>
  <c r="M36" i="16"/>
  <c r="J36" i="16" s="1" a="1"/>
  <c r="J36" i="16" s="1"/>
  <c r="R19" i="16" a="1"/>
  <c r="R19" i="16" s="1"/>
  <c r="G31" i="16" a="1"/>
  <c r="G31" i="16" s="1"/>
  <c r="G13" i="16" a="1"/>
  <c r="G13" i="16" s="1"/>
  <c r="S4" i="16" a="1"/>
  <c r="S4" i="16" s="1"/>
  <c r="S24" i="16" a="1"/>
  <c r="S24" i="16" s="1"/>
  <c r="R8" i="16" a="1"/>
  <c r="R8" i="16" s="1"/>
  <c r="AL8" i="16" s="1"/>
  <c r="R28" i="16" a="1"/>
  <c r="R28" i="16" s="1"/>
  <c r="AL28" i="16" s="1"/>
  <c r="R10" i="16" a="1"/>
  <c r="R10" i="16" s="1"/>
  <c r="R31" i="16" a="1"/>
  <c r="R31" i="16" s="1"/>
  <c r="R37" i="16" a="1"/>
  <c r="R37" i="16" s="1"/>
  <c r="G12" i="16" a="1"/>
  <c r="G12" i="16" s="1"/>
  <c r="S5" i="16" a="1"/>
  <c r="S5" i="16" s="1"/>
  <c r="S25" i="16" a="1"/>
  <c r="S25" i="16" s="1"/>
  <c r="R9" i="16" a="1"/>
  <c r="R9" i="16" s="1"/>
  <c r="R29" i="16" a="1"/>
  <c r="R29" i="16" s="1"/>
  <c r="R30" i="16" a="1"/>
  <c r="R30" i="16" s="1"/>
  <c r="M31" i="16"/>
  <c r="J31" i="16" s="1" a="1"/>
  <c r="J31" i="16" s="1"/>
  <c r="G30" i="16" a="1"/>
  <c r="G30" i="16" s="1"/>
  <c r="G11" i="16" a="1"/>
  <c r="G11" i="16" s="1"/>
  <c r="S6" i="16" a="1"/>
  <c r="S6" i="16" s="1"/>
  <c r="M9" i="16"/>
  <c r="J9" i="16" s="1" a="1"/>
  <c r="J9" i="16" s="1"/>
  <c r="M29" i="16"/>
  <c r="J29" i="16" s="1" a="1"/>
  <c r="J29" i="16" s="1"/>
  <c r="R32" i="16" a="1"/>
  <c r="R32" i="16" s="1"/>
  <c r="AL32" i="16" s="1"/>
  <c r="G10" i="16" a="1"/>
  <c r="G10" i="16" s="1"/>
  <c r="S7" i="16" a="1"/>
  <c r="S7" i="16" s="1"/>
  <c r="S27" i="16" a="1"/>
  <c r="S27" i="16" s="1"/>
  <c r="M19" i="16"/>
  <c r="J19" i="16" s="1" a="1"/>
  <c r="J19" i="16" s="1"/>
  <c r="R22" i="16" a="1"/>
  <c r="R22" i="16" s="1"/>
  <c r="G29" i="16" a="1"/>
  <c r="G29" i="16" s="1"/>
  <c r="G9" i="16" a="1"/>
  <c r="G9" i="16" s="1"/>
  <c r="S8" i="16" a="1"/>
  <c r="S8" i="16" s="1"/>
  <c r="S28" i="16" a="1"/>
  <c r="S28" i="16" s="1"/>
  <c r="R12" i="16" a="1"/>
  <c r="R12" i="16" s="1"/>
  <c r="AL12" i="16" s="1"/>
  <c r="M10" i="16"/>
  <c r="J10" i="16" s="1" a="1"/>
  <c r="J10" i="16" s="1"/>
  <c r="M30" i="16"/>
  <c r="J30" i="16" s="1" a="1"/>
  <c r="J30" i="16" s="1"/>
  <c r="R33" i="16" a="1"/>
  <c r="R33" i="16" s="1"/>
  <c r="M4" i="16"/>
  <c r="J4" i="16" s="1" a="1"/>
  <c r="J4" i="16" s="1"/>
  <c r="M24" i="16"/>
  <c r="J24" i="16" s="1" a="1"/>
  <c r="J24" i="16" s="1"/>
  <c r="G28" i="16" a="1"/>
  <c r="G28" i="16" s="1"/>
  <c r="G8" i="16" a="1"/>
  <c r="G8" i="16" s="1"/>
  <c r="S9" i="16" a="1"/>
  <c r="S9" i="16" s="1"/>
  <c r="S29" i="16" a="1"/>
  <c r="S29" i="16" s="1"/>
  <c r="R13" i="16" a="1"/>
  <c r="R13" i="16" s="1"/>
  <c r="M23" i="16"/>
  <c r="J23" i="16" s="1" a="1"/>
  <c r="J23" i="16" s="1"/>
  <c r="G27" i="16" a="1"/>
  <c r="G27" i="16" s="1"/>
  <c r="G7" i="16" a="1"/>
  <c r="G7" i="16" s="1"/>
  <c r="S10" i="16" a="1"/>
  <c r="S10" i="16" s="1"/>
  <c r="S30" i="16" a="1"/>
  <c r="S30" i="16" s="1"/>
  <c r="R14" i="16" a="1"/>
  <c r="R14" i="16" s="1"/>
  <c r="R34" i="16" a="1"/>
  <c r="R34" i="16" s="1"/>
  <c r="M12" i="16"/>
  <c r="J12" i="16" s="1" a="1"/>
  <c r="J12" i="16" s="1"/>
  <c r="M32" i="16"/>
  <c r="J32" i="16" s="1" a="1"/>
  <c r="J32" i="16" s="1"/>
  <c r="M13" i="16"/>
  <c r="J13" i="16" s="1" a="1"/>
  <c r="J13" i="16" s="1"/>
  <c r="M33" i="16"/>
  <c r="J33" i="16" s="1" a="1"/>
  <c r="J33" i="16" s="1"/>
  <c r="R16" i="16" a="1"/>
  <c r="R16" i="16" s="1"/>
  <c r="M14" i="16"/>
  <c r="J14" i="16" s="1" a="1"/>
  <c r="J14" i="16" s="1"/>
  <c r="M34" i="16"/>
  <c r="J34" i="16" s="1" a="1"/>
  <c r="J34" i="16" s="1"/>
  <c r="R17" i="16" a="1"/>
  <c r="R17" i="16" s="1"/>
  <c r="G26" i="16" a="1"/>
  <c r="G26" i="16" s="1"/>
  <c r="G6" i="16" a="1"/>
  <c r="G6" i="16" s="1"/>
  <c r="S11" i="16" a="1"/>
  <c r="S11" i="16" s="1"/>
  <c r="S31" i="16" a="1"/>
  <c r="S31" i="16" s="1"/>
  <c r="R15" i="16" a="1"/>
  <c r="R15" i="16" s="1"/>
  <c r="R35" i="16" a="1"/>
  <c r="R35" i="16" s="1"/>
  <c r="R36" i="16" a="1"/>
  <c r="R36" i="16" s="1"/>
  <c r="M15" i="16"/>
  <c r="J15" i="16" s="1" a="1"/>
  <c r="J15" i="16" s="1"/>
  <c r="M35" i="16"/>
  <c r="J35" i="16" s="1" a="1"/>
  <c r="J35" i="16" s="1"/>
  <c r="M22" i="16"/>
  <c r="J22" i="16" s="1" a="1"/>
  <c r="J22" i="16" s="1"/>
  <c r="X4" i="16" a="1"/>
  <c r="X4" i="16" s="1"/>
  <c r="X24" i="16" a="1"/>
  <c r="X24" i="16" s="1"/>
  <c r="X5" i="16" a="1"/>
  <c r="X5" i="16" s="1"/>
  <c r="X25" i="16" a="1"/>
  <c r="X25" i="16" s="1"/>
  <c r="X6" i="16" a="1"/>
  <c r="X6" i="16" s="1"/>
  <c r="X26" i="16" a="1"/>
  <c r="X26" i="16" s="1"/>
  <c r="Y26" i="16" s="1"/>
  <c r="X7" i="16" a="1"/>
  <c r="X7" i="16" s="1"/>
  <c r="Y7" i="16" s="1"/>
  <c r="X27" i="16" a="1"/>
  <c r="X27" i="16" s="1"/>
  <c r="X8" i="16" a="1"/>
  <c r="X8" i="16" s="1"/>
  <c r="X28" i="16" a="1"/>
  <c r="X28" i="16" s="1"/>
  <c r="X9" i="16" a="1"/>
  <c r="X9" i="16" s="1"/>
  <c r="X29" i="16" a="1"/>
  <c r="X29" i="16" s="1"/>
  <c r="X10" i="16" a="1"/>
  <c r="X10" i="16" s="1"/>
  <c r="X30" i="16" a="1"/>
  <c r="X30" i="16" s="1"/>
  <c r="X11" i="16" a="1"/>
  <c r="X11" i="16" s="1"/>
  <c r="X31" i="16" a="1"/>
  <c r="X31" i="16" s="1"/>
  <c r="X12" i="16" a="1"/>
  <c r="X12" i="16" s="1"/>
  <c r="X32" i="16" a="1"/>
  <c r="X32" i="16" s="1"/>
  <c r="X13" i="16" a="1"/>
  <c r="X13" i="16" s="1"/>
  <c r="X33" i="16" a="1"/>
  <c r="X33" i="16" s="1"/>
  <c r="Y33" i="16" s="1"/>
  <c r="X14" i="16" a="1"/>
  <c r="X14" i="16" s="1"/>
  <c r="Y14" i="16" s="1"/>
  <c r="X34" i="16" a="1"/>
  <c r="X34" i="16" s="1"/>
  <c r="Y34" i="16" s="1"/>
  <c r="X15" i="16" a="1"/>
  <c r="X15" i="16" s="1"/>
  <c r="Y15" i="16" s="1"/>
  <c r="X35" i="16" a="1"/>
  <c r="X35" i="16" s="1"/>
  <c r="X16" i="16" a="1"/>
  <c r="X16" i="16" s="1"/>
  <c r="Y16" i="16" s="1"/>
  <c r="X36" i="16" a="1"/>
  <c r="X36" i="16" s="1"/>
  <c r="Y36" i="16" s="1"/>
  <c r="X17" i="16" a="1"/>
  <c r="X17" i="16" s="1"/>
  <c r="X37" i="16" a="1"/>
  <c r="X37" i="16" s="1"/>
  <c r="Y37" i="16" s="1"/>
  <c r="X18" i="16" a="1"/>
  <c r="X18" i="16" s="1"/>
  <c r="Y18" i="16" s="1"/>
  <c r="X3" i="16" a="1"/>
  <c r="X3" i="16" s="1"/>
  <c r="X19" i="16" a="1"/>
  <c r="X19" i="16" s="1"/>
  <c r="X20" i="16" a="1"/>
  <c r="X20" i="16" s="1"/>
  <c r="Y20" i="16" s="1"/>
  <c r="X21" i="16" a="1"/>
  <c r="X21" i="16" s="1"/>
  <c r="X22" i="16" a="1"/>
  <c r="X22" i="16" s="1"/>
  <c r="Y22" i="16" s="1"/>
  <c r="X23" i="16" a="1"/>
  <c r="X23" i="16" s="1"/>
  <c r="Y23" i="16" s="1"/>
  <c r="B23" i="16"/>
  <c r="E3" i="16"/>
  <c r="E18" i="16"/>
  <c r="Q5" i="16" a="1"/>
  <c r="Q5" i="16" s="1"/>
  <c r="H20" i="16" a="1"/>
  <c r="H20" i="16" s="1"/>
  <c r="Z35" i="16" a="1"/>
  <c r="Z35" i="16" s="1"/>
  <c r="Z15" i="16" a="1"/>
  <c r="Z15" i="16" s="1"/>
  <c r="Q25" i="16" a="1"/>
  <c r="Q25" i="16" s="1"/>
  <c r="B22" i="16"/>
  <c r="E37" i="16"/>
  <c r="E17" i="16"/>
  <c r="Q24" i="16" a="1"/>
  <c r="Q24" i="16" s="1"/>
  <c r="Q4" i="16" a="1"/>
  <c r="Q4" i="16" s="1"/>
  <c r="H19" i="16" a="1"/>
  <c r="H19" i="16" s="1"/>
  <c r="Z34" i="16" a="1"/>
  <c r="Z34" i="16" s="1"/>
  <c r="Z14" i="16" a="1"/>
  <c r="Z14" i="16" s="1"/>
  <c r="Q23" i="16" a="1"/>
  <c r="Q23" i="16" s="1"/>
  <c r="H3" i="16" a="1"/>
  <c r="H3" i="16" s="1"/>
  <c r="H18" i="16" a="1"/>
  <c r="H18" i="16" s="1"/>
  <c r="Z33" i="16" a="1"/>
  <c r="Z33" i="16" s="1"/>
  <c r="Z13" i="16" a="1"/>
  <c r="Z13" i="16" s="1"/>
  <c r="Q22" i="16" a="1"/>
  <c r="Q22" i="16" s="1"/>
  <c r="H37" i="16" a="1"/>
  <c r="H37" i="16" s="1"/>
  <c r="H17" i="16" a="1"/>
  <c r="H17" i="16" s="1"/>
  <c r="Z32" i="16" a="1"/>
  <c r="Z32" i="16" s="1"/>
  <c r="Z12" i="16" a="1"/>
  <c r="Z12" i="16" s="1"/>
  <c r="B21" i="16"/>
  <c r="E36" i="16"/>
  <c r="E16" i="16"/>
  <c r="B19" i="16"/>
  <c r="E34" i="16"/>
  <c r="E14" i="16"/>
  <c r="Q21" i="16" a="1"/>
  <c r="Q21" i="16" s="1"/>
  <c r="H36" i="16" a="1"/>
  <c r="H36" i="16" s="1"/>
  <c r="H16" i="16" a="1"/>
  <c r="H16" i="16" s="1"/>
  <c r="Z31" i="16" a="1"/>
  <c r="Z31" i="16" s="1"/>
  <c r="Z11" i="16" a="1"/>
  <c r="Z11" i="16" s="1"/>
  <c r="B20" i="16"/>
  <c r="E35" i="16"/>
  <c r="E15" i="16"/>
  <c r="B3" i="16"/>
  <c r="B18" i="16"/>
  <c r="E33" i="16"/>
  <c r="E13" i="16"/>
  <c r="Q20" i="16" a="1"/>
  <c r="Q20" i="16" s="1"/>
  <c r="H35" i="16" a="1"/>
  <c r="H35" i="16" s="1"/>
  <c r="H15" i="16" a="1"/>
  <c r="H15" i="16" s="1"/>
  <c r="Z30" i="16" a="1"/>
  <c r="Z30" i="16" s="1"/>
  <c r="Z10" i="16" a="1"/>
  <c r="Z10" i="16" s="1"/>
  <c r="B24" i="16"/>
  <c r="B4" i="16"/>
  <c r="B37" i="16"/>
  <c r="B17" i="16"/>
  <c r="E32" i="16"/>
  <c r="E12" i="16"/>
  <c r="Q19" i="16" a="1"/>
  <c r="Q19" i="16" s="1"/>
  <c r="H34" i="16" a="1"/>
  <c r="H34" i="16" s="1"/>
  <c r="H14" i="16" a="1"/>
  <c r="H14" i="16" s="1"/>
  <c r="Z29" i="16" a="1"/>
  <c r="Z29" i="16" s="1"/>
  <c r="Z9" i="16" a="1"/>
  <c r="Z9" i="16" s="1"/>
  <c r="B36" i="16"/>
  <c r="B16" i="16"/>
  <c r="E31" i="16"/>
  <c r="E11" i="16"/>
  <c r="Q3" i="16" a="1"/>
  <c r="Q3" i="16" s="1"/>
  <c r="Q18" i="16" a="1"/>
  <c r="Q18" i="16" s="1"/>
  <c r="H33" i="16" a="1"/>
  <c r="H33" i="16" s="1"/>
  <c r="H13" i="16" a="1"/>
  <c r="H13" i="16" s="1"/>
  <c r="Z28" i="16" a="1"/>
  <c r="Z28" i="16" s="1"/>
  <c r="Z8" i="16" a="1"/>
  <c r="Z8" i="16" s="1"/>
  <c r="Q17" i="16" a="1"/>
  <c r="Q17" i="16" s="1"/>
  <c r="H32" i="16" a="1"/>
  <c r="H32" i="16" s="1"/>
  <c r="H12" i="16" a="1"/>
  <c r="H12" i="16" s="1"/>
  <c r="Z27" i="16" a="1"/>
  <c r="Z27" i="16" s="1"/>
  <c r="Z7" i="16" a="1"/>
  <c r="Z7" i="16" s="1"/>
  <c r="Q36" i="16" a="1"/>
  <c r="Q36" i="16" s="1"/>
  <c r="Q16" i="16" a="1"/>
  <c r="Q16" i="16" s="1"/>
  <c r="H31" i="16" a="1"/>
  <c r="H31" i="16" s="1"/>
  <c r="H11" i="16" a="1"/>
  <c r="H11" i="16" s="1"/>
  <c r="Z26" i="16" a="1"/>
  <c r="Z26" i="16" s="1"/>
  <c r="Z6" i="16" a="1"/>
  <c r="Z6" i="16" s="1"/>
  <c r="Q15" i="16" a="1"/>
  <c r="Q15" i="16" s="1"/>
  <c r="H30" i="16" a="1"/>
  <c r="H30" i="16" s="1"/>
  <c r="H10" i="16" a="1"/>
  <c r="H10" i="16" s="1"/>
  <c r="Z25" i="16" a="1"/>
  <c r="Z25" i="16" s="1"/>
  <c r="Z5" i="16" a="1"/>
  <c r="Z5" i="16" s="1"/>
  <c r="B32" i="16"/>
  <c r="B12" i="16"/>
  <c r="E27" i="16"/>
  <c r="E7" i="16"/>
  <c r="Q34" i="16" a="1"/>
  <c r="Q34" i="16" s="1"/>
  <c r="Q14" i="16" a="1"/>
  <c r="Q14" i="16" s="1"/>
  <c r="H29" i="16" a="1"/>
  <c r="H29" i="16" s="1"/>
  <c r="H9" i="16" a="1"/>
  <c r="H9" i="16" s="1"/>
  <c r="Z24" i="16" a="1"/>
  <c r="Z24" i="16" s="1"/>
  <c r="Z4" i="16" a="1"/>
  <c r="Z4" i="16" s="1"/>
  <c r="AL27" i="16"/>
  <c r="N16" i="16" a="1"/>
  <c r="T27" i="16" a="1"/>
  <c r="T14" i="16" a="1"/>
  <c r="T8" i="16" a="1"/>
  <c r="T32" i="16" a="1"/>
  <c r="T11" i="16" a="1"/>
  <c r="T3" i="16" a="1"/>
  <c r="T16" i="16" a="1"/>
  <c r="N12" i="16" a="1"/>
  <c r="N27" i="16" a="1"/>
  <c r="N20" i="16" a="1"/>
  <c r="N22" i="16" a="1"/>
  <c r="N24" i="16" a="1"/>
  <c r="N8" i="16" a="1"/>
  <c r="T34" i="16" a="1"/>
  <c r="T29" i="16" a="1"/>
  <c r="N6" i="16" a="1"/>
  <c r="N36" i="16" a="1"/>
  <c r="T36" i="16" a="1"/>
  <c r="T22" i="16" a="1"/>
  <c r="N5" i="16" a="1"/>
  <c r="N19" i="16" a="1"/>
  <c r="T25" i="16" a="1"/>
  <c r="T18" i="16" a="1"/>
  <c r="T7" i="16" a="1"/>
  <c r="T30" i="16" a="1"/>
  <c r="T13" i="16" a="1"/>
  <c r="T5" i="16" a="1"/>
  <c r="N35" i="16" a="1"/>
  <c r="T24" i="16" a="1"/>
  <c r="T6" i="16" a="1"/>
  <c r="T15" i="16" a="1"/>
  <c r="T23" i="16" a="1"/>
  <c r="T9" i="16" a="1"/>
  <c r="N23" i="16" a="1"/>
  <c r="N21" i="16" a="1"/>
  <c r="N11" i="16" a="1"/>
  <c r="N29" i="16" a="1"/>
  <c r="N15" i="16" a="1"/>
  <c r="T33" i="16" a="1"/>
  <c r="T17" i="16" a="1"/>
  <c r="N18" i="16" a="1"/>
  <c r="N34" i="16" a="1"/>
  <c r="T35" i="16" a="1"/>
  <c r="T10" i="16" a="1"/>
  <c r="N31" i="16" a="1"/>
  <c r="N9" i="16" a="1"/>
  <c r="T21" i="16" a="1"/>
  <c r="N32" i="16" a="1"/>
  <c r="T37" i="16" a="1"/>
  <c r="T19" i="16" a="1"/>
  <c r="N17" i="16" a="1"/>
  <c r="N13" i="16" a="1"/>
  <c r="T4" i="16" a="1"/>
  <c r="N33" i="16" a="1"/>
  <c r="N26" i="16" a="1"/>
  <c r="T12" i="16" a="1"/>
  <c r="N25" i="16" a="1"/>
  <c r="N4" i="16" a="1"/>
  <c r="N30" i="16" a="1"/>
  <c r="T31" i="16" a="1"/>
  <c r="N37" i="16" a="1"/>
  <c r="T28" i="16" a="1"/>
  <c r="T20" i="16" a="1"/>
  <c r="T26" i="16" a="1"/>
  <c r="N14" i="16" a="1"/>
  <c r="N28" i="16" a="1"/>
  <c r="N3" i="16" a="1"/>
  <c r="N10" i="16" a="1"/>
  <c r="N7" i="16" a="1"/>
  <c r="AJ17" i="16" l="1"/>
  <c r="AI17" i="16"/>
  <c r="AL24" i="16"/>
  <c r="AJ20" i="16"/>
  <c r="AJ26" i="16"/>
  <c r="AJ34" i="16"/>
  <c r="AL26" i="16"/>
  <c r="AM26" i="16" s="1"/>
  <c r="AJ36" i="16"/>
  <c r="AJ7" i="16"/>
  <c r="AJ16" i="16"/>
  <c r="AL7" i="16"/>
  <c r="AM7" i="16" s="1"/>
  <c r="AL6" i="16"/>
  <c r="AM32" i="16"/>
  <c r="AM27" i="16"/>
  <c r="AM24" i="16"/>
  <c r="AM12" i="16"/>
  <c r="AL29" i="16"/>
  <c r="AM29" i="16" s="1"/>
  <c r="R3" i="16" a="1"/>
  <c r="R3" i="16" s="1"/>
  <c r="AL9" i="16"/>
  <c r="AL25" i="16"/>
  <c r="AL20" i="16"/>
  <c r="AL36" i="16"/>
  <c r="AL21" i="16"/>
  <c r="AM21" i="16" s="1"/>
  <c r="AL4" i="16"/>
  <c r="AM4" i="16" s="1"/>
  <c r="AL18" i="16"/>
  <c r="AM18" i="16" s="1"/>
  <c r="AL10" i="16"/>
  <c r="AL19" i="16"/>
  <c r="AM19" i="16" s="1"/>
  <c r="AL13" i="16"/>
  <c r="AL14" i="16"/>
  <c r="AL15" i="16"/>
  <c r="AL5" i="16"/>
  <c r="AM5" i="16" s="1"/>
  <c r="AL22" i="16"/>
  <c r="AL30" i="16"/>
  <c r="AL35" i="16"/>
  <c r="AM35" i="16" s="1"/>
  <c r="AL37" i="16"/>
  <c r="AM37" i="16" s="1"/>
  <c r="AL16" i="16"/>
  <c r="AM16" i="16" s="1"/>
  <c r="AL23" i="16"/>
  <c r="AM23" i="16" s="1"/>
  <c r="N15" i="16"/>
  <c r="N27" i="16"/>
  <c r="N18" i="16"/>
  <c r="N25" i="16"/>
  <c r="N24" i="16"/>
  <c r="N26" i="16"/>
  <c r="N10" i="16"/>
  <c r="N34" i="16"/>
  <c r="N4" i="16"/>
  <c r="N19" i="16"/>
  <c r="N36" i="16"/>
  <c r="N12" i="16"/>
  <c r="N3" i="16"/>
  <c r="N30" i="16"/>
  <c r="N29" i="16"/>
  <c r="N28" i="16"/>
  <c r="N33" i="16"/>
  <c r="N22" i="16"/>
  <c r="N14" i="16"/>
  <c r="N17" i="16"/>
  <c r="N6" i="16"/>
  <c r="N7" i="16"/>
  <c r="N11" i="16"/>
  <c r="N21" i="16"/>
  <c r="N13" i="16"/>
  <c r="N35" i="16"/>
  <c r="N32" i="16"/>
  <c r="N23" i="16"/>
  <c r="N5" i="16"/>
  <c r="N20" i="16"/>
  <c r="N9" i="16"/>
  <c r="N16" i="16"/>
  <c r="N31" i="16"/>
  <c r="N37" i="16"/>
  <c r="N8" i="16"/>
  <c r="I26" i="16"/>
  <c r="AK26" i="16" s="1"/>
  <c r="L26" i="16"/>
  <c r="I6" i="16"/>
  <c r="AK6" i="16" s="1"/>
  <c r="L6" i="16"/>
  <c r="I25" i="16"/>
  <c r="L25" i="16"/>
  <c r="I20" i="16"/>
  <c r="AK20" i="16" s="1"/>
  <c r="L20" i="16"/>
  <c r="L21" i="16"/>
  <c r="I21" i="16"/>
  <c r="I5" i="16"/>
  <c r="AK5" i="16" s="1"/>
  <c r="L5" i="16"/>
  <c r="L37" i="16"/>
  <c r="I37" i="16"/>
  <c r="AK37" i="16" s="1"/>
  <c r="I23" i="16"/>
  <c r="AK23" i="16" s="1"/>
  <c r="L23" i="16"/>
  <c r="I17" i="16"/>
  <c r="L17" i="16"/>
  <c r="I34" i="16"/>
  <c r="AK34" i="16" s="1"/>
  <c r="L34" i="16"/>
  <c r="AL11" i="16"/>
  <c r="I14" i="16"/>
  <c r="L14" i="16"/>
  <c r="I19" i="16"/>
  <c r="AK19" i="16" s="1"/>
  <c r="L19" i="16"/>
  <c r="L31" i="16"/>
  <c r="I31" i="16"/>
  <c r="I30" i="16"/>
  <c r="AK30" i="16" s="1"/>
  <c r="L30" i="16"/>
  <c r="L29" i="16"/>
  <c r="I29" i="16"/>
  <c r="AK29" i="16" s="1"/>
  <c r="I13" i="16"/>
  <c r="L13" i="16"/>
  <c r="L22" i="16"/>
  <c r="I22" i="16"/>
  <c r="AK22" i="16" s="1"/>
  <c r="I36" i="16"/>
  <c r="L36" i="16"/>
  <c r="I3" i="16"/>
  <c r="L3" i="16"/>
  <c r="L18" i="16"/>
  <c r="I18" i="16"/>
  <c r="L33" i="16"/>
  <c r="I33" i="16"/>
  <c r="AK33" i="16" s="1"/>
  <c r="I35" i="16"/>
  <c r="L35" i="16"/>
  <c r="I32" i="16"/>
  <c r="AK32" i="16" s="1"/>
  <c r="L32" i="16"/>
  <c r="I15" i="16"/>
  <c r="AK15" i="16" s="1"/>
  <c r="L15" i="16"/>
  <c r="I12" i="16"/>
  <c r="AK12" i="16" s="1"/>
  <c r="L12" i="16"/>
  <c r="I24" i="16"/>
  <c r="L24" i="16"/>
  <c r="I8" i="16"/>
  <c r="L8" i="16"/>
  <c r="L11" i="16"/>
  <c r="I11" i="16"/>
  <c r="AK11" i="16" s="1"/>
  <c r="I16" i="16"/>
  <c r="L16" i="16"/>
  <c r="AL31" i="16"/>
  <c r="L4" i="16"/>
  <c r="I4" i="16"/>
  <c r="I28" i="16"/>
  <c r="L28" i="16"/>
  <c r="AL33" i="16"/>
  <c r="AL34" i="16"/>
  <c r="L27" i="16"/>
  <c r="I27" i="16"/>
  <c r="I10" i="16"/>
  <c r="L10" i="16"/>
  <c r="I9" i="16"/>
  <c r="L9" i="16"/>
  <c r="I7" i="16"/>
  <c r="AK7" i="16" s="1"/>
  <c r="L7" i="16"/>
  <c r="T20" i="16"/>
  <c r="T24" i="16"/>
  <c r="T7" i="16"/>
  <c r="T28" i="16"/>
  <c r="T9" i="16"/>
  <c r="T10" i="16"/>
  <c r="T15" i="16"/>
  <c r="T31" i="16"/>
  <c r="T17" i="16"/>
  <c r="T18" i="16"/>
  <c r="T27" i="16"/>
  <c r="T36" i="16"/>
  <c r="T4" i="16"/>
  <c r="T13" i="16"/>
  <c r="T22" i="16"/>
  <c r="T8" i="16"/>
  <c r="T34" i="16"/>
  <c r="T21" i="16"/>
  <c r="T30" i="16"/>
  <c r="T12" i="16"/>
  <c r="T25" i="16"/>
  <c r="T26" i="16"/>
  <c r="T11" i="16"/>
  <c r="T32" i="16"/>
  <c r="T29" i="16"/>
  <c r="T6" i="16"/>
  <c r="T19" i="16"/>
  <c r="T33" i="16"/>
  <c r="T16" i="16"/>
  <c r="T35" i="16"/>
  <c r="T3" i="16"/>
  <c r="T5" i="16"/>
  <c r="T14" i="16"/>
  <c r="T23" i="16"/>
  <c r="T37" i="16"/>
  <c r="U27" i="16" a="1"/>
  <c r="O5" i="16" a="1"/>
  <c r="O4" i="16" a="1"/>
  <c r="O13" i="16" a="1"/>
  <c r="O32" i="16" a="1"/>
  <c r="O33" i="16" a="1"/>
  <c r="O10" i="16" a="1"/>
  <c r="O30" i="16" a="1"/>
  <c r="O19" i="16" a="1"/>
  <c r="O27" i="16" a="1"/>
  <c r="O25" i="16" a="1"/>
  <c r="U25" i="16" a="1"/>
  <c r="U24" i="16" a="1"/>
  <c r="O11" i="16" a="1"/>
  <c r="U5" i="16" a="1"/>
  <c r="O17" i="16" a="1"/>
  <c r="U6" i="16" a="1"/>
  <c r="U4" i="16" a="1"/>
  <c r="U35" i="16" a="1"/>
  <c r="O34" i="16" a="1"/>
  <c r="U34" i="16" a="1"/>
  <c r="U36" i="16" a="1"/>
  <c r="O29" i="16" a="1"/>
  <c r="O28" i="16" a="1"/>
  <c r="U12" i="16" a="1"/>
  <c r="U9" i="16" a="1"/>
  <c r="U21" i="16" a="1"/>
  <c r="U11" i="16" a="1"/>
  <c r="O6" i="16" a="1"/>
  <c r="U8" i="16" a="1"/>
  <c r="O23" i="16" a="1"/>
  <c r="U37" i="16" a="1"/>
  <c r="U28" i="16" a="1"/>
  <c r="O3" i="16" a="1"/>
  <c r="O12" i="16" a="1"/>
  <c r="U26" i="16" a="1"/>
  <c r="O31" i="16" a="1"/>
  <c r="U23" i="16" a="1"/>
  <c r="U18" i="16" a="1"/>
  <c r="O21" i="16" a="1"/>
  <c r="O35" i="16" a="1"/>
  <c r="O16" i="16" a="1"/>
  <c r="U20" i="16" a="1"/>
  <c r="O20" i="16" a="1"/>
  <c r="U19" i="16" a="1"/>
  <c r="U33" i="16" a="1"/>
  <c r="U29" i="16" a="1"/>
  <c r="O26" i="16" a="1"/>
  <c r="U32" i="16" a="1"/>
  <c r="O8" i="16" a="1"/>
  <c r="O18" i="16" a="1"/>
  <c r="U15" i="16" a="1"/>
  <c r="U31" i="16" a="1"/>
  <c r="U14" i="16" a="1"/>
  <c r="U17" i="16" a="1"/>
  <c r="U16" i="16" a="1"/>
  <c r="U22" i="16" a="1"/>
  <c r="O24" i="16" a="1"/>
  <c r="O37" i="16" a="1"/>
  <c r="O14" i="16" a="1"/>
  <c r="O36" i="16" a="1"/>
  <c r="U10" i="16" a="1"/>
  <c r="U7" i="16" a="1"/>
  <c r="O7" i="16" a="1"/>
  <c r="U3" i="16" a="1"/>
  <c r="U30" i="16" a="1"/>
  <c r="O22" i="16" a="1"/>
  <c r="U13" i="16" a="1"/>
  <c r="O9" i="16" a="1"/>
  <c r="O15" i="16" a="1"/>
  <c r="AM36" i="16" l="1"/>
  <c r="AM20" i="16"/>
  <c r="AK18" i="16"/>
  <c r="AK35" i="16"/>
  <c r="AM34" i="16"/>
  <c r="AK31" i="16"/>
  <c r="AK4" i="16"/>
  <c r="AK16" i="16"/>
  <c r="AK14" i="16"/>
  <c r="AK8" i="16"/>
  <c r="AK27" i="16"/>
  <c r="AK13" i="16"/>
  <c r="AK21" i="16"/>
  <c r="AK10" i="16"/>
  <c r="AK28" i="16"/>
  <c r="AK25" i="16"/>
  <c r="AK3" i="16"/>
  <c r="AK36" i="16"/>
  <c r="AK24" i="16"/>
  <c r="AK9" i="16"/>
  <c r="AL3" i="16"/>
  <c r="O17" i="16"/>
  <c r="O14" i="16"/>
  <c r="O22" i="16"/>
  <c r="O33" i="16"/>
  <c r="O28" i="16"/>
  <c r="O8" i="16"/>
  <c r="O29" i="16"/>
  <c r="O37" i="16"/>
  <c r="O30" i="16"/>
  <c r="O31" i="16"/>
  <c r="O3" i="16"/>
  <c r="O16" i="16"/>
  <c r="O12" i="16"/>
  <c r="O9" i="16"/>
  <c r="O36" i="16"/>
  <c r="O20" i="16"/>
  <c r="O19" i="16"/>
  <c r="O5" i="16"/>
  <c r="O4" i="16"/>
  <c r="O23" i="16"/>
  <c r="O34" i="16"/>
  <c r="O32" i="16"/>
  <c r="O10" i="16"/>
  <c r="O35" i="16"/>
  <c r="O26" i="16"/>
  <c r="O13" i="16"/>
  <c r="O24" i="16"/>
  <c r="O21" i="16"/>
  <c r="O25" i="16"/>
  <c r="O11" i="16"/>
  <c r="O18" i="16"/>
  <c r="O7" i="16"/>
  <c r="O27" i="16"/>
  <c r="O6" i="16"/>
  <c r="O15" i="16"/>
  <c r="U25" i="16"/>
  <c r="AJ25" i="16" s="1"/>
  <c r="U8" i="16"/>
  <c r="AJ8" i="16" s="1"/>
  <c r="U33" i="16"/>
  <c r="AJ33" i="16" s="1"/>
  <c r="U31" i="16"/>
  <c r="AJ31" i="16" s="1"/>
  <c r="U19" i="16"/>
  <c r="AJ19" i="16" s="1"/>
  <c r="U22" i="16"/>
  <c r="AJ22" i="16" s="1"/>
  <c r="U15" i="16"/>
  <c r="AJ15" i="16" s="1"/>
  <c r="U37" i="16"/>
  <c r="AJ37" i="16" s="1"/>
  <c r="U11" i="16"/>
  <c r="AJ11" i="16" s="1"/>
  <c r="AM11" i="16" s="1"/>
  <c r="U13" i="16"/>
  <c r="AJ13" i="16" s="1"/>
  <c r="AM13" i="16" s="1"/>
  <c r="U24" i="16"/>
  <c r="AJ24" i="16" s="1"/>
  <c r="U29" i="16"/>
  <c r="AJ29" i="16" s="1"/>
  <c r="U30" i="16"/>
  <c r="AJ30" i="16" s="1"/>
  <c r="AM30" i="16" s="1"/>
  <c r="U17" i="16"/>
  <c r="U20" i="16"/>
  <c r="U14" i="16"/>
  <c r="AJ14" i="16" s="1"/>
  <c r="AM14" i="16" s="1"/>
  <c r="U35" i="16"/>
  <c r="AJ35" i="16" s="1"/>
  <c r="U21" i="16"/>
  <c r="AJ21" i="16" s="1"/>
  <c r="U5" i="16"/>
  <c r="AJ5" i="16" s="1"/>
  <c r="U16" i="16"/>
  <c r="U3" i="16"/>
  <c r="AJ3" i="16" s="1"/>
  <c r="U36" i="16"/>
  <c r="U28" i="16"/>
  <c r="AJ28" i="16" s="1"/>
  <c r="U32" i="16"/>
  <c r="AJ32" i="16" s="1"/>
  <c r="U27" i="16"/>
  <c r="AJ27" i="16" s="1"/>
  <c r="U7" i="16"/>
  <c r="U6" i="16"/>
  <c r="AJ6" i="16" s="1"/>
  <c r="U12" i="16"/>
  <c r="AJ12" i="16" s="1"/>
  <c r="U18" i="16"/>
  <c r="AJ18" i="16" s="1"/>
  <c r="U10" i="16"/>
  <c r="AJ10" i="16" s="1"/>
  <c r="U23" i="16"/>
  <c r="AJ23" i="16" s="1"/>
  <c r="U26" i="16"/>
  <c r="U4" i="16"/>
  <c r="AJ4" i="16" s="1"/>
  <c r="U9" i="16"/>
  <c r="AJ9" i="16" s="1"/>
  <c r="U34" i="16"/>
  <c r="AV37" i="16"/>
  <c r="AU37" i="16"/>
  <c r="AV36" i="16"/>
  <c r="AV35" i="16"/>
  <c r="AV34" i="16"/>
  <c r="AU34" i="16"/>
  <c r="AV33" i="16"/>
  <c r="AU33" i="16"/>
  <c r="AU32" i="16"/>
  <c r="AV31" i="16"/>
  <c r="AV30" i="16"/>
  <c r="AU30" i="16"/>
  <c r="AU29" i="16"/>
  <c r="AV28" i="16"/>
  <c r="AV27" i="16"/>
  <c r="AU27" i="16"/>
  <c r="AV26" i="16"/>
  <c r="AU26" i="16"/>
  <c r="AV25" i="16"/>
  <c r="AU23" i="16"/>
  <c r="AV22" i="16"/>
  <c r="AU22" i="16"/>
  <c r="AV20" i="16"/>
  <c r="AU20" i="16"/>
  <c r="AU19" i="16"/>
  <c r="AU18" i="16"/>
  <c r="P16" i="16" a="1"/>
  <c r="P6" i="16" a="1"/>
  <c r="P29" i="16" a="1"/>
  <c r="P19" i="16" a="1"/>
  <c r="P12" i="16" a="1"/>
  <c r="P10" i="16" a="1"/>
  <c r="P26" i="16" a="1"/>
  <c r="P7" i="16" a="1"/>
  <c r="P36" i="16" a="1"/>
  <c r="P8" i="16" a="1"/>
  <c r="P13" i="16" a="1"/>
  <c r="P20" i="16" a="1"/>
  <c r="P5" i="16" a="1"/>
  <c r="P22" i="16" a="1"/>
  <c r="P35" i="16" a="1"/>
  <c r="P25" i="16" a="1"/>
  <c r="P27" i="16" a="1"/>
  <c r="P21" i="16" a="1"/>
  <c r="P28" i="16" a="1"/>
  <c r="P23" i="16" a="1"/>
  <c r="P4" i="16" a="1"/>
  <c r="P34" i="16" a="1"/>
  <c r="P37" i="16" a="1"/>
  <c r="P18" i="16" a="1"/>
  <c r="P11" i="16" a="1"/>
  <c r="P31" i="16" a="1"/>
  <c r="P32" i="16" a="1"/>
  <c r="P24" i="16" a="1"/>
  <c r="P15" i="16" a="1"/>
  <c r="P14" i="16" a="1"/>
  <c r="P30" i="16" a="1"/>
  <c r="P3" i="16" a="1"/>
  <c r="P17" i="16" a="1"/>
  <c r="P33" i="16" a="1"/>
  <c r="P9" i="16" a="1"/>
  <c r="AM31" i="16" l="1"/>
  <c r="AM9" i="16"/>
  <c r="AM10" i="16"/>
  <c r="AU35" i="16"/>
  <c r="AU31" i="16"/>
  <c r="AM3" i="16"/>
  <c r="AM33" i="16"/>
  <c r="AM6" i="16"/>
  <c r="AU28" i="16"/>
  <c r="AU24" i="16"/>
  <c r="AM15" i="16"/>
  <c r="AM22" i="16"/>
  <c r="AU36" i="16"/>
  <c r="AU21" i="16"/>
  <c r="AM28" i="16"/>
  <c r="AM8" i="16"/>
  <c r="AM25" i="16"/>
  <c r="AU25" i="16"/>
  <c r="P23" i="16"/>
  <c r="AI23" i="16" s="1"/>
  <c r="P4" i="16"/>
  <c r="AI4" i="16" s="1"/>
  <c r="P5" i="16"/>
  <c r="AI5" i="16" s="1"/>
  <c r="P19" i="16"/>
  <c r="AI19" i="16" s="1"/>
  <c r="P20" i="16"/>
  <c r="AI20" i="16" s="1"/>
  <c r="P15" i="16"/>
  <c r="AI15" i="16" s="1"/>
  <c r="P36" i="16"/>
  <c r="AI36" i="16" s="1"/>
  <c r="P6" i="16"/>
  <c r="AI6" i="16" s="1"/>
  <c r="P9" i="16"/>
  <c r="AI9" i="16" s="1"/>
  <c r="P27" i="16"/>
  <c r="AI27" i="16" s="1"/>
  <c r="P12" i="16"/>
  <c r="AI12" i="16" s="1"/>
  <c r="P7" i="16"/>
  <c r="AI7" i="16" s="1"/>
  <c r="P16" i="16"/>
  <c r="AI16" i="16" s="1"/>
  <c r="P18" i="16"/>
  <c r="AI18" i="16" s="1"/>
  <c r="P3" i="16"/>
  <c r="AI3" i="16" s="1"/>
  <c r="P11" i="16"/>
  <c r="AI11" i="16" s="1"/>
  <c r="P31" i="16"/>
  <c r="AI31" i="16" s="1"/>
  <c r="P25" i="16"/>
  <c r="AI25" i="16" s="1"/>
  <c r="P30" i="16"/>
  <c r="AI30" i="16" s="1"/>
  <c r="P21" i="16"/>
  <c r="AI21" i="16" s="1"/>
  <c r="P37" i="16"/>
  <c r="AI37" i="16" s="1"/>
  <c r="P24" i="16"/>
  <c r="AI24" i="16" s="1"/>
  <c r="P29" i="16"/>
  <c r="AI29" i="16" s="1"/>
  <c r="P13" i="16"/>
  <c r="AI13" i="16" s="1"/>
  <c r="P8" i="16"/>
  <c r="AI8" i="16" s="1"/>
  <c r="P26" i="16"/>
  <c r="AI26" i="16" s="1"/>
  <c r="P28" i="16"/>
  <c r="AI28" i="16" s="1"/>
  <c r="P35" i="16"/>
  <c r="AI35" i="16" s="1"/>
  <c r="P33" i="16"/>
  <c r="AI33" i="16" s="1"/>
  <c r="P10" i="16"/>
  <c r="AI10" i="16" s="1"/>
  <c r="P22" i="16"/>
  <c r="AI22" i="16" s="1"/>
  <c r="P32" i="16"/>
  <c r="AI32" i="16" s="1"/>
  <c r="P14" i="16"/>
  <c r="AI14" i="16" s="1"/>
  <c r="P34" i="16"/>
  <c r="AI34" i="16" s="1"/>
  <c r="P17" i="16"/>
  <c r="AV18" i="16"/>
  <c r="AV19" i="16"/>
  <c r="AT20" i="16"/>
  <c r="AV21" i="16"/>
  <c r="AV23" i="16"/>
  <c r="AV24" i="16"/>
  <c r="AW27" i="16"/>
  <c r="AV29" i="16"/>
  <c r="AV32" i="16"/>
  <c r="AW35" i="16"/>
  <c r="AW37" i="16"/>
  <c r="AT33" i="16" l="1"/>
  <c r="AT26" i="16"/>
  <c r="AT36" i="16"/>
  <c r="AT30" i="16"/>
  <c r="AT15" i="16"/>
  <c r="AT28" i="16"/>
  <c r="AU4" i="16"/>
  <c r="AU13" i="16"/>
  <c r="AU9" i="16"/>
  <c r="AU7" i="16"/>
  <c r="AV9" i="16"/>
  <c r="AV12" i="16"/>
  <c r="AU15" i="16"/>
  <c r="AU12" i="16"/>
  <c r="AV17" i="16"/>
  <c r="AV6" i="16"/>
  <c r="AU11" i="16"/>
  <c r="AU17" i="16"/>
  <c r="AU5" i="16"/>
  <c r="AV11" i="16"/>
  <c r="AU8" i="16"/>
  <c r="AU3" i="16"/>
  <c r="AU6" i="16"/>
  <c r="AV3" i="16"/>
  <c r="AW12" i="16"/>
  <c r="AU14" i="16"/>
  <c r="AU16" i="16"/>
  <c r="AV14" i="16"/>
  <c r="AV16" i="16"/>
  <c r="AV13" i="16"/>
  <c r="AU10" i="16"/>
  <c r="AW16" i="16"/>
  <c r="AV8" i="16"/>
  <c r="AV10" i="16"/>
  <c r="AW31" i="16"/>
  <c r="AS18" i="16"/>
  <c r="AS17" i="16"/>
  <c r="AW17" i="16"/>
  <c r="AV7" i="16"/>
  <c r="AV5" i="16"/>
  <c r="AS4" i="16"/>
  <c r="AV4" i="16"/>
  <c r="AS13" i="16"/>
  <c r="AW22" i="16"/>
  <c r="AS16" i="16"/>
  <c r="AS28" i="16"/>
  <c r="AV15" i="16"/>
  <c r="AS15" i="16"/>
  <c r="AS34" i="16"/>
  <c r="AS26" i="16"/>
  <c r="AS31" i="16"/>
  <c r="AS23" i="16"/>
  <c r="AS20" i="16"/>
  <c r="AS12" i="16"/>
  <c r="AS9" i="16"/>
  <c r="AS36" i="16"/>
  <c r="AS6" i="16"/>
  <c r="AS14" i="16"/>
  <c r="AS33" i="16"/>
  <c r="AS25" i="16"/>
  <c r="AS22" i="16"/>
  <c r="AS30" i="16"/>
  <c r="AS19" i="16"/>
  <c r="AS11" i="16"/>
  <c r="AS8" i="16"/>
  <c r="AS5" i="16"/>
  <c r="AS35" i="16"/>
  <c r="AS27" i="16"/>
  <c r="AS32" i="16"/>
  <c r="AS24" i="16"/>
  <c r="AS21" i="16"/>
  <c r="AS10" i="16"/>
  <c r="AS37" i="16"/>
  <c r="AS29" i="16"/>
  <c r="AS7" i="16"/>
  <c r="AW28" i="16"/>
  <c r="AW26" i="16"/>
  <c r="AW20" i="16"/>
  <c r="AW36" i="16"/>
  <c r="AW33" i="16"/>
  <c r="AW32" i="16"/>
  <c r="AW29" i="16"/>
  <c r="AW24" i="16"/>
  <c r="AW23" i="16"/>
  <c r="AW21" i="16"/>
  <c r="AW19" i="16"/>
  <c r="AW18" i="16"/>
  <c r="AT31" i="16" l="1"/>
  <c r="AT21" i="16"/>
  <c r="AT32" i="16"/>
  <c r="AT22" i="16"/>
  <c r="AT23" i="16"/>
  <c r="AT13" i="16"/>
  <c r="AT24" i="16"/>
  <c r="AT12" i="16"/>
  <c r="AT16" i="16"/>
  <c r="AT5" i="16"/>
  <c r="AT25" i="16"/>
  <c r="AT34" i="16"/>
  <c r="AT4" i="16"/>
  <c r="AT3" i="16"/>
  <c r="AT8" i="16"/>
  <c r="AT14" i="16"/>
  <c r="AT18" i="16"/>
  <c r="AT27" i="16"/>
  <c r="AT35" i="16"/>
  <c r="AT9" i="16"/>
  <c r="AT29" i="16"/>
  <c r="AT19" i="16"/>
  <c r="AT7" i="16"/>
  <c r="AT37" i="16"/>
  <c r="AT17" i="16"/>
  <c r="AT10" i="16"/>
  <c r="AT11" i="16"/>
  <c r="AT6" i="16"/>
  <c r="AW11" i="16"/>
  <c r="AW9" i="16"/>
  <c r="AW13" i="16"/>
  <c r="AW10" i="16"/>
  <c r="AW8" i="16"/>
  <c r="AW30" i="16"/>
  <c r="AW6" i="16"/>
  <c r="AW14" i="16"/>
  <c r="AW34" i="16"/>
  <c r="AW25" i="16"/>
  <c r="AW15" i="16"/>
  <c r="AW4" i="16"/>
  <c r="AW5" i="16"/>
  <c r="AW7" i="16"/>
  <c r="AW3" i="16" l="1"/>
  <c r="AS3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<sst xmlns="http://schemas.openxmlformats.org/spreadsheetml/2006/main" count="795" uniqueCount="360">
  <si>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</si>
  <si>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</si>
  <si>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</si>
  <si>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</si>
  <si>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</si>
  <si>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</si>
  <si>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</si>
  <si>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</si>
  <si>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</si>
  <si>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</si>
  <si>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</si>
  <si>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</si>
  <si>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</si>
  <si>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</si>
  <si>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</si>
  <si>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</si>
  <si>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</si>
  <si>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</si>
  <si>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</si>
  <si>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</si>
  <si>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</si>
  <si>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</si>
  <si>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</si>
  <si>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</si>
  <si>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</si>
  <si>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</si>
  <si>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</si>
  <si>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</si>
  <si>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</si>
  <si>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</si>
  <si>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</si>
  <si>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</si>
  <si>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</si>
  <si>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infiltrative follicular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</si>
  <si>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</si>
  <si>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</si>
  <si>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</si>
  <si>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</si>
  <si>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</si>
  <si>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</si>
  <si>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</si>
  <si>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</si>
  <si>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</si>
  <si>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</si>
  <si>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</si>
  <si>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</si>
  <si>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</si>
  <si>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</si>
  <si>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</si>
  <si>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</si>
  <si>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</si>
  <si>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</si>
  <si>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</si>
  <si>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</si>
  <si>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</si>
  <si>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</si>
  <si>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</si>
  <si>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</si>
  <si>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</si>
  <si>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</si>
  <si>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</si>
  <si>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</si>
  <si>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</si>
  <si>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Minimally invasive</t>
  </si>
  <si>
    <t>11o</t>
  </si>
  <si>
    <t>12p</t>
  </si>
  <si>
    <t>12o</t>
  </si>
  <si>
    <t>13p</t>
  </si>
  <si>
    <t>III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</si>
  <si>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</si>
  <si>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</si>
  <si>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</si>
  <si>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</si>
  <si>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</si>
  <si>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</si>
  <si>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</si>
  <si>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</si>
  <si>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</si>
  <si>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</si>
  <si>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</si>
  <si>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</si>
  <si>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</si>
  <si>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</si>
  <si>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</si>
  <si>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</si>
  <si>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</si>
  <si>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</si>
  <si>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</si>
  <si>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1.8 cm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</si>
  <si>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</si>
  <si>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</si>
  <si>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</si>
  <si>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</si>
  <si>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</si>
  <si>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</si>
  <si>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</si>
  <si>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</si>
  <si>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</si>
  <si>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</si>
  <si>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</si>
  <si>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</si>
  <si>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</si>
  <si>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</si>
  <si>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</si>
  <si>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</si>
  <si>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</si>
  <si>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</si>
  <si>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</si>
  <si>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</si>
  <si>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1.5cm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</si>
  <si>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</si>
  <si>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</si>
  <si>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</si>
  <si>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</si>
  <si>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</si>
  <si>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</si>
  <si>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</si>
  <si>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</si>
  <si>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</si>
  <si>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</si>
  <si>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</si>
  <si>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</si>
  <si>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</si>
  <si>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</si>
  <si>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</si>
  <si>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</si>
  <si>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</si>
  <si>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</si>
  <si>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</si>
  <si>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</si>
  <si>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</si>
  <si>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</si>
  <si>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</si>
  <si>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</si>
  <si>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</si>
  <si>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</si>
  <si>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</si>
  <si>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</si>
  <si>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</si>
  <si>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</si>
  <si>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</si>
  <si>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</si>
  <si>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</si>
  <si>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</si>
  <si>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</si>
  <si>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</si>
  <si>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</si>
  <si>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</si>
  <si>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</si>
  <si>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</si>
  <si>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</si>
  <si>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</si>
  <si>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</si>
  <si>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</si>
  <si>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T3a</t>
  </si>
  <si>
    <t>T4a</t>
  </si>
  <si>
    <t>T1</t>
  </si>
  <si>
    <t>T1a</t>
  </si>
  <si>
    <t>T1b</t>
  </si>
  <si>
    <t>T2</t>
  </si>
  <si>
    <t>T3b</t>
  </si>
  <si>
    <t>T4b</t>
  </si>
  <si>
    <t>N0</t>
  </si>
  <si>
    <t>N1</t>
  </si>
  <si>
    <t>N1a</t>
  </si>
  <si>
    <t>N1b</t>
  </si>
  <si>
    <t>M0</t>
  </si>
  <si>
    <t>M1</t>
  </si>
  <si>
    <t>2.5cm</t>
  </si>
  <si>
    <t>intermediate</t>
  </si>
  <si>
    <t>high</t>
  </si>
  <si>
    <t>low</t>
  </si>
  <si>
    <t>LN extent</t>
  </si>
  <si>
    <t>Papillary carcinoma</t>
  </si>
  <si>
    <t>Not identified</t>
  </si>
  <si>
    <t>8g</t>
  </si>
  <si>
    <t>infiltrative follicular subtype</t>
  </si>
  <si>
    <t>Present</t>
  </si>
  <si>
    <t>Left central compartment</t>
  </si>
  <si>
    <t>50 mm</t>
  </si>
  <si>
    <t>6.5cm</t>
  </si>
  <si>
    <t>4cm</t>
  </si>
  <si>
    <t>1.3cm</t>
  </si>
  <si>
    <t>2mm</t>
  </si>
  <si>
    <t>10 mm</t>
  </si>
  <si>
    <t>Absent</t>
  </si>
  <si>
    <t>Focal involvement by invasive carcinoma at posterior surface</t>
  </si>
  <si>
    <t>24.5 mm</t>
  </si>
  <si>
    <t>3cm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</si>
  <si>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</si>
  <si>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</si>
  <si>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</si>
  <si>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</si>
  <si>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</si>
  <si>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</si>
  <si>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</si>
  <si>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</si>
  <si>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</si>
  <si>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</si>
  <si>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classic</t>
  </si>
  <si>
    <t>20 mm</t>
  </si>
  <si>
    <t>63 mm</t>
  </si>
  <si>
    <t>papillary</t>
  </si>
  <si>
    <t>7 mm</t>
  </si>
  <si>
    <t>tall cell</t>
  </si>
  <si>
    <t>3 cm</t>
  </si>
  <si>
    <r>
      <t>NoFociVIFTC</t>
    </r>
    <r>
      <rPr>
        <b/>
        <sz val="11"/>
        <rFont val="Calibri (Body)"/>
      </rPr>
      <t xml:space="preserve"> (extensive/minimal)</t>
    </r>
  </si>
  <si>
    <t>pN1a</t>
  </si>
  <si>
    <t>pT3b</t>
  </si>
  <si>
    <t>ID</t>
  </si>
  <si>
    <t>Date of clinical note or operation</t>
  </si>
  <si>
    <t>Age of patient</t>
  </si>
  <si>
    <t>Tumor staging (pT)</t>
  </si>
  <si>
    <t>Regional lymph node staging (pN)</t>
  </si>
  <si>
    <t>Distant metastasis staging (pM)</t>
  </si>
  <si>
    <t>Site of lymph node involved</t>
  </si>
  <si>
    <t>Distant metastasis involvement</t>
  </si>
  <si>
    <t>Number of lymph node resected</t>
  </si>
  <si>
    <t>Number of lymph node involved</t>
  </si>
  <si>
    <t>Greatest dimension of involved lymph node</t>
  </si>
  <si>
    <t>Histological type of thyroid cancer</t>
  </si>
  <si>
    <t>Histological subtype or variant</t>
  </si>
  <si>
    <t>Greatest dimension of tumor size</t>
  </si>
  <si>
    <t>Number of tumor</t>
  </si>
  <si>
    <t>Presence of angioinvasion</t>
  </si>
  <si>
    <t>Extensiveness of angioinvasion</t>
  </si>
  <si>
    <t>Presence of capsular invasion</t>
  </si>
  <si>
    <t>Gene mutation test performed</t>
  </si>
  <si>
    <t>Gene mutation type identified</t>
  </si>
  <si>
    <t>Presence of involved surgical margin</t>
  </si>
  <si>
    <t>IDv2</t>
  </si>
  <si>
    <t>Report</t>
  </si>
  <si>
    <t>Right central compartment</t>
  </si>
  <si>
    <t>Suspicious foci</t>
  </si>
  <si>
    <t>Right level III</t>
  </si>
  <si>
    <t>follicular</t>
  </si>
  <si>
    <t>PATIENT ID</t>
  </si>
  <si>
    <t>Site of extrathyroidal extension</t>
  </si>
  <si>
    <t>NX</t>
  </si>
  <si>
    <t>MX</t>
  </si>
  <si>
    <t>Invading only strap muscles</t>
  </si>
  <si>
    <t>Clear</t>
  </si>
  <si>
    <t>Present (minimal)</t>
  </si>
  <si>
    <t>Isthmus</t>
  </si>
  <si>
    <t>Invading subcutaneous soft tissues, larynx, trachea, esophagus or recurrent laryngeal nerve</t>
  </si>
  <si>
    <t>Margin</t>
  </si>
  <si>
    <t>Invading soft tissue and strap muscles</t>
  </si>
  <si>
    <t>4 mm</t>
  </si>
  <si>
    <t>27 x 22 x 17 mm</t>
  </si>
  <si>
    <t>16 mm</t>
  </si>
  <si>
    <t>4 cm</t>
  </si>
  <si>
    <t>25 x 15 x 15 mm</t>
  </si>
  <si>
    <t>36 x 32 x 26 mm</t>
  </si>
  <si>
    <t>8 mm</t>
  </si>
  <si>
    <t>1.2 cm</t>
  </si>
  <si>
    <t>12 mm</t>
  </si>
  <si>
    <t>4.5 x 3 x 2cm</t>
  </si>
  <si>
    <t>28g</t>
  </si>
  <si>
    <t>5.5 cm</t>
  </si>
  <si>
    <t>Left central compartment LN excised</t>
  </si>
  <si>
    <t>Classic subtype</t>
  </si>
  <si>
    <t>TX</t>
  </si>
  <si>
    <t>Touched posterior and lateral margins</t>
  </si>
  <si>
    <t>Oncocytic classic subtype</t>
  </si>
  <si>
    <t>Follicular carcinoma</t>
  </si>
  <si>
    <t>thyroid</t>
  </si>
  <si>
    <t>0.8 cm</t>
  </si>
  <si>
    <t>pN1b</t>
  </si>
  <si>
    <t>Left central compartment LN dissection</t>
  </si>
  <si>
    <t>Cancer of thyroid</t>
  </si>
  <si>
    <t>~9mm</t>
  </si>
  <si>
    <t>1 cm</t>
  </si>
  <si>
    <t>Close to resection margins</t>
  </si>
  <si>
    <t>5.7 mm</t>
  </si>
  <si>
    <t>Left level III LN</t>
  </si>
  <si>
    <t>Infiltrative follicular</t>
  </si>
  <si>
    <t>6 cm</t>
  </si>
  <si>
    <t>Tall cell variant</t>
  </si>
  <si>
    <t>Cannot be assessed</t>
  </si>
  <si>
    <t>PTC (Papillary Thyroid Carcinoma)</t>
  </si>
  <si>
    <t>Classic</t>
  </si>
  <si>
    <t>Focally involved</t>
  </si>
  <si>
    <t>Margins uninvolved</t>
  </si>
  <si>
    <t>Margins involved</t>
  </si>
  <si>
    <t>Negative</t>
  </si>
  <si>
    <t>Positive</t>
  </si>
  <si>
    <t>&lt; 0.1 mm from carcinoma</t>
  </si>
  <si>
    <t>Left central compartment LN</t>
  </si>
  <si>
    <t>Invaded through the fibrous capsule</t>
  </si>
  <si>
    <t>central compartment, LNs bilaterally</t>
  </si>
  <si>
    <t>Left</t>
  </si>
  <si>
    <t>Uninvolved</t>
  </si>
  <si>
    <t>&lt;4</t>
  </si>
  <si>
    <t>Invading perithyroid soft tissue</t>
  </si>
  <si>
    <t>whole left lobe and isthmus</t>
  </si>
  <si>
    <t>Encapsulated classic</t>
  </si>
  <si>
    <t>Non-invasive follicular thyroid neoplasm with papillary-like nuclear features</t>
  </si>
  <si>
    <t>BRAF, KRAS or NRAS hot spot mutation</t>
  </si>
  <si>
    <t>PTC (Papillary)</t>
  </si>
  <si>
    <t>Right level III LNs</t>
  </si>
  <si>
    <t>Level VI or VII (pretracheal, paratracheal, or prelaryngeal/Delphian, or upper mediastinal)</t>
  </si>
  <si>
    <t>Present (lymphatic invasion)</t>
  </si>
  <si>
    <t>Posterior margin: involved by carcinoma</t>
  </si>
  <si>
    <t>['Right central compartment']</t>
  </si>
  <si>
    <t>Classic (usual, conventional)</t>
  </si>
  <si>
    <t>~5cm</t>
  </si>
  <si>
    <t>Margins close to resection margins</t>
  </si>
  <si>
    <t>5 mm</t>
  </si>
  <si>
    <t>No definite capsular invasion is seen</t>
  </si>
  <si>
    <t>Hurthle cell</t>
  </si>
  <si>
    <t>Left central compartment, Left level 2, 3, 4 cervical</t>
  </si>
  <si>
    <t>Anterior and posterior margins focally involved</t>
  </si>
  <si>
    <t>Suspected Cancer</t>
  </si>
  <si>
    <t>Left central compartment, adjacent fibroadipose tissue</t>
  </si>
  <si>
    <t>2.5 cm</t>
  </si>
  <si>
    <t>&gt;4</t>
  </si>
  <si>
    <t>Present, focally into adjacent fibroadipose tissue</t>
  </si>
  <si>
    <t>Lung, Bone</t>
  </si>
  <si>
    <t>CA (Carcinoma) of thyroid</t>
  </si>
  <si>
    <t>Extensive (= or &gt;4 vessels)</t>
  </si>
  <si>
    <t>Left lateral level II, III, IV</t>
  </si>
  <si>
    <t>Lung</t>
  </si>
  <si>
    <t>Present, microscopic invasive of the surrounding fat at the 2 mm tumor nodule.</t>
  </si>
  <si>
    <t>central, lateral, isthmus</t>
  </si>
  <si>
    <t>Present, fatty soft tissue at isthmus</t>
  </si>
  <si>
    <t>Focal Angionvasion</t>
  </si>
  <si>
    <t>Present (Microscopic extrathyroidal extension)</t>
  </si>
  <si>
    <t>Anterior margin: Involved by tumour, Posterior margin: Involved by tumour</t>
  </si>
  <si>
    <t>Left thyroid nodule, FNAC: PTC</t>
  </si>
  <si>
    <t>Gross extrathyroidal extension to overlying strap muscle</t>
  </si>
  <si>
    <t>2.7cm</t>
  </si>
  <si>
    <t>Uninvolved by carcinoma</t>
  </si>
  <si>
    <t>5 cm</t>
  </si>
  <si>
    <t>lateral neck lymph nodes, levels I, II, III, IV, or V or retropharyngeal lymph nodes</t>
  </si>
  <si>
    <t>Left lobe, Left central compartment LN, Level II-VB</t>
  </si>
  <si>
    <t>SCF LN</t>
  </si>
  <si>
    <t>Reaches the anterior and anterolateral capsule without breaching the capsule</t>
  </si>
  <si>
    <t>0.5 cm</t>
  </si>
  <si>
    <t>Right cricothyroid and inferior constrictor muscle</t>
  </si>
  <si>
    <t>12g</t>
  </si>
  <si>
    <t>isthmic side resection end</t>
  </si>
  <si>
    <t>[]</t>
  </si>
  <si>
    <t>1.6 cm</t>
  </si>
  <si>
    <t>Right level 2, 3, 4</t>
  </si>
  <si>
    <t>Right lateral neck, Level II, III, IV</t>
  </si>
  <si>
    <t>Central compartment, Level not specified</t>
  </si>
  <si>
    <t>Focal capsular invasion</t>
  </si>
  <si>
    <t>Inferior, Lateral, Superior, Posterior</t>
  </si>
  <si>
    <t>Superior pole, Deep surface</t>
  </si>
  <si>
    <t>Left lateral neck LNs, Left central compartment LN, Level II, III, IV</t>
  </si>
  <si>
    <t>2</t>
  </si>
  <si>
    <t>IVA</t>
  </si>
  <si>
    <t>IVB</t>
  </si>
  <si>
    <t>ETE</t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</si>
  <si>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</si>
  <si>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</si>
  <si>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t>EXTRACTED INFORMATION FOR CLASSIFCATION</t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</si>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</sst>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4">
    <xf numFmtId="0" fontId="0" fillId="0" borderId="0"/>
    <xf numFmtId="9" fontId="11" fillId="0" borderId="0" applyFont="0" applyFill="0" applyBorder="0" applyAlignment="0" applyProtection="0"/>
    <xf numFmtId="0" fontId="5" fillId="0" borderId="0"/>
    <xf numFmtId="0" fontId="4" fillId="0" borderId="0"/>
    <xf numFmtId="0" fontId="14" fillId="0" borderId="0" applyNumberFormat="0" applyFill="0" applyBorder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7" fillId="0" borderId="0" applyNumberFormat="0" applyFill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7" borderId="9" applyNumberFormat="0" applyAlignment="0" applyProtection="0"/>
    <xf numFmtId="0" fontId="21" fillId="8" borderId="10" applyNumberFormat="0" applyAlignment="0" applyProtection="0"/>
    <xf numFmtId="0" fontId="22" fillId="8" borderId="9" applyNumberFormat="0" applyAlignment="0" applyProtection="0"/>
    <xf numFmtId="0" fontId="23" fillId="0" borderId="11" applyNumberFormat="0" applyFill="0" applyAlignment="0" applyProtection="0"/>
    <xf numFmtId="0" fontId="24" fillId="9" borderId="12" applyNumberFormat="0" applyAlignment="0" applyProtection="0"/>
    <xf numFmtId="0" fontId="9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7" fillId="0" borderId="14" applyNumberFormat="0" applyFill="0" applyAlignment="0" applyProtection="0"/>
    <xf numFmtId="0" fontId="26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26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26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26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26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6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27" fillId="6" borderId="0" applyNumberFormat="0" applyBorder="0" applyAlignment="0" applyProtection="0"/>
    <xf numFmtId="0" fontId="3" fillId="10" borderId="13" applyNumberFormat="0" applyFont="0" applyAlignment="0" applyProtection="0"/>
    <xf numFmtId="0" fontId="26" fillId="14" borderId="0" applyNumberFormat="0" applyBorder="0" applyAlignment="0" applyProtection="0"/>
    <xf numFmtId="0" fontId="26" fillId="18" borderId="0" applyNumberFormat="0" applyBorder="0" applyAlignment="0" applyProtection="0"/>
    <xf numFmtId="0" fontId="26" fillId="22" borderId="0" applyNumberFormat="0" applyBorder="0" applyAlignment="0" applyProtection="0"/>
    <xf numFmtId="0" fontId="26" fillId="26" borderId="0" applyNumberFormat="0" applyBorder="0" applyAlignment="0" applyProtection="0"/>
    <xf numFmtId="0" fontId="26" fillId="30" borderId="0" applyNumberFormat="0" applyBorder="0" applyAlignment="0" applyProtection="0"/>
    <xf numFmtId="0" fontId="26" fillId="34" borderId="0" applyNumberFormat="0" applyBorder="0" applyAlignment="0" applyProtection="0"/>
    <xf numFmtId="0" fontId="2" fillId="0" borderId="0"/>
    <xf numFmtId="0" fontId="2" fillId="10" borderId="13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0" borderId="0"/>
    <xf numFmtId="0" fontId="1" fillId="10" borderId="13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52">
    <xf numFmtId="0" fontId="0" fillId="0" borderId="0" xfId="0"/>
    <xf numFmtId="0" fontId="6" fillId="0" borderId="0" xfId="0" applyFont="1"/>
    <xf numFmtId="0" fontId="6" fillId="0" borderId="1" xfId="0" applyFont="1" applyBorder="1"/>
    <xf numFmtId="0" fontId="8" fillId="0" borderId="2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0" borderId="0" xfId="0" applyFont="1"/>
    <xf numFmtId="0" fontId="12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" fontId="12" fillId="0" borderId="2" xfId="0" applyNumberFormat="1" applyFont="1" applyBorder="1" applyAlignment="1">
      <alignment horizontal="center" vertical="center"/>
    </xf>
    <xf numFmtId="1" fontId="12" fillId="0" borderId="5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/>
    </xf>
    <xf numFmtId="10" fontId="10" fillId="0" borderId="0" xfId="1" applyNumberFormat="1" applyFont="1" applyFill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2" fillId="0" borderId="0" xfId="0" applyFont="1" applyAlignment="1">
      <alignment horizontal="center"/>
    </xf>
    <xf numFmtId="10" fontId="0" fillId="0" borderId="0" xfId="0" applyNumberFormat="1"/>
    <xf numFmtId="10" fontId="4" fillId="0" borderId="0" xfId="1" applyNumberFormat="1" applyFont="1" applyFill="1" applyBorder="1"/>
    <xf numFmtId="14" fontId="0" fillId="0" borderId="0" xfId="0" applyNumberFormat="1"/>
    <xf numFmtId="15" fontId="0" fillId="0" borderId="0" xfId="0" applyNumberFormat="1"/>
    <xf numFmtId="1" fontId="12" fillId="0" borderId="5" xfId="0" applyNumberFormat="1" applyFont="1" applyBorder="1" applyAlignment="1">
      <alignment horizontal="center" vertical="center"/>
    </xf>
    <xf numFmtId="1" fontId="10" fillId="0" borderId="0" xfId="0" applyNumberFormat="1" applyFont="1" applyAlignment="1">
      <alignment horizontal="center"/>
    </xf>
    <xf numFmtId="1" fontId="12" fillId="0" borderId="16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1" fontId="10" fillId="0" borderId="5" xfId="0" applyNumberFormat="1" applyFont="1" applyBorder="1" applyAlignment="1">
      <alignment horizontal="center"/>
    </xf>
    <xf numFmtId="1" fontId="10" fillId="0" borderId="2" xfId="0" applyNumberFormat="1" applyFont="1" applyBorder="1" applyAlignment="1">
      <alignment horizontal="center"/>
    </xf>
    <xf numFmtId="1" fontId="10" fillId="0" borderId="16" xfId="0" applyNumberFormat="1" applyFont="1" applyBorder="1" applyAlignment="1">
      <alignment horizontal="center"/>
    </xf>
    <xf numFmtId="0" fontId="0" fillId="0" borderId="3" xfId="0" applyBorder="1"/>
    <xf numFmtId="0" fontId="12" fillId="2" borderId="0" xfId="0" applyFont="1" applyFill="1" applyAlignment="1">
      <alignment horizontal="center"/>
    </xf>
    <xf numFmtId="1" fontId="12" fillId="3" borderId="4" xfId="0" applyNumberFormat="1" applyFont="1" applyFill="1" applyBorder="1" applyAlignment="1">
      <alignment horizontal="center"/>
    </xf>
    <xf numFmtId="1" fontId="12" fillId="3" borderId="0" xfId="0" applyNumberFormat="1" applyFont="1" applyFill="1" applyAlignment="1">
      <alignment horizontal="center"/>
    </xf>
    <xf numFmtId="1" fontId="12" fillId="3" borderId="15" xfId="0" applyNumberFormat="1" applyFont="1" applyFill="1" applyBorder="1" applyAlignment="1">
      <alignment horizontal="center"/>
    </xf>
    <xf numFmtId="0" fontId="10" fillId="0" borderId="0" xfId="0" applyFont="1" applyFill="1" applyAlignment="1">
      <alignment horizontal="center"/>
    </xf>
    <xf numFmtId="1" fontId="10" fillId="0" borderId="4" xfId="0" applyNumberFormat="1" applyFont="1" applyFill="1" applyBorder="1" applyAlignment="1">
      <alignment horizontal="center"/>
    </xf>
    <xf numFmtId="1" fontId="10" fillId="0" borderId="0" xfId="0" applyNumberFormat="1" applyFont="1" applyFill="1" applyAlignment="1">
      <alignment horizontal="center"/>
    </xf>
    <xf numFmtId="0" fontId="10" fillId="0" borderId="2" xfId="0" applyFont="1" applyFill="1" applyBorder="1" applyAlignment="1">
      <alignment horizontal="center"/>
    </xf>
    <xf numFmtId="1" fontId="10" fillId="0" borderId="5" xfId="0" applyNumberFormat="1" applyFont="1" applyFill="1" applyBorder="1" applyAlignment="1">
      <alignment horizontal="center"/>
    </xf>
    <xf numFmtId="1" fontId="10" fillId="0" borderId="2" xfId="0" applyNumberFormat="1" applyFont="1" applyFill="1" applyBorder="1" applyAlignment="1">
      <alignment horizontal="center"/>
    </xf>
    <xf numFmtId="0" fontId="10" fillId="0" borderId="17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0" borderId="5" xfId="0" applyFont="1" applyFill="1" applyBorder="1" applyAlignment="1">
      <alignment horizontal="center"/>
    </xf>
    <xf numFmtId="2" fontId="12" fillId="0" borderId="2" xfId="0" applyNumberFormat="1" applyFont="1" applyBorder="1" applyAlignment="1">
      <alignment horizontal="center" vertical="center" wrapText="1"/>
    </xf>
  </cellXfs>
  <cellStyles count="74">
    <cellStyle name="20% - Accent1" xfId="20" builtinId="30" customBuiltin="1"/>
    <cellStyle name="20% - Accent1 2" xfId="48" xr:uid="{C6084956-82D1-4B85-9997-3B0BC22CAE19}"/>
    <cellStyle name="20% - Accent1 3" xfId="62" xr:uid="{7536FE0E-B2E8-4B33-8259-9EA63CBD221B}"/>
    <cellStyle name="20% - Accent2" xfId="23" builtinId="34" customBuiltin="1"/>
    <cellStyle name="20% - Accent2 2" xfId="50" xr:uid="{C2F6999E-535F-4888-B8A7-7D52E3B81E6C}"/>
    <cellStyle name="20% - Accent2 3" xfId="64" xr:uid="{D08CD509-037A-42BD-9F34-8F6CE310EEC3}"/>
    <cellStyle name="20% - Accent3" xfId="26" builtinId="38" customBuiltin="1"/>
    <cellStyle name="20% - Accent3 2" xfId="52" xr:uid="{7404AF2F-FD4C-46D9-90B4-0E4410A4C58D}"/>
    <cellStyle name="20% - Accent3 3" xfId="66" xr:uid="{45C6F774-09B2-421C-AFF2-268D759D7FE6}"/>
    <cellStyle name="20% - Accent4" xfId="29" builtinId="42" customBuiltin="1"/>
    <cellStyle name="20% - Accent4 2" xfId="54" xr:uid="{FC242126-89F6-4D2F-A9C5-21B887E05AD3}"/>
    <cellStyle name="20% - Accent4 3" xfId="68" xr:uid="{9F31E2FB-8A18-4707-9DAF-57948339F1FB}"/>
    <cellStyle name="20% - Accent5" xfId="32" builtinId="46" customBuiltin="1"/>
    <cellStyle name="20% - Accent5 2" xfId="56" xr:uid="{E7B82DE4-6654-4ACA-80CB-64CDA5F63B3D}"/>
    <cellStyle name="20% - Accent5 3" xfId="70" xr:uid="{5E59AE17-A143-4EB9-AB81-626370BCB358}"/>
    <cellStyle name="20% - Accent6" xfId="35" builtinId="50" customBuiltin="1"/>
    <cellStyle name="20% - Accent6 2" xfId="58" xr:uid="{3C076D3A-743A-49B6-B001-0F36000999EB}"/>
    <cellStyle name="20% - Accent6 3" xfId="72" xr:uid="{6B7C5DBE-DBE3-4B23-8564-F3E9D2C921BD}"/>
    <cellStyle name="40% - Accent1" xfId="21" builtinId="31" customBuiltin="1"/>
    <cellStyle name="40% - Accent1 2" xfId="49" xr:uid="{437A604B-7877-4FD5-8F8B-2CA73632073A}"/>
    <cellStyle name="40% - Accent1 3" xfId="63" xr:uid="{090DF97B-158B-4223-B4AE-AC219DFDE5D0}"/>
    <cellStyle name="40% - Accent2" xfId="24" builtinId="35" customBuiltin="1"/>
    <cellStyle name="40% - Accent2 2" xfId="51" xr:uid="{983F6F68-2BE4-468D-A5DA-CC8BE36E9FB7}"/>
    <cellStyle name="40% - Accent2 3" xfId="65" xr:uid="{B3C6B039-44A3-4673-A52A-2BA7FEFB360B}"/>
    <cellStyle name="40% - Accent3" xfId="27" builtinId="39" customBuiltin="1"/>
    <cellStyle name="40% - Accent3 2" xfId="53" xr:uid="{A7FA94C8-BE9C-4C79-B744-3DC566A05A15}"/>
    <cellStyle name="40% - Accent3 3" xfId="67" xr:uid="{EB6240DD-E399-4D25-805F-4ED029D711E1}"/>
    <cellStyle name="40% - Accent4" xfId="30" builtinId="43" customBuiltin="1"/>
    <cellStyle name="40% - Accent4 2" xfId="55" xr:uid="{506DA936-E2C9-42D0-A701-27B6B38CA556}"/>
    <cellStyle name="40% - Accent4 3" xfId="69" xr:uid="{DA9A2023-1F30-4B8B-A532-29497F9FD711}"/>
    <cellStyle name="40% - Accent5" xfId="33" builtinId="47" customBuiltin="1"/>
    <cellStyle name="40% - Accent5 2" xfId="57" xr:uid="{558E0A5D-6872-4EF1-977B-A018FE613706}"/>
    <cellStyle name="40% - Accent5 3" xfId="71" xr:uid="{8A960A53-9C8C-44F0-90E9-615EA060BC44}"/>
    <cellStyle name="40% - Accent6" xfId="36" builtinId="51" customBuiltin="1"/>
    <cellStyle name="40% - Accent6 2" xfId="59" xr:uid="{4C1115E6-51C9-4D22-89FD-A9A19D8132C2}"/>
    <cellStyle name="40% - Accent6 3" xfId="73" xr:uid="{9D21272C-0C60-4A39-ACDE-7197F2B11C4F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rmal 6" xfId="60" xr:uid="{F5A147C6-ABCE-4913-81E8-5720CC534F82}"/>
    <cellStyle name="Note 2" xfId="39" xr:uid="{229BDDF4-8816-40CB-B8F6-A1B6E2DC4ADF}"/>
    <cellStyle name="Note 3" xfId="47" xr:uid="{F49FA41D-8387-400A-92A6-1328AE10848F}"/>
    <cellStyle name="Note 4" xfId="61" xr:uid="{DF8AB1B7-DCCA-40FF-8314-789277DD404C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X64"/>
  <sheetViews>
    <sheetView tabSelected="1" zoomScale="70" zoomScaleNormal="70" workbookViewId="0">
      <pane xSplit="1" ySplit="2" topLeftCell="AF3" activePane="bottomRight" state="frozen"/>
      <selection pane="topRight"/>
      <selection pane="bottomLeft"/>
      <selection pane="bottomRight" activeCell="AI1" sqref="AI1:AM1"/>
    </sheetView>
  </sheetViews>
  <sheetFormatPr defaultColWidth="10.6640625" defaultRowHeight="14.25"/>
  <cols>
    <col min="2" max="4" width="11.33203125" hidden="1" customWidth="1"/>
    <col min="5" max="5" width="10.796875" style="18"/>
    <col min="6" max="6" width="12.46484375" bestFit="1" customWidth="1"/>
    <col min="7" max="7" width="11.796875" customWidth="1"/>
    <col min="8" max="8" width="10.796875" style="18"/>
    <col min="10" max="10" width="12.33203125" customWidth="1"/>
    <col min="11" max="11" width="11.796875" style="18" customWidth="1"/>
    <col min="12" max="12" width="12.53125" style="18" customWidth="1"/>
    <col min="13" max="13" width="12.46484375" style="18" bestFit="1" customWidth="1"/>
    <col min="14" max="14" width="10.796875" hidden="1" customWidth="1"/>
    <col min="15" max="15" width="13.33203125" hidden="1" customWidth="1"/>
    <col min="16" max="16" width="9.6640625" customWidth="1"/>
    <col min="17" max="17" width="32.73046875" bestFit="1" customWidth="1"/>
    <col min="18" max="18" width="25.1328125" bestFit="1" customWidth="1"/>
    <col min="19" max="19" width="17.6640625" hidden="1" customWidth="1"/>
    <col min="20" max="20" width="0" hidden="1" customWidth="1"/>
    <col min="22" max="22" width="14.6640625" style="18" customWidth="1"/>
    <col min="23" max="23" width="14.6640625" style="18" hidden="1" customWidth="1"/>
    <col min="24" max="24" width="23.53125" customWidth="1"/>
    <col min="25" max="25" width="11.796875" customWidth="1"/>
    <col min="27" max="27" width="14.1328125" style="18" customWidth="1"/>
    <col min="28" max="30" width="14.1328125" style="18" hidden="1" customWidth="1"/>
    <col min="31" max="31" width="14.33203125" customWidth="1"/>
    <col min="32" max="32" width="86.73046875" customWidth="1"/>
    <col min="34" max="34" width="10.796875" style="18"/>
    <col min="35" max="35" width="13.265625" customWidth="1"/>
    <col min="36" max="39" width="10.796875" customWidth="1"/>
    <col min="40" max="40" width="11.33203125" bestFit="1" customWidth="1"/>
    <col min="41" max="46" width="10.796875" customWidth="1"/>
    <col min="47" max="49" width="10.6640625" customWidth="1"/>
  </cols>
  <sheetData>
    <row r="1" spans="1:49" s="5" customFormat="1">
      <c r="A1" s="38" t="s">
        <v>356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20"/>
      <c r="AI1" s="39" t="s">
        <v>359</v>
      </c>
      <c r="AJ1" s="40"/>
      <c r="AK1" s="40"/>
      <c r="AL1" s="40"/>
      <c r="AM1" s="40"/>
      <c r="AN1" s="39" t="s">
        <v>196</v>
      </c>
      <c r="AO1" s="40"/>
      <c r="AP1" s="40"/>
      <c r="AQ1" s="40"/>
      <c r="AR1" s="40"/>
      <c r="AS1" s="39" t="s">
        <v>197</v>
      </c>
      <c r="AT1" s="40"/>
      <c r="AU1" s="40"/>
      <c r="AV1" s="40"/>
      <c r="AW1" s="41"/>
    </row>
    <row r="2" spans="1:49" s="4" customFormat="1" ht="42">
      <c r="A2" s="6" t="s">
        <v>0</v>
      </c>
      <c r="B2" s="6" t="s">
        <v>1</v>
      </c>
      <c r="C2" s="3" t="s">
        <v>2</v>
      </c>
      <c r="D2" s="3" t="s">
        <v>3</v>
      </c>
      <c r="E2" s="6" t="s">
        <v>4</v>
      </c>
      <c r="F2" s="6" t="s">
        <v>5</v>
      </c>
      <c r="G2" s="6" t="s">
        <v>6</v>
      </c>
      <c r="H2" s="6" t="s">
        <v>7</v>
      </c>
      <c r="I2" s="6" t="s">
        <v>8</v>
      </c>
      <c r="J2" s="6" t="s">
        <v>172</v>
      </c>
      <c r="K2" s="6" t="s">
        <v>9</v>
      </c>
      <c r="L2" s="6" t="s">
        <v>10</v>
      </c>
      <c r="M2" s="6" t="s">
        <v>11</v>
      </c>
      <c r="N2" s="6" t="s">
        <v>12</v>
      </c>
      <c r="O2" s="6" t="s">
        <v>357</v>
      </c>
      <c r="P2" s="51" t="s">
        <v>358</v>
      </c>
      <c r="Q2" s="6" t="s">
        <v>13</v>
      </c>
      <c r="R2" s="6" t="s">
        <v>14</v>
      </c>
      <c r="S2" s="6" t="s">
        <v>15</v>
      </c>
      <c r="T2" s="7" t="s">
        <v>354</v>
      </c>
      <c r="U2" s="51" t="s">
        <v>355</v>
      </c>
      <c r="V2" s="6" t="s">
        <v>16</v>
      </c>
      <c r="W2" s="6" t="s">
        <v>17</v>
      </c>
      <c r="X2" s="6" t="s">
        <v>18</v>
      </c>
      <c r="Y2" s="7" t="s">
        <v>206</v>
      </c>
      <c r="Z2" s="6" t="s">
        <v>19</v>
      </c>
      <c r="AA2" s="6" t="s">
        <v>20</v>
      </c>
      <c r="AB2" s="6" t="s">
        <v>21</v>
      </c>
      <c r="AC2" s="6" t="s">
        <v>22</v>
      </c>
      <c r="AD2" s="7" t="s">
        <v>23</v>
      </c>
      <c r="AE2" s="6" t="s">
        <v>24</v>
      </c>
      <c r="AF2" s="7" t="s">
        <v>353</v>
      </c>
      <c r="AG2" s="6" t="s">
        <v>245</v>
      </c>
      <c r="AH2" s="8"/>
      <c r="AI2" s="25" t="s">
        <v>148</v>
      </c>
      <c r="AJ2" s="9" t="s">
        <v>149</v>
      </c>
      <c r="AK2" s="9" t="s">
        <v>150</v>
      </c>
      <c r="AL2" s="9" t="s">
        <v>151</v>
      </c>
      <c r="AM2" s="9" t="s">
        <v>152</v>
      </c>
      <c r="AN2" s="10" t="s">
        <v>148</v>
      </c>
      <c r="AO2" s="9" t="s">
        <v>149</v>
      </c>
      <c r="AP2" s="9" t="s">
        <v>150</v>
      </c>
      <c r="AQ2" s="9" t="s">
        <v>151</v>
      </c>
      <c r="AR2" s="9" t="s">
        <v>152</v>
      </c>
      <c r="AS2" s="10" t="s">
        <v>148</v>
      </c>
      <c r="AT2" s="9" t="s">
        <v>149</v>
      </c>
      <c r="AU2" s="9" t="s">
        <v>150</v>
      </c>
      <c r="AV2" s="9" t="s">
        <v>151</v>
      </c>
      <c r="AW2" s="27" t="s">
        <v>152</v>
      </c>
    </row>
    <row r="3" spans="1:49">
      <c r="A3" s="14">
        <v>1</v>
      </c>
      <c r="B3" s="17">
        <f>_xlfn.MAXIFS('Model output'!B:B,'Model output'!Z:Z,'Classification result'!$A3)</f>
        <v>45320</v>
      </c>
      <c r="C3" s="17"/>
      <c r="D3" s="17"/>
      <c r="E3" s="18">
        <f>_xlfn.MAXIFS('Model output'!C:C,'Model output'!Z:Z,'Classification result'!$A3)</f>
        <v>67</v>
      </c>
      <c r="F3" s="18" t="str" cm="1">
        <f t="array" ref="F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G3" s="18" t="str" cm="1">
        <f t="array" ref="G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H3" s="18" cm="1">
        <f t="array" ref="H3">IF(AND(SUBSTITUTE(_xlfn.TEXTJOIN("/", TRUE, _xlfn._xlws.FILTER('Model output'!F:F, 'Model output'!Z:Z=A3)),"M", "")="", K3="negative"),0,IF(K3="positive",1,0))</f>
        <v>0</v>
      </c>
      <c r="I3" t="str">
        <f t="shared" ref="I3:I37" si="0">IF(OR(J3&lt;&gt;"",AND(M3&lt;&gt;"",M3&gt;0)),"positive","")</f>
        <v>positive</v>
      </c>
      <c r="J3" s="37" t="str" cm="1">
        <f t="array" ref="J3">IF(AND(M3&gt;0,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output'!Z:Z=A3)),1)))),"lateral",IF(AND(M3=0, _xlfn.TEXTJOIN("; ", TRUE, _xlfn._xlws.FILTER('Model output'!G:G, 'Model output'!Z:Z=A3))=""),"", "central"))</f>
        <v>central</v>
      </c>
      <c r="K3" s="18" t="str" cm="1">
        <f t="array" ref="K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L3" s="18">
        <f>IF(IFERROR(INDEX('Model output'!I:I, MATCH(A3, 'Model output'!Z:Z, 0)), "") &lt; M3, "", IFERROR(INDEX('Model output'!I:I, MATCH(A3, 'Model output'!Z:Z, 0)), ""))</f>
        <v>0</v>
      </c>
      <c r="M3" s="18">
        <f>IFERROR(INDEX('Model output'!J:J, MATCH(A3, 'Model output'!Z:Z, 0)), "")</f>
        <v>0</v>
      </c>
      <c r="N3" s="19" t="str" cm="1">
        <f t="array" ref="N3">ReplaceTo(ReplaceAnd(SUBSTITUTE(SUBSTITUTE(_xlfn.TEXTJOIN("; ", TRUE, _xlfn._xlws.FILTER('Model output'!K:K, 'Model output'!Z:Z=A3)), " ", ""), ",", ";")))</f>
        <v/>
      </c>
      <c r="O3" t="str" cm="1">
        <f t="array" ref="O3">IF(LEFT(IF(RIGHT(SUBSTITUTE(FilterWithUnits(N3)&amp;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";")),1)=";",RIGHT(IF(RIGHT(SUBSTITUTE(FilterWithUnits(N3)&amp;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";")),LEN(IF(RIGHT(SUBSTITUTE(FilterWithUnits(N3)&amp;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";")))-1),IF(RIGHT(SUBSTITUTE(FilterWithUnits(N3)&amp;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</f>
        <v/>
      </c>
      <c r="P3" t="str" cm="1">
        <f t="array" ref="P3">IF(MaxSize((SplitDimensions(O3)))=0, "", MaxSize((SplitDimensions(O3))))</f>
        <v/>
      </c>
      <c r="Q3" t="str" cm="1">
        <f t="array" ref="Q3">IF(ISERROR(INDEX(_xlfn._xlws.FILTER('Model output'!L:L, ('Model output'!Z:Z=A3)*('Model output'!L:L&lt;&gt;"")), 1)), " ", LOWER(INDEX(_xlfn._xlws.FILTER('Model output'!L:L, ('Model output'!Z:Z=A3)*('Model output'!L:L&lt;&gt;"")), 1)))</f>
        <v>papillary</v>
      </c>
      <c r="R3" t="str" cm="1">
        <f t="array" ref="R3">Q3 &amp; " " &amp;IF(ISERROR(INDEX(_xlfn._xlws.FILTER('Model output'!M:M, ('Model output'!Z:Z=A3)*('Model output'!M:M&lt;&gt;"")), 1)), " ", LOWER(INDEX(_xlfn._xlws.FILTER('Model output'!M:M, ('Model output'!Z:Z=A3)*('Model output'!M:M&lt;&gt;"")), 1)))</f>
        <v>papillary infiltrative follicular</v>
      </c>
      <c r="S3" t="str" cm="1">
        <f t="array" ref="S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T3" t="str" cm="1">
        <f t="array" ref="T3">IF(LEFT(IF(RIGHT(SUBSTITUTE(FilterWithUnits(S3)&amp;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";")),1)=";",RIGHT(IF(RIGHT(SUBSTITUTE(FilterWithUnits(S3)&amp;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";")),LEN(IF(RIGHT(SUBSTITUTE(FilterWithUnits(S3)&amp;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";")))-1),IF(RIGHT(SUBSTITUTE(FilterWithUnits(S3)&amp;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</f>
        <v>13mm</v>
      </c>
      <c r="U3" cm="1">
        <f t="array" ref="U3">IF(MaxSize((SplitDimensions(T3)))=0, "", MaxSize((SplitDimensions(T3))))</f>
        <v>1.3</v>
      </c>
      <c r="V3" s="18" t="str" cm="1">
        <f t="array" ref="V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X3" t="str" cm="1">
        <f t="array" ref="X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Y3" t="str">
        <f>IF(V3="negative","no",IF(OR(ISNUMBER(SEARCH("&gt; 4",X3,1)),ISNUMBER(SEARCH("&gt;4",X3,1)),ISNUMBER(SEARCH("4 or more",X3,1)),ISNUMBER(SEARCH("extensive",X3,1))),"extensive","minimal"))</f>
        <v>no</v>
      </c>
      <c r="Z3" t="str" cm="1">
        <f t="array" ref="Z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positive</v>
      </c>
      <c r="AA3" s="18" t="str">
        <f>IF(OR(ISNUMBER(SEARCH("soft tissue", AF3)), ISNUMBER(SEARCH("adipose tissue", AF3)), ISNUMBER(SEARCH("muscles", AF3)), ISNUMBER(SEARCH("microscopic", AF3)), ISNUMBER(SEARCH("minimal", AF3)), ISNUMBER(SEARCH("surrounding fat", AF3)), ISNUMBER(SEARCH("present", AF3)), ISNUMBER(SEARCH("yes", AF3))), "positive", "negative")</f>
        <v>negative</v>
      </c>
      <c r="AE3" s="18" t="str">
        <f>IF(OR(ISNUMBER(SEARCH("subcutaneous soft tissues", AF3)),ISNUMBER(SEARCH("strap muscle", AF3)), ISNUMBER(SEARCH("larynx", AF3)),ISNUMBER(SEARCH("trachea", AF3)),ISNUMBER(SEARCH("esophagus", AF3)), ISNUMBER(SEARCH("recurrent laryngeal nerve", AF3)), ISNUMBER(SEARCH("RLN", AF3))), "positive", "negative")</f>
        <v>negative</v>
      </c>
      <c r="AF3" t="str" cm="1">
        <f t="array" ref="AF3">_xlfn.TEXTJOIN("; ",TRUE,_xlfn._xlws.FILTER('Model output'!S:S,'Model output'!Z:Z=A3))</f>
        <v>Not identified</v>
      </c>
      <c r="AG3" s="18" t="str" cm="1">
        <f t="array" ref="AG3">IF(OR(ISNUMBER(SEARCH("uninvolved",_xlfn.TEXTJOIN("; ",TRUE,_xlfn._xlws.FILTER('Model output'!V:V,'Model output'!Z:Z=A3)),1)),ISNUMBER(SEARCH("clear",_xlfn.TEXTJOIN("; ",TRUE,_xlfn._xlws.FILTER('Model output'!V:V,'Model output'!Z:Z=A3)),1)),ISNUMBER(SEARCH("not mentioned",_xlfn.TEXTJOIN("; ",TRUE,_xlfn._xlws.FILTER('Model output'!V:V,'Model output'!Z:Z=A3)),1))),"negative","positive")</f>
        <v>positive</v>
      </c>
      <c r="AI3" s="48" t="str">
        <f t="shared" ref="AI3:AI37" si="1">IF(OR(ISNUMBER(SEARCH("non-invasive follicular",Q3,1)),ISNUMBER(SEARCH("non-invasive follicular",R3,1))),"NIFTP", IF(OR(K3="positive",AE3="positive",AND(OR(ISNUMBER(SEARCH("follicular", Q3)),ISNUMBER(SEARCH("FTC", Q3))),Y3="extensive"),AND(I3="positive",ISNUMBER(P3),P3&gt;3),AK3=1),"high",IF(OR(ISNUMBER(SEARCH("positive",AA3,1)),ISNUMBER(SEARCH("tall",R3,1)),ISNUMBER(SEARCH("hobnail",R3,1)),ISNUMBER(SEARCH("cribriform",R3,1)),ISNUMBER(SEARCH("diffuse",R3,1)),ISNUMBER(SEARCH("columnar",R3,1)),ISNUMBER(SEARCH("solid",R3,1)),ISNUMBER(SEARCH("tall",Q3,1)),ISNUMBER(SEARCH("hobnail",Q3,1)),ISNUMBER(SEARCH("cribriform",Q3,1)),ISNUMBER(SEARCH("diffuse",Q3,1)),ISNUMBER(SEARCH("columnar",Q3,1)),ISNUMBER(SEARCH("solid",Q3,1)),AND(OR(ISNUMBER(SEARCH("papillary carcinoma",Q3,1)),ISNUMBER(SEARCH("papillary microcarcinoma",Q3,1))),V3="positive"),,AND(AND(ISNUMBER(M3),M3&gt;=5),P3=""),AND(AND(ISNUMBER(M3),M3&gt;=5),AND(ISNUMBER(P3),P3&gt;=1)),J3="lateral"),"intermediate","low")))</f>
        <v>low</v>
      </c>
      <c r="AJ3" s="42" t="str">
        <f t="shared" ref="AJ3:AJ13" si="2">IF(OR(ISNUMBER(SEARCH("non-invasive follicular",Q3)),ISNUMBER(SEARCH("papillary-like nuclear features",Q3)),ISNUMBER(SEARCH("non-invasive follicular",R3)),ISNUMBER(SEARCH("papillary-like nuclear features",R3))),"NIFTP", IF(OR(F3="4b",AND(AE3="positive",OR(ISNUMBER(SEARCH("prevertebral",AF3)),ISNUMBER(SEARCH("fascia",AF3)),ISNUMBER(SEARCH("carotid artery",AF3)),ISNUMBER(SEARCH("mediastinal",AF3))))),"4b",IF(OR(F3="4a",AND(AE3="positive",OR(ISNUMBER(SEARCH("soft tissue",AF3)),ISNUMBER(SEARCH("larynx",AF3)),ISNUMBER(SEARCH("trachea",AF3)),ISNUMBER(SEARCH("esophagus",AF3)),ISNUMBER(SEARCH("recurrent laryngeal nerve",AF3)),ISNUMBER(SEARCH("RLN",AF3))))),"4a", IF(OR(F3="3b", AE3="positive",ISNUMBER(SEARCH("strap",AF3)),ISNUMBER(SEARCH("sternothyroid",AF3)),ISNUMBER(SEARCH("sternohyoid",AF3)),ISNUMBER(SEARCH("thyrohyoid",AF3)),ISNUMBER(SEARCH("omohyoid",AF3))),"3b",IF(OR(F3="3a", AND(U3&lt;&gt;"",U3&gt;4)),"3a",IF(AND(U3&lt;&gt;"", U3&lt;=4,U3&gt;2),"2",IF(AND(U3&lt;&gt;"",U3&lt;=2,U3&gt;1),"1b",IF(AND(U3&lt;&gt;"",U3&lt;=1),"1a","1a"))))))))</f>
        <v>1b</v>
      </c>
      <c r="AK3" s="42" t="str">
        <f t="shared" ref="AK3:AK16" si="3">IF(OR(ISNUMBER(SEARCH("non-invasive follicular",Q3,1)),ISNUMBER(SEARCH("non-invasive follicular",R3,1))),"NIFTP",IF(AND(M3&gt;0,I3="positive",J3="central"),"1a",IF(AND(M3&gt;0,I3="positive",J3="lateral"),"1b",IF(AND(M3=0,L3=0),"x",0))))</f>
        <v>x</v>
      </c>
      <c r="AL3" s="42">
        <f t="shared" ref="AL3:AL16" si="4">IF(OR(ISNUMBER(SEARCH("non-invasive follicular",Q3,1)),ISNUMBER(SEARCH("non-invasive follicular",R3,1))),"NIFTP",IF(K3="unknown","x",IF(K3="negative",0,1)))</f>
        <v>0</v>
      </c>
      <c r="AM3" s="42" t="str">
        <f t="shared" ref="AM3:AM16" si="5">IF(OR(ISNUMBER(SEARCH("non-invasive follicular",Q3,1)),ISNUMBER(SEARCH("non-invasive follicular",R3,1))),"NIFTP",IF(AND(E3&lt;55,AL3=0),"I",IF(AND(E3&lt;55,AL3=1),"II",IF(AL3=1,"IVB",IF(AND(AJ3="4b",AL3=0),"IVA",IF(AND(AJ3="4a",AL3=0),"III",IF(AND(OR(AJ3="3a",AJ3="3b"),AL3=0),"II",IF(AND(AJ3="2",OR(AK3="1",AK3="1a",AK3="1b"),AL3=0),"II",IF(AND(OR(AJ3="1a",AJ3="1b",AJ3="1",AJ3="1 "),OR(AK3="1",AK3="1a",AK3="1b"),AL3=0),"II","I")))))))))</f>
        <v>I</v>
      </c>
      <c r="AN3" s="43" t="s">
        <v>171</v>
      </c>
      <c r="AO3" s="44" t="s">
        <v>189</v>
      </c>
      <c r="AP3" s="44" t="s">
        <v>190</v>
      </c>
      <c r="AQ3" s="44">
        <v>0</v>
      </c>
      <c r="AR3" s="44" t="s">
        <v>31</v>
      </c>
      <c r="AS3" s="11">
        <f t="shared" ref="AS3:AS37" si="6">IF(AN3=AI3,1,0)</f>
        <v>1</v>
      </c>
      <c r="AT3" s="26">
        <f t="shared" ref="AT3:AT37" si="7">IF(AO3=AJ3,1,0)</f>
        <v>1</v>
      </c>
      <c r="AU3" s="26">
        <f t="shared" ref="AU3:AU37" si="8">IF(AK3=AP3,1,IF(OR(AND(AP3="x",AK3=0),AND(AK3="x",AP3=0)),1,0))</f>
        <v>1</v>
      </c>
      <c r="AV3" s="26">
        <f t="shared" ref="AV3:AV37" si="9">IF(AQ3=AL3,1,0)</f>
        <v>1</v>
      </c>
      <c r="AW3" s="28">
        <f t="shared" ref="AW3:AW37" si="10">IF(AR3=AM3,1,0)</f>
        <v>1</v>
      </c>
    </row>
    <row r="4" spans="1:49">
      <c r="A4" s="14">
        <v>2</v>
      </c>
      <c r="B4" s="17">
        <f>_xlfn.MAXIFS('Model output'!B:B,'Model output'!Z:Z,'Classification result'!$A4)</f>
        <v>45348</v>
      </c>
      <c r="C4" s="17"/>
      <c r="D4" s="17"/>
      <c r="E4" s="18">
        <f>_xlfn.MAXIFS('Model output'!C:C,'Model output'!Z:Z,'Classification result'!$A4)</f>
        <v>39</v>
      </c>
      <c r="F4" s="18" t="str" cm="1">
        <f t="array" ref="F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G4" s="18" t="str" cm="1">
        <f t="array" ref="G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H4" s="18" cm="1">
        <f t="array" ref="H4">IF(AND(SUBSTITUTE(_xlfn.TEXTJOIN("/", TRUE, _xlfn._xlws.FILTER('Model output'!F:F, 'Model output'!Z:Z=A4)),"M", "")="", K4="negative"),0,IF(K4="positive",1,0))</f>
        <v>0</v>
      </c>
      <c r="I4" t="str">
        <f t="shared" si="0"/>
        <v/>
      </c>
      <c r="J4" t="str" cm="1">
        <f t="array" ref="J4">IF(AND(M4&gt;0,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output'!Z:Z=A4)),1)))),"lateral",IF(AND(M4=0, _xlfn.TEXTJOIN("; ", TRUE, _xlfn._xlws.FILTER('Model output'!G:G, 'Model output'!Z:Z=A4))=""),"", "central"))</f>
        <v/>
      </c>
      <c r="K4" s="18" t="str" cm="1">
        <f t="array" ref="K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L4" s="18">
        <f>IF(IFERROR(INDEX('Model output'!I:I, MATCH(A4, 'Model output'!Z:Z, 0)), "") &lt; M4, "", IFERROR(INDEX('Model output'!I:I, MATCH(A4, 'Model output'!Z:Z, 0)), ""))</f>
        <v>0</v>
      </c>
      <c r="M4" s="18">
        <f>IFERROR(INDEX('Model output'!J:J, MATCH(A4, 'Model output'!Z:Z, 0)), "")</f>
        <v>0</v>
      </c>
      <c r="N4" s="19" t="str" cm="1">
        <f t="array" ref="N4">ReplaceTo(ReplaceAnd(SUBSTITUTE(SUBSTITUTE(_xlfn.TEXTJOIN("; ", TRUE, _xlfn._xlws.FILTER('Model output'!K:K, 'Model output'!Z:Z=A4)), " ", ""), ",", ";")))</f>
        <v/>
      </c>
      <c r="O4" t="str" cm="1">
        <f t="array" ref="O4">IF(LEFT(IF(RIGHT(SUBSTITUTE(FilterWithUnits(N4)&amp;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";")),1)=";",RIGHT(IF(RIGHT(SUBSTITUTE(FilterWithUnits(N4)&amp;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";")),LEN(IF(RIGHT(SUBSTITUTE(FilterWithUnits(N4)&amp;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";")))-1),IF(RIGHT(SUBSTITUTE(FilterWithUnits(N4)&amp;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</f>
        <v/>
      </c>
      <c r="P4" t="str" cm="1">
        <f t="array" ref="P4">IF(MaxSize((SplitDimensions(O4)))=0, "", MaxSize((SplitDimensions(O4))))</f>
        <v/>
      </c>
      <c r="Q4" t="str" cm="1">
        <f t="array" ref="Q4">IF(ISERROR(INDEX(_xlfn._xlws.FILTER('Model output'!L:L, ('Model output'!Z:Z=A4)*('Model output'!L:L&lt;&gt;"")), 1)), " ", LOWER(INDEX(_xlfn._xlws.FILTER('Model output'!L:L, ('Model output'!Z:Z=A4)*('Model output'!L:L&lt;&gt;"")), 1)))</f>
        <v>papillary</v>
      </c>
      <c r="R4" t="str" cm="1">
        <f t="array" ref="R4">IF(ISERROR(INDEX(_xlfn._xlws.FILTER('Model output'!M:M, ('Model output'!Z:Z=A4)*('Model output'!M:M&lt;&gt;"")), 1)), " ", LOWER(INDEX(_xlfn._xlws.FILTER('Model output'!M:M, ('Model output'!Z:Z=A4)*('Model output'!M:M&lt;&gt;"")), 1)))</f>
        <v>classic</v>
      </c>
      <c r="S4" t="str" cm="1">
        <f t="array" ref="S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T4" t="str" cm="1">
        <f t="array" ref="T4">IF(LEFT(IF(RIGHT(SUBSTITUTE(FilterWithUnits(S4)&amp;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";")),1)=";",RIGHT(IF(RIGHT(SUBSTITUTE(FilterWithUnits(S4)&amp;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";")),LEN(IF(RIGHT(SUBSTITUTE(FilterWithUnits(S4)&amp;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";")))-1),IF(RIGHT(SUBSTITUTE(FilterWithUnits(S4)&amp;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</f>
        <v>30mm</v>
      </c>
      <c r="U4" cm="1">
        <f t="array" ref="U4">IF(MaxSize((SplitDimensions(T4)))=0, "", MaxSize((SplitDimensions(T4))))</f>
        <v>3</v>
      </c>
      <c r="V4" s="18" t="str" cm="1">
        <f t="array" ref="V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X4" t="str" cm="1">
        <f t="array" ref="X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Y4" t="str">
        <f t="shared" ref="Y4:Y37" si="11">IF(V4="negative","no",IF(OR(ISNUMBER(SEARCH("&gt; 4",X4,1)),ISNUMBER(SEARCH("&gt;4",X4,1)),ISNUMBER(SEARCH("4 or more",X4,1)),ISNUMBER(SEARCH("extensive",X4,1))),"extensive","minimal"))</f>
        <v>no</v>
      </c>
      <c r="Z4" t="str" cm="1">
        <f t="array" ref="Z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positive</v>
      </c>
      <c r="AA4" s="18" t="str">
        <f t="shared" ref="AA4:AA37" si="12">IF(OR(ISNUMBER(SEARCH("soft tissue", AF4)), ISNUMBER(SEARCH("adipose tissue", AF4)), ISNUMBER(SEARCH("muscles", AF4)), ISNUMBER(SEARCH("microscopic", AF4)), ISNUMBER(SEARCH("minimal", AF4)), ISNUMBER(SEARCH("surrounding fat", AF4)), ISNUMBER(SEARCH("present", AF4)), ISNUMBER(SEARCH("yes", AF4))), "positive", "negative")</f>
        <v>negative</v>
      </c>
      <c r="AE4" s="18" t="str">
        <f t="shared" ref="AE4:AE37" si="13">IF(OR(ISNUMBER(SEARCH("subcutaneous soft tissues", AF4)),ISNUMBER(SEARCH("strap muscle", AF4)), ISNUMBER(SEARCH("larynx", AF4)),ISNUMBER(SEARCH("trachea", AF4)),ISNUMBER(SEARCH("esophagus", AF4)), ISNUMBER(SEARCH("recurrent laryngeal nerve", AF4)), ISNUMBER(SEARCH("RLN", AF4))), "positive", "negative")</f>
        <v>negative</v>
      </c>
      <c r="AF4" t="str" cm="1">
        <f t="array" ref="AF4">_xlfn.TEXTJOIN("; ",TRUE,_xlfn._xlws.FILTER('Model output'!S:S,'Model output'!Z:Z=A4))</f>
        <v>Not identified</v>
      </c>
      <c r="AG4" s="18" t="str" cm="1">
        <f t="array" ref="AG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output'!Z:Z=A4)),1)),"unknown","negative"))</f>
        <v>negative</v>
      </c>
      <c r="AI4" s="49" t="str">
        <f t="shared" si="1"/>
        <v>low</v>
      </c>
      <c r="AJ4" s="42" t="str">
        <f t="shared" si="2"/>
        <v>2</v>
      </c>
      <c r="AK4" s="42" t="str">
        <f t="shared" si="3"/>
        <v>x</v>
      </c>
      <c r="AL4" s="42">
        <f t="shared" si="4"/>
        <v>0</v>
      </c>
      <c r="AM4" s="42" t="str">
        <f t="shared" si="5"/>
        <v>I</v>
      </c>
      <c r="AN4" s="43" t="s">
        <v>171</v>
      </c>
      <c r="AO4" s="44" t="s">
        <v>350</v>
      </c>
      <c r="AP4" s="44" t="s">
        <v>190</v>
      </c>
      <c r="AQ4" s="44">
        <v>0</v>
      </c>
      <c r="AR4" s="44" t="s">
        <v>31</v>
      </c>
      <c r="AS4" s="11">
        <f t="shared" si="6"/>
        <v>1</v>
      </c>
      <c r="AT4" s="26">
        <f t="shared" si="7"/>
        <v>1</v>
      </c>
      <c r="AU4" s="26">
        <f t="shared" si="8"/>
        <v>1</v>
      </c>
      <c r="AV4" s="26">
        <f t="shared" si="9"/>
        <v>1</v>
      </c>
      <c r="AW4" s="28">
        <f t="shared" si="10"/>
        <v>1</v>
      </c>
    </row>
    <row r="5" spans="1:49">
      <c r="A5" s="14">
        <v>3</v>
      </c>
      <c r="B5" s="17">
        <f>_xlfn.MAXIFS('Model output'!B:B,'Model output'!Z:Z,'Classification result'!$A5)</f>
        <v>45373</v>
      </c>
      <c r="C5" s="17"/>
      <c r="D5" s="17"/>
      <c r="E5" s="18">
        <f>_xlfn.MAXIFS('Model output'!C:C,'Model output'!Z:Z,'Classification result'!$A5)</f>
        <v>52</v>
      </c>
      <c r="F5" s="18" t="str" cm="1">
        <f t="array" ref="F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G5" s="18" t="str" cm="1">
        <f t="array" ref="G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H5" s="18" cm="1">
        <f t="array" ref="H5">IF(AND(SUBSTITUTE(_xlfn.TEXTJOIN("/", TRUE, _xlfn._xlws.FILTER('Model output'!F:F, 'Model output'!Z:Z=A5)),"M", "")="", K5="negative"),0,IF(K5="positive",1,0))</f>
        <v>0</v>
      </c>
      <c r="I5" t="str">
        <f t="shared" si="0"/>
        <v>positive</v>
      </c>
      <c r="J5" t="str" cm="1">
        <f t="array" ref="J5">IF(AND(M5&gt;0,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output'!Z:Z=A5)),1)))),"lateral",IF(AND(M5=0, _xlfn.TEXTJOIN("; ", TRUE, _xlfn._xlws.FILTER('Model output'!G:G, 'Model output'!Z:Z=A5))=""),"", "central"))</f>
        <v>central</v>
      </c>
      <c r="K5" s="18" t="str" cm="1">
        <f t="array" ref="K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L5" s="18">
        <f>IF(IFERROR(INDEX('Model output'!I:I, MATCH(A5, 'Model output'!Z:Z, 0)), "") &lt; M5, "", IFERROR(INDEX('Model output'!I:I, MATCH(A5, 'Model output'!Z:Z, 0)), ""))</f>
        <v>5</v>
      </c>
      <c r="M5" s="18">
        <f>IFERROR(INDEX('Model output'!J:J, MATCH(A5, 'Model output'!Z:Z, 0)), "")</f>
        <v>1</v>
      </c>
      <c r="N5" s="19" t="str" cm="1">
        <f t="array" ref="N5">ReplaceTo(ReplaceAnd(SUBSTITUTE(SUBSTITUTE(_xlfn.TEXTJOIN("; ", TRUE, _xlfn._xlws.FILTER('Model output'!K:K, 'Model output'!Z:Z=A5)), " ", ""), ",", ";")))</f>
        <v>1mm</v>
      </c>
      <c r="O5" t="str" cm="1">
        <f t="array" ref="O5">IF(LEFT(IF(RIGHT(SUBSTITUTE(FilterWithUnits(N5)&amp;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";")),1)=";",RIGHT(IF(RIGHT(SUBSTITUTE(FilterWithUnits(N5)&amp;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";")),LEN(IF(RIGHT(SUBSTITUTE(FilterWithUnits(N5)&amp;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";")))-1),IF(RIGHT(SUBSTITUTE(FilterWithUnits(N5)&amp;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</f>
        <v>1mm</v>
      </c>
      <c r="P5" cm="1">
        <f t="array" ref="P5">IF(MaxSize((SplitDimensions(O5)))=0, "", MaxSize((SplitDimensions(O5))))</f>
        <v>0.1</v>
      </c>
      <c r="Q5" t="str" cm="1">
        <f t="array" ref="Q5">IF(ISERROR(INDEX(_xlfn._xlws.FILTER('Model output'!L:L, ('Model output'!Z:Z=A5)*('Model output'!L:L&lt;&gt;"")), 1)), " ", LOWER(INDEX(_xlfn._xlws.FILTER('Model output'!L:L, ('Model output'!Z:Z=A5)*('Model output'!L:L&lt;&gt;"")), 1)))</f>
        <v>papillary</v>
      </c>
      <c r="R5" t="str" cm="1">
        <f t="array" ref="R5">IF(ISERROR(INDEX(_xlfn._xlws.FILTER('Model output'!M:M, ('Model output'!Z:Z=A5)*('Model output'!M:M&lt;&gt;"")), 1)), " ", LOWER(INDEX(_xlfn._xlws.FILTER('Model output'!M:M, ('Model output'!Z:Z=A5)*('Model output'!M:M&lt;&gt;"")), 1)))</f>
        <v>infiltrative follicular</v>
      </c>
      <c r="S5" t="str" cm="1">
        <f t="array" ref="S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</v>
      </c>
      <c r="T5" t="str" cm="1">
        <f t="array" ref="T5">IF(LEFT(IF(RIGHT(SUBSTITUTE(FilterWithUnits(S5)&amp;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";")),1)=";",RIGHT(IF(RIGHT(SUBSTITUTE(FilterWithUnits(S5)&amp;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";")),LEN(IF(RIGHT(SUBSTITUTE(FilterWithUnits(S5)&amp;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";")))-1),IF(RIGHT(SUBSTITUTE(FilterWithUnits(S5)&amp;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</f>
        <v>8mm</v>
      </c>
      <c r="U5" cm="1">
        <f t="array" ref="U5">IF(MaxSize((SplitDimensions(T5)))=0, "", MaxSize((SplitDimensions(T5))))</f>
        <v>0.8</v>
      </c>
      <c r="V5" s="18" t="str" cm="1">
        <f t="array" ref="V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X5" t="str" cm="1">
        <f t="array" ref="X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Y5" t="str">
        <f t="shared" si="11"/>
        <v>no</v>
      </c>
      <c r="Z5" t="str" cm="1">
        <f t="array" ref="Z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AA5" s="18" t="str">
        <f t="shared" si="12"/>
        <v>positive</v>
      </c>
      <c r="AE5" s="18" t="str">
        <f t="shared" si="13"/>
        <v>negative</v>
      </c>
      <c r="AF5" t="str" cm="1">
        <f t="array" ref="AF5">_xlfn.TEXTJOIN("; ",TRUE,_xlfn._xlws.FILTER('Model output'!S:S,'Model output'!Z:Z=A5))</f>
        <v>Present, microscopic invasive of the surrounding fat at the 2 mm tumor nodule.</v>
      </c>
      <c r="AG5" s="18" t="str" cm="1">
        <f t="array" ref="AG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output'!Z:Z=A5)),1)),"unknown","negative"))</f>
        <v>negative</v>
      </c>
      <c r="AI5" s="49" t="str">
        <f t="shared" si="1"/>
        <v>intermediate</v>
      </c>
      <c r="AJ5" s="42" t="str">
        <f t="shared" si="2"/>
        <v>1a</v>
      </c>
      <c r="AK5" s="42" t="str">
        <f t="shared" si="3"/>
        <v>1a</v>
      </c>
      <c r="AL5" s="42">
        <f t="shared" si="4"/>
        <v>0</v>
      </c>
      <c r="AM5" s="42" t="str">
        <f t="shared" si="5"/>
        <v>I</v>
      </c>
      <c r="AN5" s="43" t="s">
        <v>169</v>
      </c>
      <c r="AO5" s="44" t="s">
        <v>191</v>
      </c>
      <c r="AP5" s="44" t="s">
        <v>191</v>
      </c>
      <c r="AQ5" s="44">
        <v>0</v>
      </c>
      <c r="AR5" s="44" t="s">
        <v>31</v>
      </c>
      <c r="AS5" s="11">
        <f t="shared" si="6"/>
        <v>1</v>
      </c>
      <c r="AT5" s="26">
        <f t="shared" si="7"/>
        <v>1</v>
      </c>
      <c r="AU5" s="26">
        <f t="shared" si="8"/>
        <v>1</v>
      </c>
      <c r="AV5" s="26">
        <f t="shared" si="9"/>
        <v>1</v>
      </c>
      <c r="AW5" s="28">
        <f t="shared" si="10"/>
        <v>1</v>
      </c>
    </row>
    <row r="6" spans="1:49">
      <c r="A6" s="14">
        <v>4</v>
      </c>
      <c r="B6" s="17">
        <f>_xlfn.MAXIFS('Model output'!B:B,'Model output'!Z:Z,'Classification result'!$A6)</f>
        <v>45412</v>
      </c>
      <c r="C6" s="17"/>
      <c r="D6" s="17"/>
      <c r="E6" s="18">
        <f>_xlfn.MAXIFS('Model output'!C:C,'Model output'!Z:Z,'Classification result'!$A6)</f>
        <v>61</v>
      </c>
      <c r="F6" s="18" t="str" cm="1">
        <f t="array" ref="F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G6" s="18" t="str" cm="1">
        <f t="array" ref="G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H6" s="18" cm="1">
        <f t="array" ref="H6">IF(AND(SUBSTITUTE(_xlfn.TEXTJOIN("/", TRUE, _xlfn._xlws.FILTER('Model output'!F:F, 'Model output'!Z:Z=A6)),"M", "")="", K6="negative"),0,IF(K6="positive",1,0))</f>
        <v>0</v>
      </c>
      <c r="I6" t="str">
        <f t="shared" si="0"/>
        <v>positive</v>
      </c>
      <c r="J6" t="str" cm="1">
        <f t="array" ref="J6">IF(AND(M6&gt;0,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output'!Z:Z=A6)),1)))),"lateral",IF(AND(M6=0, _xlfn.TEXTJOIN("; ", TRUE, _xlfn._xlws.FILTER('Model output'!G:G, 'Model output'!Z:Z=A6))=""),"", "central"))</f>
        <v>central</v>
      </c>
      <c r="K6" s="18" t="str" cm="1">
        <f t="array" ref="K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L6" s="18">
        <f>IF(IFERROR(INDEX('Model output'!I:I, MATCH(A6, 'Model output'!Z:Z, 0)), "") &lt; M6, "", IFERROR(INDEX('Model output'!I:I, MATCH(A6, 'Model output'!Z:Z, 0)), ""))</f>
        <v>6</v>
      </c>
      <c r="M6" s="18">
        <f>IFERROR(INDEX('Model output'!J:J, MATCH(A6, 'Model output'!Z:Z, 0)), "")</f>
        <v>4</v>
      </c>
      <c r="N6" s="19" t="str" cm="1">
        <f t="array" ref="N6">ReplaceTo(ReplaceAnd(SUBSTITUTE(SUBSTITUTE(_xlfn.TEXTJOIN("; ", TRUE, _xlfn._xlws.FILTER('Model output'!K:K, 'Model output'!Z:Z=A6)), " ", ""), ",", ";")))</f>
        <v>9.5mm</v>
      </c>
      <c r="O6" t="str" cm="1">
        <f t="array" ref="O6">IF(LEFT(IF(RIGHT(SUBSTITUTE(FilterWithUnits(N6)&amp;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";")),1)=";",RIGHT(IF(RIGHT(SUBSTITUTE(FilterWithUnits(N6)&amp;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";")),LEN(IF(RIGHT(SUBSTITUTE(FilterWithUnits(N6)&amp;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";")))-1),IF(RIGHT(SUBSTITUTE(FilterWithUnits(N6)&amp;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</f>
        <v>9.5mm</v>
      </c>
      <c r="P6" cm="1">
        <f t="array" ref="P6">IF(MaxSize((SplitDimensions(O6)))=0, "", MaxSize((SplitDimensions(O6))))</f>
        <v>0.95</v>
      </c>
      <c r="Q6" t="str" cm="1">
        <f t="array" ref="Q6">IF(ISERROR(INDEX(_xlfn._xlws.FILTER('Model output'!L:L, ('Model output'!Z:Z=A6)*('Model output'!L:L&lt;&gt;"")), 1)), " ", LOWER(INDEX(_xlfn._xlws.FILTER('Model output'!L:L, ('Model output'!Z:Z=A6)*('Model output'!L:L&lt;&gt;"")), 1)))</f>
        <v>papillary</v>
      </c>
      <c r="R6" t="str" cm="1">
        <f t="array" ref="R6">IF(ISERROR(INDEX(_xlfn._xlws.FILTER('Model output'!M:M, ('Model output'!Z:Z=A6)*('Model output'!M:M&lt;&gt;"")), 1)), " ", LOWER(INDEX(_xlfn._xlws.FILTER('Model output'!M:M, ('Model output'!Z:Z=A6)*('Model output'!M:M&lt;&gt;"")), 1)))</f>
        <v>classic</v>
      </c>
      <c r="S6" t="str" cm="1">
        <f t="array" ref="S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T6" t="str" cm="1">
        <f t="array" ref="T6">IF(LEFT(IF(RIGHT(SUBSTITUTE(FilterWithUnits(S6)&amp;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";")),1)=";",RIGHT(IF(RIGHT(SUBSTITUTE(FilterWithUnits(S6)&amp;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";")),LEN(IF(RIGHT(SUBSTITUTE(FilterWithUnits(S6)&amp;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";")))-1),IF(RIGHT(SUBSTITUTE(FilterWithUnits(S6)&amp;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</f>
        <v>15mm</v>
      </c>
      <c r="U6" cm="1">
        <f t="array" ref="U6">IF(MaxSize((SplitDimensions(T6)))=0, "", MaxSize((SplitDimensions(T6))))</f>
        <v>1.5</v>
      </c>
      <c r="V6" s="18" t="str" cm="1">
        <f t="array" ref="V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negative</v>
      </c>
      <c r="X6" t="str" cm="1">
        <f t="array" ref="X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Y6" t="str">
        <f t="shared" si="11"/>
        <v>no</v>
      </c>
      <c r="Z6" t="str" cm="1">
        <f t="array" ref="Z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positive</v>
      </c>
      <c r="AA6" s="18" t="str">
        <f t="shared" si="12"/>
        <v>positive</v>
      </c>
      <c r="AE6" s="18" t="str">
        <f t="shared" si="13"/>
        <v>negative</v>
      </c>
      <c r="AF6" t="str" cm="1">
        <f t="array" ref="AF6">_xlfn.TEXTJOIN("; ",TRUE,_xlfn._xlws.FILTER('Model output'!S:S,'Model output'!Z:Z=A6))</f>
        <v>Present, fatty soft tissue at isthmus</v>
      </c>
      <c r="AG6" s="18" t="str" cm="1">
        <f t="array" ref="AG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output'!Z:Z=A6)),1)),"unknown","negative"))</f>
        <v>negative</v>
      </c>
      <c r="AI6" s="49" t="str">
        <f t="shared" si="1"/>
        <v>intermediate</v>
      </c>
      <c r="AJ6" s="42" t="str">
        <f t="shared" si="2"/>
        <v>1b</v>
      </c>
      <c r="AK6" s="42" t="str">
        <f t="shared" si="3"/>
        <v>1a</v>
      </c>
      <c r="AL6" s="42">
        <f t="shared" si="4"/>
        <v>0</v>
      </c>
      <c r="AM6" s="42" t="str">
        <f t="shared" si="5"/>
        <v>II</v>
      </c>
      <c r="AN6" s="43" t="s">
        <v>169</v>
      </c>
      <c r="AO6" s="42" t="s">
        <v>189</v>
      </c>
      <c r="AP6" s="44" t="s">
        <v>191</v>
      </c>
      <c r="AQ6" s="44">
        <v>0</v>
      </c>
      <c r="AR6" s="44" t="s">
        <v>43</v>
      </c>
      <c r="AS6" s="11">
        <f t="shared" si="6"/>
        <v>1</v>
      </c>
      <c r="AT6" s="26">
        <f t="shared" si="7"/>
        <v>1</v>
      </c>
      <c r="AU6" s="26">
        <f t="shared" si="8"/>
        <v>1</v>
      </c>
      <c r="AV6" s="26">
        <f t="shared" si="9"/>
        <v>1</v>
      </c>
      <c r="AW6" s="28">
        <f t="shared" si="10"/>
        <v>1</v>
      </c>
    </row>
    <row r="7" spans="1:49">
      <c r="A7" s="14">
        <v>5</v>
      </c>
      <c r="B7" s="17">
        <f>_xlfn.MAXIFS('Model output'!B:B,'Model output'!Z:Z,'Classification result'!$A7)</f>
        <v>45411</v>
      </c>
      <c r="C7" s="17"/>
      <c r="D7" s="17"/>
      <c r="E7" s="18">
        <f>_xlfn.MAXIFS('Model output'!C:C,'Model output'!Z:Z,'Classification result'!$A7)</f>
        <v>34</v>
      </c>
      <c r="F7" s="18" t="str" cm="1">
        <f t="array" ref="F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G7" s="18" t="str" cm="1">
        <f t="array" ref="G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H7" s="18" cm="1">
        <f t="array" ref="H7">IF(AND(SUBSTITUTE(_xlfn.TEXTJOIN("/", TRUE, _xlfn._xlws.FILTER('Model output'!F:F, 'Model output'!Z:Z=A7)),"M", "")="", K7="negative"),0,IF(K7="positive",1,0))</f>
        <v>0</v>
      </c>
      <c r="I7" t="str">
        <f t="shared" si="0"/>
        <v>positive</v>
      </c>
      <c r="J7" t="str" cm="1">
        <f t="array" ref="J7">IF(AND(M7&gt;0,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output'!Z:Z=A7)),1)))),"lateral",IF(AND(M7=0, _xlfn.TEXTJOIN("; ", TRUE, _xlfn._xlws.FILTER('Model output'!G:G, 'Model output'!Z:Z=A7))=""),"", "central"))</f>
        <v>central</v>
      </c>
      <c r="K7" s="18" t="str" cm="1">
        <f t="array" ref="K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L7" s="18">
        <f>IF(IFERROR(INDEX('Model output'!I:I, MATCH(A7, 'Model output'!Z:Z, 0)), "") &lt; M7, "", IFERROR(INDEX('Model output'!I:I, MATCH(A7, 'Model output'!Z:Z, 0)), ""))</f>
        <v>5</v>
      </c>
      <c r="M7" s="18">
        <f>IFERROR(INDEX('Model output'!J:J, MATCH(A7, 'Model output'!Z:Z, 0)), "")</f>
        <v>1</v>
      </c>
      <c r="N7" s="19" t="str" cm="1">
        <f t="array" ref="N7">ReplaceTo(ReplaceAnd(SUBSTITUTE(SUBSTITUTE(_xlfn.TEXTJOIN("; ", TRUE, _xlfn._xlws.FILTER('Model output'!K:K, 'Model output'!Z:Z=A7)), " ", ""), ",", ";")))</f>
        <v>0.6mm;0.6mm</v>
      </c>
      <c r="O7" t="str" cm="1">
        <f t="array" ref="O7">IF(LEFT(IF(RIGHT(SUBSTITUTE(FilterWithUnits(N7)&amp;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";")),1)=";",RIGHT(IF(RIGHT(SUBSTITUTE(FilterWithUnits(N7)&amp;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";")),LEN(IF(RIGHT(SUBSTITUTE(FilterWithUnits(N7)&amp;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";")))-1),IF(RIGHT(SUBSTITUTE(FilterWithUnits(N7)&amp;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</f>
        <v>0.6mm;0.6mm</v>
      </c>
      <c r="P7" cm="1">
        <f t="array" ref="P7">IF(MaxSize((SplitDimensions(O7)))=0, "", MaxSize((SplitDimensions(O7))))</f>
        <v>0.06</v>
      </c>
      <c r="Q7" t="str" cm="1">
        <f t="array" ref="Q7">IF(ISERROR(INDEX(_xlfn._xlws.FILTER('Model output'!L:L, ('Model output'!Z:Z=A7)*('Model output'!L:L&lt;&gt;"")), 1)), " ", LOWER(INDEX(_xlfn._xlws.FILTER('Model output'!L:L, ('Model output'!Z:Z=A7)*('Model output'!L:L&lt;&gt;"")), 1)))</f>
        <v>papillary carcinoma</v>
      </c>
      <c r="R7" t="str" cm="1">
        <f t="array" ref="R7">IF(ISERROR(INDEX(_xlfn._xlws.FILTER('Model output'!M:M, ('Model output'!Z:Z=A7)*('Model output'!M:M&lt;&gt;"")), 1)), " ", LOWER(INDEX(_xlfn._xlws.FILTER('Model output'!M:M, ('Model output'!Z:Z=A7)*('Model output'!M:M&lt;&gt;"")), 1)))</f>
        <v>oncocytic classic subtype</v>
      </c>
      <c r="S7" t="str" cm="1">
        <f t="array" ref="S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>20mm</v>
      </c>
      <c r="T7" t="str" cm="1">
        <f t="array" ref="T7">IF(LEFT(IF(RIGHT(SUBSTITUTE(FilterWithUnits(S7)&amp;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";")),1)=";",RIGHT(IF(RIGHT(SUBSTITUTE(FilterWithUnits(S7)&amp;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";")),LEN(IF(RIGHT(SUBSTITUTE(FilterWithUnits(S7)&amp;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";")))-1),IF(RIGHT(SUBSTITUTE(FilterWithUnits(S7)&amp;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</f>
        <v>20mm</v>
      </c>
      <c r="U7" cm="1">
        <f t="array" ref="U7">IF(MaxSize((SplitDimensions(T7)))=0, "", MaxSize((SplitDimensions(T7))))</f>
        <v>2</v>
      </c>
      <c r="V7" s="18" t="str" cm="1">
        <f t="array" ref="V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positive</v>
      </c>
      <c r="X7" t="str" cm="1">
        <f t="array" ref="X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Y7" t="str">
        <f t="shared" si="11"/>
        <v>minimal</v>
      </c>
      <c r="Z7" t="str" cm="1">
        <f t="array" ref="Z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positive</v>
      </c>
      <c r="AA7" s="18" t="str">
        <f t="shared" si="12"/>
        <v>positive</v>
      </c>
      <c r="AE7" s="18" t="str">
        <f t="shared" si="13"/>
        <v>positive</v>
      </c>
      <c r="AF7" t="str" cm="1">
        <f t="array" ref="AF7">_xlfn.TEXTJOIN("; ",TRUE,_xlfn._xlws.FILTER('Model output'!S:S,'Model output'!Z:Z=A7))</f>
        <v>Invading soft tissue and strap muscles; Gross extrathyroidal extension to overlying strap muscle</v>
      </c>
      <c r="AG7" s="18" t="str" cm="1">
        <f t="array" ref="AG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output'!Z:Z=A7)),1)),"unknown","negative"))</f>
        <v>negative</v>
      </c>
      <c r="AI7" s="49" t="str">
        <f t="shared" si="1"/>
        <v>high</v>
      </c>
      <c r="AJ7" s="42" t="str">
        <f t="shared" si="2"/>
        <v>4a</v>
      </c>
      <c r="AK7" s="42" t="str">
        <f t="shared" si="3"/>
        <v>1a</v>
      </c>
      <c r="AL7" s="42">
        <f t="shared" si="4"/>
        <v>0</v>
      </c>
      <c r="AM7" s="42" t="str">
        <f t="shared" si="5"/>
        <v>I</v>
      </c>
      <c r="AN7" s="43" t="s">
        <v>170</v>
      </c>
      <c r="AO7" s="44" t="s">
        <v>192</v>
      </c>
      <c r="AP7" s="44" t="s">
        <v>191</v>
      </c>
      <c r="AQ7" s="44">
        <v>0</v>
      </c>
      <c r="AR7" s="44" t="s">
        <v>31</v>
      </c>
      <c r="AS7" s="11">
        <f t="shared" si="6"/>
        <v>1</v>
      </c>
      <c r="AT7" s="26">
        <f t="shared" si="7"/>
        <v>0</v>
      </c>
      <c r="AU7" s="26">
        <f t="shared" si="8"/>
        <v>1</v>
      </c>
      <c r="AV7" s="26">
        <f t="shared" si="9"/>
        <v>1</v>
      </c>
      <c r="AW7" s="28">
        <f t="shared" si="10"/>
        <v>1</v>
      </c>
    </row>
    <row r="8" spans="1:49">
      <c r="A8" s="14">
        <v>6</v>
      </c>
      <c r="B8" s="17">
        <f>_xlfn.MAXIFS('Model output'!B:B,'Model output'!Z:Z,'Classification result'!$A8)</f>
        <v>45387</v>
      </c>
      <c r="C8" s="17"/>
      <c r="D8" s="17"/>
      <c r="E8" s="18">
        <f>_xlfn.MAXIFS('Model output'!C:C,'Model output'!Z:Z,'Classification result'!$A8)</f>
        <v>66</v>
      </c>
      <c r="F8" s="18" t="str" cm="1">
        <f t="array" ref="F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/>
      </c>
      <c r="G8" s="18" t="str" cm="1">
        <f t="array" ref="G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H8" s="18" cm="1">
        <f t="array" ref="H8">IF(AND(SUBSTITUTE(_xlfn.TEXTJOIN("/", TRUE, _xlfn._xlws.FILTER('Model output'!F:F, 'Model output'!Z:Z=A8)),"M", "")="", K8="negative"),0,IF(K8="positive",1,0))</f>
        <v>0</v>
      </c>
      <c r="I8" t="str">
        <f t="shared" si="0"/>
        <v/>
      </c>
      <c r="J8" t="str" cm="1">
        <f t="array" ref="J8">IF(AND(M8&gt;0,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output'!Z:Z=A8)),1)))),"lateral",IF(AND(M8=0, _xlfn.TEXTJOIN("; ", TRUE, _xlfn._xlws.FILTER('Model output'!G:G, 'Model output'!Z:Z=A8))=""),"", "central"))</f>
        <v/>
      </c>
      <c r="K8" s="18" t="str" cm="1">
        <f t="array" ref="K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L8" s="18">
        <f>IF(IFERROR(INDEX('Model output'!I:I, MATCH(A8, 'Model output'!Z:Z, 0)), "") &lt; M8, "", IFERROR(INDEX('Model output'!I:I, MATCH(A8, 'Model output'!Z:Z, 0)), ""))</f>
        <v>0</v>
      </c>
      <c r="M8" s="18">
        <f>IFERROR(INDEX('Model output'!J:J, MATCH(A8, 'Model output'!Z:Z, 0)), "")</f>
        <v>0</v>
      </c>
      <c r="N8" s="19" t="str" cm="1">
        <f t="array" ref="N8">ReplaceTo(ReplaceAnd(SUBSTITUTE(SUBSTITUTE(_xlfn.TEXTJOIN("; ", TRUE, _xlfn._xlws.FILTER('Model output'!K:K, 'Model output'!Z:Z=A8)), " ", ""), ",", ";")))</f>
        <v/>
      </c>
      <c r="O8" t="str" cm="1">
        <f t="array" ref="O8">IF(LEFT(IF(RIGHT(SUBSTITUTE(FilterWithUnits(N8)&amp;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";")),1)=";",RIGHT(IF(RIGHT(SUBSTITUTE(FilterWithUnits(N8)&amp;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";")),LEN(IF(RIGHT(SUBSTITUTE(FilterWithUnits(N8)&amp;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";")))-1),IF(RIGHT(SUBSTITUTE(FilterWithUnits(N8)&amp;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</f>
        <v/>
      </c>
      <c r="P8" t="str" cm="1">
        <f t="array" ref="P8">IF(MaxSize((SplitDimensions(O8)))=0, "", MaxSize((SplitDimensions(O8))))</f>
        <v/>
      </c>
      <c r="Q8" t="str" cm="1">
        <f t="array" ref="Q8">IF(ISERROR(INDEX(_xlfn._xlws.FILTER('Model output'!L:L, ('Model output'!Z:Z=A8)*('Model output'!L:L&lt;&gt;"")), 1)), " ", LOWER(INDEX(_xlfn._xlws.FILTER('Model output'!L:L, ('Model output'!Z:Z=A8)*('Model output'!L:L&lt;&gt;"")), 1)))</f>
        <v>follicular</v>
      </c>
      <c r="R8" t="str" cm="1">
        <f t="array" ref="R8">IF(ISERROR(INDEX(_xlfn._xlws.FILTER('Model output'!M:M, ('Model output'!Z:Z=A8)*('Model output'!M:M&lt;&gt;"")), 1)), " ", LOWER(INDEX(_xlfn._xlws.FILTER('Model output'!M:M, ('Model output'!Z:Z=A8)*('Model output'!M:M&lt;&gt;"")), 1)))</f>
        <v>minimally invasive</v>
      </c>
      <c r="S8" t="str" cm="1">
        <f t="array" ref="S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>4cm</v>
      </c>
      <c r="T8" t="str" cm="1">
        <f t="array" ref="T8">IF(LEFT(IF(RIGHT(SUBSTITUTE(FilterWithUnits(S8)&amp;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";")),1)=";",RIGHT(IF(RIGHT(SUBSTITUTE(FilterWithUnits(S8)&amp;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";")),LEN(IF(RIGHT(SUBSTITUTE(FilterWithUnits(S8)&amp;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";")))-1),IF(RIGHT(SUBSTITUTE(FilterWithUnits(S8)&amp;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</f>
        <v>4cm</v>
      </c>
      <c r="U8" cm="1">
        <f t="array" ref="U8">IF(MaxSize((SplitDimensions(T8)))=0, "", MaxSize((SplitDimensions(T8))))</f>
        <v>4</v>
      </c>
      <c r="V8" s="18" t="str" cm="1">
        <f t="array" ref="V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X8" t="str" cm="1">
        <f t="array" ref="X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Y8" t="str">
        <f t="shared" si="11"/>
        <v>no</v>
      </c>
      <c r="Z8" t="str" cm="1">
        <f t="array" ref="Z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AA8" s="18" t="str">
        <f t="shared" si="12"/>
        <v>positive</v>
      </c>
      <c r="AE8" s="18" t="str">
        <f t="shared" si="13"/>
        <v>negative</v>
      </c>
      <c r="AF8" t="str" cm="1">
        <f t="array" ref="AF8">_xlfn.TEXTJOIN("; ",TRUE,_xlfn._xlws.FILTER('Model output'!S:S,'Model output'!Z:Z=A8))</f>
        <v>Present</v>
      </c>
      <c r="AG8" s="18" t="str" cm="1">
        <f t="array" ref="AG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output'!Z:Z=A8)),1)),"unknown","negative"))</f>
        <v>negative</v>
      </c>
      <c r="AI8" s="49" t="str">
        <f t="shared" si="1"/>
        <v>intermediate</v>
      </c>
      <c r="AJ8" s="42" t="str">
        <f t="shared" si="2"/>
        <v>2</v>
      </c>
      <c r="AK8" s="42" t="str">
        <f t="shared" si="3"/>
        <v>x</v>
      </c>
      <c r="AL8" s="42">
        <f t="shared" si="4"/>
        <v>0</v>
      </c>
      <c r="AM8" s="42" t="str">
        <f t="shared" si="5"/>
        <v>I</v>
      </c>
      <c r="AN8" s="43" t="s">
        <v>171</v>
      </c>
      <c r="AO8" s="42" t="s">
        <v>190</v>
      </c>
      <c r="AP8" s="44" t="s">
        <v>190</v>
      </c>
      <c r="AQ8" s="44">
        <v>0</v>
      </c>
      <c r="AR8" s="44" t="s">
        <v>31</v>
      </c>
      <c r="AS8" s="11">
        <f t="shared" si="6"/>
        <v>0</v>
      </c>
      <c r="AT8" s="26">
        <f t="shared" si="7"/>
        <v>0</v>
      </c>
      <c r="AU8" s="26">
        <f t="shared" si="8"/>
        <v>1</v>
      </c>
      <c r="AV8" s="26">
        <f t="shared" si="9"/>
        <v>1</v>
      </c>
      <c r="AW8" s="28">
        <f t="shared" si="10"/>
        <v>1</v>
      </c>
    </row>
    <row r="9" spans="1:49">
      <c r="A9" s="14">
        <v>7</v>
      </c>
      <c r="B9" s="17">
        <f>_xlfn.MAXIFS('Model output'!B:B,'Model output'!Z:Z,'Classification result'!$A9)</f>
        <v>45429</v>
      </c>
      <c r="C9" s="17"/>
      <c r="D9" s="17"/>
      <c r="E9" s="18">
        <f>_xlfn.MAXIFS('Model output'!C:C,'Model output'!Z:Z,'Classification result'!$A9)</f>
        <v>67</v>
      </c>
      <c r="F9" s="18" t="str" cm="1">
        <f t="array" ref="F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G9" s="18" t="str" cm="1">
        <f t="array" ref="G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>X</v>
      </c>
      <c r="H9" s="18" cm="1">
        <f t="array" ref="H9">IF(AND(SUBSTITUTE(_xlfn.TEXTJOIN("/", TRUE, _xlfn._xlws.FILTER('Model output'!F:F, 'Model output'!Z:Z=A9)),"M", "")="", K9="negative"),0,IF(K9="positive",1,0))</f>
        <v>0</v>
      </c>
      <c r="I9" t="str">
        <f t="shared" si="0"/>
        <v/>
      </c>
      <c r="J9" t="str" cm="1">
        <f t="array" ref="J9">IF(AND(M9&gt;0,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output'!Z:Z=A9)),1)))),"lateral",IF(AND(M9=0, _xlfn.TEXTJOIN("; ", TRUE, _xlfn._xlws.FILTER('Model output'!G:G, 'Model output'!Z:Z=A9))=""),"", "central"))</f>
        <v/>
      </c>
      <c r="K9" s="18" t="str" cm="1">
        <f t="array" ref="K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L9" s="18">
        <f>IF(IFERROR(INDEX('Model output'!I:I, MATCH(A9, 'Model output'!Z:Z, 0)), "") &lt; M9, "", IFERROR(INDEX('Model output'!I:I, MATCH(A9, 'Model output'!Z:Z, 0)), ""))</f>
        <v>0</v>
      </c>
      <c r="M9" s="18">
        <f>IFERROR(INDEX('Model output'!J:J, MATCH(A9, 'Model output'!Z:Z, 0)), "")</f>
        <v>0</v>
      </c>
      <c r="N9" s="19" t="str" cm="1">
        <f t="array" ref="N9">ReplaceTo(ReplaceAnd(SUBSTITUTE(SUBSTITUTE(_xlfn.TEXTJOIN("; ", TRUE, _xlfn._xlws.FILTER('Model output'!K:K, 'Model output'!Z:Z=A9)), " ", ""), ",", ";")))</f>
        <v/>
      </c>
      <c r="O9" t="str" cm="1">
        <f t="array" ref="O9">IF(LEFT(IF(RIGHT(SUBSTITUTE(FilterWithUnits(N9)&amp;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";")),1)=";",RIGHT(IF(RIGHT(SUBSTITUTE(FilterWithUnits(N9)&amp;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";")),LEN(IF(RIGHT(SUBSTITUTE(FilterWithUnits(N9)&amp;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";")))-1),IF(RIGHT(SUBSTITUTE(FilterWithUnits(N9)&amp;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</f>
        <v/>
      </c>
      <c r="P9" t="str" cm="1">
        <f t="array" ref="P9">IF(MaxSize((SplitDimensions(O9)))=0, "", MaxSize((SplitDimensions(O9))))</f>
        <v/>
      </c>
      <c r="Q9" t="str" cm="1">
        <f t="array" ref="Q9">IF(ISERROR(INDEX(_xlfn._xlws.FILTER('Model output'!L:L, ('Model output'!Z:Z=A9)*('Model output'!L:L&lt;&gt;"")), 1)), " ", LOWER(INDEX(_xlfn._xlws.FILTER('Model output'!L:L, ('Model output'!Z:Z=A9)*('Model output'!L:L&lt;&gt;"")), 1)))</f>
        <v>papillary</v>
      </c>
      <c r="R9" t="str" cm="1">
        <f t="array" ref="R9">IF(ISERROR(INDEX(_xlfn._xlws.FILTER('Model output'!M:M, ('Model output'!Z:Z=A9)*('Model output'!M:M&lt;&gt;"")), 1)), " ", LOWER(INDEX(_xlfn._xlws.FILTER('Model output'!M:M, ('Model output'!Z:Z=A9)*('Model output'!M:M&lt;&gt;"")), 1)))</f>
        <v>infiltrative follicular</v>
      </c>
      <c r="S9" t="str" cm="1">
        <f t="array" ref="S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4mm</v>
      </c>
      <c r="T9" t="str" cm="1">
        <f t="array" ref="T9">IF(LEFT(IF(RIGHT(SUBSTITUTE(FilterWithUnits(S9)&amp;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";")),1)=";",RIGHT(IF(RIGHT(SUBSTITUTE(FilterWithUnits(S9)&amp;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";")),LEN(IF(RIGHT(SUBSTITUTE(FilterWithUnits(S9)&amp;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";")))-1),IF(RIGHT(SUBSTITUTE(FilterWithUnits(S9)&amp;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</f>
        <v>4mm</v>
      </c>
      <c r="U9" cm="1">
        <f t="array" ref="U9">IF(MaxSize((SplitDimensions(T9)))=0, "", MaxSize((SplitDimensions(T9))))</f>
        <v>0.4</v>
      </c>
      <c r="V9" s="18" t="str" cm="1">
        <f t="array" ref="V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X9" t="str" cm="1">
        <f t="array" ref="X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Y9" t="str">
        <f t="shared" si="11"/>
        <v>no</v>
      </c>
      <c r="Z9" t="str" cm="1">
        <f t="array" ref="Z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AA9" s="18" t="str">
        <f t="shared" si="12"/>
        <v>negative</v>
      </c>
      <c r="AE9" s="18" t="str">
        <f t="shared" si="13"/>
        <v>negative</v>
      </c>
      <c r="AF9" t="str" cm="1">
        <f t="array" ref="AF9">_xlfn.TEXTJOIN("; ",TRUE,_xlfn._xlws.FILTER('Model output'!S:S,'Model output'!Z:Z=A9))</f>
        <v>Not identified</v>
      </c>
      <c r="AG9" s="18" t="str" cm="1">
        <f t="array" ref="AG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output'!Z:Z=A9)),1)),"unknown","negative"))</f>
        <v>negative</v>
      </c>
      <c r="AI9" s="49" t="str">
        <f t="shared" si="1"/>
        <v>low</v>
      </c>
      <c r="AJ9" s="42" t="str">
        <f t="shared" si="2"/>
        <v>1a</v>
      </c>
      <c r="AK9" s="42" t="str">
        <f t="shared" si="3"/>
        <v>x</v>
      </c>
      <c r="AL9" s="42">
        <f t="shared" si="4"/>
        <v>0</v>
      </c>
      <c r="AM9" s="42" t="str">
        <f t="shared" si="5"/>
        <v>I</v>
      </c>
      <c r="AN9" s="43" t="s">
        <v>171</v>
      </c>
      <c r="AO9" s="44" t="s">
        <v>191</v>
      </c>
      <c r="AP9" s="44" t="s">
        <v>190</v>
      </c>
      <c r="AQ9" s="44">
        <v>0</v>
      </c>
      <c r="AR9" s="44" t="s">
        <v>31</v>
      </c>
      <c r="AS9" s="11">
        <f t="shared" si="6"/>
        <v>1</v>
      </c>
      <c r="AT9" s="26">
        <f t="shared" si="7"/>
        <v>1</v>
      </c>
      <c r="AU9" s="26">
        <f t="shared" si="8"/>
        <v>1</v>
      </c>
      <c r="AV9" s="26">
        <f t="shared" si="9"/>
        <v>1</v>
      </c>
      <c r="AW9" s="28">
        <f t="shared" si="10"/>
        <v>1</v>
      </c>
    </row>
    <row r="10" spans="1:49">
      <c r="A10" s="14">
        <v>8</v>
      </c>
      <c r="B10" s="17">
        <f>_xlfn.MAXIFS('Model output'!B:B,'Model output'!Z:Z,'Classification result'!$A10)</f>
        <v>45443</v>
      </c>
      <c r="C10" s="17"/>
      <c r="D10" s="17"/>
      <c r="E10" s="18">
        <f>_xlfn.MAXIFS('Model output'!C:C,'Model output'!Z:Z,'Classification result'!$A10)</f>
        <v>78</v>
      </c>
      <c r="F10" s="18" t="str" cm="1">
        <f t="array" ref="F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G10" s="18" t="str" cm="1">
        <f t="array" ref="G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H10" s="18" cm="1">
        <f t="array" ref="H10">IF(AND(SUBSTITUTE(_xlfn.TEXTJOIN("/", TRUE, _xlfn._xlws.FILTER('Model output'!F:F, 'Model output'!Z:Z=A10)),"M", "")="", K10="negative"),0,IF(K10="positive",1,0))</f>
        <v>0</v>
      </c>
      <c r="I10" t="str">
        <f t="shared" si="0"/>
        <v/>
      </c>
      <c r="J10" t="str" cm="1">
        <f t="array" ref="J10">IF(AND(M10&gt;0,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output'!Z:Z=A10)),1)))),"lateral",IF(AND(M10=0, _xlfn.TEXTJOIN("; ", TRUE, _xlfn._xlws.FILTER('Model output'!G:G, 'Model output'!Z:Z=A10))=""),"", "central"))</f>
        <v/>
      </c>
      <c r="K10" s="18" t="str" cm="1">
        <f t="array" ref="K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L10" s="18">
        <f>IF(IFERROR(INDEX('Model output'!I:I, MATCH(A10, 'Model output'!Z:Z, 0)), "") &lt; M10, "", IFERROR(INDEX('Model output'!I:I, MATCH(A10, 'Model output'!Z:Z, 0)), ""))</f>
        <v>0</v>
      </c>
      <c r="M10" s="18">
        <f>IFERROR(INDEX('Model output'!J:J, MATCH(A10, 'Model output'!Z:Z, 0)), "")</f>
        <v>0</v>
      </c>
      <c r="N10" s="19" t="str" cm="1">
        <f t="array" ref="N10">ReplaceTo(ReplaceAnd(SUBSTITUTE(SUBSTITUTE(_xlfn.TEXTJOIN("; ", TRUE, _xlfn._xlws.FILTER('Model output'!K:K, 'Model output'!Z:Z=A10)), " ", ""), ",", ";")))</f>
        <v/>
      </c>
      <c r="O10" t="str" cm="1">
        <f t="array" ref="O10">IF(LEFT(IF(RIGHT(SUBSTITUTE(FilterWithUnits(N10)&amp;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";")),1)=";",RIGHT(IF(RIGHT(SUBSTITUTE(FilterWithUnits(N10)&amp;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";")),LEN(IF(RIGHT(SUBSTITUTE(FilterWithUnits(N10)&amp;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";")))-1),IF(RIGHT(SUBSTITUTE(FilterWithUnits(N10)&amp;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</f>
        <v/>
      </c>
      <c r="P10" t="str" cm="1">
        <f t="array" ref="P10">IF(MaxSize((SplitDimensions(O10)))=0, "", MaxSize((SplitDimensions(O10))))</f>
        <v/>
      </c>
      <c r="Q10" t="str" cm="1">
        <f t="array" ref="Q10">IF(ISERROR(INDEX(_xlfn._xlws.FILTER('Model output'!L:L, ('Model output'!Z:Z=A10)*('Model output'!L:L&lt;&gt;"")), 1)), " ", LOWER(INDEX(_xlfn._xlws.FILTER('Model output'!L:L, ('Model output'!Z:Z=A10)*('Model output'!L:L&lt;&gt;"")), 1)))</f>
        <v>papillary</v>
      </c>
      <c r="R10" t="str" cm="1">
        <f t="array" ref="R10">IF(ISERROR(INDEX(_xlfn._xlws.FILTER('Model output'!M:M, ('Model output'!Z:Z=A10)*('Model output'!M:M&lt;&gt;"")), 1)), " ", LOWER(INDEX(_xlfn._xlws.FILTER('Model output'!M:M, ('Model output'!Z:Z=A10)*('Model output'!M:M&lt;&gt;"")), 1)))</f>
        <v>classic</v>
      </c>
      <c r="S10" t="str" cm="1">
        <f t="array" ref="S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T10" t="str" cm="1">
        <f t="array" ref="T10">IF(LEFT(IF(RIGHT(SUBSTITUTE(FilterWithUnits(S10)&amp;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";")),1)=";",RIGHT(IF(RIGHT(SUBSTITUTE(FilterWithUnits(S10)&amp;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";")),LEN(IF(RIGHT(SUBSTITUTE(FilterWithUnits(S10)&amp;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";")))-1),IF(RIGHT(SUBSTITUTE(FilterWithUnits(S10)&amp;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</f>
        <v>11.5mm</v>
      </c>
      <c r="U10" cm="1">
        <f t="array" ref="U10">IF(MaxSize((SplitDimensions(T10)))=0, "", MaxSize((SplitDimensions(T10))))</f>
        <v>1.1499999999999999</v>
      </c>
      <c r="V10" s="18" t="str" cm="1">
        <f t="array" ref="V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X10" t="str" cm="1">
        <f t="array" ref="X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Y10" t="str">
        <f t="shared" si="11"/>
        <v>no</v>
      </c>
      <c r="Z10" t="str" cm="1">
        <f t="array" ref="Z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positive</v>
      </c>
      <c r="AA10" s="18" t="str">
        <f t="shared" si="12"/>
        <v>negative</v>
      </c>
      <c r="AE10" s="18" t="str">
        <f t="shared" si="13"/>
        <v>negative</v>
      </c>
      <c r="AF10" t="str" cm="1">
        <f t="array" ref="AF10">_xlfn.TEXTJOIN("; ",TRUE,_xlfn._xlws.FILTER('Model output'!S:S,'Model output'!Z:Z=A10))</f>
        <v>Not identified</v>
      </c>
      <c r="AG10" s="18" t="str" cm="1">
        <f t="array" ref="AG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output'!Z:Z=A10)),1)),"unknown","negative"))</f>
        <v>negative</v>
      </c>
      <c r="AI10" s="49" t="str">
        <f t="shared" si="1"/>
        <v>low</v>
      </c>
      <c r="AJ10" s="42" t="str">
        <f t="shared" si="2"/>
        <v>1b</v>
      </c>
      <c r="AK10" s="42" t="str">
        <f t="shared" si="3"/>
        <v>x</v>
      </c>
      <c r="AL10" s="42">
        <f t="shared" si="4"/>
        <v>0</v>
      </c>
      <c r="AM10" s="42" t="str">
        <f t="shared" si="5"/>
        <v>I</v>
      </c>
      <c r="AN10" s="43" t="s">
        <v>171</v>
      </c>
      <c r="AO10" s="44" t="s">
        <v>189</v>
      </c>
      <c r="AP10" s="44" t="s">
        <v>190</v>
      </c>
      <c r="AQ10" s="44">
        <v>0</v>
      </c>
      <c r="AR10" s="44" t="s">
        <v>31</v>
      </c>
      <c r="AS10" s="11">
        <f t="shared" si="6"/>
        <v>1</v>
      </c>
      <c r="AT10" s="26">
        <f t="shared" si="7"/>
        <v>1</v>
      </c>
      <c r="AU10" s="26">
        <f t="shared" si="8"/>
        <v>1</v>
      </c>
      <c r="AV10" s="26">
        <f t="shared" si="9"/>
        <v>1</v>
      </c>
      <c r="AW10" s="28">
        <f t="shared" si="10"/>
        <v>1</v>
      </c>
    </row>
    <row r="11" spans="1:49">
      <c r="A11" s="14">
        <v>9</v>
      </c>
      <c r="B11" s="17">
        <f>_xlfn.MAXIFS('Model output'!B:B,'Model output'!Z:Z,'Classification result'!$A11)</f>
        <v>45331</v>
      </c>
      <c r="C11" s="17"/>
      <c r="D11" s="17"/>
      <c r="E11" s="18">
        <f>_xlfn.MAXIFS('Model output'!C:C,'Model output'!Z:Z,'Classification result'!$A11)</f>
        <v>55</v>
      </c>
      <c r="F11" s="18" t="str" cm="1">
        <f t="array" ref="F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G11" s="18" t="str" cm="1">
        <f t="array" ref="G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1</v>
      </c>
      <c r="H11" s="18" cm="1">
        <f t="array" ref="H11">IF(AND(SUBSTITUTE(_xlfn.TEXTJOIN("/", TRUE, _xlfn._xlws.FILTER('Model output'!F:F, 'Model output'!Z:Z=A11)),"M", "")="", K11="negative"),0,IF(K11="positive",1,0))</f>
        <v>0</v>
      </c>
      <c r="I11" t="str">
        <f t="shared" si="0"/>
        <v>positive</v>
      </c>
      <c r="J11" t="str" cm="1">
        <f t="array" ref="J11">IF(AND(M11&gt;0,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output'!Z:Z=A11)),1)))),"lateral",IF(AND(M11=0, _xlfn.TEXTJOIN("; ", TRUE, _xlfn._xlws.FILTER('Model output'!G:G, 'Model output'!Z:Z=A11))=""),"", "central"))</f>
        <v>central</v>
      </c>
      <c r="K11" s="18" t="str" cm="1">
        <f t="array" ref="K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L11" s="18">
        <f>IF(IFERROR(INDEX('Model output'!I:I, MATCH(A11, 'Model output'!Z:Z, 0)), "") &lt; M11, "", IFERROR(INDEX('Model output'!I:I, MATCH(A11, 'Model output'!Z:Z, 0)), ""))</f>
        <v>7</v>
      </c>
      <c r="M11" s="18">
        <f>IFERROR(INDEX('Model output'!J:J, MATCH(A11, 'Model output'!Z:Z, 0)), "")</f>
        <v>4</v>
      </c>
      <c r="N11" s="19" t="str" cm="1">
        <f t="array" ref="N11">ReplaceTo(ReplaceAnd(SUBSTITUTE(SUBSTITUTE(_xlfn.TEXTJOIN("; ", TRUE, _xlfn._xlws.FILTER('Model output'!K:K, 'Model output'!Z:Z=A11)), " ", ""), ",", ";")))</f>
        <v>1.5cm</v>
      </c>
      <c r="O11" t="str" cm="1">
        <f t="array" ref="O11">IF(LEFT(IF(RIGHT(SUBSTITUTE(FilterWithUnits(N11)&amp;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";")),1)=";",RIGHT(IF(RIGHT(SUBSTITUTE(FilterWithUnits(N11)&amp;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";")),LEN(IF(RIGHT(SUBSTITUTE(FilterWithUnits(N11)&amp;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";")))-1),IF(RIGHT(SUBSTITUTE(FilterWithUnits(N11)&amp;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</f>
        <v>1.5cm</v>
      </c>
      <c r="P11" cm="1">
        <f t="array" ref="P11">IF(MaxSize((SplitDimensions(O11)))=0, "", MaxSize((SplitDimensions(O11))))</f>
        <v>1.5</v>
      </c>
      <c r="Q11" t="str" cm="1">
        <f t="array" ref="Q11">IF(ISERROR(INDEX(_xlfn._xlws.FILTER('Model output'!L:L, ('Model output'!Z:Z=A11)*('Model output'!L:L&lt;&gt;"")), 1)), " ", LOWER(INDEX(_xlfn._xlws.FILTER('Model output'!L:L, ('Model output'!Z:Z=A11)*('Model output'!L:L&lt;&gt;"")), 1)))</f>
        <v>papillary</v>
      </c>
      <c r="R11" t="str" cm="1">
        <f t="array" ref="R11">IF(ISERROR(INDEX(_xlfn._xlws.FILTER('Model output'!M:M, ('Model output'!Z:Z=A11)*('Model output'!M:M&lt;&gt;"")), 1)), " ", LOWER(INDEX(_xlfn._xlws.FILTER('Model output'!M:M, ('Model output'!Z:Z=A11)*('Model output'!M:M&lt;&gt;"")), 1)))</f>
        <v>classic</v>
      </c>
      <c r="S11" t="str" cm="1">
        <f t="array" ref="S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T11" t="str" cm="1">
        <f t="array" ref="T11">IF(LEFT(IF(RIGHT(SUBSTITUTE(FilterWithUnits(S11)&amp;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";")),1)=";",RIGHT(IF(RIGHT(SUBSTITUTE(FilterWithUnits(S11)&amp;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";")),LEN(IF(RIGHT(SUBSTITUTE(FilterWithUnits(S11)&amp;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";")))-1),IF(RIGHT(SUBSTITUTE(FilterWithUnits(S11)&amp;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</f>
        <v>27x22x17mm</v>
      </c>
      <c r="U11" cm="1">
        <f t="array" ref="U11">IF(MaxSize((SplitDimensions(T11)))=0, "", MaxSize((SplitDimensions(T11))))</f>
        <v>2.7</v>
      </c>
      <c r="V11" s="18" t="str" cm="1">
        <f t="array" ref="V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X11" t="str" cm="1">
        <f t="array" ref="X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Y11" t="str">
        <f t="shared" si="11"/>
        <v>no</v>
      </c>
      <c r="Z11" t="str" cm="1">
        <f t="array" ref="Z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AA11" s="18" t="str">
        <f t="shared" si="12"/>
        <v>negative</v>
      </c>
      <c r="AE11" s="18" t="str">
        <f t="shared" si="13"/>
        <v>negative</v>
      </c>
      <c r="AF11" t="str" cm="1">
        <f t="array" ref="AF11">_xlfn.TEXTJOIN("; ",TRUE,_xlfn._xlws.FILTER('Model output'!S:S,'Model output'!Z:Z=A11))</f>
        <v>Not identified</v>
      </c>
      <c r="AG11" s="18" t="str" cm="1">
        <f t="array" ref="AG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output'!Z:Z=A11)),1)),"unknown","negative"))</f>
        <v>negative</v>
      </c>
      <c r="AI11" s="49" t="str">
        <f t="shared" si="1"/>
        <v>low</v>
      </c>
      <c r="AJ11" s="42" t="str">
        <f t="shared" si="2"/>
        <v>2</v>
      </c>
      <c r="AK11" s="42" t="str">
        <f t="shared" si="3"/>
        <v>1a</v>
      </c>
      <c r="AL11" s="42">
        <f t="shared" si="4"/>
        <v>0</v>
      </c>
      <c r="AM11" s="42" t="str">
        <f t="shared" si="5"/>
        <v>II</v>
      </c>
      <c r="AN11" s="43" t="s">
        <v>169</v>
      </c>
      <c r="AO11" s="44" t="s">
        <v>350</v>
      </c>
      <c r="AP11" s="44" t="s">
        <v>191</v>
      </c>
      <c r="AQ11" s="44">
        <v>0</v>
      </c>
      <c r="AR11" s="44" t="s">
        <v>43</v>
      </c>
      <c r="AS11" s="11">
        <f t="shared" si="6"/>
        <v>0</v>
      </c>
      <c r="AT11" s="26">
        <f t="shared" si="7"/>
        <v>1</v>
      </c>
      <c r="AU11" s="26">
        <f t="shared" si="8"/>
        <v>1</v>
      </c>
      <c r="AV11" s="26">
        <f t="shared" si="9"/>
        <v>1</v>
      </c>
      <c r="AW11" s="28">
        <f t="shared" si="10"/>
        <v>1</v>
      </c>
    </row>
    <row r="12" spans="1:49">
      <c r="A12" s="14">
        <v>10</v>
      </c>
      <c r="B12" s="17">
        <f>_xlfn.MAXIFS('Model output'!B:B,'Model output'!Z:Z,'Classification result'!$A12)</f>
        <v>45436</v>
      </c>
      <c r="C12" s="17"/>
      <c r="D12" s="17"/>
      <c r="E12" s="18">
        <f>_xlfn.MAXIFS('Model output'!C:C,'Model output'!Z:Z,'Classification result'!$A12)</f>
        <v>24</v>
      </c>
      <c r="F12" s="18" t="str" cm="1">
        <f t="array" ref="F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G12" s="18" t="str" cm="1">
        <f t="array" ref="G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>X</v>
      </c>
      <c r="H12" s="18" cm="1">
        <f t="array" ref="H12">IF(AND(SUBSTITUTE(_xlfn.TEXTJOIN("/", TRUE, _xlfn._xlws.FILTER('Model output'!F:F, 'Model output'!Z:Z=A12)),"M", "")="", K12="negative"),0,IF(K12="positive",1,0))</f>
        <v>0</v>
      </c>
      <c r="I12" t="str">
        <f t="shared" si="0"/>
        <v>positive</v>
      </c>
      <c r="J12" t="str" cm="1">
        <f t="array" ref="J12">IF(AND(M12&gt;0,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output'!Z:Z=A12)),1)))),"lateral",IF(AND(M12=0, _xlfn.TEXTJOIN("; ", TRUE, _xlfn._xlws.FILTER('Model output'!G:G, 'Model output'!Z:Z=A12))=""),"", "central"))</f>
        <v>central</v>
      </c>
      <c r="K12" s="18" t="str" cm="1">
        <f t="array" ref="K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L12" s="18">
        <f>IF(IFERROR(INDEX('Model output'!I:I, MATCH(A12, 'Model output'!Z:Z, 0)), "") &lt; M12, "", IFERROR(INDEX('Model output'!I:I, MATCH(A12, 'Model output'!Z:Z, 0)), ""))</f>
        <v>1</v>
      </c>
      <c r="M12" s="18">
        <f>IFERROR(INDEX('Model output'!J:J, MATCH(A12, 'Model output'!Z:Z, 0)), "")</f>
        <v>1</v>
      </c>
      <c r="N12" s="19" t="str" cm="1">
        <f t="array" ref="N12">ReplaceTo(ReplaceAnd(SUBSTITUTE(SUBSTITUTE(_xlfn.TEXTJOIN("; ", TRUE, _xlfn._xlws.FILTER('Model output'!K:K, 'Model output'!Z:Z=A12)), " ", ""), ",", ";")))</f>
        <v/>
      </c>
      <c r="O12" t="str" cm="1">
        <f t="array" ref="O12">IF(LEFT(IF(RIGHT(SUBSTITUTE(FilterWithUnits(N12)&amp;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";")),1)=";",RIGHT(IF(RIGHT(SUBSTITUTE(FilterWithUnits(N12)&amp;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";")),LEN(IF(RIGHT(SUBSTITUTE(FilterWithUnits(N12)&amp;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";")))-1),IF(RIGHT(SUBSTITUTE(FilterWithUnits(N12)&amp;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</f>
        <v/>
      </c>
      <c r="P12" t="str" cm="1">
        <f t="array" ref="P12">IF(MaxSize((SplitDimensions(O12)))=0, "", MaxSize((SplitDimensions(O12))))</f>
        <v/>
      </c>
      <c r="Q12" t="str" cm="1">
        <f t="array" ref="Q12">IF(ISERROR(INDEX(_xlfn._xlws.FILTER('Model output'!L:L, ('Model output'!Z:Z=A12)*('Model output'!L:L&lt;&gt;"")), 1)), " ", LOWER(INDEX(_xlfn._xlws.FILTER('Model output'!L:L, ('Model output'!Z:Z=A12)*('Model output'!L:L&lt;&gt;"")), 1)))</f>
        <v>papillary</v>
      </c>
      <c r="R12" t="str" cm="1">
        <f t="array" ref="R12">IF(ISERROR(INDEX(_xlfn._xlws.FILTER('Model output'!M:M, ('Model output'!Z:Z=A12)*('Model output'!M:M&lt;&gt;"")), 1)), " ", LOWER(INDEX(_xlfn._xlws.FILTER('Model output'!M:M, ('Model output'!Z:Z=A12)*('Model output'!M:M&lt;&gt;"")), 1)))</f>
        <v>classic</v>
      </c>
      <c r="S12" t="str" cm="1">
        <f t="array" ref="S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T12" t="str" cm="1">
        <f t="array" ref="T12">IF(LEFT(IF(RIGHT(SUBSTITUTE(FilterWithUnits(S12)&amp;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";")),1)=";",RIGHT(IF(RIGHT(SUBSTITUTE(FilterWithUnits(S12)&amp;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";")),LEN(IF(RIGHT(SUBSTITUTE(FilterWithUnits(S12)&amp;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";")))-1),IF(RIGHT(SUBSTITUTE(FilterWithUnits(S12)&amp;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</f>
        <v>16mm</v>
      </c>
      <c r="U12" cm="1">
        <f t="array" ref="U12">IF(MaxSize((SplitDimensions(T12)))=0, "", MaxSize((SplitDimensions(T12))))</f>
        <v>1.6</v>
      </c>
      <c r="V12" s="18" t="str" cm="1">
        <f t="array" ref="V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X12" t="str" cm="1">
        <f t="array" ref="X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Y12" t="str">
        <f t="shared" si="11"/>
        <v>no</v>
      </c>
      <c r="Z12" t="str" cm="1">
        <f t="array" ref="Z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positive</v>
      </c>
      <c r="AA12" s="18" t="str">
        <f t="shared" si="12"/>
        <v>negative</v>
      </c>
      <c r="AE12" s="18" t="str">
        <f t="shared" si="13"/>
        <v>negative</v>
      </c>
      <c r="AF12" t="str" cm="1">
        <f t="array" ref="AF12">_xlfn.TEXTJOIN("; ",TRUE,_xlfn._xlws.FILTER('Model output'!S:S,'Model output'!Z:Z=A12))</f>
        <v>Not identified</v>
      </c>
      <c r="AG12" s="18" t="str" cm="1">
        <f t="array" ref="AG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output'!Z:Z=A12)),1)),"unknown","negative"))</f>
        <v>negative</v>
      </c>
      <c r="AI12" s="49" t="str">
        <f t="shared" si="1"/>
        <v>low</v>
      </c>
      <c r="AJ12" s="42" t="str">
        <f t="shared" si="2"/>
        <v>1b</v>
      </c>
      <c r="AK12" s="42" t="str">
        <f t="shared" si="3"/>
        <v>1a</v>
      </c>
      <c r="AL12" s="42">
        <f t="shared" si="4"/>
        <v>0</v>
      </c>
      <c r="AM12" s="42" t="str">
        <f t="shared" si="5"/>
        <v>I</v>
      </c>
      <c r="AN12" s="43" t="s">
        <v>171</v>
      </c>
      <c r="AO12" s="44" t="s">
        <v>189</v>
      </c>
      <c r="AP12" s="44" t="s">
        <v>191</v>
      </c>
      <c r="AQ12" s="44">
        <v>0</v>
      </c>
      <c r="AR12" s="44" t="s">
        <v>31</v>
      </c>
      <c r="AS12" s="11">
        <f t="shared" si="6"/>
        <v>1</v>
      </c>
      <c r="AT12" s="26">
        <f t="shared" si="7"/>
        <v>1</v>
      </c>
      <c r="AU12" s="26">
        <f t="shared" si="8"/>
        <v>1</v>
      </c>
      <c r="AV12" s="26">
        <f t="shared" si="9"/>
        <v>1</v>
      </c>
      <c r="AW12" s="28">
        <f t="shared" si="10"/>
        <v>1</v>
      </c>
    </row>
    <row r="13" spans="1:49">
      <c r="A13" s="14">
        <v>11</v>
      </c>
      <c r="B13" s="17">
        <f>_xlfn.MAXIFS('Model output'!B:B,'Model output'!Z:Z,'Classification result'!$A13)</f>
        <v>45443</v>
      </c>
      <c r="C13" s="17"/>
      <c r="D13" s="17"/>
      <c r="E13" s="18">
        <f>_xlfn.MAXIFS('Model output'!C:C,'Model output'!Z:Z,'Classification result'!$A13)</f>
        <v>70</v>
      </c>
      <c r="F13" s="18" t="str" cm="1">
        <f t="array" ref="F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G13" s="18" t="str" cm="1">
        <f t="array" ref="G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H13" s="18" cm="1">
        <f t="array" ref="H13">IF(AND(SUBSTITUTE(_xlfn.TEXTJOIN("/", TRUE, _xlfn._xlws.FILTER('Model output'!F:F, 'Model output'!Z:Z=A13)),"M", "")="", K13="negative"),0,IF(K13="positive",1,0))</f>
        <v>0</v>
      </c>
      <c r="I13" t="str">
        <f t="shared" si="0"/>
        <v/>
      </c>
      <c r="J13" t="str" cm="1">
        <f t="array" ref="J13">IF(AND(M13&gt;0,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output'!Z:Z=A13)),1)))),"lateral",IF(AND(M13=0, _xlfn.TEXTJOIN("; ", TRUE, _xlfn._xlws.FILTER('Model output'!G:G, 'Model output'!Z:Z=A13))=""),"", "central"))</f>
        <v/>
      </c>
      <c r="K13" s="18" t="str" cm="1">
        <f t="array" ref="K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L13" s="18">
        <f>IF(IFERROR(INDEX('Model output'!I:I, MATCH(A13, 'Model output'!Z:Z, 0)), "") &lt; M13, "", IFERROR(INDEX('Model output'!I:I, MATCH(A13, 'Model output'!Z:Z, 0)), ""))</f>
        <v>0</v>
      </c>
      <c r="M13" s="18">
        <f>IFERROR(INDEX('Model output'!J:J, MATCH(A13, 'Model output'!Z:Z, 0)), "")</f>
        <v>0</v>
      </c>
      <c r="N13" s="19" t="str" cm="1">
        <f t="array" ref="N13">ReplaceTo(ReplaceAnd(SUBSTITUTE(SUBSTITUTE(_xlfn.TEXTJOIN("; ", TRUE, _xlfn._xlws.FILTER('Model output'!K:K, 'Model output'!Z:Z=A13)), " ", ""), ",", ";")))</f>
        <v/>
      </c>
      <c r="O13" t="str" cm="1">
        <f t="array" ref="O13">IF(LEFT(IF(RIGHT(SUBSTITUTE(FilterWithUnits(N13)&amp;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";")),1)=";",RIGHT(IF(RIGHT(SUBSTITUTE(FilterWithUnits(N13)&amp;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";")),LEN(IF(RIGHT(SUBSTITUTE(FilterWithUnits(N13)&amp;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";")))-1),IF(RIGHT(SUBSTITUTE(FilterWithUnits(N13)&amp;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</f>
        <v/>
      </c>
      <c r="P13" t="str" cm="1">
        <f t="array" ref="P13">IF(MaxSize((SplitDimensions(O13)))=0, "", MaxSize((SplitDimensions(O13))))</f>
        <v/>
      </c>
      <c r="Q13" t="str" cm="1">
        <f t="array" ref="Q13">IF(ISERROR(INDEX(_xlfn._xlws.FILTER('Model output'!L:L, ('Model output'!Z:Z=A13)*('Model output'!L:L&lt;&gt;"")), 1)), " ", LOWER(INDEX(_xlfn._xlws.FILTER('Model output'!L:L, ('Model output'!Z:Z=A13)*('Model output'!L:L&lt;&gt;"")), 1)))</f>
        <v>follicular</v>
      </c>
      <c r="R13" t="str" cm="1">
        <f t="array" ref="R13">IF(ISERROR(INDEX(_xlfn._xlws.FILTER('Model output'!M:M, ('Model output'!Z:Z=A13)*('Model output'!M:M&lt;&gt;"")), 1)), " ", LOWER(INDEX(_xlfn._xlws.FILTER('Model output'!M:M, ('Model output'!Z:Z=A13)*('Model output'!M:M&lt;&gt;"")), 1)))</f>
        <v>minimally invasive</v>
      </c>
      <c r="S13" t="str" cm="1">
        <f t="array" ref="S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</v>
      </c>
      <c r="T13" t="str" cm="1">
        <f t="array" ref="T13">IF(LEFT(IF(RIGHT(SUBSTITUTE(FilterWithUnits(S13)&amp;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";")),1)=";",RIGHT(IF(RIGHT(SUBSTITUTE(FilterWithUnits(S13)&amp;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";")),LEN(IF(RIGHT(SUBSTITUTE(FilterWithUnits(S13)&amp;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";")))-1),IF(RIGHT(SUBSTITUTE(FilterWithUnits(S13)&amp;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</f>
        <v>50mm</v>
      </c>
      <c r="U13" cm="1">
        <f t="array" ref="U13">IF(MaxSize((SplitDimensions(T13)))=0, "", MaxSize((SplitDimensions(T13))))</f>
        <v>5</v>
      </c>
      <c r="V13" s="18" t="str" cm="1">
        <f t="array" ref="V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X13" t="str" cm="1">
        <f t="array" ref="X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Y13" t="str">
        <f t="shared" si="11"/>
        <v>no</v>
      </c>
      <c r="Z13" t="str" cm="1">
        <f t="array" ref="Z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AA13" s="18" t="str">
        <f t="shared" si="12"/>
        <v>negative</v>
      </c>
      <c r="AE13" s="18" t="str">
        <f t="shared" si="13"/>
        <v>negative</v>
      </c>
      <c r="AF13" t="str" cm="1">
        <f t="array" ref="AF13">_xlfn.TEXTJOIN("; ",TRUE,_xlfn._xlws.FILTER('Model output'!S:S,'Model output'!Z:Z=A13))</f>
        <v>Not identified</v>
      </c>
      <c r="AG13" s="18" t="str" cm="1">
        <f t="array" ref="AG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output'!Z:Z=A13)),1)),"unknown","negative"))</f>
        <v>negative</v>
      </c>
      <c r="AI13" s="49" t="str">
        <f t="shared" si="1"/>
        <v>low</v>
      </c>
      <c r="AJ13" s="42" t="str">
        <f t="shared" si="2"/>
        <v>3a</v>
      </c>
      <c r="AK13" s="42" t="str">
        <f t="shared" si="3"/>
        <v>x</v>
      </c>
      <c r="AL13" s="42">
        <f t="shared" si="4"/>
        <v>0</v>
      </c>
      <c r="AM13" s="42" t="str">
        <f t="shared" si="5"/>
        <v>II</v>
      </c>
      <c r="AN13" s="43" t="s">
        <v>171</v>
      </c>
      <c r="AO13" s="44" t="s">
        <v>193</v>
      </c>
      <c r="AP13" s="44" t="s">
        <v>190</v>
      </c>
      <c r="AQ13" s="44">
        <v>0</v>
      </c>
      <c r="AR13" s="44" t="s">
        <v>43</v>
      </c>
      <c r="AS13" s="11">
        <f t="shared" si="6"/>
        <v>1</v>
      </c>
      <c r="AT13" s="26">
        <f t="shared" si="7"/>
        <v>1</v>
      </c>
      <c r="AU13" s="26">
        <f t="shared" si="8"/>
        <v>1</v>
      </c>
      <c r="AV13" s="26">
        <f t="shared" si="9"/>
        <v>1</v>
      </c>
      <c r="AW13" s="28">
        <f t="shared" si="10"/>
        <v>1</v>
      </c>
    </row>
    <row r="14" spans="1:49">
      <c r="A14" s="14">
        <v>12</v>
      </c>
      <c r="B14" s="17">
        <f>_xlfn.MAXIFS('Model output'!B:B,'Model output'!Z:Z,'Classification result'!$A14)</f>
        <v>45415</v>
      </c>
      <c r="C14" s="17"/>
      <c r="D14" s="17"/>
      <c r="E14" s="18">
        <f>_xlfn.MAXIFS('Model output'!C:C,'Model output'!Z:Z,'Classification result'!$A14)</f>
        <v>67</v>
      </c>
      <c r="F14" s="18" t="str" cm="1">
        <f t="array" ref="F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G14" s="18" t="str" cm="1">
        <f t="array" ref="G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>X</v>
      </c>
      <c r="H14" s="18" cm="1">
        <f t="array" ref="H14">IF(AND(SUBSTITUTE(_xlfn.TEXTJOIN("/", TRUE, _xlfn._xlws.FILTER('Model output'!F:F, 'Model output'!Z:Z=A14)),"M", "")="", K14="negative"),0,IF(K14="positive",1,0))</f>
        <v>0</v>
      </c>
      <c r="I14" t="str">
        <f t="shared" si="0"/>
        <v/>
      </c>
      <c r="J14" t="str" cm="1">
        <f t="array" ref="J14">IF(AND(M14&gt;0,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output'!Z:Z=A14)),1)))),"lateral",IF(AND(M14=0, _xlfn.TEXTJOIN("; ", TRUE, _xlfn._xlws.FILTER('Model output'!G:G, 'Model output'!Z:Z=A14))=""),"", "central"))</f>
        <v/>
      </c>
      <c r="K14" s="18" t="str" cm="1">
        <f t="array" ref="K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L14" s="18">
        <f>IF(IFERROR(INDEX('Model output'!I:I, MATCH(A14, 'Model output'!Z:Z, 0)), "") &lt; M14, "", IFERROR(INDEX('Model output'!I:I, MATCH(A14, 'Model output'!Z:Z, 0)), ""))</f>
        <v>0</v>
      </c>
      <c r="M14" s="18">
        <f>IFERROR(INDEX('Model output'!J:J, MATCH(A14, 'Model output'!Z:Z, 0)), "")</f>
        <v>0</v>
      </c>
      <c r="N14" s="19" t="str" cm="1">
        <f t="array" ref="N14">ReplaceTo(ReplaceAnd(SUBSTITUTE(SUBSTITUTE(_xlfn.TEXTJOIN("; ", TRUE, _xlfn._xlws.FILTER('Model output'!K:K, 'Model output'!Z:Z=A14)), " ", ""), ",", ";")))</f>
        <v/>
      </c>
      <c r="O14" t="str" cm="1">
        <f t="array" ref="O14">IF(LEFT(IF(RIGHT(SUBSTITUTE(FilterWithUnits(N14)&amp;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";")),1)=";",RIGHT(IF(RIGHT(SUBSTITUTE(FilterWithUnits(N14)&amp;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";")),LEN(IF(RIGHT(SUBSTITUTE(FilterWithUnits(N14)&amp;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";")))-1),IF(RIGHT(SUBSTITUTE(FilterWithUnits(N14)&amp;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</f>
        <v/>
      </c>
      <c r="P14" t="str" cm="1">
        <f t="array" ref="P14">IF(MaxSize((SplitDimensions(O14)))=0, "", MaxSize((SplitDimensions(O14))))</f>
        <v/>
      </c>
      <c r="Q14" t="str" cm="1">
        <f t="array" ref="Q14">IF(ISERROR(INDEX(_xlfn._xlws.FILTER('Model output'!L:L, ('Model output'!Z:Z=A14)*('Model output'!L:L&lt;&gt;"")), 1)), " ", LOWER(INDEX(_xlfn._xlws.FILTER('Model output'!L:L, ('Model output'!Z:Z=A14)*('Model output'!L:L&lt;&gt;"")), 1)))</f>
        <v>follicular</v>
      </c>
      <c r="R14" t="str" cm="1">
        <f t="array" ref="R14">IF(ISERROR(INDEX(_xlfn._xlws.FILTER('Model output'!M:M, ('Model output'!Z:Z=A14)*('Model output'!M:M&lt;&gt;"")), 1)), " ", LOWER(INDEX(_xlfn._xlws.FILTER('Model output'!M:M, ('Model output'!Z:Z=A14)*('Model output'!M:M&lt;&gt;"")), 1)))</f>
        <v>minimally invasive</v>
      </c>
      <c r="S14" t="str" cm="1">
        <f t="array" ref="S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5cm</v>
      </c>
      <c r="T14" t="str" cm="1">
        <f t="array" ref="T14">IF(LEFT(IF(RIGHT(SUBSTITUTE(FilterWithUnits(S14)&amp;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";")),1)=";",RIGHT(IF(RIGHT(SUBSTITUTE(FilterWithUnits(S14)&amp;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";")),LEN(IF(RIGHT(SUBSTITUTE(FilterWithUnits(S14)&amp;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";")))-1),IF(RIGHT(SUBSTITUTE(FilterWithUnits(S14)&amp;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</f>
        <v>5cm</v>
      </c>
      <c r="U14" cm="1">
        <f t="array" ref="U14">IF(MaxSize((SplitDimensions(T14)))=0, "", MaxSize((SplitDimensions(T14))))</f>
        <v>5</v>
      </c>
      <c r="V14" s="18" t="str" cm="1">
        <f t="array" ref="V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X14" t="str" cm="1">
        <f t="array" ref="X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&lt;4</v>
      </c>
      <c r="Y14" t="str">
        <f t="shared" si="11"/>
        <v>minimal</v>
      </c>
      <c r="Z14" t="str" cm="1">
        <f t="array" ref="Z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AA14" s="18" t="str">
        <f t="shared" si="12"/>
        <v>positive</v>
      </c>
      <c r="AE14" s="18" t="str">
        <f t="shared" si="13"/>
        <v>negative</v>
      </c>
      <c r="AF14" t="str" cm="1">
        <f t="array" ref="AF14">_xlfn.TEXTJOIN("; ",TRUE,_xlfn._xlws.FILTER('Model output'!S:S,'Model output'!Z:Z=A14))</f>
        <v>Invading perithyroid soft tissue</v>
      </c>
      <c r="AG14" s="18" t="str" cm="1">
        <f t="array" ref="AG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output'!Z:Z=A14)),1)),"unknown","negative"))</f>
        <v>negative</v>
      </c>
      <c r="AI14" s="49" t="str">
        <f t="shared" si="1"/>
        <v>intermediate</v>
      </c>
      <c r="AJ14" s="42" t="str">
        <f t="shared" ref="AJ14:AJ26" si="14">IF(OR(ISNUMBER(SEARCH("non-invasive follicular",Q14)),ISNUMBER(SEARCH("papillary-like nuclear features",Q14)),ISNUMBER(SEARCH("non-invasive follicular",R14)),ISNUMBER(SEARCH("papillary-like nuclear features",R14))),"NIFTP", IF(OR(F14="4b",AND(AE14="positive",OR(ISNUMBER(SEARCH("prevertebral",AF14)),ISNUMBER(SEARCH("fascia",AF14)),ISNUMBER(SEARCH("carotid artery",AF14)),ISNUMBER(SEARCH("mediastinal",AF14))))),"4b",IF(OR(F14="4a",AND(AE14="positive",OR(ISNUMBER(SEARCH("soft tissue",AF14)),ISNUMBER(SEARCH("larynx",AF14)),ISNUMBER(SEARCH("trachea",AF14)),ISNUMBER(SEARCH("esophagus",AF14)),ISNUMBER(SEARCH("recurrent laryngeal nerve",AF14)),ISNUMBER(SEARCH("RLN",AF14))))),"4a", IF(OR(F14="3b", AE14="positive",ISNUMBER(SEARCH("strap",AF14)),ISNUMBER(SEARCH("sternothyroid",AF14)),ISNUMBER(SEARCH("sternohyoid",AF14)),ISNUMBER(SEARCH("thyrohyoid",AF14)),ISNUMBER(SEARCH("omohyoid",AF14))),"3b",IF(OR(F14="3a", AND(U14&lt;&gt;"",U14&gt;4)),"3a",IF(AND(U14&lt;&gt;"", U14&lt;=4,U14&gt;2),"2",IF(AND(U14&lt;&gt;"",U14&lt;=2,U14&gt;1),"1b",IF(AND(U14&lt;&gt;"",U14&lt;=1),"1a","1a"))))))))</f>
        <v>3a</v>
      </c>
      <c r="AK14" s="42" t="str">
        <f t="shared" si="3"/>
        <v>x</v>
      </c>
      <c r="AL14" s="42">
        <f t="shared" si="4"/>
        <v>0</v>
      </c>
      <c r="AM14" s="42" t="str">
        <f t="shared" si="5"/>
        <v>II</v>
      </c>
      <c r="AN14" s="43" t="s">
        <v>169</v>
      </c>
      <c r="AO14" s="44" t="s">
        <v>193</v>
      </c>
      <c r="AP14" s="44" t="s">
        <v>190</v>
      </c>
      <c r="AQ14" s="44">
        <v>0</v>
      </c>
      <c r="AR14" s="44" t="s">
        <v>43</v>
      </c>
      <c r="AS14" s="11">
        <f t="shared" si="6"/>
        <v>1</v>
      </c>
      <c r="AT14" s="26">
        <f t="shared" si="7"/>
        <v>1</v>
      </c>
      <c r="AU14" s="26">
        <f t="shared" si="8"/>
        <v>1</v>
      </c>
      <c r="AV14" s="26">
        <f t="shared" si="9"/>
        <v>1</v>
      </c>
      <c r="AW14" s="28">
        <f t="shared" si="10"/>
        <v>1</v>
      </c>
    </row>
    <row r="15" spans="1:49">
      <c r="A15" s="14">
        <v>13</v>
      </c>
      <c r="B15" s="17">
        <f>_xlfn.MAXIFS('Model output'!B:B,'Model output'!Z:Z,'Classification result'!$A15)</f>
        <v>45420</v>
      </c>
      <c r="C15" s="17"/>
      <c r="D15" s="17"/>
      <c r="E15" s="18">
        <f>_xlfn.MAXIFS('Model output'!C:C,'Model output'!Z:Z,'Classification result'!$A15)</f>
        <v>66</v>
      </c>
      <c r="F15" s="18" t="str" cm="1">
        <f t="array" ref="F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/>
      </c>
      <c r="G15" s="18" t="str" cm="1">
        <f t="array" ref="G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H15" s="18" cm="1">
        <f t="array" ref="H15">IF(AND(SUBSTITUTE(_xlfn.TEXTJOIN("/", TRUE, _xlfn._xlws.FILTER('Model output'!F:F, 'Model output'!Z:Z=A15)),"M", "")="", K15="negative"),0,IF(K15="positive",1,0))</f>
        <v>0</v>
      </c>
      <c r="I15" t="str">
        <f t="shared" si="0"/>
        <v>positive</v>
      </c>
      <c r="J15" t="str" cm="1">
        <f t="array" ref="J15">IF(AND(M15&gt;0,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output'!Z:Z=A15)),1)))),"lateral",IF(AND(M15=0, _xlfn.TEXTJOIN("; ", TRUE, _xlfn._xlws.FILTER('Model output'!G:G, 'Model output'!Z:Z=A15))=""),"", "central"))</f>
        <v>lateral</v>
      </c>
      <c r="K15" s="18" t="str" cm="1">
        <f t="array" ref="K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L15" s="18">
        <f>IF(IFERROR(INDEX('Model output'!I:I, MATCH(A15, 'Model output'!Z:Z, 0)), "") &lt; M15, "", IFERROR(INDEX('Model output'!I:I, MATCH(A15, 'Model output'!Z:Z, 0)), ""))</f>
        <v>19</v>
      </c>
      <c r="M15" s="18">
        <f>IFERROR(INDEX('Model output'!J:J, MATCH(A15, 'Model output'!Z:Z, 0)), "")</f>
        <v>2</v>
      </c>
      <c r="N15" s="19" t="str" cm="1">
        <f t="array" ref="N15">ReplaceTo(ReplaceAnd(SUBSTITUTE(SUBSTITUTE(_xlfn.TEXTJOIN("; ", TRUE, _xlfn._xlws.FILTER('Model output'!K:K, 'Model output'!Z:Z=A15)), " ", ""), ",", ";")))</f>
        <v>4cm</v>
      </c>
      <c r="O15" t="str" cm="1">
        <f t="array" ref="O15">IF(LEFT(IF(RIGHT(SUBSTITUTE(FilterWithUnits(N15)&amp;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";")),1)=";",RIGHT(IF(RIGHT(SUBSTITUTE(FilterWithUnits(N15)&amp;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";")),LEN(IF(RIGHT(SUBSTITUTE(FilterWithUnits(N15)&amp;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";")))-1),IF(RIGHT(SUBSTITUTE(FilterWithUnits(N15)&amp;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</f>
        <v>4cm</v>
      </c>
      <c r="P15" cm="1">
        <f t="array" ref="P15">IF(MaxSize((SplitDimensions(O15)))=0, "", MaxSize((SplitDimensions(O15))))</f>
        <v>4</v>
      </c>
      <c r="Q15" t="str" cm="1">
        <f t="array" ref="Q15">IF(ISERROR(INDEX(_xlfn._xlws.FILTER('Model output'!L:L, ('Model output'!Z:Z=A15)*('Model output'!L:L&lt;&gt;"")), 1)), " ", LOWER(INDEX(_xlfn._xlws.FILTER('Model output'!L:L, ('Model output'!Z:Z=A15)*('Model output'!L:L&lt;&gt;"")), 1)))</f>
        <v>papillary carcinoma</v>
      </c>
      <c r="R15" t="str" cm="1">
        <f t="array" ref="R15">IF(ISERROR(INDEX(_xlfn._xlws.FILTER('Model output'!M:M, ('Model output'!Z:Z=A15)*('Model output'!M:M&lt;&gt;"")), 1)), " ", LOWER(INDEX(_xlfn._xlws.FILTER('Model output'!M:M, ('Model output'!Z:Z=A15)*('Model output'!M:M&lt;&gt;"")), 1)))</f>
        <v>classic subtype</v>
      </c>
      <c r="S15" t="str" cm="1">
        <f t="array" ref="S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</v>
      </c>
      <c r="T15" t="str" cm="1">
        <f t="array" ref="T15">IF(LEFT(IF(RIGHT(SUBSTITUTE(FilterWithUnits(S15)&amp;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";")),1)=";",RIGHT(IF(RIGHT(SUBSTITUTE(FilterWithUnits(S15)&amp;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";")),LEN(IF(RIGHT(SUBSTITUTE(FilterWithUnits(S15)&amp;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";")))-1),IF(RIGHT(SUBSTITUTE(FilterWithUnits(S15)&amp;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</f>
        <v>63mm</v>
      </c>
      <c r="U15" cm="1">
        <f t="array" ref="U15">IF(MaxSize((SplitDimensions(T15)))=0, "", MaxSize((SplitDimensions(T15))))</f>
        <v>6.3</v>
      </c>
      <c r="V15" s="18" t="str" cm="1">
        <f t="array" ref="V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positive</v>
      </c>
      <c r="X15" t="str" cm="1">
        <f t="array" ref="X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/>
      </c>
      <c r="Y15" t="str">
        <f t="shared" si="11"/>
        <v>minimal</v>
      </c>
      <c r="Z15" t="str" cm="1">
        <f t="array" ref="Z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positive</v>
      </c>
      <c r="AA15" s="18" t="str">
        <f t="shared" si="12"/>
        <v>positive</v>
      </c>
      <c r="AE15" s="18" t="str">
        <f t="shared" si="13"/>
        <v>negative</v>
      </c>
      <c r="AF15" t="str" cm="1">
        <f t="array" ref="AF15">_xlfn.TEXTJOIN("; ",TRUE,_xlfn._xlws.FILTER('Model output'!S:S,'Model output'!Z:Z=A15))</f>
        <v>Present; Present</v>
      </c>
      <c r="AG15" s="18" t="str" cm="1">
        <f t="array" ref="AG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output'!Z:Z=A15)),1)),"unknown","negative"))</f>
        <v>negative</v>
      </c>
      <c r="AI15" s="49" t="str">
        <f t="shared" si="1"/>
        <v>high</v>
      </c>
      <c r="AJ15" s="42" t="str">
        <f t="shared" si="14"/>
        <v>3a</v>
      </c>
      <c r="AK15" s="42" t="str">
        <f t="shared" si="3"/>
        <v>1b</v>
      </c>
      <c r="AL15" s="42">
        <f t="shared" si="4"/>
        <v>0</v>
      </c>
      <c r="AM15" s="42" t="str">
        <f t="shared" si="5"/>
        <v>II</v>
      </c>
      <c r="AN15" s="43" t="s">
        <v>170</v>
      </c>
      <c r="AO15" s="44" t="s">
        <v>194</v>
      </c>
      <c r="AP15" s="44" t="s">
        <v>189</v>
      </c>
      <c r="AQ15" s="44">
        <v>0</v>
      </c>
      <c r="AR15" s="44" t="s">
        <v>68</v>
      </c>
      <c r="AS15" s="11">
        <f t="shared" si="6"/>
        <v>1</v>
      </c>
      <c r="AT15" s="26">
        <f t="shared" si="7"/>
        <v>0</v>
      </c>
      <c r="AU15" s="26">
        <f t="shared" si="8"/>
        <v>1</v>
      </c>
      <c r="AV15" s="26">
        <f t="shared" si="9"/>
        <v>1</v>
      </c>
      <c r="AW15" s="28">
        <f t="shared" si="10"/>
        <v>0</v>
      </c>
    </row>
    <row r="16" spans="1:49">
      <c r="A16" s="14">
        <v>14</v>
      </c>
      <c r="B16" s="17">
        <f>_xlfn.MAXIFS('Model output'!B:B,'Model output'!Z:Z,'Classification result'!$A16)</f>
        <v>45394</v>
      </c>
      <c r="C16" s="17"/>
      <c r="D16" s="17"/>
      <c r="E16" s="18">
        <f>_xlfn.MAXIFS('Model output'!C:C,'Model output'!Z:Z,'Classification result'!$A16)</f>
        <v>51</v>
      </c>
      <c r="F16" s="18" t="str" cm="1">
        <f t="array" ref="F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G16" s="18" t="str" cm="1">
        <f t="array" ref="G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H16" s="18" cm="1">
        <f t="array" ref="H16">IF(AND(SUBSTITUTE(_xlfn.TEXTJOIN("/", TRUE, _xlfn._xlws.FILTER('Model output'!F:F, 'Model output'!Z:Z=A16)),"M", "")="", K16="negative"),0,IF(K16="positive",1,0))</f>
        <v>0</v>
      </c>
      <c r="I16" t="str">
        <f t="shared" si="0"/>
        <v>positive</v>
      </c>
      <c r="J16" t="str" cm="1">
        <f t="array" ref="J16">IF(AND(M16&gt;0,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output'!Z:Z=A16)),1)))),"lateral",IF(AND(M16=0, _xlfn.TEXTJOIN("; ", TRUE, _xlfn._xlws.FILTER('Model output'!G:G, 'Model output'!Z:Z=A16))=""),"", "central"))</f>
        <v>central</v>
      </c>
      <c r="K16" s="18" t="str" cm="1">
        <f t="array" ref="K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L16" s="18">
        <f>IF(IFERROR(INDEX('Model output'!I:I, MATCH(A16, 'Model output'!Z:Z, 0)), "") &lt; M16, "", IFERROR(INDEX('Model output'!I:I, MATCH(A16, 'Model output'!Z:Z, 0)), ""))</f>
        <v>0</v>
      </c>
      <c r="M16" s="18">
        <f>IFERROR(INDEX('Model output'!J:J, MATCH(A16, 'Model output'!Z:Z, 0)), "")</f>
        <v>0</v>
      </c>
      <c r="N16" s="19" t="str" cm="1">
        <f t="array" ref="N16">ReplaceTo(ReplaceAnd(SUBSTITUTE(SUBSTITUTE(_xlfn.TEXTJOIN("; ", TRUE, _xlfn._xlws.FILTER('Model output'!K:K, 'Model output'!Z:Z=A16)), " ", ""), ",", ";")))</f>
        <v/>
      </c>
      <c r="O16" t="str" cm="1">
        <f t="array" ref="O16">IF(LEFT(IF(RIGHT(SUBSTITUTE(FilterWithUnits(N16)&amp;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";")),1)=";",RIGHT(IF(RIGHT(SUBSTITUTE(FilterWithUnits(N16)&amp;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";")),LEN(IF(RIGHT(SUBSTITUTE(FilterWithUnits(N16)&amp;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";")))-1),IF(RIGHT(SUBSTITUTE(FilterWithUnits(N16)&amp;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</f>
        <v/>
      </c>
      <c r="P16" t="str" cm="1">
        <f t="array" ref="P16">IF(MaxSize((SplitDimensions(O16)))=0, "", MaxSize((SplitDimensions(O16))))</f>
        <v/>
      </c>
      <c r="Q16" t="str" cm="1">
        <f t="array" ref="Q16">IF(ISERROR(INDEX(_xlfn._xlws.FILTER('Model output'!L:L, ('Model output'!Z:Z=A16)*('Model output'!L:L&lt;&gt;"")), 1)), " ", LOWER(INDEX(_xlfn._xlws.FILTER('Model output'!L:L, ('Model output'!Z:Z=A16)*('Model output'!L:L&lt;&gt;"")), 1)))</f>
        <v>papillary</v>
      </c>
      <c r="R16" t="str" cm="1">
        <f t="array" ref="R16">IF(ISERROR(INDEX(_xlfn._xlws.FILTER('Model output'!M:M, ('Model output'!Z:Z=A16)*('Model output'!M:M&lt;&gt;"")), 1)), " ", LOWER(INDEX(_xlfn._xlws.FILTER('Model output'!M:M, ('Model output'!Z:Z=A16)*('Model output'!M:M&lt;&gt;"")), 1)))</f>
        <v>encapsulated classic</v>
      </c>
      <c r="S16" t="str" cm="1">
        <f t="array" ref="S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T16" t="str" cm="1">
        <f t="array" ref="T16">IF(LEFT(IF(RIGHT(SUBSTITUTE(FilterWithUnits(S16)&amp;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";")),1)=";",RIGHT(IF(RIGHT(SUBSTITUTE(FilterWithUnits(S16)&amp;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";")),LEN(IF(RIGHT(SUBSTITUTE(FilterWithUnits(S16)&amp;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";")))-1),IF(RIGHT(SUBSTITUTE(FilterWithUnits(S16)&amp;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</f>
        <v>3.9cm</v>
      </c>
      <c r="U16" cm="1">
        <f t="array" ref="U16">IF(MaxSize((SplitDimensions(T16)))=0, "", MaxSize((SplitDimensions(T16))))</f>
        <v>3.9</v>
      </c>
      <c r="V16" s="18" t="str" cm="1">
        <f t="array" ref="V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X16" t="str" cm="1">
        <f t="array" ref="X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&lt;4</v>
      </c>
      <c r="Y16" t="str">
        <f t="shared" si="11"/>
        <v>minimal</v>
      </c>
      <c r="Z16" t="str" cm="1">
        <f t="array" ref="Z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AA16" s="18" t="str">
        <f t="shared" si="12"/>
        <v>positive</v>
      </c>
      <c r="AE16" s="18" t="str">
        <f t="shared" si="13"/>
        <v>positive</v>
      </c>
      <c r="AF16" t="str" cm="1">
        <f t="array" ref="AF16">_xlfn.TEXTJOIN("; ",TRUE,_xlfn._xlws.FILTER('Model output'!S:S,'Model output'!Z:Z=A16))</f>
        <v>Invading only strap muscles; Present</v>
      </c>
      <c r="AG16" s="18" t="str" cm="1">
        <f t="array" ref="AG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output'!Z:Z=A16)),1)),"unknown","negative"))</f>
        <v>negative</v>
      </c>
      <c r="AI16" s="49" t="str">
        <f t="shared" si="1"/>
        <v>high</v>
      </c>
      <c r="AJ16" s="42" t="str">
        <f t="shared" si="14"/>
        <v>3b</v>
      </c>
      <c r="AK16" s="42" t="str">
        <f t="shared" si="3"/>
        <v>x</v>
      </c>
      <c r="AL16" s="42">
        <f t="shared" si="4"/>
        <v>0</v>
      </c>
      <c r="AM16" s="42" t="str">
        <f t="shared" si="5"/>
        <v>I</v>
      </c>
      <c r="AN16" s="43" t="s">
        <v>170</v>
      </c>
      <c r="AO16" s="44" t="s">
        <v>192</v>
      </c>
      <c r="AP16" s="44" t="s">
        <v>190</v>
      </c>
      <c r="AQ16" s="44">
        <v>0</v>
      </c>
      <c r="AR16" s="44" t="s">
        <v>31</v>
      </c>
      <c r="AS16" s="11">
        <f t="shared" si="6"/>
        <v>1</v>
      </c>
      <c r="AT16" s="26">
        <f t="shared" si="7"/>
        <v>1</v>
      </c>
      <c r="AU16" s="26">
        <f t="shared" si="8"/>
        <v>1</v>
      </c>
      <c r="AV16" s="26">
        <f t="shared" si="9"/>
        <v>1</v>
      </c>
      <c r="AW16" s="28">
        <f t="shared" si="10"/>
        <v>1</v>
      </c>
    </row>
    <row r="17" spans="1:49">
      <c r="A17" s="14">
        <v>15</v>
      </c>
      <c r="B17" s="17">
        <f>_xlfn.MAXIFS('Model output'!B:B,'Model output'!Z:Z,'Classification result'!$A17)</f>
        <v>45441</v>
      </c>
      <c r="C17" s="17"/>
      <c r="D17" s="17"/>
      <c r="E17" s="18">
        <f>_xlfn.MAXIFS('Model output'!C:C,'Model output'!Z:Z,'Classification result'!$A17)</f>
        <v>64</v>
      </c>
      <c r="F17" s="18" t="str" cm="1">
        <f t="array" ref="F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G17" s="18" t="str" cm="1">
        <f t="array" ref="G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/>
      </c>
      <c r="H17" s="18" cm="1">
        <f t="array" ref="H17">IF(AND(SUBSTITUTE(_xlfn.TEXTJOIN("/", TRUE, _xlfn._xlws.FILTER('Model output'!F:F, 'Model output'!Z:Z=A17)),"M", "")="", K17="negative"),0,IF(K17="positive",1,0))</f>
        <v>0</v>
      </c>
      <c r="I17" t="str">
        <f t="shared" si="0"/>
        <v>positive</v>
      </c>
      <c r="J17" t="str" cm="1">
        <f t="array" ref="J17">IF(AND(M17&gt;0,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output'!Z:Z=A17)),1)))),"lateral",IF(AND(M17=0, _xlfn.TEXTJOIN("; ", TRUE, _xlfn._xlws.FILTER('Model output'!G:G, 'Model output'!Z:Z=A17))=""),"", "central"))</f>
        <v>central</v>
      </c>
      <c r="K17" s="18" t="str" cm="1">
        <f t="array" ref="K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L17" s="18">
        <f>IF(IFERROR(INDEX('Model output'!I:I, MATCH(A17, 'Model output'!Z:Z, 0)), "") &lt; M17, "", IFERROR(INDEX('Model output'!I:I, MATCH(A17, 'Model output'!Z:Z, 0)), ""))</f>
        <v>0</v>
      </c>
      <c r="M17" s="18">
        <f>IFERROR(INDEX('Model output'!J:J, MATCH(A17, 'Model output'!Z:Z, 0)), "")</f>
        <v>0</v>
      </c>
      <c r="N17" s="19" t="str" cm="1">
        <f t="array" ref="N17">ReplaceTo(ReplaceAnd(SUBSTITUTE(SUBSTITUTE(_xlfn.TEXTJOIN("; ", TRUE, _xlfn._xlws.FILTER('Model output'!K:K, 'Model output'!Z:Z=A17)), " ", ""), ",", ";")))</f>
        <v/>
      </c>
      <c r="O17" t="str" cm="1">
        <f t="array" ref="O17">IF(LEFT(IF(RIGHT(SUBSTITUTE(FilterWithUnits(N17)&amp;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";")),1)=";",RIGHT(IF(RIGHT(SUBSTITUTE(FilterWithUnits(N17)&amp;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";")),LEN(IF(RIGHT(SUBSTITUTE(FilterWithUnits(N17)&amp;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";")))-1),IF(RIGHT(SUBSTITUTE(FilterWithUnits(N17)&amp;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</f>
        <v/>
      </c>
      <c r="P17" t="str" cm="1">
        <f t="array" ref="P17">IF(MaxSize((SplitDimensions(O17)))=0, "", MaxSize((SplitDimensions(O17))))</f>
        <v/>
      </c>
      <c r="Q17" t="str" cm="1">
        <f t="array" ref="Q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R17" t="str" cm="1">
        <f t="array" ref="R17">IF(ISERROR(INDEX(_xlfn._xlws.FILTER('Model output'!M:M, ('Model output'!Z:Z=A17)*('Model output'!M:M&lt;&gt;"")), 1)), " ", LOWER(INDEX(_xlfn._xlws.FILTER('Model output'!M:M, ('Model output'!Z:Z=A17)*('Model output'!M:M&lt;&gt;"")), 1)))</f>
        <v>non-invasive follicular thyroid neoplasm with papillary-like nuclear features</v>
      </c>
      <c r="S17" t="str" cm="1">
        <f t="array" ref="S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25x15x15mm</v>
      </c>
      <c r="T17" t="str" cm="1">
        <f t="array" ref="T17">IF(LEFT(IF(RIGHT(SUBSTITUTE(FilterWithUnits(S17)&amp;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";")),1)=";",RIGHT(IF(RIGHT(SUBSTITUTE(FilterWithUnits(S17)&amp;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";")),LEN(IF(RIGHT(SUBSTITUTE(FilterWithUnits(S17)&amp;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";")))-1),IF(RIGHT(SUBSTITUTE(FilterWithUnits(S17)&amp;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</f>
        <v>25x15x15mm</v>
      </c>
      <c r="U17" cm="1">
        <f t="array" ref="U17">IF(MaxSize((SplitDimensions(T17)))=0, "", MaxSize((SplitDimensions(T17))))</f>
        <v>2.5</v>
      </c>
      <c r="V17" s="18" t="str" cm="1">
        <f t="array" ref="V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X17" t="str" cm="1">
        <f t="array" ref="X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Y17" t="str">
        <f t="shared" si="11"/>
        <v>no</v>
      </c>
      <c r="Z17" t="str" cm="1">
        <f t="array" ref="Z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positive</v>
      </c>
      <c r="AA17" s="18" t="str">
        <f t="shared" si="12"/>
        <v>negative</v>
      </c>
      <c r="AE17" s="18" t="str">
        <f t="shared" si="13"/>
        <v>negative</v>
      </c>
      <c r="AF17" t="str" cm="1">
        <f t="array" ref="AF17">_xlfn.TEXTJOIN("; ",TRUE,_xlfn._xlws.FILTER('Model output'!S:S,'Model output'!Z:Z=A17))</f>
        <v>Negative</v>
      </c>
      <c r="AG17" s="18" t="str" cm="1">
        <f t="array" ref="AG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output'!Z:Z=A17)),1)),"unknown","negative"))</f>
        <v>negative</v>
      </c>
      <c r="AI17" s="49" t="str">
        <f t="shared" si="1"/>
        <v>NIFTP</v>
      </c>
      <c r="AJ17" s="42" t="str">
        <f t="shared" si="14"/>
        <v>NIFTP</v>
      </c>
      <c r="AK17" s="42" t="s">
        <v>74</v>
      </c>
      <c r="AL17" s="42" t="s">
        <v>74</v>
      </c>
      <c r="AM17" s="42" t="s">
        <v>74</v>
      </c>
      <c r="AN17" s="43" t="s">
        <v>74</v>
      </c>
      <c r="AO17" s="44" t="s">
        <v>74</v>
      </c>
      <c r="AP17" s="44" t="s">
        <v>74</v>
      </c>
      <c r="AQ17" s="44" t="s">
        <v>74</v>
      </c>
      <c r="AR17" s="44" t="s">
        <v>74</v>
      </c>
      <c r="AS17" s="11">
        <f t="shared" si="6"/>
        <v>1</v>
      </c>
      <c r="AT17" s="26">
        <f t="shared" si="7"/>
        <v>1</v>
      </c>
      <c r="AU17" s="26">
        <f t="shared" si="8"/>
        <v>1</v>
      </c>
      <c r="AV17" s="26">
        <f t="shared" si="9"/>
        <v>1</v>
      </c>
      <c r="AW17" s="28">
        <f t="shared" si="10"/>
        <v>1</v>
      </c>
    </row>
    <row r="18" spans="1:49">
      <c r="A18" s="14">
        <v>16</v>
      </c>
      <c r="B18" s="17">
        <f>_xlfn.MAXIFS('Model output'!B:B,'Model output'!Z:Z,'Classification result'!$A18)</f>
        <v>45331</v>
      </c>
      <c r="C18" s="17"/>
      <c r="D18" s="17"/>
      <c r="E18" s="18">
        <f>_xlfn.MAXIFS('Model output'!C:C,'Model output'!Z:Z,'Classification result'!$A18)</f>
        <v>43</v>
      </c>
      <c r="F18" s="18" t="str" cm="1">
        <f t="array" ref="F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G18" s="18" t="str" cm="1">
        <f t="array" ref="G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>X</v>
      </c>
      <c r="H18" s="18" cm="1">
        <f t="array" ref="H18">IF(AND(SUBSTITUTE(_xlfn.TEXTJOIN("/", TRUE, _xlfn._xlws.FILTER('Model output'!F:F, 'Model output'!Z:Z=A18)),"M", "")="", K18="negative"),0,IF(K18="positive",1,0))</f>
        <v>0</v>
      </c>
      <c r="I18" t="str">
        <f t="shared" si="0"/>
        <v>positive</v>
      </c>
      <c r="J18" t="str" cm="1">
        <f t="array" ref="J18">IF(AND(M18&gt;0,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output'!Z:Z=A18)),1)))),"lateral",IF(AND(M18=0, _xlfn.TEXTJOIN("; ", TRUE, _xlfn._xlws.FILTER('Model output'!G:G, 'Model output'!Z:Z=A18))=""),"", "central"))</f>
        <v>central</v>
      </c>
      <c r="K18" s="18" t="str" cm="1">
        <f t="array" ref="K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L18" s="18">
        <f>IF(IFERROR(INDEX('Model output'!I:I, MATCH(A18, 'Model output'!Z:Z, 0)), "") &lt; M18, "", IFERROR(INDEX('Model output'!I:I, MATCH(A18, 'Model output'!Z:Z, 0)), ""))</f>
        <v>4</v>
      </c>
      <c r="M18" s="18">
        <f>IFERROR(INDEX('Model output'!J:J, MATCH(A18, 'Model output'!Z:Z, 0)), "")</f>
        <v>0</v>
      </c>
      <c r="N18" s="19" t="str" cm="1">
        <f t="array" ref="N18">ReplaceTo(ReplaceAnd(SUBSTITUTE(SUBSTITUTE(_xlfn.TEXTJOIN("; ", TRUE, _xlfn._xlws.FILTER('Model output'!K:K, 'Model output'!Z:Z=A18)), " ", ""), ",", ";")))</f>
        <v/>
      </c>
      <c r="O18" t="str" cm="1">
        <f t="array" ref="O18">IF(LEFT(IF(RIGHT(SUBSTITUTE(FilterWithUnits(N18)&amp;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";")),1)=";",RIGHT(IF(RIGHT(SUBSTITUTE(FilterWithUnits(N18)&amp;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";")),LEN(IF(RIGHT(SUBSTITUTE(FilterWithUnits(N18)&amp;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";")))-1),IF(RIGHT(SUBSTITUTE(FilterWithUnits(N18)&amp;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</f>
        <v/>
      </c>
      <c r="P18" t="str" cm="1">
        <f t="array" ref="P18">IF(MaxSize((SplitDimensions(O18)))=0, "", MaxSize((SplitDimensions(O18))))</f>
        <v/>
      </c>
      <c r="Q18" t="str" cm="1">
        <f t="array" ref="Q18">IF(ISERROR(INDEX(_xlfn._xlws.FILTER('Model output'!L:L, ('Model output'!Z:Z=A18)*('Model output'!L:L&lt;&gt;"")), 1)), " ", LOWER(INDEX(_xlfn._xlws.FILTER('Model output'!L:L, ('Model output'!Z:Z=A18)*('Model output'!L:L&lt;&gt;"")), 1)))</f>
        <v>papillary</v>
      </c>
      <c r="R18" t="str" cm="1">
        <f t="array" ref="R18">IF(ISERROR(INDEX(_xlfn._xlws.FILTER('Model output'!M:M, ('Model output'!Z:Z=A18)*('Model output'!M:M&lt;&gt;"")), 1)), " ", LOWER(INDEX(_xlfn._xlws.FILTER('Model output'!M:M, ('Model output'!Z:Z=A18)*('Model output'!M:M&lt;&gt;"")), 1)))</f>
        <v>classic</v>
      </c>
      <c r="S18" t="str" cm="1">
        <f t="array" ref="S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T18" t="str" cm="1">
        <f t="array" ref="T18">IF(LEFT(IF(RIGHT(SUBSTITUTE(FilterWithUnits(S18)&amp;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";")),1)=";",RIGHT(IF(RIGHT(SUBSTITUTE(FilterWithUnits(S18)&amp;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";")),LEN(IF(RIGHT(SUBSTITUTE(FilterWithUnits(S18)&amp;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";")))-1),IF(RIGHT(SUBSTITUTE(FilterWithUnits(S18)&amp;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</f>
        <v>36x32x26mm</v>
      </c>
      <c r="U18" cm="1">
        <f t="array" ref="U18">IF(MaxSize((SplitDimensions(T18)))=0, "", MaxSize((SplitDimensions(T18))))</f>
        <v>3.6</v>
      </c>
      <c r="V18" s="18" t="str" cm="1">
        <f t="array" ref="V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X18" t="str" cm="1">
        <f t="array" ref="X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Y18" t="str">
        <f t="shared" si="11"/>
        <v>minimal</v>
      </c>
      <c r="Z18" t="str" cm="1">
        <f t="array" ref="Z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AA18" s="18" t="str">
        <f t="shared" si="12"/>
        <v>positive</v>
      </c>
      <c r="AE18" s="18" t="str">
        <f t="shared" si="13"/>
        <v>negative</v>
      </c>
      <c r="AF18" t="str" cm="1">
        <f t="array" ref="AF18">_xlfn.TEXTJOIN("; ",TRUE,_xlfn._xlws.FILTER('Model output'!S:S,'Model output'!Z:Z=A18))</f>
        <v>Not identified; Present</v>
      </c>
      <c r="AG18" s="18" t="str" cm="1">
        <f t="array" ref="AG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output'!Z:Z=A18)),1)),"unknown","negative"))</f>
        <v>negative</v>
      </c>
      <c r="AI18" s="49" t="str">
        <f t="shared" si="1"/>
        <v>intermediate</v>
      </c>
      <c r="AJ18" s="42" t="str">
        <f t="shared" si="14"/>
        <v>2</v>
      </c>
      <c r="AK18" s="42">
        <f t="shared" ref="AK18:AK37" si="15">IF(OR(ISNUMBER(SEARCH("non-invasive follicular",Q18,1)),ISNUMBER(SEARCH("non-invasive follicular",R18,1))),"NIFTP",IF(AND(M18&gt;0,I18="positive",J18="central"),"1a",IF(AND(M18&gt;0,I18="positive",J18="lateral"),"1b",IF(AND(M18=0,L18=0),"x",0))))</f>
        <v>0</v>
      </c>
      <c r="AL18" s="42">
        <f t="shared" ref="AL18:AL37" si="16">IF(OR(ISNUMBER(SEARCH("non-invasive follicular",Q18,1)),ISNUMBER(SEARCH("non-invasive follicular",R18,1))),"NIFTP",IF(K18="unknown","x",IF(K18="negative",0,1)))</f>
        <v>0</v>
      </c>
      <c r="AM18" s="42" t="str">
        <f t="shared" ref="AM18:AM37" si="17">IF(OR(ISNUMBER(SEARCH("non-invasive follicular",Q18,1)),ISNUMBER(SEARCH("non-invasive follicular",R18,1))),"NIFTP",IF(AND(E18&lt;55,AL18=0),"I",IF(AND(E18&lt;55,AL18=1),"II",IF(AL18=1,"IVB",IF(AND(AJ18="4b",AL18=0),"IVA",IF(AND(AJ18="4a",AL18=0),"III",IF(AND(OR(AJ18="3a",AJ18="3b"),AL18=0),"II",IF(AND(AJ18="2",OR(AK18="1",AK18="1a",AK18="1b"),AL18=0),"II",IF(AND(OR(AJ18="1a",AJ18="1b",AJ18="1",AJ18="1 "),OR(AK18="1",AK18="1a",AK18="1b"),AL18=0),"II","I")))))))))</f>
        <v>I</v>
      </c>
      <c r="AN18" s="43" t="s">
        <v>169</v>
      </c>
      <c r="AO18" s="44" t="s">
        <v>350</v>
      </c>
      <c r="AP18" s="44">
        <v>0</v>
      </c>
      <c r="AQ18" s="44">
        <v>0</v>
      </c>
      <c r="AR18" s="44" t="s">
        <v>31</v>
      </c>
      <c r="AS18" s="11">
        <f t="shared" si="6"/>
        <v>1</v>
      </c>
      <c r="AT18" s="26">
        <f t="shared" si="7"/>
        <v>1</v>
      </c>
      <c r="AU18" s="26">
        <f t="shared" si="8"/>
        <v>1</v>
      </c>
      <c r="AV18" s="26">
        <f t="shared" si="9"/>
        <v>1</v>
      </c>
      <c r="AW18" s="28">
        <f t="shared" si="10"/>
        <v>1</v>
      </c>
    </row>
    <row r="19" spans="1:49">
      <c r="A19" s="14">
        <v>17</v>
      </c>
      <c r="B19" s="17">
        <f>_xlfn.MAXIFS('Model output'!B:B,'Model output'!Z:Z,'Classification result'!$A19)</f>
        <v>45457</v>
      </c>
      <c r="C19" s="17"/>
      <c r="D19" s="17"/>
      <c r="E19" s="18">
        <f>_xlfn.MAXIFS('Model output'!C:C,'Model output'!Z:Z,'Classification result'!$A19)</f>
        <v>49</v>
      </c>
      <c r="F19" s="18" t="str" cm="1">
        <f t="array" ref="F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G19" s="18" t="str" cm="1">
        <f t="array" ref="G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H19" s="18" cm="1">
        <f t="array" ref="H19">IF(AND(SUBSTITUTE(_xlfn.TEXTJOIN("/", TRUE, _xlfn._xlws.FILTER('Model output'!F:F, 'Model output'!Z:Z=A19)),"M", "")="", K19="negative"),0,IF(K19="positive",1,0))</f>
        <v>0</v>
      </c>
      <c r="I19" t="str">
        <f t="shared" si="0"/>
        <v>positive</v>
      </c>
      <c r="J19" t="str" cm="1">
        <f t="array" ref="J19">IF(AND(M19&gt;0,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output'!Z:Z=A19)),1)))),"lateral",IF(AND(M19=0, _xlfn.TEXTJOIN("; ", TRUE, _xlfn._xlws.FILTER('Model output'!G:G, 'Model output'!Z:Z=A19))=""),"", "central"))</f>
        <v>lateral</v>
      </c>
      <c r="K19" s="18" t="str" cm="1">
        <f t="array" ref="K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L19" s="18">
        <f>IF(IFERROR(INDEX('Model output'!I:I, MATCH(A19, 'Model output'!Z:Z, 0)), "") &lt; M19, "", IFERROR(INDEX('Model output'!I:I, MATCH(A19, 'Model output'!Z:Z, 0)), ""))</f>
        <v>21</v>
      </c>
      <c r="M19" s="18">
        <f>IFERROR(INDEX('Model output'!J:J, MATCH(A19, 'Model output'!Z:Z, 0)), "")</f>
        <v>5</v>
      </c>
      <c r="N19" s="19" t="str" cm="1">
        <f t="array" ref="N19">ReplaceTo(ReplaceAnd(SUBSTITUTE(SUBSTITUTE(_xlfn.TEXTJOIN("; ", TRUE, _xlfn._xlws.FILTER('Model output'!K:K, 'Model output'!Z:Z=A19)), " ", ""), ",", ";")))</f>
        <v>8mm;1.3cm</v>
      </c>
      <c r="O19" t="str" cm="1">
        <f t="array" ref="O19">IF(LEFT(IF(RIGHT(SUBSTITUTE(FilterWithUnits(N19)&amp;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";")),1)=";",RIGHT(IF(RIGHT(SUBSTITUTE(FilterWithUnits(N19)&amp;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";")),LEN(IF(RIGHT(SUBSTITUTE(FilterWithUnits(N19)&amp;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";")))-1),IF(RIGHT(SUBSTITUTE(FilterWithUnits(N19)&amp;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</f>
        <v>8mm;1.3cm</v>
      </c>
      <c r="P19" cm="1">
        <f t="array" ref="P19">IF(MaxSize((SplitDimensions(O19)))=0, "", MaxSize((SplitDimensions(O19))))</f>
        <v>1.3</v>
      </c>
      <c r="Q19" t="str" cm="1">
        <f t="array" ref="Q19">IF(ISERROR(INDEX(_xlfn._xlws.FILTER('Model output'!L:L, ('Model output'!Z:Z=A19)*('Model output'!L:L&lt;&gt;"")), 1)), " ", LOWER(INDEX(_xlfn._xlws.FILTER('Model output'!L:L, ('Model output'!Z:Z=A19)*('Model output'!L:L&lt;&gt;"")), 1)))</f>
        <v>papillary carcinoma</v>
      </c>
      <c r="R19" t="str" cm="1">
        <f t="array" ref="R19">IF(ISERROR(INDEX(_xlfn._xlws.FILTER('Model output'!M:M, ('Model output'!Z:Z=A19)*('Model output'!M:M&lt;&gt;"")), 1)), " ", LOWER(INDEX(_xlfn._xlws.FILTER('Model output'!M:M, ('Model output'!Z:Z=A19)*('Model output'!M:M&lt;&gt;"")), 1)))</f>
        <v>classic subtype</v>
      </c>
      <c r="S19" t="str" cm="1">
        <f t="array" ref="S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T19" t="str" cm="1">
        <f t="array" ref="T19">IF(LEFT(IF(RIGHT(SUBSTITUTE(FilterWithUnits(S19)&amp;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";")),1)=";",RIGHT(IF(RIGHT(SUBSTITUTE(FilterWithUnits(S19)&amp;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";")),LEN(IF(RIGHT(SUBSTITUTE(FilterWithUnits(S19)&amp;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";")))-1),IF(RIGHT(SUBSTITUTE(FilterWithUnits(S19)&amp;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</f>
        <v>11mm</v>
      </c>
      <c r="U19" cm="1">
        <f t="array" ref="U19">IF(MaxSize((SplitDimensions(T19)))=0, "", MaxSize((SplitDimensions(T19))))</f>
        <v>1.1000000000000001</v>
      </c>
      <c r="V19" s="18" t="str" cm="1">
        <f t="array" ref="V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X19" t="str" cm="1">
        <f t="array" ref="X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Y19" t="str">
        <f t="shared" si="11"/>
        <v>no</v>
      </c>
      <c r="Z19" t="str" cm="1">
        <f t="array" ref="Z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positive</v>
      </c>
      <c r="AA19" s="18" t="str">
        <f t="shared" si="12"/>
        <v>negative</v>
      </c>
      <c r="AE19" s="18" t="str">
        <f t="shared" si="13"/>
        <v>negative</v>
      </c>
      <c r="AF19" t="str" cm="1">
        <f t="array" ref="AF19">_xlfn.TEXTJOIN("; ",TRUE,_xlfn._xlws.FILTER('Model output'!S:S,'Model output'!Z:Z=A19))</f>
        <v>Not identified</v>
      </c>
      <c r="AG19" s="18" t="str" cm="1">
        <f t="array" ref="AG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output'!Z:Z=A19)),1)),"unknown","negative"))</f>
        <v>negative</v>
      </c>
      <c r="AI19" s="49" t="str">
        <f t="shared" si="1"/>
        <v>intermediate</v>
      </c>
      <c r="AJ19" s="42" t="str">
        <f t="shared" si="14"/>
        <v>1b</v>
      </c>
      <c r="AK19" s="42" t="str">
        <f t="shared" si="15"/>
        <v>1b</v>
      </c>
      <c r="AL19" s="42">
        <f t="shared" si="16"/>
        <v>0</v>
      </c>
      <c r="AM19" s="42" t="str">
        <f t="shared" si="17"/>
        <v>I</v>
      </c>
      <c r="AN19" s="43" t="s">
        <v>169</v>
      </c>
      <c r="AO19" s="44" t="s">
        <v>189</v>
      </c>
      <c r="AP19" s="44" t="s">
        <v>189</v>
      </c>
      <c r="AQ19" s="44">
        <v>0</v>
      </c>
      <c r="AR19" s="44" t="s">
        <v>31</v>
      </c>
      <c r="AS19" s="11">
        <f t="shared" si="6"/>
        <v>1</v>
      </c>
      <c r="AT19" s="26">
        <f t="shared" si="7"/>
        <v>1</v>
      </c>
      <c r="AU19" s="26">
        <f t="shared" si="8"/>
        <v>1</v>
      </c>
      <c r="AV19" s="26">
        <f t="shared" si="9"/>
        <v>1</v>
      </c>
      <c r="AW19" s="28">
        <f t="shared" si="10"/>
        <v>1</v>
      </c>
    </row>
    <row r="20" spans="1:49">
      <c r="A20" s="14">
        <v>18</v>
      </c>
      <c r="B20" s="17">
        <f>_xlfn.MAXIFS('Model output'!B:B,'Model output'!Z:Z,'Classification result'!$A20)</f>
        <v>45355</v>
      </c>
      <c r="C20" s="17"/>
      <c r="D20" s="17"/>
      <c r="E20" s="18">
        <f>_xlfn.MAXIFS('Model output'!C:C,'Model output'!Z:Z,'Classification result'!$A20)</f>
        <v>55</v>
      </c>
      <c r="F20" s="18" t="str" cm="1">
        <f t="array" ref="F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G20" s="18" t="str" cm="1">
        <f t="array" ref="G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H20" s="18" cm="1">
        <f t="array" ref="H20">IF(AND(SUBSTITUTE(_xlfn.TEXTJOIN("/", TRUE, _xlfn._xlws.FILTER('Model output'!F:F, 'Model output'!Z:Z=A20)),"M", "")="", K20="negative"),0,IF(K20="positive",1,0))</f>
        <v>0</v>
      </c>
      <c r="I20" t="str">
        <f t="shared" si="0"/>
        <v>positive</v>
      </c>
      <c r="J20" t="str" cm="1">
        <f t="array" ref="J20">IF(AND(M20&gt;0,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output'!Z:Z=A20)),1)))),"lateral",IF(AND(M20=0, _xlfn.TEXTJOIN("; ", TRUE, _xlfn._xlws.FILTER('Model output'!G:G, 'Model output'!Z:Z=A20))=""),"", "central"))</f>
        <v>central</v>
      </c>
      <c r="K20" s="18" t="str" cm="1">
        <f t="array" ref="K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L20" s="18">
        <f>IF(IFERROR(INDEX('Model output'!I:I, MATCH(A20, 'Model output'!Z:Z, 0)), "") &lt; M20, "", IFERROR(INDEX('Model output'!I:I, MATCH(A20, 'Model output'!Z:Z, 0)), ""))</f>
        <v>4</v>
      </c>
      <c r="M20" s="18">
        <f>IFERROR(INDEX('Model output'!J:J, MATCH(A20, 'Model output'!Z:Z, 0)), "")</f>
        <v>4</v>
      </c>
      <c r="N20" s="19" t="str" cm="1">
        <f t="array" ref="N20">ReplaceTo(ReplaceAnd(SUBSTITUTE(SUBSTITUTE(_xlfn.TEXTJOIN("; ", TRUE, _xlfn._xlws.FILTER('Model output'!K:K, 'Model output'!Z:Z=A20)), " ", ""), ",", ";")))</f>
        <v>0.5cm</v>
      </c>
      <c r="O20" t="str" cm="1">
        <f t="array" ref="O20">IF(LEFT(IF(RIGHT(SUBSTITUTE(FilterWithUnits(N20)&amp;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";")),1)=";",RIGHT(IF(RIGHT(SUBSTITUTE(FilterWithUnits(N20)&amp;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";")),LEN(IF(RIGHT(SUBSTITUTE(FilterWithUnits(N20)&amp;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";")))-1),IF(RIGHT(SUBSTITUTE(FilterWithUnits(N20)&amp;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</f>
        <v>0.5cm</v>
      </c>
      <c r="P20" cm="1">
        <f t="array" ref="P20">IF(MaxSize((SplitDimensions(O20)))=0, "", MaxSize((SplitDimensions(O20))))</f>
        <v>0.5</v>
      </c>
      <c r="Q20" t="str" cm="1">
        <f t="array" ref="Q20">IF(ISERROR(INDEX(_xlfn._xlws.FILTER('Model output'!L:L, ('Model output'!Z:Z=A20)*('Model output'!L:L&lt;&gt;"")), 1)), " ", LOWER(INDEX(_xlfn._xlws.FILTER('Model output'!L:L, ('Model output'!Z:Z=A20)*('Model output'!L:L&lt;&gt;"")), 1)))</f>
        <v>papillary</v>
      </c>
      <c r="R20" t="str" cm="1">
        <f t="array" ref="R20">IF(ISERROR(INDEX(_xlfn._xlws.FILTER('Model output'!M:M, ('Model output'!Z:Z=A20)*('Model output'!M:M&lt;&gt;"")), 1)), " ", LOWER(INDEX(_xlfn._xlws.FILTER('Model output'!M:M, ('Model output'!Z:Z=A20)*('Model output'!M:M&lt;&gt;"")), 1)))</f>
        <v>classic</v>
      </c>
      <c r="S20" t="str" cm="1">
        <f t="array" ref="S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3cm</v>
      </c>
      <c r="T20" t="str" cm="1">
        <f t="array" ref="T20">IF(LEFT(IF(RIGHT(SUBSTITUTE(FilterWithUnits(S20)&amp;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";")),1)=";",RIGHT(IF(RIGHT(SUBSTITUTE(FilterWithUnits(S20)&amp;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";")),LEN(IF(RIGHT(SUBSTITUTE(FilterWithUnits(S20)&amp;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";")))-1),IF(RIGHT(SUBSTITUTE(FilterWithUnits(S20)&amp;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</f>
        <v>3cm</v>
      </c>
      <c r="U20" cm="1">
        <f t="array" ref="U20">IF(MaxSize((SplitDimensions(T20)))=0, "", MaxSize((SplitDimensions(T20))))</f>
        <v>3</v>
      </c>
      <c r="V20" s="18" t="str" cm="1">
        <f t="array" ref="V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positive</v>
      </c>
      <c r="X20" t="str" cm="1">
        <f t="array" ref="X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Y20" t="str">
        <f t="shared" si="11"/>
        <v>minimal</v>
      </c>
      <c r="Z20" t="str" cm="1">
        <f t="array" ref="Z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positive</v>
      </c>
      <c r="AA20" s="18" t="str">
        <f t="shared" si="12"/>
        <v>positive</v>
      </c>
      <c r="AE20" s="18" t="str">
        <f t="shared" si="13"/>
        <v>positive</v>
      </c>
      <c r="AF20" t="str" cm="1">
        <f t="array" ref="AF20">_xlfn.TEXTJOIN("; ",TRUE,_xlfn._xlws.FILTER('Model output'!S:S,'Model output'!Z:Z=A20))</f>
        <v>Invading only strap muscles; Present</v>
      </c>
      <c r="AG20" s="18" t="str" cm="1">
        <f t="array" ref="AG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output'!Z:Z=A20)),1)),"unknown","negative"))</f>
        <v>negative</v>
      </c>
      <c r="AI20" s="49" t="str">
        <f t="shared" si="1"/>
        <v>high</v>
      </c>
      <c r="AJ20" s="42" t="str">
        <f t="shared" si="14"/>
        <v>4a</v>
      </c>
      <c r="AK20" s="42" t="str">
        <f t="shared" si="15"/>
        <v>1a</v>
      </c>
      <c r="AL20" s="42">
        <f t="shared" si="16"/>
        <v>0</v>
      </c>
      <c r="AM20" s="42" t="str">
        <f t="shared" si="17"/>
        <v>III</v>
      </c>
      <c r="AN20" s="43" t="s">
        <v>170</v>
      </c>
      <c r="AO20" s="44" t="s">
        <v>194</v>
      </c>
      <c r="AP20" s="44" t="s">
        <v>191</v>
      </c>
      <c r="AQ20" s="44">
        <v>0</v>
      </c>
      <c r="AR20" s="44" t="s">
        <v>68</v>
      </c>
      <c r="AS20" s="11">
        <f t="shared" si="6"/>
        <v>1</v>
      </c>
      <c r="AT20" s="26">
        <f t="shared" si="7"/>
        <v>1</v>
      </c>
      <c r="AU20" s="26">
        <f t="shared" si="8"/>
        <v>1</v>
      </c>
      <c r="AV20" s="26">
        <f t="shared" si="9"/>
        <v>1</v>
      </c>
      <c r="AW20" s="28">
        <f t="shared" si="10"/>
        <v>1</v>
      </c>
    </row>
    <row r="21" spans="1:49">
      <c r="A21" s="14">
        <v>19</v>
      </c>
      <c r="B21" s="17">
        <f>_xlfn.MAXIFS('Model output'!B:B,'Model output'!Z:Z,'Classification result'!$A21)</f>
        <v>45457</v>
      </c>
      <c r="C21" s="17"/>
      <c r="D21" s="17"/>
      <c r="E21" s="18">
        <f>_xlfn.MAXIFS('Model output'!C:C,'Model output'!Z:Z,'Classification result'!$A21)</f>
        <v>23</v>
      </c>
      <c r="F21" s="18" t="str" cm="1">
        <f t="array" ref="F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G21" s="18" t="str" cm="1">
        <f t="array" ref="G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>X</v>
      </c>
      <c r="H21" s="18" cm="1">
        <f t="array" ref="H21">IF(AND(SUBSTITUTE(_xlfn.TEXTJOIN("/", TRUE, _xlfn._xlws.FILTER('Model output'!F:F, 'Model output'!Z:Z=A21)),"M", "")="", K21="negative"),0,IF(K21="positive",1,0))</f>
        <v>0</v>
      </c>
      <c r="I21" t="str">
        <f t="shared" si="0"/>
        <v/>
      </c>
      <c r="J21" t="str" cm="1">
        <f t="array" ref="J21">IF(AND(M21&gt;0,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output'!Z:Z=A21)),1)))),"lateral",IF(AND(M21=0, _xlfn.TEXTJOIN("; ", TRUE, _xlfn._xlws.FILTER('Model output'!G:G, 'Model output'!Z:Z=A21))=""),"", "central"))</f>
        <v/>
      </c>
      <c r="K21" s="18" t="str" cm="1">
        <f t="array" ref="K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L21" s="18">
        <f>IF(IFERROR(INDEX('Model output'!I:I, MATCH(A21, 'Model output'!Z:Z, 0)), "") &lt; M21, "", IFERROR(INDEX('Model output'!I:I, MATCH(A21, 'Model output'!Z:Z, 0)), ""))</f>
        <v>1</v>
      </c>
      <c r="M21" s="18">
        <f>IFERROR(INDEX('Model output'!J:J, MATCH(A21, 'Model output'!Z:Z, 0)), "")</f>
        <v>0</v>
      </c>
      <c r="N21" s="19" t="str" cm="1">
        <f t="array" ref="N21">ReplaceTo(ReplaceAnd(SUBSTITUTE(SUBSTITUTE(_xlfn.TEXTJOIN("; ", TRUE, _xlfn._xlws.FILTER('Model output'!K:K, 'Model output'!Z:Z=A21)), " ", ""), ",", ";")))</f>
        <v/>
      </c>
      <c r="O21" t="str" cm="1">
        <f t="array" ref="O21">IF(LEFT(IF(RIGHT(SUBSTITUTE(FilterWithUnits(N21)&amp;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";")),1)=";",RIGHT(IF(RIGHT(SUBSTITUTE(FilterWithUnits(N21)&amp;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";")),LEN(IF(RIGHT(SUBSTITUTE(FilterWithUnits(N21)&amp;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";")))-1),IF(RIGHT(SUBSTITUTE(FilterWithUnits(N21)&amp;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</f>
        <v/>
      </c>
      <c r="P21" t="str" cm="1">
        <f t="array" ref="P21">IF(MaxSize((SplitDimensions(O21)))=0, "", MaxSize((SplitDimensions(O21))))</f>
        <v/>
      </c>
      <c r="Q21" t="str" cm="1">
        <f t="array" ref="Q21">IF(ISERROR(INDEX(_xlfn._xlws.FILTER('Model output'!L:L, ('Model output'!Z:Z=A21)*('Model output'!L:L&lt;&gt;"")), 1)), " ", LOWER(INDEX(_xlfn._xlws.FILTER('Model output'!L:L, ('Model output'!Z:Z=A21)*('Model output'!L:L&lt;&gt;"")), 1)))</f>
        <v>papillary</v>
      </c>
      <c r="R21" t="str" cm="1">
        <f t="array" ref="R21">IF(ISERROR(INDEX(_xlfn._xlws.FILTER('Model output'!M:M, ('Model output'!Z:Z=A21)*('Model output'!M:M&lt;&gt;"")), 1)), " ", LOWER(INDEX(_xlfn._xlws.FILTER('Model output'!M:M, ('Model output'!Z:Z=A21)*('Model output'!M:M&lt;&gt;"")), 1)))</f>
        <v>classic</v>
      </c>
      <c r="S21" t="str" cm="1">
        <f t="array" ref="S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T21" t="str" cm="1">
        <f t="array" ref="T21">IF(LEFT(IF(RIGHT(SUBSTITUTE(FilterWithUnits(S21)&amp;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";")),1)=";",RIGHT(IF(RIGHT(SUBSTITUTE(FilterWithUnits(S21)&amp;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";")),LEN(IF(RIGHT(SUBSTITUTE(FilterWithUnits(S21)&amp;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";")))-1),IF(RIGHT(SUBSTITUTE(FilterWithUnits(S21)&amp;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</f>
        <v>2mm</v>
      </c>
      <c r="U21" cm="1">
        <f t="array" ref="U21">IF(MaxSize((SplitDimensions(T21)))=0, "", MaxSize((SplitDimensions(T21))))</f>
        <v>0.2</v>
      </c>
      <c r="V21" s="18" t="str" cm="1">
        <f t="array" ref="V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X21" t="str" cm="1">
        <f t="array" ref="X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Y21" t="str">
        <f t="shared" si="11"/>
        <v>no</v>
      </c>
      <c r="Z21" t="str" cm="1">
        <f t="array" ref="Z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positive</v>
      </c>
      <c r="AA21" s="18" t="str">
        <f t="shared" si="12"/>
        <v>negative</v>
      </c>
      <c r="AE21" s="18" t="str">
        <f t="shared" si="13"/>
        <v>negative</v>
      </c>
      <c r="AF21" t="str" cm="1">
        <f t="array" ref="AF21">_xlfn.TEXTJOIN("; ",TRUE,_xlfn._xlws.FILTER('Model output'!S:S,'Model output'!Z:Z=A21))</f>
        <v>Not identified</v>
      </c>
      <c r="AG21" s="18" t="str" cm="1">
        <f t="array" ref="AG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output'!Z:Z=A21)),1)),"unknown","negative"))</f>
        <v>negative</v>
      </c>
      <c r="AI21" s="49" t="str">
        <f t="shared" si="1"/>
        <v>low</v>
      </c>
      <c r="AJ21" s="42" t="str">
        <f t="shared" si="14"/>
        <v>1a</v>
      </c>
      <c r="AK21" s="42">
        <f t="shared" si="15"/>
        <v>0</v>
      </c>
      <c r="AL21" s="42">
        <f t="shared" si="16"/>
        <v>0</v>
      </c>
      <c r="AM21" s="42" t="str">
        <f t="shared" si="17"/>
        <v>I</v>
      </c>
      <c r="AN21" s="43" t="s">
        <v>171</v>
      </c>
      <c r="AO21" s="44" t="s">
        <v>191</v>
      </c>
      <c r="AP21" s="44">
        <v>0</v>
      </c>
      <c r="AQ21" s="44">
        <v>0</v>
      </c>
      <c r="AR21" s="44" t="s">
        <v>31</v>
      </c>
      <c r="AS21" s="11">
        <f t="shared" si="6"/>
        <v>1</v>
      </c>
      <c r="AT21" s="26">
        <f t="shared" si="7"/>
        <v>1</v>
      </c>
      <c r="AU21" s="26">
        <f t="shared" si="8"/>
        <v>1</v>
      </c>
      <c r="AV21" s="26">
        <f t="shared" si="9"/>
        <v>1</v>
      </c>
      <c r="AW21" s="28">
        <f t="shared" si="10"/>
        <v>1</v>
      </c>
    </row>
    <row r="22" spans="1:49">
      <c r="A22" s="14">
        <v>20</v>
      </c>
      <c r="B22" s="17">
        <f>_xlfn.MAXIFS('Model output'!B:B,'Model output'!Z:Z,'Classification result'!$A22)</f>
        <v>45373</v>
      </c>
      <c r="C22" s="17"/>
      <c r="D22" s="17"/>
      <c r="E22" s="18">
        <f>_xlfn.MAXIFS('Model output'!C:C,'Model output'!Z:Z,'Classification result'!$A22)</f>
        <v>67</v>
      </c>
      <c r="F22" s="18" t="str" cm="1">
        <f t="array" ref="F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/>
      </c>
      <c r="G22" s="18" t="str" cm="1">
        <f t="array" ref="G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1a</v>
      </c>
      <c r="H22" s="18" cm="1">
        <f t="array" ref="H22">IF(AND(SUBSTITUTE(_xlfn.TEXTJOIN("/", TRUE, _xlfn._xlws.FILTER('Model output'!F:F, 'Model output'!Z:Z=A22)),"M", "")="", K22="negative"),0,IF(K22="positive",1,0))</f>
        <v>0</v>
      </c>
      <c r="I22" t="str">
        <f t="shared" si="0"/>
        <v>positive</v>
      </c>
      <c r="J22" t="str" cm="1">
        <f t="array" ref="J22">IF(AND(M22&gt;0,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output'!Z:Z=A22)),1)))),"lateral",IF(AND(M22=0, _xlfn.TEXTJOIN("; ", TRUE, _xlfn._xlws.FILTER('Model output'!G:G, 'Model output'!Z:Z=A22))=""),"", "central"))</f>
        <v>central</v>
      </c>
      <c r="K22" s="18" t="str" cm="1">
        <f t="array" ref="K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L22" s="18">
        <f>IF(IFERROR(INDEX('Model output'!I:I, MATCH(A22, 'Model output'!Z:Z, 0)), "") &lt; M22, "", IFERROR(INDEX('Model output'!I:I, MATCH(A22, 'Model output'!Z:Z, 0)), ""))</f>
        <v>4</v>
      </c>
      <c r="M22" s="18">
        <f>IFERROR(INDEX('Model output'!J:J, MATCH(A22, 'Model output'!Z:Z, 0)), "")</f>
        <v>3</v>
      </c>
      <c r="N22" s="19" t="str" cm="1">
        <f t="array" ref="N22">ReplaceTo(ReplaceAnd(SUBSTITUTE(SUBSTITUTE(_xlfn.TEXTJOIN("; ", TRUE, _xlfn._xlws.FILTER('Model output'!K:K, 'Model output'!Z:Z=A22)), " ", ""), ",", ";")))</f>
        <v/>
      </c>
      <c r="O22" t="str" cm="1">
        <f t="array" ref="O22">IF(LEFT(IF(RIGHT(SUBSTITUTE(FilterWithUnits(N22)&amp;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";")),1)=";",RIGHT(IF(RIGHT(SUBSTITUTE(FilterWithUnits(N22)&amp;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";")),LEN(IF(RIGHT(SUBSTITUTE(FilterWithUnits(N22)&amp;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";")))-1),IF(RIGHT(SUBSTITUTE(FilterWithUnits(N22)&amp;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</f>
        <v/>
      </c>
      <c r="P22" t="str" cm="1">
        <f t="array" ref="P22">IF(MaxSize((SplitDimensions(O22)))=0, "", MaxSize((SplitDimensions(O22))))</f>
        <v/>
      </c>
      <c r="Q22" t="str" cm="1">
        <f t="array" ref="Q22">IF(ISERROR(INDEX(_xlfn._xlws.FILTER('Model output'!L:L, ('Model output'!Z:Z=A22)*('Model output'!L:L&lt;&gt;"")), 1)), " ", LOWER(INDEX(_xlfn._xlws.FILTER('Model output'!L:L, ('Model output'!Z:Z=A22)*('Model output'!L:L&lt;&gt;"")), 1)))</f>
        <v>papillary</v>
      </c>
      <c r="R22" t="str" cm="1">
        <f t="array" ref="R22">IF(ISERROR(INDEX(_xlfn._xlws.FILTER('Model output'!M:M, ('Model output'!Z:Z=A22)*('Model output'!M:M&lt;&gt;"")), 1)), " ", LOWER(INDEX(_xlfn._xlws.FILTER('Model output'!M:M, ('Model output'!Z:Z=A22)*('Model output'!M:M&lt;&gt;"")), 1)))</f>
        <v>infiltrative follicular</v>
      </c>
      <c r="S22" t="str" cm="1">
        <f t="array" ref="S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11mm</v>
      </c>
      <c r="T22" t="str" cm="1">
        <f t="array" ref="T22">IF(LEFT(IF(RIGHT(SUBSTITUTE(FilterWithUnits(S22)&amp;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";")),1)=";",RIGHT(IF(RIGHT(SUBSTITUTE(FilterWithUnits(S22)&amp;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";")),LEN(IF(RIGHT(SUBSTITUTE(FilterWithUnits(S22)&amp;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";")))-1),IF(RIGHT(SUBSTITUTE(FilterWithUnits(S22)&amp;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</f>
        <v>11mm</v>
      </c>
      <c r="U22" cm="1">
        <f t="array" ref="U22">IF(MaxSize((SplitDimensions(T22)))=0, "", MaxSize((SplitDimensions(T22))))</f>
        <v>1.1000000000000001</v>
      </c>
      <c r="V22" s="18" t="str" cm="1">
        <f t="array" ref="V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positive</v>
      </c>
      <c r="X22" t="str" cm="1">
        <f t="array" ref="X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Y22" t="str">
        <f t="shared" si="11"/>
        <v>minimal</v>
      </c>
      <c r="Z22" t="str" cm="1">
        <f t="array" ref="Z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positive</v>
      </c>
      <c r="AA22" s="18" t="str">
        <f t="shared" si="12"/>
        <v>positive</v>
      </c>
      <c r="AE22" s="18" t="str">
        <f t="shared" si="13"/>
        <v>negative</v>
      </c>
      <c r="AF22" t="str" cm="1">
        <f t="array" ref="AF22">_xlfn.TEXTJOIN("; ",TRUE,_xlfn._xlws.FILTER('Model output'!S:S,'Model output'!Z:Z=A22))</f>
        <v>Present; Not identified</v>
      </c>
      <c r="AG22" s="18" t="str" cm="1">
        <f t="array" ref="AG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output'!Z:Z=A22)),1)),"unknown","negative"))</f>
        <v>unknown</v>
      </c>
      <c r="AI22" s="49" t="str">
        <f t="shared" si="1"/>
        <v>intermediate</v>
      </c>
      <c r="AJ22" s="42" t="str">
        <f t="shared" si="14"/>
        <v>1b</v>
      </c>
      <c r="AK22" s="42" t="str">
        <f t="shared" si="15"/>
        <v>1a</v>
      </c>
      <c r="AL22" s="42">
        <f t="shared" si="16"/>
        <v>0</v>
      </c>
      <c r="AM22" s="42" t="str">
        <f t="shared" si="17"/>
        <v>II</v>
      </c>
      <c r="AN22" s="43" t="s">
        <v>169</v>
      </c>
      <c r="AO22" s="44" t="s">
        <v>189</v>
      </c>
      <c r="AP22" s="44" t="s">
        <v>191</v>
      </c>
      <c r="AQ22" s="44">
        <v>0</v>
      </c>
      <c r="AR22" s="44" t="s">
        <v>43</v>
      </c>
      <c r="AS22" s="11">
        <f t="shared" si="6"/>
        <v>1</v>
      </c>
      <c r="AT22" s="26">
        <f t="shared" si="7"/>
        <v>1</v>
      </c>
      <c r="AU22" s="26">
        <f t="shared" si="8"/>
        <v>1</v>
      </c>
      <c r="AV22" s="26">
        <f t="shared" si="9"/>
        <v>1</v>
      </c>
      <c r="AW22" s="28">
        <f t="shared" si="10"/>
        <v>1</v>
      </c>
    </row>
    <row r="23" spans="1:49">
      <c r="A23" s="14">
        <v>21</v>
      </c>
      <c r="B23" s="17">
        <f>_xlfn.MAXIFS('Model output'!B:B,'Model output'!Z:Z,'Classification result'!$A23)</f>
        <v>45296</v>
      </c>
      <c r="C23" s="17"/>
      <c r="D23" s="17"/>
      <c r="E23" s="18">
        <f>_xlfn.MAXIFS('Model output'!C:C,'Model output'!Z:Z,'Classification result'!$A23)</f>
        <v>51</v>
      </c>
      <c r="F23" s="18" t="str" cm="1">
        <f t="array" ref="F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/>
      </c>
      <c r="G23" s="18" t="str" cm="1">
        <f t="array" ref="G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/>
      </c>
      <c r="H23" s="18" cm="1">
        <f t="array" ref="H23">IF(AND(SUBSTITUTE(_xlfn.TEXTJOIN("/", TRUE, _xlfn._xlws.FILTER('Model output'!F:F, 'Model output'!Z:Z=A23)),"M", "")="", K23="negative"),0,IF(K23="positive",1,0))</f>
        <v>0</v>
      </c>
      <c r="I23" t="str">
        <f t="shared" si="0"/>
        <v>positive</v>
      </c>
      <c r="J23" t="str" cm="1">
        <f t="array" ref="J23">IF(AND(M23&gt;0,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output'!Z:Z=A23)),1)))),"lateral",IF(AND(M23=0, _xlfn.TEXTJOIN("; ", TRUE, _xlfn._xlws.FILTER('Model output'!G:G, 'Model output'!Z:Z=A23))=""),"", "central"))</f>
        <v>central</v>
      </c>
      <c r="K23" s="18" t="str" cm="1">
        <f t="array" ref="K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L23" s="18">
        <f>IF(IFERROR(INDEX('Model output'!I:I, MATCH(A23, 'Model output'!Z:Z, 0)), "") &lt; M23, "", IFERROR(INDEX('Model output'!I:I, MATCH(A23, 'Model output'!Z:Z, 0)), ""))</f>
        <v>7</v>
      </c>
      <c r="M23" s="18">
        <f>IFERROR(INDEX('Model output'!J:J, MATCH(A23, 'Model output'!Z:Z, 0)), "")</f>
        <v>4</v>
      </c>
      <c r="N23" s="19" t="str" cm="1">
        <f t="array" ref="N23">ReplaceTo(ReplaceAnd(SUBSTITUTE(SUBSTITUTE(_xlfn.TEXTJOIN("; ", TRUE, _xlfn._xlws.FILTER('Model output'!K:K, 'Model output'!Z:Z=A23)), " ", ""), ",", ";")))</f>
        <v>1.6cm</v>
      </c>
      <c r="O23" t="str" cm="1">
        <f t="array" ref="O23">IF(LEFT(IF(RIGHT(SUBSTITUTE(FilterWithUnits(N23)&amp;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";")),1)=";",RIGHT(IF(RIGHT(SUBSTITUTE(FilterWithUnits(N23)&amp;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";")),LEN(IF(RIGHT(SUBSTITUTE(FilterWithUnits(N23)&amp;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";")))-1),IF(RIGHT(SUBSTITUTE(FilterWithUnits(N23)&amp;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</f>
        <v>1.6cm</v>
      </c>
      <c r="P23" cm="1">
        <f t="array" ref="P23">IF(MaxSize((SplitDimensions(O23)))=0, "", MaxSize((SplitDimensions(O23))))</f>
        <v>1.6</v>
      </c>
      <c r="Q23" t="str" cm="1">
        <f t="array" ref="Q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R23" t="str" cm="1">
        <f t="array" ref="R23">IF(ISERROR(INDEX(_xlfn._xlws.FILTER('Model output'!M:M, ('Model output'!Z:Z=A23)*('Model output'!M:M&lt;&gt;"")), 1)), " ", LOWER(INDEX(_xlfn._xlws.FILTER('Model output'!M:M, ('Model output'!Z:Z=A23)*('Model output'!M:M&lt;&gt;"")), 1)))</f>
        <v xml:space="preserve"> </v>
      </c>
      <c r="S23" t="str" cm="1">
        <f t="array" ref="S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>1.8cm</v>
      </c>
      <c r="T23" t="str" cm="1">
        <f t="array" ref="T23">IF(LEFT(IF(RIGHT(SUBSTITUTE(FilterWithUnits(S23)&amp;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";")),1)=";",RIGHT(IF(RIGHT(SUBSTITUTE(FilterWithUnits(S23)&amp;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";")),LEN(IF(RIGHT(SUBSTITUTE(FilterWithUnits(S23)&amp;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";")))-1),IF(RIGHT(SUBSTITUTE(FilterWithUnits(S23)&amp;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</f>
        <v>1.8cm</v>
      </c>
      <c r="U23" cm="1">
        <f t="array" ref="U23">IF(MaxSize((SplitDimensions(T23)))=0, "", MaxSize((SplitDimensions(T23))))</f>
        <v>1.8</v>
      </c>
      <c r="V23" s="18" t="str" cm="1">
        <f t="array" ref="V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X23" t="str" cm="1">
        <f t="array" ref="X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Y23" t="str">
        <f t="shared" si="11"/>
        <v>minimal</v>
      </c>
      <c r="Z23" t="str" cm="1">
        <f t="array" ref="Z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positive</v>
      </c>
      <c r="AA23" s="18" t="str">
        <f t="shared" si="12"/>
        <v>positive</v>
      </c>
      <c r="AE23" s="18" t="str">
        <f t="shared" si="13"/>
        <v>negative</v>
      </c>
      <c r="AF23" t="str" cm="1">
        <f t="array" ref="AF23">_xlfn.TEXTJOIN("; ",TRUE,_xlfn._xlws.FILTER('Model output'!S:S,'Model output'!Z:Z=A23))</f>
        <v>Present</v>
      </c>
      <c r="AG23" s="18" t="str" cm="1">
        <f t="array" ref="AG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output'!Z:Z=A23)),1)),"unknown","negative"))</f>
        <v>negative</v>
      </c>
      <c r="AI23" s="49" t="str">
        <f t="shared" si="1"/>
        <v>intermediate</v>
      </c>
      <c r="AJ23" s="42" t="str">
        <f t="shared" si="14"/>
        <v>1b</v>
      </c>
      <c r="AK23" s="42" t="str">
        <f t="shared" si="15"/>
        <v>1a</v>
      </c>
      <c r="AL23" s="42">
        <f t="shared" si="16"/>
        <v>0</v>
      </c>
      <c r="AM23" s="42" t="str">
        <f t="shared" si="17"/>
        <v>I</v>
      </c>
      <c r="AN23" s="43" t="s">
        <v>169</v>
      </c>
      <c r="AO23" s="44" t="s">
        <v>189</v>
      </c>
      <c r="AP23" s="44" t="s">
        <v>191</v>
      </c>
      <c r="AQ23" s="44">
        <v>0</v>
      </c>
      <c r="AR23" s="44" t="s">
        <v>31</v>
      </c>
      <c r="AS23" s="11">
        <f t="shared" si="6"/>
        <v>1</v>
      </c>
      <c r="AT23" s="26">
        <f t="shared" si="7"/>
        <v>1</v>
      </c>
      <c r="AU23" s="26">
        <f t="shared" si="8"/>
        <v>1</v>
      </c>
      <c r="AV23" s="26">
        <f t="shared" si="9"/>
        <v>1</v>
      </c>
      <c r="AW23" s="28">
        <f t="shared" si="10"/>
        <v>1</v>
      </c>
    </row>
    <row r="24" spans="1:49">
      <c r="A24" s="14">
        <v>22</v>
      </c>
      <c r="B24" s="17">
        <f>_xlfn.MAXIFS('Model output'!B:B,'Model output'!Z:Z,'Classification result'!$A24)</f>
        <v>45299</v>
      </c>
      <c r="C24" s="17"/>
      <c r="D24" s="17"/>
      <c r="E24" s="18">
        <f>_xlfn.MAXIFS('Model output'!C:C,'Model output'!Z:Z,'Classification result'!$A24)</f>
        <v>50</v>
      </c>
      <c r="F24" s="18" t="str" cm="1">
        <f t="array" ref="F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G24" s="18" t="str" cm="1">
        <f t="array" ref="G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>X</v>
      </c>
      <c r="H24" s="18" cm="1">
        <f t="array" ref="H24">IF(AND(SUBSTITUTE(_xlfn.TEXTJOIN("/", TRUE, _xlfn._xlws.FILTER('Model output'!F:F, 'Model output'!Z:Z=A24)),"M", "")="", K24="negative"),0,IF(K24="positive",1,0))</f>
        <v>0</v>
      </c>
      <c r="I24" t="str">
        <f t="shared" si="0"/>
        <v/>
      </c>
      <c r="J24" t="str" cm="1">
        <f t="array" ref="J24">IF(AND(M24&gt;0,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output'!Z:Z=A24)),1)))),"lateral",IF(AND(M24=0, _xlfn.TEXTJOIN("; ", TRUE, _xlfn._xlws.FILTER('Model output'!G:G, 'Model output'!Z:Z=A24))=""),"", "central"))</f>
        <v/>
      </c>
      <c r="K24" s="18" t="str" cm="1">
        <f t="array" ref="K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L24" s="18">
        <f>IF(IFERROR(INDEX('Model output'!I:I, MATCH(A24, 'Model output'!Z:Z, 0)), "") &lt; M24, "", IFERROR(INDEX('Model output'!I:I, MATCH(A24, 'Model output'!Z:Z, 0)), ""))</f>
        <v>1</v>
      </c>
      <c r="M24" s="18">
        <f>IFERROR(INDEX('Model output'!J:J, MATCH(A24, 'Model output'!Z:Z, 0)), "")</f>
        <v>0</v>
      </c>
      <c r="N24" s="19" t="str" cm="1">
        <f t="array" ref="N24">ReplaceTo(ReplaceAnd(SUBSTITUTE(SUBSTITUTE(_xlfn.TEXTJOIN("; ", TRUE, _xlfn._xlws.FILTER('Model output'!K:K, 'Model output'!Z:Z=A24)), " ", ""), ",", ";")))</f>
        <v/>
      </c>
      <c r="O24" t="str" cm="1">
        <f t="array" ref="O24">IF(LEFT(IF(RIGHT(SUBSTITUTE(FilterWithUnits(N24)&amp;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";")),1)=";",RIGHT(IF(RIGHT(SUBSTITUTE(FilterWithUnits(N24)&amp;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";")),LEN(IF(RIGHT(SUBSTITUTE(FilterWithUnits(N24)&amp;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";")))-1),IF(RIGHT(SUBSTITUTE(FilterWithUnits(N24)&amp;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</f>
        <v/>
      </c>
      <c r="P24" t="str" cm="1">
        <f t="array" ref="P24">IF(MaxSize((SplitDimensions(O24)))=0, "", MaxSize((SplitDimensions(O24))))</f>
        <v/>
      </c>
      <c r="Q24" t="str" cm="1">
        <f t="array" ref="Q24">IF(ISERROR(INDEX(_xlfn._xlws.FILTER('Model output'!L:L, ('Model output'!Z:Z=A24)*('Model output'!L:L&lt;&gt;"")), 1)), " ", LOWER(INDEX(_xlfn._xlws.FILTER('Model output'!L:L, ('Model output'!Z:Z=A24)*('Model output'!L:L&lt;&gt;"")), 1)))</f>
        <v>papillary</v>
      </c>
      <c r="R24" t="str" cm="1">
        <f t="array" ref="R24">IF(ISERROR(INDEX(_xlfn._xlws.FILTER('Model output'!M:M, ('Model output'!Z:Z=A24)*('Model output'!M:M&lt;&gt;"")), 1)), " ", LOWER(INDEX(_xlfn._xlws.FILTER('Model output'!M:M, ('Model output'!Z:Z=A24)*('Model output'!M:M&lt;&gt;"")), 1)))</f>
        <v>classic</v>
      </c>
      <c r="S24" t="str" cm="1">
        <f t="array" ref="S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T24" t="str" cm="1">
        <f t="array" ref="T24">IF(LEFT(IF(RIGHT(SUBSTITUTE(FilterWithUnits(S24)&amp;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";")),1)=";",RIGHT(IF(RIGHT(SUBSTITUTE(FilterWithUnits(S24)&amp;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";")),LEN(IF(RIGHT(SUBSTITUTE(FilterWithUnits(S24)&amp;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";")))-1),IF(RIGHT(SUBSTITUTE(FilterWithUnits(S24)&amp;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</f>
        <v>10mm</v>
      </c>
      <c r="U24" cm="1">
        <f t="array" ref="U24">IF(MaxSize((SplitDimensions(T24)))=0, "", MaxSize((SplitDimensions(T24))))</f>
        <v>1</v>
      </c>
      <c r="V24" s="18" t="str" cm="1">
        <f t="array" ref="V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X24" t="str" cm="1">
        <f t="array" ref="X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Y24" t="str">
        <f t="shared" si="11"/>
        <v>no</v>
      </c>
      <c r="Z24" t="str" cm="1">
        <f t="array" ref="Z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positive</v>
      </c>
      <c r="AA24" s="18" t="str">
        <f t="shared" si="12"/>
        <v>positive</v>
      </c>
      <c r="AE24" s="18" t="str">
        <f t="shared" si="13"/>
        <v>negative</v>
      </c>
      <c r="AF24" t="str" cm="1">
        <f t="array" ref="AF24">_xlfn.TEXTJOIN("; ",TRUE,_xlfn._xlws.FILTER('Model output'!S:S,'Model output'!Z:Z=A24))</f>
        <v>Not identified; Present</v>
      </c>
      <c r="AG24" s="18" t="str" cm="1">
        <f t="array" ref="AG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output'!Z:Z=A24)),1)),"unknown","negative"))</f>
        <v>negative</v>
      </c>
      <c r="AI24" s="49" t="str">
        <f t="shared" si="1"/>
        <v>intermediate</v>
      </c>
      <c r="AJ24" s="42" t="str">
        <f t="shared" si="14"/>
        <v>1a</v>
      </c>
      <c r="AK24" s="42">
        <f t="shared" si="15"/>
        <v>0</v>
      </c>
      <c r="AL24" s="42">
        <f t="shared" si="16"/>
        <v>0</v>
      </c>
      <c r="AM24" s="42" t="str">
        <f t="shared" si="17"/>
        <v>I</v>
      </c>
      <c r="AN24" s="43" t="s">
        <v>171</v>
      </c>
      <c r="AO24" s="44" t="s">
        <v>191</v>
      </c>
      <c r="AP24" s="44">
        <v>0</v>
      </c>
      <c r="AQ24" s="44">
        <v>0</v>
      </c>
      <c r="AR24" s="44" t="s">
        <v>31</v>
      </c>
      <c r="AS24" s="11">
        <f t="shared" si="6"/>
        <v>0</v>
      </c>
      <c r="AT24" s="26">
        <f t="shared" si="7"/>
        <v>1</v>
      </c>
      <c r="AU24" s="26">
        <f t="shared" si="8"/>
        <v>1</v>
      </c>
      <c r="AV24" s="26">
        <f t="shared" si="9"/>
        <v>1</v>
      </c>
      <c r="AW24" s="28">
        <f t="shared" si="10"/>
        <v>1</v>
      </c>
    </row>
    <row r="25" spans="1:49">
      <c r="A25" s="14">
        <v>23</v>
      </c>
      <c r="B25" s="17">
        <f>_xlfn.MAXIFS('Model output'!B:B,'Model output'!Z:Z,'Classification result'!$A25)</f>
        <v>45296</v>
      </c>
      <c r="C25" s="17"/>
      <c r="D25" s="17"/>
      <c r="E25" s="18">
        <f>_xlfn.MAXIFS('Model output'!C:C,'Model output'!Z:Z,'Classification result'!$A25)</f>
        <v>61</v>
      </c>
      <c r="F25" s="18" t="str" cm="1">
        <f t="array" ref="F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/>
      </c>
      <c r="G25" s="18" t="str" cm="1">
        <f t="array" ref="G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>X</v>
      </c>
      <c r="H25" s="18" cm="1">
        <f t="array" ref="H25">IF(AND(SUBSTITUTE(_xlfn.TEXTJOIN("/", TRUE, _xlfn._xlws.FILTER('Model output'!F:F, 'Model output'!Z:Z=A25)),"M", "")="", K25="negative"),0,IF(K25="positive",1,0))</f>
        <v>0</v>
      </c>
      <c r="I25" t="str">
        <f t="shared" si="0"/>
        <v/>
      </c>
      <c r="J25" t="str" cm="1">
        <f t="array" ref="J25">IF(AND(M25&gt;0,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output'!Z:Z=A25)),1)))),"lateral",IF(AND(M25=0, _xlfn.TEXTJOIN("; ", TRUE, _xlfn._xlws.FILTER('Model output'!G:G, 'Model output'!Z:Z=A25))=""),"", "central"))</f>
        <v/>
      </c>
      <c r="K25" s="18" t="str" cm="1">
        <f t="array" ref="K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L25" s="18">
        <f>IF(IFERROR(INDEX('Model output'!I:I, MATCH(A25, 'Model output'!Z:Z, 0)), "") &lt; M25, "", IFERROR(INDEX('Model output'!I:I, MATCH(A25, 'Model output'!Z:Z, 0)), ""))</f>
        <v>1</v>
      </c>
      <c r="M25" s="18">
        <f>IFERROR(INDEX('Model output'!J:J, MATCH(A25, 'Model output'!Z:Z, 0)), "")</f>
        <v>0</v>
      </c>
      <c r="N25" s="19" t="str" cm="1">
        <f t="array" ref="N25">ReplaceTo(ReplaceAnd(SUBSTITUTE(SUBSTITUTE(_xlfn.TEXTJOIN("; ", TRUE, _xlfn._xlws.FILTER('Model output'!K:K, 'Model output'!Z:Z=A25)), " ", ""), ",", ";")))</f>
        <v/>
      </c>
      <c r="O25" t="str" cm="1">
        <f t="array" ref="O25">IF(LEFT(IF(RIGHT(SUBSTITUTE(FilterWithUnits(N25)&amp;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";")),1)=";",RIGHT(IF(RIGHT(SUBSTITUTE(FilterWithUnits(N25)&amp;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";")),LEN(IF(RIGHT(SUBSTITUTE(FilterWithUnits(N25)&amp;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";")))-1),IF(RIGHT(SUBSTITUTE(FilterWithUnits(N25)&amp;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</f>
        <v/>
      </c>
      <c r="P25" t="str" cm="1">
        <f t="array" ref="P25">IF(MaxSize((SplitDimensions(O25)))=0, "", MaxSize((SplitDimensions(O25))))</f>
        <v/>
      </c>
      <c r="Q25" t="str" cm="1">
        <f t="array" ref="Q25">IF(ISERROR(INDEX(_xlfn._xlws.FILTER('Model output'!L:L, ('Model output'!Z:Z=A25)*('Model output'!L:L&lt;&gt;"")), 1)), " ", LOWER(INDEX(_xlfn._xlws.FILTER('Model output'!L:L, ('Model output'!Z:Z=A25)*('Model output'!L:L&lt;&gt;"")), 1)))</f>
        <v>papillary</v>
      </c>
      <c r="R25" t="str" cm="1">
        <f t="array" ref="R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</v>
      </c>
      <c r="S25" t="str" cm="1">
        <f t="array" ref="S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>1.2cm</v>
      </c>
      <c r="T25" t="str" cm="1">
        <f t="array" ref="T25">IF(LEFT(IF(RIGHT(SUBSTITUTE(FilterWithUnits(S25)&amp;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";")),1)=";",RIGHT(IF(RIGHT(SUBSTITUTE(FilterWithUnits(S25)&amp;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";")),LEN(IF(RIGHT(SUBSTITUTE(FilterWithUnits(S25)&amp;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";")))-1),IF(RIGHT(SUBSTITUTE(FilterWithUnits(S25)&amp;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</f>
        <v>1.2cm</v>
      </c>
      <c r="U25" cm="1">
        <f t="array" ref="U25">IF(MaxSize((SplitDimensions(T25)))=0, "", MaxSize((SplitDimensions(T25))))</f>
        <v>1.2</v>
      </c>
      <c r="V25" s="18" t="str" cm="1">
        <f t="array" ref="V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X25" t="str" cm="1">
        <f t="array" ref="X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Y25" t="str">
        <f t="shared" si="11"/>
        <v>no</v>
      </c>
      <c r="Z25" t="str" cm="1">
        <f t="array" ref="Z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positive</v>
      </c>
      <c r="AA25" s="18" t="str">
        <f t="shared" si="12"/>
        <v>positive</v>
      </c>
      <c r="AE25" s="18" t="str">
        <f t="shared" si="13"/>
        <v>negative</v>
      </c>
      <c r="AF25" t="str" cm="1">
        <f t="array" ref="AF25">_xlfn.TEXTJOIN("; ",TRUE,_xlfn._xlws.FILTER('Model output'!S:S,'Model output'!Z:Z=A25))</f>
        <v>Present</v>
      </c>
      <c r="AG25" s="18" t="str" cm="1">
        <f t="array" ref="AG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output'!Z:Z=A25)),1)),"unknown","negative"))</f>
        <v>negative</v>
      </c>
      <c r="AI25" s="49" t="str">
        <f t="shared" si="1"/>
        <v>intermediate</v>
      </c>
      <c r="AJ25" s="42" t="str">
        <f t="shared" si="14"/>
        <v>1b</v>
      </c>
      <c r="AK25" s="42">
        <f t="shared" si="15"/>
        <v>0</v>
      </c>
      <c r="AL25" s="42">
        <f t="shared" si="16"/>
        <v>0</v>
      </c>
      <c r="AM25" s="42" t="str">
        <f t="shared" si="17"/>
        <v>I</v>
      </c>
      <c r="AN25" s="43" t="s">
        <v>169</v>
      </c>
      <c r="AO25" s="44" t="s">
        <v>189</v>
      </c>
      <c r="AP25" s="44">
        <v>0</v>
      </c>
      <c r="AQ25" s="44">
        <v>0</v>
      </c>
      <c r="AR25" s="44" t="s">
        <v>31</v>
      </c>
      <c r="AS25" s="11">
        <f t="shared" si="6"/>
        <v>1</v>
      </c>
      <c r="AT25" s="26">
        <f t="shared" si="7"/>
        <v>1</v>
      </c>
      <c r="AU25" s="26">
        <f t="shared" si="8"/>
        <v>1</v>
      </c>
      <c r="AV25" s="26">
        <f t="shared" si="9"/>
        <v>1</v>
      </c>
      <c r="AW25" s="28">
        <f t="shared" si="10"/>
        <v>1</v>
      </c>
    </row>
    <row r="26" spans="1:49">
      <c r="A26" s="14">
        <v>24</v>
      </c>
      <c r="B26" s="17">
        <f>_xlfn.MAXIFS('Model output'!B:B,'Model output'!Z:Z,'Classification result'!$A26)</f>
        <v>45301</v>
      </c>
      <c r="C26" s="17"/>
      <c r="D26" s="17"/>
      <c r="E26" s="18">
        <f>_xlfn.MAXIFS('Model output'!C:C,'Model output'!Z:Z,'Classification result'!$A26)</f>
        <v>55</v>
      </c>
      <c r="F26" s="18" t="str" cm="1">
        <f t="array" ref="F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G26" s="18" t="str" cm="1">
        <f t="array" ref="G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/>
      </c>
      <c r="H26" s="18" cm="1">
        <f t="array" ref="H26">IF(AND(SUBSTITUTE(_xlfn.TEXTJOIN("/", TRUE, _xlfn._xlws.FILTER('Model output'!F:F, 'Model output'!Z:Z=A26)),"M", "")="", K26="negative"),0,IF(K26="positive",1,0))</f>
        <v>0</v>
      </c>
      <c r="I26" t="str">
        <f t="shared" si="0"/>
        <v>positive</v>
      </c>
      <c r="J26" t="str" cm="1">
        <f t="array" ref="J26">IF(AND(M26&gt;0,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output'!Z:Z=A26)),1)))),"lateral",IF(AND(M26=0, _xlfn.TEXTJOIN("; ", TRUE, _xlfn._xlws.FILTER('Model output'!G:G, 'Model output'!Z:Z=A26))=""),"", "central"))</f>
        <v>lateral</v>
      </c>
      <c r="K26" s="18" t="str" cm="1">
        <f t="array" ref="K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L26" s="18">
        <f>IF(IFERROR(INDEX('Model output'!I:I, MATCH(A26, 'Model output'!Z:Z, 0)), "") &lt; M26, "", IFERROR(INDEX('Model output'!I:I, MATCH(A26, 'Model output'!Z:Z, 0)), ""))</f>
        <v>15</v>
      </c>
      <c r="M26" s="18">
        <f>IFERROR(INDEX('Model output'!J:J, MATCH(A26, 'Model output'!Z:Z, 0)), "")</f>
        <v>9</v>
      </c>
      <c r="N26" s="19" t="str" cm="1">
        <f t="array" ref="N26">ReplaceTo(ReplaceAnd(SUBSTITUTE(SUBSTITUTE(_xlfn.TEXTJOIN("; ", TRUE, _xlfn._xlws.FILTER('Model output'!K:K, 'Model output'!Z:Z=A26)), " ", ""), ",", ";")))</f>
        <v>~9mm</v>
      </c>
      <c r="O26" t="str" cm="1">
        <f t="array" ref="O26">IF(LEFT(IF(RIGHT(SUBSTITUTE(FilterWithUnits(N26)&amp;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";")),1)=";",RIGHT(IF(RIGHT(SUBSTITUTE(FilterWithUnits(N26)&amp;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";")),LEN(IF(RIGHT(SUBSTITUTE(FilterWithUnits(N26)&amp;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";")))-1),IF(RIGHT(SUBSTITUTE(FilterWithUnits(N26)&amp;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</f>
        <v>9mm</v>
      </c>
      <c r="P26" cm="1">
        <f t="array" ref="P26">IF(MaxSize((SplitDimensions(O26)))=0, "", MaxSize((SplitDimensions(O26))))</f>
        <v>0.9</v>
      </c>
      <c r="Q26" t="str" cm="1">
        <f t="array" ref="Q26">IF(ISERROR(INDEX(_xlfn._xlws.FILTER('Model output'!L:L, ('Model output'!Z:Z=A26)*('Model output'!L:L&lt;&gt;"")), 1)), " ", LOWER(INDEX(_xlfn._xlws.FILTER('Model output'!L:L, ('Model output'!Z:Z=A26)*('Model output'!L:L&lt;&gt;"")), 1)))</f>
        <v>papillary</v>
      </c>
      <c r="R26" t="str" cm="1">
        <f t="array" ref="R26">IF(ISERROR(INDEX(_xlfn._xlws.FILTER('Model output'!M:M, ('Model output'!Z:Z=A26)*('Model output'!M:M&lt;&gt;"")), 1)), " ", LOWER(INDEX(_xlfn._xlws.FILTER('Model output'!M:M, ('Model output'!Z:Z=A26)*('Model output'!M:M&lt;&gt;"")), 1)))</f>
        <v>classic (usual, conventional)</v>
      </c>
      <c r="S26" t="str" cm="1">
        <f t="array" ref="S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~5cm</v>
      </c>
      <c r="T26" t="str" cm="1">
        <f t="array" ref="T26">IF(LEFT(IF(RIGHT(SUBSTITUTE(FilterWithUnits(S26)&amp;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";")),1)=";",RIGHT(IF(RIGHT(SUBSTITUTE(FilterWithUnits(S26)&amp;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";")),LEN(IF(RIGHT(SUBSTITUTE(FilterWithUnits(S26)&amp;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";")))-1),IF(RIGHT(SUBSTITUTE(FilterWithUnits(S26)&amp;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</f>
        <v>5cm</v>
      </c>
      <c r="U26" cm="1">
        <f t="array" ref="U26">IF(MaxSize((SplitDimensions(T26)))=0, "", MaxSize((SplitDimensions(T26))))</f>
        <v>5</v>
      </c>
      <c r="V26" s="18" t="str" cm="1">
        <f t="array" ref="V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positive</v>
      </c>
      <c r="X26" t="str" cm="1">
        <f t="array" ref="X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/>
      </c>
      <c r="Y26" t="str">
        <f t="shared" si="11"/>
        <v>minimal</v>
      </c>
      <c r="Z26" t="str" cm="1">
        <f t="array" ref="Z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AA26" s="18" t="str">
        <f t="shared" si="12"/>
        <v>positive</v>
      </c>
      <c r="AE26" s="18" t="str">
        <f t="shared" si="13"/>
        <v>negative</v>
      </c>
      <c r="AF26" t="str" cm="1">
        <f t="array" ref="AF26">_xlfn.TEXTJOIN("; ",TRUE,_xlfn._xlws.FILTER('Model output'!S:S,'Model output'!Z:Z=A26))</f>
        <v>Present (minimal); Present</v>
      </c>
      <c r="AG26" s="18" t="str" cm="1">
        <f t="array" ref="AG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output'!Z:Z=A26)),1)),"unknown","negative"))</f>
        <v>negative</v>
      </c>
      <c r="AI26" s="49" t="str">
        <f t="shared" si="1"/>
        <v>intermediate</v>
      </c>
      <c r="AJ26" s="42" t="str">
        <f t="shared" si="14"/>
        <v>4a</v>
      </c>
      <c r="AK26" s="42" t="str">
        <f t="shared" si="15"/>
        <v>1b</v>
      </c>
      <c r="AL26" s="42">
        <f t="shared" si="16"/>
        <v>0</v>
      </c>
      <c r="AM26" s="42" t="str">
        <f t="shared" si="17"/>
        <v>III</v>
      </c>
      <c r="AN26" s="43" t="s">
        <v>170</v>
      </c>
      <c r="AO26" s="44" t="s">
        <v>194</v>
      </c>
      <c r="AP26" s="44" t="s">
        <v>189</v>
      </c>
      <c r="AQ26" s="44">
        <v>0</v>
      </c>
      <c r="AR26" s="44" t="s">
        <v>68</v>
      </c>
      <c r="AS26" s="11">
        <f t="shared" si="6"/>
        <v>0</v>
      </c>
      <c r="AT26" s="26">
        <f t="shared" si="7"/>
        <v>1</v>
      </c>
      <c r="AU26" s="26">
        <f t="shared" si="8"/>
        <v>1</v>
      </c>
      <c r="AV26" s="26">
        <f t="shared" si="9"/>
        <v>1</v>
      </c>
      <c r="AW26" s="28">
        <f t="shared" si="10"/>
        <v>1</v>
      </c>
    </row>
    <row r="27" spans="1:49">
      <c r="A27" s="14">
        <v>25</v>
      </c>
      <c r="B27" s="17">
        <f>_xlfn.MAXIFS('Model output'!B:B,'Model output'!Z:Z,'Classification result'!$A27)</f>
        <v>45310</v>
      </c>
      <c r="C27" s="17"/>
      <c r="D27" s="17"/>
      <c r="E27" s="18">
        <f>_xlfn.MAXIFS('Model output'!C:C,'Model output'!Z:Z,'Classification result'!$A27)</f>
        <v>42</v>
      </c>
      <c r="F27" s="18" t="str" cm="1">
        <f t="array" ref="F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G27" s="18" t="str" cm="1">
        <f t="array" ref="G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H27" s="18" cm="1">
        <f t="array" ref="H27">IF(AND(SUBSTITUTE(_xlfn.TEXTJOIN("/", TRUE, _xlfn._xlws.FILTER('Model output'!F:F, 'Model output'!Z:Z=A27)),"M", "")="", K27="negative"),0,IF(K27="positive",1,0))</f>
        <v>0</v>
      </c>
      <c r="I27" t="str">
        <f t="shared" si="0"/>
        <v/>
      </c>
      <c r="J27" t="str" cm="1">
        <f t="array" ref="J27">IF(AND(M27&gt;0,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output'!Z:Z=A27)),1)))),"lateral",IF(AND(M27=0, _xlfn.TEXTJOIN("; ", TRUE, _xlfn._xlws.FILTER('Model output'!G:G, 'Model output'!Z:Z=A27))=""),"", "central"))</f>
        <v/>
      </c>
      <c r="K27" s="18" t="str" cm="1">
        <f t="array" ref="K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L27" s="18">
        <f>IF(IFERROR(INDEX('Model output'!I:I, MATCH(A27, 'Model output'!Z:Z, 0)), "") &lt; M27, "", IFERROR(INDEX('Model output'!I:I, MATCH(A27, 'Model output'!Z:Z, 0)), ""))</f>
        <v>0</v>
      </c>
      <c r="M27" s="18">
        <f>IFERROR(INDEX('Model output'!J:J, MATCH(A27, 'Model output'!Z:Z, 0)), "")</f>
        <v>0</v>
      </c>
      <c r="N27" s="19" t="str" cm="1">
        <f t="array" ref="N27">ReplaceTo(ReplaceAnd(SUBSTITUTE(SUBSTITUTE(_xlfn.TEXTJOIN("; ", TRUE, _xlfn._xlws.FILTER('Model output'!K:K, 'Model output'!Z:Z=A27)), " ", ""), ",", ";")))</f>
        <v/>
      </c>
      <c r="O27" t="str" cm="1">
        <f t="array" ref="O27">IF(LEFT(IF(RIGHT(SUBSTITUTE(FilterWithUnits(N27)&amp;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";")),1)=";",RIGHT(IF(RIGHT(SUBSTITUTE(FilterWithUnits(N27)&amp;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";")),LEN(IF(RIGHT(SUBSTITUTE(FilterWithUnits(N27)&amp;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";")))-1),IF(RIGHT(SUBSTITUTE(FilterWithUnits(N27)&amp;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</f>
        <v/>
      </c>
      <c r="P27" t="str" cm="1">
        <f t="array" ref="P27">IF(MaxSize((SplitDimensions(O27)))=0, "", MaxSize((SplitDimensions(O27))))</f>
        <v/>
      </c>
      <c r="Q27" t="str" cm="1">
        <f t="array" ref="Q27">IF(ISERROR(INDEX(_xlfn._xlws.FILTER('Model output'!L:L, ('Model output'!Z:Z=A27)*('Model output'!L:L&lt;&gt;"")), 1)), " ", LOWER(INDEX(_xlfn._xlws.FILTER('Model output'!L:L, ('Model output'!Z:Z=A27)*('Model output'!L:L&lt;&gt;"")), 1)))</f>
        <v>papillary</v>
      </c>
      <c r="R27" t="str" cm="1">
        <f t="array" ref="R27">IF(ISERROR(INDEX(_xlfn._xlws.FILTER('Model output'!M:M, ('Model output'!Z:Z=A27)*('Model output'!M:M&lt;&gt;"")), 1)), " ", LOWER(INDEX(_xlfn._xlws.FILTER('Model output'!M:M, ('Model output'!Z:Z=A27)*('Model output'!M:M&lt;&gt;"")), 1)))</f>
        <v>classic (usual, conventional)</v>
      </c>
      <c r="S27" t="str" cm="1">
        <f t="array" ref="S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1cm</v>
      </c>
      <c r="T27" t="str" cm="1">
        <f t="array" ref="T27">IF(LEFT(IF(RIGHT(SUBSTITUTE(FilterWithUnits(S27)&amp;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";")),1)=";",RIGHT(IF(RIGHT(SUBSTITUTE(FilterWithUnits(S27)&amp;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";")),LEN(IF(RIGHT(SUBSTITUTE(FilterWithUnits(S27)&amp;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";")))-1),IF(RIGHT(SUBSTITUTE(FilterWithUnits(S27)&amp;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</f>
        <v>1cm</v>
      </c>
      <c r="U27" cm="1">
        <f t="array" ref="U27">IF(MaxSize((SplitDimensions(T27)))=0, "", MaxSize((SplitDimensions(T27))))</f>
        <v>1</v>
      </c>
      <c r="V27" s="18" t="str" cm="1">
        <f t="array" ref="V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X27" t="str" cm="1">
        <f t="array" ref="X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Y27" t="str">
        <f t="shared" si="11"/>
        <v>no</v>
      </c>
      <c r="Z27" t="str" cm="1">
        <f t="array" ref="Z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AA27" s="18" t="str">
        <f t="shared" si="12"/>
        <v>negative</v>
      </c>
      <c r="AE27" s="18" t="str">
        <f t="shared" si="13"/>
        <v>negative</v>
      </c>
      <c r="AF27" t="str" cm="1">
        <f t="array" ref="AF27">_xlfn.TEXTJOIN("; ",TRUE,_xlfn._xlws.FILTER('Model output'!S:S,'Model output'!Z:Z=A27))</f>
        <v>Absent</v>
      </c>
      <c r="AG27" s="18" t="str" cm="1">
        <f t="array" ref="AG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output'!Z:Z=A27)),1)),"unknown","negative"))</f>
        <v>negative</v>
      </c>
      <c r="AI27" s="49" t="str">
        <f t="shared" si="1"/>
        <v>low</v>
      </c>
      <c r="AJ27" s="42" t="str">
        <f t="shared" ref="AJ27:AJ31" si="18">IF(OR(ISNUMBER(SEARCH("non-invasive follicular",Q27)),ISNUMBER(SEARCH("papillary-like nuclear features",Q27)),ISNUMBER(SEARCH("non-invasive follicular",R27)),ISNUMBER(SEARCH("papillary-like nuclear features",R27))),"NIFTP", IF(OR(F27="4b",AND(AE27="positive",OR(ISNUMBER(SEARCH("prevertebral",AF27)),ISNUMBER(SEARCH("fascia",AF27)),ISNUMBER(SEARCH("carotid artery",AF27)),ISNUMBER(SEARCH("mediastinal",AF27))))),"4b",IF(OR(F27="4a",AND(AE27="positive",OR(ISNUMBER(SEARCH("soft tissue",AF27)),ISNUMBER(SEARCH("larynx",AF27)),ISNUMBER(SEARCH("trachea",AF27)),ISNUMBER(SEARCH("esophagus",AF27)),ISNUMBER(SEARCH("recurrent laryngeal nerve",AF27)),ISNUMBER(SEARCH("RLN",AF27))))),"4a", IF(OR(F27="3b", AE27="positive",ISNUMBER(SEARCH("strap",AF27)),ISNUMBER(SEARCH("sternothyroid",AF27)),ISNUMBER(SEARCH("sternohyoid",AF27)),ISNUMBER(SEARCH("thyrohyoid",AF27)),ISNUMBER(SEARCH("omohyoid",AF27))),"3b",IF(OR(F27="3a", AND(U27&lt;&gt;"",U27&gt;4)),"3a",IF(AND(U27&lt;&gt;"", U27&lt;=4,U27&gt;2),"2",IF(AND(U27&lt;&gt;"",U27&lt;=2,U27&gt;1),"1b",IF(AND(U27&lt;&gt;"",U27&lt;=1),"1a","1a"))))))))</f>
        <v>1a</v>
      </c>
      <c r="AK27" s="42" t="str">
        <f t="shared" si="15"/>
        <v>x</v>
      </c>
      <c r="AL27" s="42">
        <f t="shared" si="16"/>
        <v>0</v>
      </c>
      <c r="AM27" s="42" t="str">
        <f t="shared" si="17"/>
        <v>I</v>
      </c>
      <c r="AN27" s="43" t="s">
        <v>171</v>
      </c>
      <c r="AO27" s="44" t="s">
        <v>189</v>
      </c>
      <c r="AP27" s="44" t="s">
        <v>190</v>
      </c>
      <c r="AQ27" s="44">
        <v>0</v>
      </c>
      <c r="AR27" s="44" t="s">
        <v>31</v>
      </c>
      <c r="AS27" s="11">
        <f t="shared" si="6"/>
        <v>1</v>
      </c>
      <c r="AT27" s="26">
        <f t="shared" si="7"/>
        <v>0</v>
      </c>
      <c r="AU27" s="26">
        <f t="shared" si="8"/>
        <v>1</v>
      </c>
      <c r="AV27" s="26">
        <f t="shared" si="9"/>
        <v>1</v>
      </c>
      <c r="AW27" s="28">
        <f t="shared" si="10"/>
        <v>1</v>
      </c>
    </row>
    <row r="28" spans="1:49">
      <c r="A28" s="14">
        <v>26</v>
      </c>
      <c r="B28" s="17">
        <f>_xlfn.MAXIFS('Model output'!B:B,'Model output'!Z:Z,'Classification result'!$A28)</f>
        <v>45464</v>
      </c>
      <c r="C28" s="17"/>
      <c r="D28" s="17"/>
      <c r="E28" s="18">
        <f>_xlfn.MAXIFS('Model output'!C:C,'Model output'!Z:Z,'Classification result'!$A28)</f>
        <v>73</v>
      </c>
      <c r="F28" s="18" t="str" cm="1">
        <f t="array" ref="F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/>
      </c>
      <c r="G28" s="18" t="str" cm="1">
        <f t="array" ref="G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/>
      </c>
      <c r="H28" s="18" cm="1">
        <f t="array" ref="H28">IF(AND(SUBSTITUTE(_xlfn.TEXTJOIN("/", TRUE, _xlfn._xlws.FILTER('Model output'!F:F, 'Model output'!Z:Z=A28)),"M", "")="", K28="negative"),0,IF(K28="positive",1,0))</f>
        <v>0</v>
      </c>
      <c r="I28" t="str">
        <f t="shared" si="0"/>
        <v>positive</v>
      </c>
      <c r="J28" t="str" cm="1">
        <f t="array" ref="J28">IF(AND(M28&gt;0,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output'!Z:Z=A28)),1)))),"lateral",IF(AND(M28=0, _xlfn.TEXTJOIN("; ", TRUE, _xlfn._xlws.FILTER('Model output'!G:G, 'Model output'!Z:Z=A28))=""),"", "central"))</f>
        <v>central</v>
      </c>
      <c r="K28" s="18" t="str" cm="1">
        <f t="array" ref="K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L28" s="18">
        <f>IF(IFERROR(INDEX('Model output'!I:I, MATCH(A28, 'Model output'!Z:Z, 0)), "") &lt; M28, "", IFERROR(INDEX('Model output'!I:I, MATCH(A28, 'Model output'!Z:Z, 0)), ""))</f>
        <v>0</v>
      </c>
      <c r="M28" s="18">
        <f>IFERROR(INDEX('Model output'!J:J, MATCH(A28, 'Model output'!Z:Z, 0)), "")</f>
        <v>0</v>
      </c>
      <c r="N28" s="19" t="str" cm="1">
        <f t="array" ref="N28">ReplaceTo(ReplaceAnd(SUBSTITUTE(SUBSTITUTE(_xlfn.TEXTJOIN("; ", TRUE, _xlfn._xlws.FILTER('Model output'!K:K, 'Model output'!Z:Z=A28)), " ", ""), ",", ";")))</f>
        <v/>
      </c>
      <c r="O28" t="str" cm="1">
        <f t="array" ref="O28">IF(LEFT(IF(RIGHT(SUBSTITUTE(FilterWithUnits(N28)&amp;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";")),1)=";",RIGHT(IF(RIGHT(SUBSTITUTE(FilterWithUnits(N28)&amp;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";")),LEN(IF(RIGHT(SUBSTITUTE(FilterWithUnits(N28)&amp;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";")))-1),IF(RIGHT(SUBSTITUTE(FilterWithUnits(N28)&amp;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</f>
        <v/>
      </c>
      <c r="P28" t="str" cm="1">
        <f t="array" ref="P28">IF(MaxSize((SplitDimensions(O28)))=0, "", MaxSize((SplitDimensions(O28))))</f>
        <v/>
      </c>
      <c r="Q28" t="str" cm="1">
        <f t="array" ref="Q28">IF(ISERROR(INDEX(_xlfn._xlws.FILTER('Model output'!L:L, ('Model output'!Z:Z=A28)*('Model output'!L:L&lt;&gt;"")), 1)), " ", LOWER(INDEX(_xlfn._xlws.FILTER('Model output'!L:L, ('Model output'!Z:Z=A28)*('Model output'!L:L&lt;&gt;"")), 1)))</f>
        <v>papillary</v>
      </c>
      <c r="R28" t="str" cm="1">
        <f t="array" ref="R28">IF(ISERROR(INDEX(_xlfn._xlws.FILTER('Model output'!M:M, ('Model output'!Z:Z=A28)*('Model output'!M:M&lt;&gt;"")), 1)), " ", LOWER(INDEX(_xlfn._xlws.FILTER('Model output'!M:M, ('Model output'!Z:Z=A28)*('Model output'!M:M&lt;&gt;"")), 1)))</f>
        <v>classic</v>
      </c>
      <c r="S28" t="str" cm="1">
        <f t="array" ref="S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</v>
      </c>
      <c r="T28" t="str" cm="1">
        <f t="array" ref="T28">IF(LEFT(IF(RIGHT(SUBSTITUTE(FilterWithUnits(S28)&amp;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";")),1)=";",RIGHT(IF(RIGHT(SUBSTITUTE(FilterWithUnits(S28)&amp;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";")),LEN(IF(RIGHT(SUBSTITUTE(FilterWithUnits(S28)&amp;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";")))-1),IF(RIGHT(SUBSTITUTE(FilterWithUnits(S28)&amp;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</f>
        <v>11mm</v>
      </c>
      <c r="U28" cm="1">
        <f t="array" ref="U28">IF(MaxSize((SplitDimensions(T28)))=0, "", MaxSize((SplitDimensions(T28))))</f>
        <v>1.1000000000000001</v>
      </c>
      <c r="V28" s="18" t="str" cm="1">
        <f t="array" ref="V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negative</v>
      </c>
      <c r="X28" t="str" cm="1">
        <f t="array" ref="X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Y28" t="str">
        <f t="shared" si="11"/>
        <v>no</v>
      </c>
      <c r="Z28" t="str" cm="1">
        <f t="array" ref="Z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positive</v>
      </c>
      <c r="AA28" s="18" t="str">
        <f t="shared" si="12"/>
        <v>positive</v>
      </c>
      <c r="AE28" s="18" t="str">
        <f t="shared" si="13"/>
        <v>negative</v>
      </c>
      <c r="AF28" t="str" cm="1">
        <f t="array" ref="AF28">_xlfn.TEXTJOIN("; ",TRUE,_xlfn._xlws.FILTER('Model output'!S:S,'Model output'!Z:Z=A28))</f>
        <v>Present; Present</v>
      </c>
      <c r="AG28" s="18" t="str" cm="1">
        <f t="array" ref="AG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output'!Z:Z=A28)),1)),"unknown","negative"))</f>
        <v>negative</v>
      </c>
      <c r="AI28" s="49" t="str">
        <f t="shared" si="1"/>
        <v>intermediate</v>
      </c>
      <c r="AJ28" s="42" t="str">
        <f t="shared" si="18"/>
        <v>1b</v>
      </c>
      <c r="AK28" s="42" t="str">
        <f t="shared" si="15"/>
        <v>x</v>
      </c>
      <c r="AL28" s="42">
        <f t="shared" si="16"/>
        <v>0</v>
      </c>
      <c r="AM28" s="42" t="str">
        <f t="shared" si="17"/>
        <v>I</v>
      </c>
      <c r="AN28" s="43" t="s">
        <v>170</v>
      </c>
      <c r="AO28" s="44" t="s">
        <v>192</v>
      </c>
      <c r="AP28" s="44" t="s">
        <v>190</v>
      </c>
      <c r="AQ28" s="44">
        <v>0</v>
      </c>
      <c r="AR28" s="44" t="s">
        <v>43</v>
      </c>
      <c r="AS28" s="11">
        <f t="shared" si="6"/>
        <v>0</v>
      </c>
      <c r="AT28" s="26">
        <f t="shared" si="7"/>
        <v>0</v>
      </c>
      <c r="AU28" s="26">
        <f t="shared" si="8"/>
        <v>1</v>
      </c>
      <c r="AV28" s="26">
        <f t="shared" si="9"/>
        <v>1</v>
      </c>
      <c r="AW28" s="28">
        <f t="shared" si="10"/>
        <v>0</v>
      </c>
    </row>
    <row r="29" spans="1:49">
      <c r="A29" s="14">
        <v>27</v>
      </c>
      <c r="B29" s="17">
        <f>_xlfn.MAXIFS('Model output'!B:B,'Model output'!Z:Z,'Classification result'!$A29)</f>
        <v>45464</v>
      </c>
      <c r="C29" s="17"/>
      <c r="D29" s="17"/>
      <c r="E29" s="18">
        <f>_xlfn.MAXIFS('Model output'!C:C,'Model output'!Z:Z,'Classification result'!$A29)</f>
        <v>39</v>
      </c>
      <c r="F29" s="18" t="str" cm="1">
        <f t="array" ref="F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G29" s="18" t="str" cm="1">
        <f t="array" ref="G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>0</v>
      </c>
      <c r="H29" s="18" cm="1">
        <f t="array" ref="H29">IF(AND(SUBSTITUTE(_xlfn.TEXTJOIN("/", TRUE, _xlfn._xlws.FILTER('Model output'!F:F, 'Model output'!Z:Z=A29)),"M", "")="", K29="negative"),0,IF(K29="positive",1,0))</f>
        <v>0</v>
      </c>
      <c r="I29" t="str">
        <f t="shared" si="0"/>
        <v>positive</v>
      </c>
      <c r="J29" t="str" cm="1">
        <f t="array" ref="J29">IF(AND(M29&gt;0,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output'!Z:Z=A29)),1)))),"lateral",IF(AND(M29=0, _xlfn.TEXTJOIN("; ", TRUE, _xlfn._xlws.FILTER('Model output'!G:G, 'Model output'!Z:Z=A29))=""),"", "central"))</f>
        <v>central</v>
      </c>
      <c r="K29" s="18" t="str" cm="1">
        <f t="array" ref="K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L29" s="18">
        <f>IF(IFERROR(INDEX('Model output'!I:I, MATCH(A29, 'Model output'!Z:Z, 0)), "") &lt; M29, "", IFERROR(INDEX('Model output'!I:I, MATCH(A29, 'Model output'!Z:Z, 0)), ""))</f>
        <v>2</v>
      </c>
      <c r="M29" s="18">
        <f>IFERROR(INDEX('Model output'!J:J, MATCH(A29, 'Model output'!Z:Z, 0)), "")</f>
        <v>1</v>
      </c>
      <c r="N29" s="19" t="str" cm="1">
        <f t="array" ref="N29">ReplaceTo(ReplaceAnd(SUBSTITUTE(SUBSTITUTE(_xlfn.TEXTJOIN("; ", TRUE, _xlfn._xlws.FILTER('Model output'!K:K, 'Model output'!Z:Z=A29)), " ", ""), ",", ";")))</f>
        <v/>
      </c>
      <c r="O29" t="str" cm="1">
        <f t="array" ref="O29">IF(LEFT(IF(RIGHT(SUBSTITUTE(FilterWithUnits(N29)&amp;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";")),1)=";",RIGHT(IF(RIGHT(SUBSTITUTE(FilterWithUnits(N29)&amp;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";")),LEN(IF(RIGHT(SUBSTITUTE(FilterWithUnits(N29)&amp;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";")))-1),IF(RIGHT(SUBSTITUTE(FilterWithUnits(N29)&amp;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</f>
        <v/>
      </c>
      <c r="P29" t="str" cm="1">
        <f t="array" ref="P29">IF(MaxSize((SplitDimensions(O29)))=0, "", MaxSize((SplitDimensions(O29))))</f>
        <v/>
      </c>
      <c r="Q29" t="str" cm="1">
        <f t="array" ref="Q29">IF(ISERROR(INDEX(_xlfn._xlws.FILTER('Model output'!L:L, ('Model output'!Z:Z=A29)*('Model output'!L:L&lt;&gt;"")), 1)), " ", LOWER(INDEX(_xlfn._xlws.FILTER('Model output'!L:L, ('Model output'!Z:Z=A29)*('Model output'!L:L&lt;&gt;"")), 1)))</f>
        <v>papillary</v>
      </c>
      <c r="R29" t="str" cm="1">
        <f t="array" ref="R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S29" t="str" cm="1">
        <f t="array" ref="S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5mm</v>
      </c>
      <c r="T29" t="str" cm="1">
        <f t="array" ref="T29">IF(LEFT(IF(RIGHT(SUBSTITUTE(FilterWithUnits(S29)&amp;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";")),1)=";",RIGHT(IF(RIGHT(SUBSTITUTE(FilterWithUnits(S29)&amp;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";")),LEN(IF(RIGHT(SUBSTITUTE(FilterWithUnits(S29)&amp;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";")))-1),IF(RIGHT(SUBSTITUTE(FilterWithUnits(S29)&amp;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</f>
        <v>5mm</v>
      </c>
      <c r="U29" cm="1">
        <f t="array" ref="U29">IF(MaxSize((SplitDimensions(T29)))=0, "", MaxSize((SplitDimensions(T29))))</f>
        <v>0.5</v>
      </c>
      <c r="V29" s="18" t="str" cm="1">
        <f t="array" ref="V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X29" t="str" cm="1">
        <f t="array" ref="X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Y29" t="str">
        <f t="shared" si="11"/>
        <v>no</v>
      </c>
      <c r="Z29" t="str" cm="1">
        <f t="array" ref="Z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AA29" s="18" t="str">
        <f t="shared" si="12"/>
        <v>negative</v>
      </c>
      <c r="AE29" s="18" t="str">
        <f t="shared" si="13"/>
        <v>negative</v>
      </c>
      <c r="AF29" t="str" cm="1">
        <f t="array" ref="AF29">_xlfn.TEXTJOIN("; ",TRUE,_xlfn._xlws.FILTER('Model output'!S:S,'Model output'!Z:Z=A29))</f>
        <v>Not identified</v>
      </c>
      <c r="AG29" s="18" t="str" cm="1">
        <f t="array" ref="AG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output'!Z:Z=A29)),1)),"unknown","negative"))</f>
        <v>negative</v>
      </c>
      <c r="AI29" s="49" t="str">
        <f t="shared" si="1"/>
        <v>low</v>
      </c>
      <c r="AJ29" s="42" t="str">
        <f t="shared" si="18"/>
        <v>1a</v>
      </c>
      <c r="AK29" s="42" t="str">
        <f t="shared" si="15"/>
        <v>1a</v>
      </c>
      <c r="AL29" s="42">
        <f t="shared" si="16"/>
        <v>0</v>
      </c>
      <c r="AM29" s="42" t="str">
        <f t="shared" si="17"/>
        <v>I</v>
      </c>
      <c r="AN29" s="43" t="s">
        <v>171</v>
      </c>
      <c r="AO29" s="44" t="s">
        <v>191</v>
      </c>
      <c r="AP29" s="44" t="s">
        <v>191</v>
      </c>
      <c r="AQ29" s="44">
        <v>0</v>
      </c>
      <c r="AR29" s="44" t="s">
        <v>31</v>
      </c>
      <c r="AS29" s="11">
        <f t="shared" si="6"/>
        <v>1</v>
      </c>
      <c r="AT29" s="26">
        <f t="shared" si="7"/>
        <v>1</v>
      </c>
      <c r="AU29" s="26">
        <f t="shared" si="8"/>
        <v>1</v>
      </c>
      <c r="AV29" s="26">
        <f t="shared" si="9"/>
        <v>1</v>
      </c>
      <c r="AW29" s="28">
        <f t="shared" si="10"/>
        <v>1</v>
      </c>
    </row>
    <row r="30" spans="1:49">
      <c r="A30" s="14">
        <v>28</v>
      </c>
      <c r="B30" s="17">
        <f>_xlfn.MAXIFS('Model output'!B:B,'Model output'!Z:Z,'Classification result'!$A30)</f>
        <v>45464</v>
      </c>
      <c r="C30" s="17"/>
      <c r="D30" s="17"/>
      <c r="E30" s="18">
        <f>_xlfn.MAXIFS('Model output'!C:C,'Model output'!Z:Z,'Classification result'!$A30)</f>
        <v>57</v>
      </c>
      <c r="F30" s="18" t="str" cm="1">
        <f t="array" ref="F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G30" s="18" t="str" cm="1">
        <f t="array" ref="G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0</v>
      </c>
      <c r="H30" s="18" cm="1">
        <f t="array" ref="H30">IF(AND(SUBSTITUTE(_xlfn.TEXTJOIN("/", TRUE, _xlfn._xlws.FILTER('Model output'!F:F, 'Model output'!Z:Z=A30)),"M", "")="", K30="negative"),0,IF(K30="positive",1,0))</f>
        <v>0</v>
      </c>
      <c r="I30" t="str">
        <f t="shared" si="0"/>
        <v>positive</v>
      </c>
      <c r="J30" t="str" cm="1">
        <f t="array" ref="J30">IF(AND(M30&gt;0,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output'!Z:Z=A30)),1)))),"lateral",IF(AND(M30=0, _xlfn.TEXTJOIN("; ", TRUE, _xlfn._xlws.FILTER('Model output'!G:G, 'Model output'!Z:Z=A30))=""),"", "central"))</f>
        <v>central</v>
      </c>
      <c r="K30" s="18" t="str" cm="1">
        <f t="array" ref="K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L30" s="18">
        <f>IF(IFERROR(INDEX('Model output'!I:I, MATCH(A30, 'Model output'!Z:Z, 0)), "") &lt; M30, "", IFERROR(INDEX('Model output'!I:I, MATCH(A30, 'Model output'!Z:Z, 0)), ""))</f>
        <v>5</v>
      </c>
      <c r="M30" s="18">
        <f>IFERROR(INDEX('Model output'!J:J, MATCH(A30, 'Model output'!Z:Z, 0)), "")</f>
        <v>1</v>
      </c>
      <c r="N30" s="19" t="str" cm="1">
        <f t="array" ref="N30">ReplaceTo(ReplaceAnd(SUBSTITUTE(SUBSTITUTE(_xlfn.TEXTJOIN("; ", TRUE, _xlfn._xlws.FILTER('Model output'!K:K, 'Model output'!Z:Z=A30)), " ", ""), ",", ";")))</f>
        <v>2.5mm</v>
      </c>
      <c r="O30" t="str" cm="1">
        <f t="array" ref="O30">IF(LEFT(IF(RIGHT(SUBSTITUTE(FilterWithUnits(N30)&amp;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";")),1)=";",RIGHT(IF(RIGHT(SUBSTITUTE(FilterWithUnits(N30)&amp;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";")),LEN(IF(RIGHT(SUBSTITUTE(FilterWithUnits(N30)&amp;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";")))-1),IF(RIGHT(SUBSTITUTE(FilterWithUnits(N30)&amp;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</f>
        <v>2.5mm</v>
      </c>
      <c r="P30" cm="1">
        <f t="array" ref="P30">IF(MaxSize((SplitDimensions(O30)))=0, "", MaxSize((SplitDimensions(O30))))</f>
        <v>0.25</v>
      </c>
      <c r="Q30" t="str" cm="1">
        <f t="array" ref="Q30">IF(ISERROR(INDEX(_xlfn._xlws.FILTER('Model output'!L:L, ('Model output'!Z:Z=A30)*('Model output'!L:L&lt;&gt;"")), 1)), " ", LOWER(INDEX(_xlfn._xlws.FILTER('Model output'!L:L, ('Model output'!Z:Z=A30)*('Model output'!L:L&lt;&gt;"")), 1)))</f>
        <v>papillary carcinoma</v>
      </c>
      <c r="R30" t="str" cm="1">
        <f t="array" ref="R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S30" t="str" cm="1">
        <f t="array" ref="S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>0.8cm</v>
      </c>
      <c r="T30" t="str" cm="1">
        <f t="array" ref="T30">IF(LEFT(IF(RIGHT(SUBSTITUTE(FilterWithUnits(S30)&amp;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";")),1)=";",RIGHT(IF(RIGHT(SUBSTITUTE(FilterWithUnits(S30)&amp;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";")),LEN(IF(RIGHT(SUBSTITUTE(FilterWithUnits(S30)&amp;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";")))-1),IF(RIGHT(SUBSTITUTE(FilterWithUnits(S30)&amp;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</f>
        <v>0.8cm</v>
      </c>
      <c r="U30" cm="1">
        <f t="array" ref="U30">IF(MaxSize((SplitDimensions(T30)))=0, "", MaxSize((SplitDimensions(T30))))</f>
        <v>0.8</v>
      </c>
      <c r="V30" s="18" t="str" cm="1">
        <f t="array" ref="V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X30" t="str" cm="1">
        <f t="array" ref="X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Y30" t="str">
        <f t="shared" si="11"/>
        <v>no</v>
      </c>
      <c r="Z30" t="str" cm="1">
        <f t="array" ref="Z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AA30" s="18" t="str">
        <f t="shared" si="12"/>
        <v>negative</v>
      </c>
      <c r="AE30" s="18" t="str">
        <f t="shared" si="13"/>
        <v>negative</v>
      </c>
      <c r="AF30" t="str" cm="1">
        <f t="array" ref="AF30">_xlfn.TEXTJOIN("; ",TRUE,_xlfn._xlws.FILTER('Model output'!S:S,'Model output'!Z:Z=A30))</f>
        <v>Not identified</v>
      </c>
      <c r="AG30" s="18" t="str" cm="1">
        <f t="array" ref="AG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output'!Z:Z=A30)),1)),"unknown","negative"))</f>
        <v>negative</v>
      </c>
      <c r="AI30" s="49" t="str">
        <f t="shared" si="1"/>
        <v>low</v>
      </c>
      <c r="AJ30" s="42" t="str">
        <f t="shared" si="18"/>
        <v>1a</v>
      </c>
      <c r="AK30" s="42" t="str">
        <f t="shared" si="15"/>
        <v>1a</v>
      </c>
      <c r="AL30" s="42">
        <f t="shared" si="16"/>
        <v>0</v>
      </c>
      <c r="AM30" s="42" t="str">
        <f t="shared" si="17"/>
        <v>II</v>
      </c>
      <c r="AN30" s="43" t="s">
        <v>171</v>
      </c>
      <c r="AO30" s="44" t="s">
        <v>191</v>
      </c>
      <c r="AP30" s="44" t="s">
        <v>191</v>
      </c>
      <c r="AQ30" s="44">
        <v>0</v>
      </c>
      <c r="AR30" s="44" t="s">
        <v>43</v>
      </c>
      <c r="AS30" s="11">
        <f t="shared" si="6"/>
        <v>1</v>
      </c>
      <c r="AT30" s="26">
        <f t="shared" si="7"/>
        <v>1</v>
      </c>
      <c r="AU30" s="26">
        <f t="shared" si="8"/>
        <v>1</v>
      </c>
      <c r="AV30" s="26">
        <f t="shared" si="9"/>
        <v>1</v>
      </c>
      <c r="AW30" s="28">
        <f t="shared" si="10"/>
        <v>1</v>
      </c>
    </row>
    <row r="31" spans="1:49">
      <c r="A31" s="14">
        <v>29</v>
      </c>
      <c r="B31" s="17">
        <f>_xlfn.MAXIFS('Model output'!B:B,'Model output'!Z:Z,'Classification result'!$A31)</f>
        <v>45271</v>
      </c>
      <c r="C31" s="17"/>
      <c r="D31" s="17"/>
      <c r="E31" s="18">
        <f>_xlfn.MAXIFS('Model output'!C:C,'Model output'!Z:Z,'Classification result'!$A31)</f>
        <v>63</v>
      </c>
      <c r="F31" s="18" t="str" cm="1">
        <f t="array" ref="F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G31" s="18" t="str" cm="1">
        <f t="array" ref="G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H31" s="18" cm="1">
        <f t="array" ref="H31">IF(AND(SUBSTITUTE(_xlfn.TEXTJOIN("/", TRUE, _xlfn._xlws.FILTER('Model output'!F:F, 'Model output'!Z:Z=A31)),"M", "")="", K31="negative"),0,IF(K31="positive",1,0))</f>
        <v>0</v>
      </c>
      <c r="I31" t="str">
        <f t="shared" si="0"/>
        <v/>
      </c>
      <c r="J31" t="str" cm="1">
        <f t="array" ref="J31">IF(AND(M31&gt;0,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output'!Z:Z=A31)),1)))),"lateral",IF(AND(M31=0, _xlfn.TEXTJOIN("; ", TRUE, _xlfn._xlws.FILTER('Model output'!G:G, 'Model output'!Z:Z=A31))=""),"", "central"))</f>
        <v/>
      </c>
      <c r="K31" s="18" t="str" cm="1">
        <f t="array" ref="K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L31" s="18">
        <f>IF(IFERROR(INDEX('Model output'!I:I, MATCH(A31, 'Model output'!Z:Z, 0)), "") &lt; M31, "", IFERROR(INDEX('Model output'!I:I, MATCH(A31, 'Model output'!Z:Z, 0)), ""))</f>
        <v>0</v>
      </c>
      <c r="M31" s="18">
        <f>IFERROR(INDEX('Model output'!J:J, MATCH(A31, 'Model output'!Z:Z, 0)), "")</f>
        <v>0</v>
      </c>
      <c r="N31" s="19" t="str" cm="1">
        <f t="array" ref="N31">ReplaceTo(ReplaceAnd(SUBSTITUTE(SUBSTITUTE(_xlfn.TEXTJOIN("; ", TRUE, _xlfn._xlws.FILTER('Model output'!K:K, 'Model output'!Z:Z=A31)), " ", ""), ",", ";")))</f>
        <v/>
      </c>
      <c r="O31" t="str" cm="1">
        <f t="array" ref="O31">IF(LEFT(IF(RIGHT(SUBSTITUTE(FilterWithUnits(N31)&amp;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";")),1)=";",RIGHT(IF(RIGHT(SUBSTITUTE(FilterWithUnits(N31)&amp;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";")),LEN(IF(RIGHT(SUBSTITUTE(FilterWithUnits(N31)&amp;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";")))-1),IF(RIGHT(SUBSTITUTE(FilterWithUnits(N31)&amp;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</f>
        <v/>
      </c>
      <c r="P31" t="str" cm="1">
        <f t="array" ref="P31">IF(MaxSize((SplitDimensions(O31)))=0, "", MaxSize((SplitDimensions(O31))))</f>
        <v/>
      </c>
      <c r="Q31" t="str" cm="1">
        <f t="array" ref="Q31">IF(ISERROR(INDEX(_xlfn._xlws.FILTER('Model output'!L:L, ('Model output'!Z:Z=A31)*('Model output'!L:L&lt;&gt;"")), 1)), " ", LOWER(INDEX(_xlfn._xlws.FILTER('Model output'!L:L, ('Model output'!Z:Z=A31)*('Model output'!L:L&lt;&gt;"")), 1)))</f>
        <v>papillary</v>
      </c>
      <c r="R31" t="str" cm="1">
        <f t="array" ref="R31">IF(ISERROR(INDEX(_xlfn._xlws.FILTER('Model output'!M:M, ('Model output'!Z:Z=A31)*('Model output'!M:M&lt;&gt;"")), 1)), " ", LOWER(INDEX(_xlfn._xlws.FILTER('Model output'!M:M, ('Model output'!Z:Z=A31)*('Model output'!M:M&lt;&gt;"")), 1)))</f>
        <v>classic</v>
      </c>
      <c r="S31" t="str" cm="1">
        <f t="array" ref="S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</v>
      </c>
      <c r="T31" t="str" cm="1">
        <f t="array" ref="T31">IF(LEFT(IF(RIGHT(SUBSTITUTE(FilterWithUnits(S31)&amp;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";")),1)=";",RIGHT(IF(RIGHT(SUBSTITUTE(FilterWithUnits(S31)&amp;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";")),LEN(IF(RIGHT(SUBSTITUTE(FilterWithUnits(S31)&amp;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";")))-1),IF(RIGHT(SUBSTITUTE(FilterWithUnits(S31)&amp;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</f>
        <v>7mm</v>
      </c>
      <c r="U31" cm="1">
        <f t="array" ref="U31">IF(MaxSize((SplitDimensions(T31)))=0, "", MaxSize((SplitDimensions(T31))))</f>
        <v>0.7</v>
      </c>
      <c r="V31" s="18" t="str" cm="1">
        <f t="array" ref="V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X31" t="str" cm="1">
        <f t="array" ref="X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Y31" t="str">
        <f t="shared" si="11"/>
        <v>no</v>
      </c>
      <c r="Z31" t="str" cm="1">
        <f t="array" ref="Z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AA31" s="18" t="str">
        <f t="shared" si="12"/>
        <v>negative</v>
      </c>
      <c r="AE31" s="18" t="str">
        <f t="shared" si="13"/>
        <v>negative</v>
      </c>
      <c r="AF31" t="str" cm="1">
        <f t="array" ref="AF31">_xlfn.TEXTJOIN("; ",TRUE,_xlfn._xlws.FILTER('Model output'!S:S,'Model output'!Z:Z=A31))</f>
        <v>Not identified</v>
      </c>
      <c r="AG31" s="18" t="str" cm="1">
        <f t="array" ref="AG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output'!Z:Z=A31)),1)),"unknown","negative"))</f>
        <v>negative</v>
      </c>
      <c r="AI31" s="49" t="str">
        <f t="shared" si="1"/>
        <v>low</v>
      </c>
      <c r="AJ31" s="42" t="str">
        <f t="shared" si="18"/>
        <v>1a</v>
      </c>
      <c r="AK31" s="42" t="str">
        <f t="shared" si="15"/>
        <v>x</v>
      </c>
      <c r="AL31" s="42">
        <f t="shared" si="16"/>
        <v>0</v>
      </c>
      <c r="AM31" s="42" t="str">
        <f t="shared" si="17"/>
        <v>I</v>
      </c>
      <c r="AN31" s="43" t="s">
        <v>171</v>
      </c>
      <c r="AO31" s="44" t="s">
        <v>191</v>
      </c>
      <c r="AP31" s="44" t="s">
        <v>190</v>
      </c>
      <c r="AQ31" s="44">
        <v>0</v>
      </c>
      <c r="AR31" s="44" t="s">
        <v>31</v>
      </c>
      <c r="AS31" s="11">
        <f t="shared" si="6"/>
        <v>1</v>
      </c>
      <c r="AT31" s="26">
        <f t="shared" si="7"/>
        <v>1</v>
      </c>
      <c r="AU31" s="26">
        <f t="shared" si="8"/>
        <v>1</v>
      </c>
      <c r="AV31" s="26">
        <f t="shared" si="9"/>
        <v>1</v>
      </c>
      <c r="AW31" s="28">
        <f t="shared" si="10"/>
        <v>1</v>
      </c>
    </row>
    <row r="32" spans="1:49">
      <c r="A32" s="14">
        <v>30</v>
      </c>
      <c r="B32" s="17">
        <f>_xlfn.MAXIFS('Model output'!B:B,'Model output'!Z:Z,'Classification result'!$A32)</f>
        <v>45287</v>
      </c>
      <c r="C32" s="17"/>
      <c r="D32" s="17"/>
      <c r="E32" s="18">
        <f>_xlfn.MAXIFS('Model output'!C:C,'Model output'!Z:Z,'Classification result'!$A32)</f>
        <v>39</v>
      </c>
      <c r="F32" s="18" t="str" cm="1">
        <f t="array" ref="F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G32" s="18" t="str" cm="1">
        <f t="array" ref="G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/>
      </c>
      <c r="H32" s="18" cm="1">
        <f t="array" ref="H32">IF(AND(SUBSTITUTE(_xlfn.TEXTJOIN("/", TRUE, _xlfn._xlws.FILTER('Model output'!F:F, 'Model output'!Z:Z=A32)),"M", "")="", K32="negative"),0,IF(K32="positive",1,0))</f>
        <v>0</v>
      </c>
      <c r="I32" t="str">
        <f t="shared" si="0"/>
        <v>positive</v>
      </c>
      <c r="J32" t="str" cm="1">
        <f t="array" ref="J32">IF(AND(M32&gt;0,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output'!Z:Z=A32)),1)))),"lateral",IF(AND(M32=0, _xlfn.TEXTJOIN("; ", TRUE, _xlfn._xlws.FILTER('Model output'!G:G, 'Model output'!Z:Z=A32))=""),"", "central"))</f>
        <v>lateral</v>
      </c>
      <c r="K32" s="18" t="str" cm="1">
        <f t="array" ref="K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L32" s="18">
        <f>IF(IFERROR(INDEX('Model output'!I:I, MATCH(A32, 'Model output'!Z:Z, 0)), "") &lt; M32, "", IFERROR(INDEX('Model output'!I:I, MATCH(A32, 'Model output'!Z:Z, 0)), ""))</f>
        <v>24</v>
      </c>
      <c r="M32" s="18">
        <f>IFERROR(INDEX('Model output'!J:J, MATCH(A32, 'Model output'!Z:Z, 0)), "")</f>
        <v>3</v>
      </c>
      <c r="N32" s="19" t="str" cm="1">
        <f t="array" ref="N32">ReplaceTo(ReplaceAnd(SUBSTITUTE(SUBSTITUTE(_xlfn.TEXTJOIN("; ", TRUE, _xlfn._xlws.FILTER('Model output'!K:K, 'Model output'!Z:Z=A32)), " ", ""), ",", ";")))</f>
        <v>5.7mm</v>
      </c>
      <c r="O32" t="str" cm="1">
        <f t="array" ref="O32">IF(LEFT(IF(RIGHT(SUBSTITUTE(FilterWithUnits(N32)&amp;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";")),1)=";",RIGHT(IF(RIGHT(SUBSTITUTE(FilterWithUnits(N32)&amp;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";")),LEN(IF(RIGHT(SUBSTITUTE(FilterWithUnits(N32)&amp;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";")))-1),IF(RIGHT(SUBSTITUTE(FilterWithUnits(N32)&amp;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</f>
        <v>5.7mm</v>
      </c>
      <c r="P32" cm="1">
        <f t="array" ref="P32">IF(MaxSize((SplitDimensions(O32)))=0, "", MaxSize((SplitDimensions(O32))))</f>
        <v>0.57000000000000006</v>
      </c>
      <c r="Q32" t="str" cm="1">
        <f t="array" ref="Q32">IF(ISERROR(INDEX(_xlfn._xlws.FILTER('Model output'!L:L, ('Model output'!Z:Z=A32)*('Model output'!L:L&lt;&gt;"")), 1)), " ", LOWER(INDEX(_xlfn._xlws.FILTER('Model output'!L:L, ('Model output'!Z:Z=A32)*('Model output'!L:L&lt;&gt;"")), 1)))</f>
        <v>papillary carcinoma</v>
      </c>
      <c r="R32" t="str" cm="1">
        <f t="array" ref="R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 subtype</v>
      </c>
      <c r="S32" t="str" cm="1">
        <f t="array" ref="S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T32" t="str" cm="1">
        <f t="array" ref="T32">IF(LEFT(IF(RIGHT(SUBSTITUTE(FilterWithUnits(S32)&amp;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";")),1)=";",RIGHT(IF(RIGHT(SUBSTITUTE(FilterWithUnits(S32)&amp;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";")),LEN(IF(RIGHT(SUBSTITUTE(FilterWithUnits(S32)&amp;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";")))-1),IF(RIGHT(SUBSTITUTE(FilterWithUnits(S32)&amp;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</f>
        <v>12mm</v>
      </c>
      <c r="U32" cm="1">
        <f t="array" ref="U32">IF(MaxSize((SplitDimensions(T32)))=0, "", MaxSize((SplitDimensions(T32))))</f>
        <v>1.2</v>
      </c>
      <c r="V32" s="18" t="str" cm="1">
        <f t="array" ref="V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negative</v>
      </c>
      <c r="X32" t="str" cm="1">
        <f t="array" ref="X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Y32" t="str">
        <f t="shared" si="11"/>
        <v>no</v>
      </c>
      <c r="Z32" t="str" cm="1">
        <f t="array" ref="Z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positive</v>
      </c>
      <c r="AA32" s="18" t="str">
        <f t="shared" si="12"/>
        <v>negative</v>
      </c>
      <c r="AE32" s="18" t="str">
        <f t="shared" si="13"/>
        <v>negative</v>
      </c>
      <c r="AF32" t="str" cm="1">
        <f t="array" ref="AF32">_xlfn.TEXTJOIN("; ",TRUE,_xlfn._xlws.FILTER('Model output'!S:S,'Model output'!Z:Z=A32))</f>
        <v>Not identified; Not identified</v>
      </c>
      <c r="AG32" s="18" t="str" cm="1">
        <f t="array" ref="AG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output'!Z:Z=A32)),1)),"unknown","negative"))</f>
        <v>negative</v>
      </c>
      <c r="AI32" s="49" t="str">
        <f t="shared" si="1"/>
        <v>intermediate</v>
      </c>
      <c r="AJ32" s="42" t="str">
        <f t="shared" ref="AJ32:AJ37" si="19">IF(OR(ISNUMBER(SEARCH("non-invasive follicular",Q32)),ISNUMBER(SEARCH("papillary-like nuclear features",Q32)),ISNUMBER(SEARCH("non-invasive follicular",R32)),ISNUMBER(SEARCH("papillary-like nuclear features",R32))),"NIFTP", IF(OR(F32="4b",AND(AE32="positive",OR(ISNUMBER(SEARCH("prevertebral",AF32)),ISNUMBER(SEARCH("fascia",AF32)),ISNUMBER(SEARCH("carotid artery",AF32)),ISNUMBER(SEARCH("mediastinal",AF32))))),"4b",IF(OR(F32="4a",AND(AE32="positive",OR(ISNUMBER(SEARCH("soft tissue",AF32)),ISNUMBER(SEARCH("larynx",AF32)),ISNUMBER(SEARCH("trachea",AF32)),ISNUMBER(SEARCH("esophagus",AF32)),ISNUMBER(SEARCH("recurrent laryngeal nerve",AF32)),ISNUMBER(SEARCH("RLN",AF32))))),"4a", IF(OR(F32="3b", AE32="positive",ISNUMBER(SEARCH("strap",AF32)),ISNUMBER(SEARCH("sternothyroid",AF32)),ISNUMBER(SEARCH("sternohyoid",AF32)),ISNUMBER(SEARCH("thyrohyoid",AF32)),ISNUMBER(SEARCH("omohyoid",AF32))),"3b",IF(OR(F32="3a", AND(U32&lt;&gt;"",U32&gt;4)),"3a",IF(AND(U32&lt;&gt;"", U32&lt;=4,U32&gt;2),"2",IF(AND(U32&lt;&gt;"",U32&lt;=2,U32&gt;1),"1b",IF(AND(U32&lt;&gt;"",U32&lt;=1),"1a","1a"))))))))</f>
        <v>1b</v>
      </c>
      <c r="AK32" s="42" t="str">
        <f t="shared" si="15"/>
        <v>1b</v>
      </c>
      <c r="AL32" s="42">
        <f t="shared" si="16"/>
        <v>0</v>
      </c>
      <c r="AM32" s="42" t="str">
        <f t="shared" si="17"/>
        <v>I</v>
      </c>
      <c r="AN32" s="43" t="s">
        <v>169</v>
      </c>
      <c r="AO32" s="44" t="s">
        <v>189</v>
      </c>
      <c r="AP32" s="44" t="s">
        <v>189</v>
      </c>
      <c r="AQ32" s="44">
        <v>0</v>
      </c>
      <c r="AR32" s="44" t="s">
        <v>31</v>
      </c>
      <c r="AS32" s="11">
        <f t="shared" si="6"/>
        <v>1</v>
      </c>
      <c r="AT32" s="26">
        <f t="shared" si="7"/>
        <v>1</v>
      </c>
      <c r="AU32" s="26">
        <f t="shared" si="8"/>
        <v>1</v>
      </c>
      <c r="AV32" s="26">
        <f t="shared" si="9"/>
        <v>1</v>
      </c>
      <c r="AW32" s="28">
        <f t="shared" si="10"/>
        <v>1</v>
      </c>
    </row>
    <row r="33" spans="1:50">
      <c r="A33" s="14">
        <v>31</v>
      </c>
      <c r="B33" s="17">
        <f>_xlfn.MAXIFS('Model output'!B:B,'Model output'!Z:Z,'Classification result'!$A33)</f>
        <v>43304</v>
      </c>
      <c r="C33" s="17"/>
      <c r="D33" s="17"/>
      <c r="E33" s="18">
        <f>_xlfn.MAXIFS('Model output'!C:C,'Model output'!Z:Z,'Classification result'!$A33)</f>
        <v>60</v>
      </c>
      <c r="F33" s="18" t="str" cm="1">
        <f t="array" ref="F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/>
      </c>
      <c r="G33" s="18" t="str" cm="1">
        <f t="array" ref="G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</v>
      </c>
      <c r="H33" s="18" cm="1">
        <f t="array" ref="H33">IF(AND(SUBSTITUTE(_xlfn.TEXTJOIN("/", TRUE, _xlfn._xlws.FILTER('Model output'!F:F, 'Model output'!Z:Z=A33)),"M", "")="", K33="negative"),0,IF(K33="positive",1,0))</f>
        <v>0</v>
      </c>
      <c r="I33" t="str">
        <f t="shared" si="0"/>
        <v>positive</v>
      </c>
      <c r="J33" t="str" cm="1">
        <f t="array" ref="J33">IF(AND(M33&gt;0,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output'!Z:Z=A33)),1)))),"lateral",IF(AND(M33=0, _xlfn.TEXTJOIN("; ", TRUE, _xlfn._xlws.FILTER('Model output'!G:G, 'Model output'!Z:Z=A33))=""),"", "central"))</f>
        <v>central</v>
      </c>
      <c r="K33" s="18" t="str" cm="1">
        <f t="array" ref="K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L33" s="18">
        <f>IF(IFERROR(INDEX('Model output'!I:I, MATCH(A33, 'Model output'!Z:Z, 0)), "") &lt; M33, "", IFERROR(INDEX('Model output'!I:I, MATCH(A33, 'Model output'!Z:Z, 0)), ""))</f>
        <v>1</v>
      </c>
      <c r="M33" s="18">
        <f>IFERROR(INDEX('Model output'!J:J, MATCH(A33, 'Model output'!Z:Z, 0)), "")</f>
        <v>1</v>
      </c>
      <c r="N33" s="19" t="str" cm="1">
        <f t="array" ref="N33">ReplaceTo(ReplaceAnd(SUBSTITUTE(SUBSTITUTE(_xlfn.TEXTJOIN("; ", TRUE, _xlfn._xlws.FILTER('Model output'!K:K, 'Model output'!Z:Z=A33)), " ", ""), ",", ";")))</f>
        <v>4mm</v>
      </c>
      <c r="O33" t="str" cm="1">
        <f t="array" ref="O33">IF(LEFT(IF(RIGHT(SUBSTITUTE(FilterWithUnits(N33)&amp;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";")),1)=";",RIGHT(IF(RIGHT(SUBSTITUTE(FilterWithUnits(N33)&amp;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";")),LEN(IF(RIGHT(SUBSTITUTE(FilterWithUnits(N33)&amp;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";")))-1),IF(RIGHT(SUBSTITUTE(FilterWithUnits(N33)&amp;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</f>
        <v>4mm</v>
      </c>
      <c r="P33" cm="1">
        <f t="array" ref="P33">IF(MaxSize((SplitDimensions(O33)))=0, "", MaxSize((SplitDimensions(O33))))</f>
        <v>0.4</v>
      </c>
      <c r="Q33" t="str" cm="1">
        <f t="array" ref="Q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R33" t="str" cm="1">
        <f t="array" ref="R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S33" t="str" cm="1">
        <f t="array" ref="S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T33" t="str" cm="1">
        <f t="array" ref="T33">IF(LEFT(IF(RIGHT(SUBSTITUTE(FilterWithUnits(S33)&amp;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";")),1)=";",RIGHT(IF(RIGHT(SUBSTITUTE(FilterWithUnits(S33)&amp;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";")),LEN(IF(RIGHT(SUBSTITUTE(FilterWithUnits(S33)&amp;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";")))-1),IF(RIGHT(SUBSTITUTE(FilterWithUnits(S33)&amp;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</f>
        <v>4.5x3x2cm</v>
      </c>
      <c r="U33" cm="1">
        <f t="array" ref="U33">IF(MaxSize((SplitDimensions(T33)))=0, "", MaxSize((SplitDimensions(T33))))</f>
        <v>4.5</v>
      </c>
      <c r="V33" s="18" t="str" cm="1">
        <f t="array" ref="V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X33" t="str" cm="1">
        <f t="array" ref="X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/>
      </c>
      <c r="Y33" t="str">
        <f t="shared" si="11"/>
        <v>minimal</v>
      </c>
      <c r="Z33" t="str" cm="1">
        <f t="array" ref="Z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AA33" s="18" t="str">
        <f t="shared" si="12"/>
        <v>positive</v>
      </c>
      <c r="AE33" s="18" t="str">
        <f t="shared" si="13"/>
        <v>negative</v>
      </c>
      <c r="AF33" t="str" cm="1">
        <f t="array" ref="AF33">_xlfn.TEXTJOIN("; ",TRUE,_xlfn._xlws.FILTER('Model output'!S:S,'Model output'!Z:Z=A33))</f>
        <v>Present; Present</v>
      </c>
      <c r="AG33" s="18" t="str" cm="1">
        <f t="array" ref="AG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output'!Z:Z=A33)),1)),"unknown","negative"))</f>
        <v>negative</v>
      </c>
      <c r="AI33" s="49" t="str">
        <f t="shared" si="1"/>
        <v>intermediate</v>
      </c>
      <c r="AJ33" s="42" t="str">
        <f>IF(OR(ISNUMBER(SEARCH("non-invasive follicular",Q33)),ISNUMBER(SEARCH("papillary-like nuclear features",Q33)),ISNUMBER(SEARCH("non-invasive follicular",R33)),ISNUMBER(SEARCH("papillary-like nuclear features",R33))),"NIFTP", IF(OR(F33="4b",AND(AE33="positive",OR(ISNUMBER(SEARCH("prevertebral",AF33)),ISNUMBER(SEARCH("fascia",AF33)),ISNUMBER(SEARCH("carotid artery",AF33)),ISNUMBER(SEARCH("mediastinal",AF33))))),"4b",IF(OR(F33="4a",AND(AE33="positive",OR(ISNUMBER(SEARCH("soft tissue",AF33)),ISNUMBER(SEARCH("larynx",AF33)),ISNUMBER(SEARCH("trachea",AF33)),ISNUMBER(SEARCH("esophagus",AF33)),ISNUMBER(SEARCH("recurrent laryngeal nerve",AF33)),ISNUMBER(SEARCH("RLN",AF33))))),"4a", IF(OR(F33="3b", AE33="positive",ISNUMBER(SEARCH("strap",AF33)),ISNUMBER(SEARCH("sternothyroid",AF33)),ISNUMBER(SEARCH("sternohyoid",AF33)),ISNUMBER(SEARCH("thyrohyoid",AF33)),ISNUMBER(SEARCH("omohyoid",AF33))),"3b",IF(OR(F33="3a", AND(U33&lt;&gt;"",U33&gt;4)),"3a",IF(AND(U33&lt;&gt;"", U33&lt;=4,U33&gt;2),"2",IF(AND(U33&lt;&gt;"",U33&lt;=2,U33&gt;1),"1b",IF(AND(U33&lt;&gt;"",U33&lt;=1),"1a","1a"))))))))</f>
        <v>3a</v>
      </c>
      <c r="AK33" s="42" t="str">
        <f t="shared" si="15"/>
        <v>1a</v>
      </c>
      <c r="AL33" s="42">
        <f t="shared" si="16"/>
        <v>0</v>
      </c>
      <c r="AM33" s="42" t="str">
        <f t="shared" si="17"/>
        <v>II</v>
      </c>
      <c r="AN33" s="43" t="s">
        <v>170</v>
      </c>
      <c r="AO33" s="44" t="s">
        <v>195</v>
      </c>
      <c r="AP33" s="44" t="s">
        <v>191</v>
      </c>
      <c r="AQ33" s="44">
        <v>0</v>
      </c>
      <c r="AR33" s="44" t="s">
        <v>351</v>
      </c>
      <c r="AS33" s="11">
        <f t="shared" si="6"/>
        <v>0</v>
      </c>
      <c r="AT33" s="26">
        <f t="shared" si="7"/>
        <v>0</v>
      </c>
      <c r="AU33" s="26">
        <f t="shared" si="8"/>
        <v>1</v>
      </c>
      <c r="AV33" s="26">
        <f t="shared" si="9"/>
        <v>1</v>
      </c>
      <c r="AW33" s="28">
        <f t="shared" si="10"/>
        <v>0</v>
      </c>
    </row>
    <row r="34" spans="1:50">
      <c r="A34" s="14">
        <v>32</v>
      </c>
      <c r="B34" s="17">
        <f>_xlfn.MAXIFS('Model output'!B:B,'Model output'!Z:Z,'Classification result'!$A34)</f>
        <v>44630</v>
      </c>
      <c r="C34" s="17"/>
      <c r="D34" s="17"/>
      <c r="E34" s="18">
        <f>_xlfn.MAXIFS('Model output'!C:C,'Model output'!Z:Z,'Classification result'!$A34)</f>
        <v>72</v>
      </c>
      <c r="F34" s="18" t="str" cm="1">
        <f t="array" ref="F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4b</v>
      </c>
      <c r="G34" s="18" t="str" cm="1">
        <f t="array" ref="G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X</v>
      </c>
      <c r="H34" s="18" cm="1">
        <f t="array" ref="H34">IF(AND(SUBSTITUTE(_xlfn.TEXTJOIN("/", TRUE, _xlfn._xlws.FILTER('Model output'!F:F, 'Model output'!Z:Z=A34)),"M", "")="", K34="negative"),0,IF(K34="positive",1,0))</f>
        <v>0</v>
      </c>
      <c r="I34" t="str">
        <f t="shared" si="0"/>
        <v>positive</v>
      </c>
      <c r="J34" t="str" cm="1">
        <f t="array" ref="J34">IF(AND(M34&gt;0,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output'!Z:Z=A34)),1)))),"lateral",IF(AND(M34=0, _xlfn.TEXTJOIN("; ", TRUE, _xlfn._xlws.FILTER('Model output'!G:G, 'Model output'!Z:Z=A34))=""),"", "central"))</f>
        <v>central</v>
      </c>
      <c r="K34" s="18" t="str" cm="1">
        <f t="array" ref="K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L34" s="18">
        <f>IF(IFERROR(INDEX('Model output'!I:I, MATCH(A34, 'Model output'!Z:Z, 0)), "") &lt; M34, "", IFERROR(INDEX('Model output'!I:I, MATCH(A34, 'Model output'!Z:Z, 0)), ""))</f>
        <v>3</v>
      </c>
      <c r="M34" s="18">
        <f>IFERROR(INDEX('Model output'!J:J, MATCH(A34, 'Model output'!Z:Z, 0)), "")</f>
        <v>1</v>
      </c>
      <c r="N34" s="19" t="str" cm="1">
        <f t="array" ref="N34">ReplaceTo(ReplaceAnd(SUBSTITUTE(SUBSTITUTE(_xlfn.TEXTJOIN("; ", TRUE, _xlfn._xlws.FILTER('Model output'!K:K, 'Model output'!Z:Z=A34)), " ", ""), ",", ";")))</f>
        <v>2.5cm</v>
      </c>
      <c r="O34" t="str" cm="1">
        <f t="array" ref="O34">IF(LEFT(IF(RIGHT(SUBSTITUTE(FilterWithUnits(N34)&amp;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";")),1)=";",RIGHT(IF(RIGHT(SUBSTITUTE(FilterWithUnits(N34)&amp;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";")),LEN(IF(RIGHT(SUBSTITUTE(FilterWithUnits(N34)&amp;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";")))-1),IF(RIGHT(SUBSTITUTE(FilterWithUnits(N34)&amp;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</f>
        <v>2.5cm</v>
      </c>
      <c r="P34" cm="1">
        <f t="array" ref="P34">IF(MaxSize((SplitDimensions(O34)))=0, "", MaxSize((SplitDimensions(O34))))</f>
        <v>2.5</v>
      </c>
      <c r="Q34" t="str" cm="1">
        <f t="array" ref="Q34">IF(ISERROR(INDEX(_xlfn._xlws.FILTER('Model output'!L:L, ('Model output'!Z:Z=A34)*('Model output'!L:L&lt;&gt;"")), 1)), " ", LOWER(INDEX(_xlfn._xlws.FILTER('Model output'!L:L, ('Model output'!Z:Z=A34)*('Model output'!L:L&lt;&gt;"")), 1)))</f>
        <v>follicular carcinoma</v>
      </c>
      <c r="R34" t="str" cm="1">
        <f t="array" ref="R34">IF(ISERROR(INDEX(_xlfn._xlws.FILTER('Model output'!M:M, ('Model output'!Z:Z=A34)*('Model output'!M:M&lt;&gt;"")), 1)), " ", LOWER(INDEX(_xlfn._xlws.FILTER('Model output'!M:M, ('Model output'!Z:Z=A34)*('Model output'!M:M&lt;&gt;"")), 1)))</f>
        <v xml:space="preserve"> </v>
      </c>
      <c r="S34" t="str" cm="1">
        <f t="array" ref="S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>6cm</v>
      </c>
      <c r="T34" t="str" cm="1">
        <f t="array" ref="T34">IF(LEFT(IF(RIGHT(SUBSTITUTE(FilterWithUnits(S34)&amp;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";")),1)=";",RIGHT(IF(RIGHT(SUBSTITUTE(FilterWithUnits(S34)&amp;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";")),LEN(IF(RIGHT(SUBSTITUTE(FilterWithUnits(S34)&amp;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";")))-1),IF(RIGHT(SUBSTITUTE(FilterWithUnits(S34)&amp;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</f>
        <v>6cm</v>
      </c>
      <c r="U34" cm="1">
        <f t="array" ref="U34">IF(MaxSize((SplitDimensions(T34)))=0, "", MaxSize((SplitDimensions(T34))))</f>
        <v>6</v>
      </c>
      <c r="V34" s="18" t="str" cm="1">
        <f t="array" ref="V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X34" t="str" cm="1">
        <f t="array" ref="X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&gt;4</v>
      </c>
      <c r="Y34" t="str">
        <f t="shared" si="11"/>
        <v>extensive</v>
      </c>
      <c r="Z34" t="str" cm="1">
        <f t="array" ref="Z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AA34" s="18" t="str">
        <f t="shared" si="12"/>
        <v>positive</v>
      </c>
      <c r="AE34" s="18" t="str">
        <f t="shared" si="13"/>
        <v>negative</v>
      </c>
      <c r="AF34" t="str" cm="1">
        <f t="array" ref="AF34">_xlfn.TEXTJOIN("; ",TRUE,_xlfn._xlws.FILTER('Model output'!S:S,'Model output'!Z:Z=A34))</f>
        <v>Present, focally into adjacent fibroadipose tissue</v>
      </c>
      <c r="AG34" s="18" t="str" cm="1">
        <f t="array" ref="AG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output'!Z:Z=A34)),1)),"unknown","negative"))</f>
        <v>negative</v>
      </c>
      <c r="AI34" s="49" t="str">
        <f t="shared" si="1"/>
        <v>high</v>
      </c>
      <c r="AJ34" s="42" t="str">
        <f t="shared" si="19"/>
        <v>4b</v>
      </c>
      <c r="AK34" s="42" t="str">
        <f t="shared" si="15"/>
        <v>1a</v>
      </c>
      <c r="AL34" s="42">
        <f t="shared" si="16"/>
        <v>0</v>
      </c>
      <c r="AM34" s="42" t="str">
        <f t="shared" si="17"/>
        <v>IVA</v>
      </c>
      <c r="AN34" s="43" t="s">
        <v>170</v>
      </c>
      <c r="AO34" s="44" t="s">
        <v>193</v>
      </c>
      <c r="AP34" s="44">
        <v>0</v>
      </c>
      <c r="AQ34" s="44">
        <v>0</v>
      </c>
      <c r="AR34" s="44" t="s">
        <v>43</v>
      </c>
      <c r="AS34" s="11">
        <f t="shared" si="6"/>
        <v>1</v>
      </c>
      <c r="AT34" s="26">
        <f t="shared" si="7"/>
        <v>0</v>
      </c>
      <c r="AU34" s="26">
        <f t="shared" si="8"/>
        <v>0</v>
      </c>
      <c r="AV34" s="26">
        <f t="shared" si="9"/>
        <v>1</v>
      </c>
      <c r="AW34" s="28">
        <f t="shared" si="10"/>
        <v>0</v>
      </c>
    </row>
    <row r="35" spans="1:50">
      <c r="A35" s="14">
        <v>33</v>
      </c>
      <c r="B35" s="17">
        <f>_xlfn.MAXIFS('Model output'!B:B,'Model output'!Z:Z,'Classification result'!$A35)</f>
        <v>44517</v>
      </c>
      <c r="C35" s="17"/>
      <c r="D35" s="17"/>
      <c r="E35" s="18">
        <f>_xlfn.MAXIFS('Model output'!C:C,'Model output'!Z:Z,'Classification result'!$A35)</f>
        <v>41</v>
      </c>
      <c r="F35" s="18" t="str" cm="1">
        <f t="array" ref="F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G35" s="18" t="str" cm="1">
        <f t="array" ref="G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>X</v>
      </c>
      <c r="H35" s="18" cm="1">
        <f t="array" ref="H35">IF(AND(SUBSTITUTE(_xlfn.TEXTJOIN("/", TRUE, _xlfn._xlws.FILTER('Model output'!F:F, 'Model output'!Z:Z=A35)),"M", "")="", K35="negative"),0,IF(K35="positive",1,0))</f>
        <v>1</v>
      </c>
      <c r="I35" t="str">
        <f t="shared" si="0"/>
        <v/>
      </c>
      <c r="J35" t="str" cm="1">
        <f t="array" ref="J35">IF(AND(M35&gt;0,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output'!Z:Z=A35)),1)))),"lateral",IF(AND(M35=0, _xlfn.TEXTJOIN("; ", TRUE, _xlfn._xlws.FILTER('Model output'!G:G, 'Model output'!Z:Z=A35))=""),"", "central"))</f>
        <v/>
      </c>
      <c r="K35" s="18" t="str" cm="1">
        <f t="array" ref="K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L35" s="18">
        <f>IF(IFERROR(INDEX('Model output'!I:I, MATCH(A35, 'Model output'!Z:Z, 0)), "") &lt; M35, "", IFERROR(INDEX('Model output'!I:I, MATCH(A35, 'Model output'!Z:Z, 0)), ""))</f>
        <v>0</v>
      </c>
      <c r="M35" s="18">
        <f>IFERROR(INDEX('Model output'!J:J, MATCH(A35, 'Model output'!Z:Z, 0)), "")</f>
        <v>0</v>
      </c>
      <c r="N35" s="19" t="str" cm="1">
        <f t="array" ref="N35">ReplaceTo(ReplaceAnd(SUBSTITUTE(SUBSTITUTE(_xlfn.TEXTJOIN("; ", TRUE, _xlfn._xlws.FILTER('Model output'!K:K, 'Model output'!Z:Z=A35)), " ", ""), ",", ";")))</f>
        <v/>
      </c>
      <c r="O35" t="str" cm="1">
        <f t="array" ref="O35">IF(LEFT(IF(RIGHT(SUBSTITUTE(FilterWithUnits(N35)&amp;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";")),1)=";",RIGHT(IF(RIGHT(SUBSTITUTE(FilterWithUnits(N35)&amp;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";")),LEN(IF(RIGHT(SUBSTITUTE(FilterWithUnits(N35)&amp;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";")))-1),IF(RIGHT(SUBSTITUTE(FilterWithUnits(N35)&amp;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</f>
        <v/>
      </c>
      <c r="P35" t="str" cm="1">
        <f t="array" ref="P35">IF(MaxSize((SplitDimensions(O35)))=0, "", MaxSize((SplitDimensions(O35))))</f>
        <v/>
      </c>
      <c r="Q35" t="str" cm="1">
        <f t="array" ref="Q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R35" t="str" cm="1">
        <f t="array" ref="R35">IF(ISERROR(INDEX(_xlfn._xlws.FILTER('Model output'!M:M, ('Model output'!Z:Z=A35)*('Model output'!M:M&lt;&gt;"")), 1)), " ", LOWER(INDEX(_xlfn._xlws.FILTER('Model output'!M:M, ('Model output'!Z:Z=A35)*('Model output'!M:M&lt;&gt;"")), 1)))</f>
        <v xml:space="preserve"> </v>
      </c>
      <c r="S35" t="str" cm="1">
        <f t="array" ref="S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T35" t="str" cm="1">
        <f t="array" ref="T35">IF(LEFT(IF(RIGHT(SUBSTITUTE(FilterWithUnits(S35)&amp;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";")),1)=";",RIGHT(IF(RIGHT(SUBSTITUTE(FilterWithUnits(S35)&amp;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";")),LEN(IF(RIGHT(SUBSTITUTE(FilterWithUnits(S35)&amp;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";")))-1),IF(RIGHT(SUBSTITUTE(FilterWithUnits(S35)&amp;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</f>
        <v>0.6mm</v>
      </c>
      <c r="U35" cm="1">
        <f t="array" ref="U35">IF(MaxSize((SplitDimensions(T35)))=0, "", MaxSize((SplitDimensions(T35))))</f>
        <v>0.06</v>
      </c>
      <c r="V35" s="18" t="str" cm="1">
        <f t="array" ref="V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negative</v>
      </c>
      <c r="X35" t="str" cm="1">
        <f t="array" ref="X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Y35" t="str">
        <f t="shared" si="11"/>
        <v>no</v>
      </c>
      <c r="Z35" t="str" cm="1">
        <f t="array" ref="Z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positive</v>
      </c>
      <c r="AA35" s="18" t="str">
        <f t="shared" si="12"/>
        <v>positive</v>
      </c>
      <c r="AE35" s="18" t="str">
        <f t="shared" si="13"/>
        <v>negative</v>
      </c>
      <c r="AF35" t="str" cm="1">
        <f t="array" ref="AF35">_xlfn.TEXTJOIN("; ",TRUE,_xlfn._xlws.FILTER('Model output'!S:S,'Model output'!Z:Z=A35))</f>
        <v>Not identified; Present</v>
      </c>
      <c r="AG35" s="18" t="str" cm="1">
        <f t="array" ref="AG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output'!Z:Z=A35)),1)),"unknown","negative"))</f>
        <v>negative</v>
      </c>
      <c r="AI35" s="49" t="str">
        <f t="shared" si="1"/>
        <v>high</v>
      </c>
      <c r="AJ35" s="42" t="str">
        <f t="shared" si="19"/>
        <v>1a</v>
      </c>
      <c r="AK35" s="42" t="str">
        <f t="shared" si="15"/>
        <v>x</v>
      </c>
      <c r="AL35" s="42">
        <f t="shared" si="16"/>
        <v>1</v>
      </c>
      <c r="AM35" s="42" t="str">
        <f t="shared" si="17"/>
        <v>II</v>
      </c>
      <c r="AN35" s="43" t="s">
        <v>170</v>
      </c>
      <c r="AO35" s="44" t="s">
        <v>191</v>
      </c>
      <c r="AP35" s="44" t="s">
        <v>190</v>
      </c>
      <c r="AQ35" s="44">
        <v>1</v>
      </c>
      <c r="AR35" s="44" t="s">
        <v>43</v>
      </c>
      <c r="AS35" s="11">
        <f t="shared" si="6"/>
        <v>1</v>
      </c>
      <c r="AT35" s="26">
        <f t="shared" si="7"/>
        <v>1</v>
      </c>
      <c r="AU35" s="26">
        <f t="shared" si="8"/>
        <v>1</v>
      </c>
      <c r="AV35" s="26">
        <f t="shared" si="9"/>
        <v>1</v>
      </c>
      <c r="AW35" s="28">
        <f t="shared" si="10"/>
        <v>1</v>
      </c>
    </row>
    <row r="36" spans="1:50">
      <c r="A36" s="14">
        <v>34</v>
      </c>
      <c r="B36" s="17">
        <f>_xlfn.MAXIFS('Model output'!B:B,'Model output'!Z:Z,'Classification result'!$A36)</f>
        <v>44825</v>
      </c>
      <c r="C36" s="17"/>
      <c r="D36" s="17"/>
      <c r="E36" s="18">
        <f>_xlfn.MAXIFS('Model output'!C:C,'Model output'!Z:Z,'Classification result'!$A36)</f>
        <v>63</v>
      </c>
      <c r="F36" s="18" t="str" cm="1">
        <f t="array" ref="F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G36" s="18" t="str" cm="1">
        <f t="array" ref="G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H36" s="18" cm="1">
        <f t="array" ref="H36">IF(AND(SUBSTITUTE(_xlfn.TEXTJOIN("/", TRUE, _xlfn._xlws.FILTER('Model output'!F:F, 'Model output'!Z:Z=A36)),"M", "")="", K36="negative"),0,IF(K36="positive",1,0))</f>
        <v>0</v>
      </c>
      <c r="I36" t="str">
        <f t="shared" si="0"/>
        <v>positive</v>
      </c>
      <c r="J36" t="str" cm="1">
        <f t="array" ref="J36">IF(AND(M36&gt;0,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output'!Z:Z=A36)),1)))),"lateral",IF(AND(M36=0, _xlfn.TEXTJOIN("; ", TRUE, _xlfn._xlws.FILTER('Model output'!G:G, 'Model output'!Z:Z=A36))=""),"", "central"))</f>
        <v>central</v>
      </c>
      <c r="K36" s="18" t="str" cm="1">
        <f t="array" ref="K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L36" s="18">
        <f>IF(IFERROR(INDEX('Model output'!I:I, MATCH(A36, 'Model output'!Z:Z, 0)), "") &lt; M36, "", IFERROR(INDEX('Model output'!I:I, MATCH(A36, 'Model output'!Z:Z, 0)), ""))</f>
        <v>1</v>
      </c>
      <c r="M36" s="18">
        <f>IFERROR(INDEX('Model output'!J:J, MATCH(A36, 'Model output'!Z:Z, 0)), "")</f>
        <v>1</v>
      </c>
      <c r="N36" s="19" t="str" cm="1">
        <f t="array" ref="N36">ReplaceTo(ReplaceAnd(SUBSTITUTE(SUBSTITUTE(_xlfn.TEXTJOIN("; ", TRUE, _xlfn._xlws.FILTER('Model output'!K:K, 'Model output'!Z:Z=A36)), " ", ""), ",", ";")))</f>
        <v>24.5mm</v>
      </c>
      <c r="O36" t="str" cm="1">
        <f t="array" ref="O36">IF(LEFT(IF(RIGHT(SUBSTITUTE(FilterWithUnits(N36)&amp;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";")),1)=";",RIGHT(IF(RIGHT(SUBSTITUTE(FilterWithUnits(N36)&amp;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";")),LEN(IF(RIGHT(SUBSTITUTE(FilterWithUnits(N36)&amp;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";")))-1),IF(RIGHT(SUBSTITUTE(FilterWithUnits(N36)&amp;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</f>
        <v>24.5mm</v>
      </c>
      <c r="P36" cm="1">
        <f t="array" ref="P36">IF(MaxSize((SplitDimensions(O36)))=0, "", MaxSize((SplitDimensions(O36))))</f>
        <v>2.4500000000000002</v>
      </c>
      <c r="Q36" t="str" cm="1">
        <f t="array" ref="Q36">IF(ISERROR(INDEX(_xlfn._xlws.FILTER('Model output'!L:L, ('Model output'!Z:Z=A36)*('Model output'!L:L&lt;&gt;"")), 1)), " ", LOWER(INDEX(_xlfn._xlws.FILTER('Model output'!L:L, ('Model output'!Z:Z=A36)*('Model output'!L:L&lt;&gt;"")), 1)))</f>
        <v>papillary</v>
      </c>
      <c r="R36" t="str" cm="1">
        <f t="array" ref="R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S36" t="str" cm="1">
        <f t="array" ref="S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T36" t="str" cm="1">
        <f t="array" ref="T36">IF(LEFT(IF(RIGHT(SUBSTITUTE(FilterWithUnits(S36)&amp;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";")),1)=";",RIGHT(IF(RIGHT(SUBSTITUTE(FilterWithUnits(S36)&amp;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";")),LEN(IF(RIGHT(SUBSTITUTE(FilterWithUnits(S36)&amp;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";")))-1),IF(RIGHT(SUBSTITUTE(FilterWithUnits(S36)&amp;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</f>
        <v>24.5mm</v>
      </c>
      <c r="U36" cm="1">
        <f t="array" ref="U36">IF(MaxSize((SplitDimensions(T36)))=0, "", MaxSize((SplitDimensions(T36))))</f>
        <v>2.4500000000000002</v>
      </c>
      <c r="V36" s="18" t="str" cm="1">
        <f t="array" ref="V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X36" t="str" cm="1">
        <f t="array" ref="X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Extensive (= or &gt;4 vessels)&gt;4</v>
      </c>
      <c r="Y36" t="str">
        <f t="shared" si="11"/>
        <v>extensive</v>
      </c>
      <c r="Z36" t="str" cm="1">
        <f t="array" ref="Z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positive</v>
      </c>
      <c r="AA36" s="18" t="str">
        <f t="shared" si="12"/>
        <v>positive</v>
      </c>
      <c r="AE36" s="18" t="str">
        <f t="shared" si="13"/>
        <v>positive</v>
      </c>
      <c r="AF36" t="str" cm="1">
        <f t="array" ref="AF36">_xlfn.TEXTJOIN("; ",TRUE,_xlfn._xlws.FILTER('Model output'!S:S,'Model output'!Z:Z=A36))</f>
        <v>Invading subcutaneous soft tissues, larynx, trachea, esophagus or recurrent laryngeal nerve; Present</v>
      </c>
      <c r="AG36" s="18" t="str" cm="1">
        <f t="array" ref="AG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output'!Z:Z=A36)),1)),"unknown","negative"))</f>
        <v>negative</v>
      </c>
      <c r="AI36" s="49" t="str">
        <f t="shared" si="1"/>
        <v>high</v>
      </c>
      <c r="AJ36" s="42" t="str">
        <f t="shared" si="19"/>
        <v>4a</v>
      </c>
      <c r="AK36" s="42" t="str">
        <f t="shared" si="15"/>
        <v>1a</v>
      </c>
      <c r="AL36" s="42">
        <f t="shared" si="16"/>
        <v>0</v>
      </c>
      <c r="AM36" s="42" t="str">
        <f t="shared" si="17"/>
        <v>III</v>
      </c>
      <c r="AN36" s="43" t="s">
        <v>170</v>
      </c>
      <c r="AO36" s="44" t="s">
        <v>194</v>
      </c>
      <c r="AP36" s="44">
        <v>0</v>
      </c>
      <c r="AQ36" s="44">
        <v>0</v>
      </c>
      <c r="AR36" s="44" t="s">
        <v>68</v>
      </c>
      <c r="AS36" s="11">
        <f t="shared" si="6"/>
        <v>1</v>
      </c>
      <c r="AT36" s="26">
        <f t="shared" si="7"/>
        <v>1</v>
      </c>
      <c r="AU36" s="26">
        <f t="shared" si="8"/>
        <v>0</v>
      </c>
      <c r="AV36" s="26">
        <f t="shared" si="9"/>
        <v>1</v>
      </c>
      <c r="AW36" s="28">
        <f t="shared" si="10"/>
        <v>1</v>
      </c>
    </row>
    <row r="37" spans="1:50">
      <c r="A37" s="29">
        <v>35</v>
      </c>
      <c r="B37" s="30">
        <f>_xlfn.MAXIFS('Model output'!B:B,'Model output'!Z:Z,'Classification result'!$A37)</f>
        <v>44419</v>
      </c>
      <c r="C37" s="30"/>
      <c r="D37" s="30"/>
      <c r="E37" s="31">
        <f>_xlfn.MAXIFS('Model output'!C:C,'Model output'!Z:Z,'Classification result'!$A37)</f>
        <v>62</v>
      </c>
      <c r="F37" s="31" t="str" cm="1">
        <f t="array" ref="F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/>
      </c>
      <c r="G37" s="31" t="str" cm="1">
        <f t="array" ref="G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X</v>
      </c>
      <c r="H37" s="31" cm="1">
        <f t="array" ref="H37">IF(AND(SUBSTITUTE(_xlfn.TEXTJOIN("/", TRUE, _xlfn._xlws.FILTER('Model output'!F:F, 'Model output'!Z:Z=A37)),"M", "")="", K37="negative"),0,IF(K37="positive",1,0))</f>
        <v>1</v>
      </c>
      <c r="I37" s="32" t="str">
        <f t="shared" si="0"/>
        <v>positive</v>
      </c>
      <c r="J37" s="32" t="str" cm="1">
        <f t="array" ref="J37">IF(AND(M37&gt;0,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output'!Z:Z=A37)),1)))),"lateral",IF(AND(M37=0, _xlfn.TEXTJOIN("; ", TRUE, _xlfn._xlws.FILTER('Model output'!G:G, 'Model output'!Z:Z=A37))=""),"", "central"))</f>
        <v>lateral</v>
      </c>
      <c r="K37" s="31" t="str" cm="1">
        <f t="array" ref="K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L37" s="31">
        <f>IF(IFERROR(INDEX('Model output'!I:I, MATCH(A37, 'Model output'!Z:Z, 0)), "") &lt; M37, "", IFERROR(INDEX('Model output'!I:I, MATCH(A37, 'Model output'!Z:Z, 0)), ""))</f>
        <v>35</v>
      </c>
      <c r="M37" s="31">
        <f>IFERROR(INDEX('Model output'!J:J, MATCH(A37, 'Model output'!Z:Z, 0)), "")</f>
        <v>7</v>
      </c>
      <c r="N37" s="33" t="str" cm="1">
        <f t="array" ref="N37">ReplaceTo(ReplaceAnd(SUBSTITUTE(SUBSTITUTE(_xlfn.TEXTJOIN("; ", TRUE, _xlfn._xlws.FILTER('Model output'!K:K, 'Model output'!Z:Z=A37)), " ", ""), ",", ";")))</f>
        <v>1.2cm</v>
      </c>
      <c r="O37" s="32" t="str" cm="1">
        <f t="array" ref="O37">IF(LEFT(IF(RIGHT(SUBSTITUTE(FilterWithUnits(N37)&amp;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";")),1)=";",RIGHT(IF(RIGHT(SUBSTITUTE(FilterWithUnits(N37)&amp;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";")),LEN(IF(RIGHT(SUBSTITUTE(FilterWithUnits(N37)&amp;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";")))-1),IF(RIGHT(SUBSTITUTE(FilterWithUnits(N37)&amp;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</f>
        <v>1.2cm</v>
      </c>
      <c r="P37" s="32" cm="1">
        <f t="array" ref="P37">IF(MaxSize((SplitDimensions(O37)))=0, "", MaxSize((SplitDimensions(O37))))</f>
        <v>1.2</v>
      </c>
      <c r="Q37" s="32" t="str" cm="1">
        <f t="array" ref="Q37">IF(ISERROR(INDEX(_xlfn._xlws.FILTER('Model output'!L:L, ('Model output'!Z:Z=A37)*('Model output'!L:L&lt;&gt;"")), 1)), " ", LOWER(INDEX(_xlfn._xlws.FILTER('Model output'!L:L, ('Model output'!Z:Z=A37)*('Model output'!L:L&lt;&gt;"")), 1)))</f>
        <v>papillary</v>
      </c>
      <c r="R37" s="32" t="str" cm="1">
        <f t="array" ref="R37">IF(ISERROR(INDEX(_xlfn._xlws.FILTER('Model output'!M:M, ('Model output'!Z:Z=A37)*('Model output'!M:M&lt;&gt;"")), 1)), " ", LOWER(INDEX(_xlfn._xlws.FILTER('Model output'!M:M, ('Model output'!Z:Z=A37)*('Model output'!M:M&lt;&gt;"")), 1)))</f>
        <v>tall cell</v>
      </c>
      <c r="S37" s="32" t="str" cm="1">
        <f t="array" ref="S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5.5cm</v>
      </c>
      <c r="T37" s="32" t="str" cm="1">
        <f t="array" ref="T37">IF(LEFT(IF(RIGHT(SUBSTITUTE(FilterWithUnits(S37)&amp;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";")),1)=";",RIGHT(IF(RIGHT(SUBSTITUTE(FilterWithUnits(S37)&amp;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";")),LEN(IF(RIGHT(SUBSTITUTE(FilterWithUnits(S37)&amp;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";")))-1),IF(RIGHT(SUBSTITUTE(FilterWithUnits(S37)&amp;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</f>
        <v>5.5cm</v>
      </c>
      <c r="U37" s="32" cm="1">
        <f t="array" ref="U37">IF(MaxSize((SplitDimensions(T37)))=0, "", MaxSize((SplitDimensions(T37))))</f>
        <v>5.5</v>
      </c>
      <c r="V37" s="31" t="str" cm="1">
        <f t="array" ref="V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W37" s="31"/>
      <c r="X37" s="32" t="str" cm="1">
        <f t="array" ref="X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/>
      </c>
      <c r="Y37" s="32" t="str">
        <f t="shared" si="11"/>
        <v>minimal</v>
      </c>
      <c r="Z37" s="32" t="str" cm="1">
        <f t="array" ref="Z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AA37" s="31" t="str">
        <f t="shared" si="12"/>
        <v>positive</v>
      </c>
      <c r="AB37" s="31"/>
      <c r="AC37" s="31"/>
      <c r="AD37" s="31"/>
      <c r="AE37" s="31" t="str">
        <f t="shared" si="13"/>
        <v>negative</v>
      </c>
      <c r="AF37" s="32" t="str" cm="1">
        <f t="array" ref="AF37">_xlfn.TEXTJOIN("; ",TRUE,_xlfn._xlws.FILTER('Model output'!S:S,'Model output'!Z:Z=A37))</f>
        <v>Present; Present</v>
      </c>
      <c r="AG37" s="31" t="str" cm="1">
        <f t="array" ref="AG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output'!Z:Z=A37)),1)),"unknown","negative"))</f>
        <v>negative</v>
      </c>
      <c r="AH37" s="31"/>
      <c r="AI37" s="50" t="str">
        <f t="shared" si="1"/>
        <v>high</v>
      </c>
      <c r="AJ37" s="45" t="str">
        <f t="shared" si="19"/>
        <v>3a</v>
      </c>
      <c r="AK37" s="45" t="str">
        <f t="shared" si="15"/>
        <v>1b</v>
      </c>
      <c r="AL37" s="45">
        <f t="shared" si="16"/>
        <v>1</v>
      </c>
      <c r="AM37" s="45" t="str">
        <f t="shared" si="17"/>
        <v>IVB</v>
      </c>
      <c r="AN37" s="46" t="s">
        <v>170</v>
      </c>
      <c r="AO37" s="47" t="s">
        <v>350</v>
      </c>
      <c r="AP37" s="47" t="s">
        <v>189</v>
      </c>
      <c r="AQ37" s="47">
        <v>1</v>
      </c>
      <c r="AR37" s="47" t="s">
        <v>352</v>
      </c>
      <c r="AS37" s="34">
        <f t="shared" si="6"/>
        <v>1</v>
      </c>
      <c r="AT37" s="35">
        <f t="shared" si="7"/>
        <v>0</v>
      </c>
      <c r="AU37" s="35">
        <f t="shared" si="8"/>
        <v>1</v>
      </c>
      <c r="AV37" s="35">
        <f t="shared" si="9"/>
        <v>1</v>
      </c>
      <c r="AW37" s="36">
        <f t="shared" si="10"/>
        <v>1</v>
      </c>
    </row>
    <row r="38" spans="1:50">
      <c r="A38" s="14"/>
    </row>
    <row r="39" spans="1:50">
      <c r="A39" s="14"/>
      <c r="F39" s="19"/>
      <c r="G39" s="19"/>
      <c r="Z39" s="13"/>
      <c r="AS39" s="12"/>
      <c r="AT39" s="22"/>
      <c r="AU39" s="22"/>
      <c r="AV39" s="22"/>
      <c r="AW39" s="22"/>
      <c r="AX39" s="13"/>
    </row>
    <row r="40" spans="1:50">
      <c r="A40" s="14"/>
      <c r="F40" s="19"/>
      <c r="G40" t="str">
        <f>IF(ISNUMBER(SEARCH("N",G3,1)),FIND("N",G3,1), "")</f>
        <v/>
      </c>
      <c r="AR40" s="13"/>
      <c r="AS40" s="21"/>
      <c r="AT40" s="21"/>
      <c r="AU40" s="21"/>
      <c r="AV40" s="21"/>
      <c r="AW40" s="21"/>
    </row>
    <row r="41" spans="1:50">
      <c r="A41" s="14"/>
      <c r="F41" s="19"/>
      <c r="G41" t="str">
        <f>IF(ISNUMBER(SEARCH("N",G4,1)),FIND("N",G4,1), "")</f>
        <v/>
      </c>
    </row>
    <row r="42" spans="1:50">
      <c r="A42" s="14"/>
      <c r="F42" s="19"/>
    </row>
    <row r="43" spans="1:50">
      <c r="A43" s="14"/>
      <c r="F43" s="19"/>
    </row>
    <row r="44" spans="1:50">
      <c r="A44" s="14"/>
      <c r="F44" s="19"/>
    </row>
    <row r="45" spans="1:50">
      <c r="A45" s="14"/>
      <c r="F45" s="19"/>
    </row>
    <row r="46" spans="1:50">
      <c r="A46" s="14"/>
      <c r="F46" s="19"/>
    </row>
    <row r="47" spans="1:50">
      <c r="A47" s="14"/>
      <c r="F47" s="19"/>
    </row>
    <row r="48" spans="1:50">
      <c r="A48" s="14"/>
      <c r="F48" s="19"/>
    </row>
    <row r="49" spans="1:6">
      <c r="A49" s="14"/>
      <c r="F49" s="19"/>
    </row>
    <row r="50" spans="1:6">
      <c r="A50" s="14"/>
    </row>
    <row r="51" spans="1:6">
      <c r="A51" s="14"/>
    </row>
    <row r="52" spans="1:6">
      <c r="A52" s="14"/>
    </row>
    <row r="53" spans="1:6">
      <c r="A53" s="14"/>
    </row>
    <row r="54" spans="1:6">
      <c r="A54" s="14"/>
    </row>
    <row r="55" spans="1:6">
      <c r="A55" s="14"/>
    </row>
    <row r="56" spans="1:6">
      <c r="A56" s="14"/>
    </row>
    <row r="57" spans="1:6">
      <c r="A57" s="14"/>
    </row>
    <row r="58" spans="1:6">
      <c r="A58" s="14"/>
    </row>
    <row r="59" spans="1:6">
      <c r="A59" s="14"/>
    </row>
    <row r="60" spans="1:6">
      <c r="A60" s="14"/>
    </row>
    <row r="61" spans="1:6">
      <c r="A61" s="14"/>
    </row>
    <row r="62" spans="1:6">
      <c r="A62" s="14"/>
    </row>
    <row r="63" spans="1:6">
      <c r="A63" s="14"/>
    </row>
    <row r="64" spans="1:6">
      <c r="A64" s="14"/>
    </row>
  </sheetData>
  <mergeCells count="4">
    <mergeCell ref="A1:AG1"/>
    <mergeCell ref="AI1:AM1"/>
    <mergeCell ref="AN1:AR1"/>
    <mergeCell ref="AS1:AW1"/>
  </mergeCells>
  <conditionalFormatting sqref="AL1:AL2">
    <cfRule type="containsText" dxfId="2" priority="8" operator="containsText" text="x">
      <formula>NOT(ISERROR(SEARCH("x",AL1)))</formula>
    </cfRule>
  </conditionalFormatting>
  <conditionalFormatting sqref="AQ1">
    <cfRule type="containsText" dxfId="1" priority="7" operator="containsText" text="x">
      <formula>NOT(ISERROR(SEARCH("x",AQ1)))</formula>
    </cfRule>
  </conditionalFormatting>
  <conditionalFormatting sqref="AV1">
    <cfRule type="containsText" dxfId="0" priority="6" operator="containsText" text="x">
      <formula>NOT(ISERROR(SEARCH("x",AV1)))</formula>
    </cfRule>
  </conditionalFormatting>
  <pageMargins left="0.7" right="0.7" top="0.75" bottom="0.75" header="0.3" footer="0.3"/>
  <pageSetup paperSize="9" orientation="portrait" horizontalDpi="0" verticalDpi="0"/>
  <ignoredErrors>
    <ignoredError sqref="AU3:AU37" formula="1"/>
    <ignoredError sqref="AO4:AR3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C1" activePane="topRight" state="frozen"/>
      <selection pane="topRight"/>
    </sheetView>
  </sheetViews>
  <sheetFormatPr defaultColWidth="10.6640625" defaultRowHeight="14.25"/>
  <cols>
    <col min="2" max="2" width="0" hidden="1" customWidth="1"/>
    <col min="4" max="4" width="16.1328125" bestFit="1" customWidth="1"/>
    <col min="7" max="7" width="78.398437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6" hidden="1" customWidth="1"/>
  </cols>
  <sheetData>
    <row r="1" spans="1:26">
      <c r="A1" t="s">
        <v>209</v>
      </c>
      <c r="B1" t="s">
        <v>210</v>
      </c>
      <c r="C1" t="s">
        <v>211</v>
      </c>
      <c r="D1" t="s">
        <v>212</v>
      </c>
      <c r="E1" t="s">
        <v>213</v>
      </c>
      <c r="F1" t="s">
        <v>214</v>
      </c>
      <c r="G1" t="s">
        <v>215</v>
      </c>
      <c r="H1" t="s">
        <v>216</v>
      </c>
      <c r="I1" t="s">
        <v>217</v>
      </c>
      <c r="J1" t="s">
        <v>218</v>
      </c>
      <c r="K1" t="s">
        <v>219</v>
      </c>
      <c r="L1" t="s">
        <v>220</v>
      </c>
      <c r="M1" t="s">
        <v>221</v>
      </c>
      <c r="N1" t="s">
        <v>222</v>
      </c>
      <c r="O1" t="s">
        <v>223</v>
      </c>
      <c r="P1" t="s">
        <v>224</v>
      </c>
      <c r="Q1" t="s">
        <v>225</v>
      </c>
      <c r="R1" t="s">
        <v>226</v>
      </c>
      <c r="S1" t="s">
        <v>237</v>
      </c>
      <c r="T1" t="s">
        <v>227</v>
      </c>
      <c r="U1" t="s">
        <v>228</v>
      </c>
      <c r="V1" t="s">
        <v>229</v>
      </c>
      <c r="W1" t="s">
        <v>230</v>
      </c>
      <c r="X1" t="s">
        <v>231</v>
      </c>
      <c r="Z1" s="15" t="s">
        <v>236</v>
      </c>
    </row>
    <row r="2" spans="1:26">
      <c r="A2" t="s">
        <v>30</v>
      </c>
      <c r="B2" s="23">
        <v>45320</v>
      </c>
      <c r="C2">
        <v>67</v>
      </c>
      <c r="D2" t="s">
        <v>158</v>
      </c>
      <c r="L2" t="s">
        <v>32</v>
      </c>
      <c r="M2" t="s">
        <v>275</v>
      </c>
      <c r="N2" t="s">
        <v>198</v>
      </c>
      <c r="O2">
        <v>1</v>
      </c>
      <c r="P2" t="s">
        <v>174</v>
      </c>
      <c r="R2" t="s">
        <v>177</v>
      </c>
      <c r="S2" t="s">
        <v>174</v>
      </c>
      <c r="V2" t="s">
        <v>278</v>
      </c>
      <c r="W2">
        <v>1</v>
      </c>
      <c r="X2">
        <v>1</v>
      </c>
      <c r="Z2" s="16" cm="1">
        <f t="array" ref="Z2">VALUE(LEFT(A2, MIN(IFERROR(FIND({"o","p"}, A2), LEN(A2)+1))-1))</f>
        <v>1</v>
      </c>
    </row>
    <row r="3" spans="1:26">
      <c r="A3" t="s">
        <v>34</v>
      </c>
      <c r="C3">
        <v>67</v>
      </c>
      <c r="E3" t="s">
        <v>259</v>
      </c>
      <c r="G3" t="s">
        <v>178</v>
      </c>
      <c r="L3" t="s">
        <v>279</v>
      </c>
      <c r="W3">
        <v>1</v>
      </c>
      <c r="X3">
        <v>2</v>
      </c>
      <c r="Z3" s="16" cm="1">
        <f t="array" ref="Z3">VALUE(LEFT(A3, MIN(IFERROR(FIND({"o","p"}, A3), LEN(A3)+1))-1))</f>
        <v>1</v>
      </c>
    </row>
    <row r="4" spans="1:26">
      <c r="A4" t="s">
        <v>36</v>
      </c>
      <c r="B4" s="23">
        <v>45348</v>
      </c>
      <c r="C4">
        <v>39</v>
      </c>
      <c r="D4" t="s">
        <v>159</v>
      </c>
      <c r="L4" t="s">
        <v>32</v>
      </c>
      <c r="M4" t="s">
        <v>280</v>
      </c>
      <c r="N4" t="s">
        <v>37</v>
      </c>
      <c r="P4" t="s">
        <v>174</v>
      </c>
      <c r="R4" t="s">
        <v>177</v>
      </c>
      <c r="S4" t="s">
        <v>174</v>
      </c>
      <c r="V4" t="s">
        <v>281</v>
      </c>
      <c r="W4">
        <v>2</v>
      </c>
      <c r="X4">
        <v>1</v>
      </c>
      <c r="Z4" s="16" cm="1">
        <f t="array" ref="Z4">VALUE(LEFT(A4, MIN(IFERROR(FIND({"o","p"}, A4), LEN(A4)+1))-1))</f>
        <v>2</v>
      </c>
    </row>
    <row r="5" spans="1:26">
      <c r="A5" t="s">
        <v>38</v>
      </c>
      <c r="C5">
        <v>39</v>
      </c>
      <c r="L5" t="s">
        <v>32</v>
      </c>
      <c r="W5">
        <v>2</v>
      </c>
      <c r="X5">
        <v>2</v>
      </c>
      <c r="Z5" s="16" cm="1">
        <f t="array" ref="Z5">VALUE(LEFT(A5, MIN(IFERROR(FIND({"o","p"}, A5), LEN(A5)+1))-1))</f>
        <v>2</v>
      </c>
    </row>
    <row r="6" spans="1:26">
      <c r="A6" t="s">
        <v>39</v>
      </c>
      <c r="B6" s="23">
        <v>45373</v>
      </c>
      <c r="D6" t="s">
        <v>157</v>
      </c>
      <c r="E6" t="s">
        <v>164</v>
      </c>
      <c r="F6" t="s">
        <v>166</v>
      </c>
      <c r="I6">
        <v>5</v>
      </c>
      <c r="J6">
        <v>1</v>
      </c>
      <c r="K6" t="s">
        <v>40</v>
      </c>
      <c r="L6" t="s">
        <v>202</v>
      </c>
      <c r="M6" t="s">
        <v>33</v>
      </c>
      <c r="N6" t="s">
        <v>253</v>
      </c>
      <c r="S6" t="s">
        <v>322</v>
      </c>
      <c r="V6" t="s">
        <v>282</v>
      </c>
      <c r="W6">
        <v>3</v>
      </c>
      <c r="X6">
        <v>1</v>
      </c>
      <c r="Z6" s="16" cm="1">
        <f t="array" ref="Z6">VALUE(LEFT(A6, MIN(IFERROR(FIND({"o","p"}, A6), LEN(A6)+1))-1))</f>
        <v>3</v>
      </c>
    </row>
    <row r="7" spans="1:26">
      <c r="A7" t="s">
        <v>41</v>
      </c>
      <c r="C7">
        <v>52</v>
      </c>
      <c r="W7">
        <v>3</v>
      </c>
      <c r="X7">
        <v>2</v>
      </c>
      <c r="Z7" s="16" cm="1">
        <f t="array" ref="Z7">VALUE(LEFT(A7, MIN(IFERROR(FIND({"o","p"}, A7), LEN(A7)+1))-1))</f>
        <v>3</v>
      </c>
    </row>
    <row r="8" spans="1:26">
      <c r="A8" t="s">
        <v>42</v>
      </c>
      <c r="B8" s="23">
        <v>45412</v>
      </c>
      <c r="D8" t="s">
        <v>156</v>
      </c>
      <c r="E8" t="s">
        <v>164</v>
      </c>
      <c r="G8" t="s">
        <v>323</v>
      </c>
      <c r="I8">
        <v>6</v>
      </c>
      <c r="J8">
        <v>4</v>
      </c>
      <c r="K8" t="s">
        <v>44</v>
      </c>
      <c r="L8" t="s">
        <v>202</v>
      </c>
      <c r="M8" t="s">
        <v>199</v>
      </c>
      <c r="N8" t="s">
        <v>45</v>
      </c>
      <c r="O8">
        <v>1</v>
      </c>
      <c r="R8" t="s">
        <v>177</v>
      </c>
      <c r="S8" t="s">
        <v>324</v>
      </c>
      <c r="V8" t="s">
        <v>262</v>
      </c>
      <c r="W8">
        <v>4</v>
      </c>
      <c r="X8">
        <v>1</v>
      </c>
      <c r="Z8" s="16" cm="1">
        <f t="array" ref="Z8">VALUE(LEFT(A8, MIN(IFERROR(FIND({"o","p"}, A8), LEN(A8)+1))-1))</f>
        <v>4</v>
      </c>
    </row>
    <row r="9" spans="1:26">
      <c r="A9" t="s">
        <v>46</v>
      </c>
      <c r="C9">
        <v>61</v>
      </c>
      <c r="G9" t="s">
        <v>232</v>
      </c>
      <c r="L9" t="s">
        <v>202</v>
      </c>
      <c r="W9">
        <v>4</v>
      </c>
      <c r="X9">
        <v>2</v>
      </c>
      <c r="Z9" s="16" cm="1">
        <f t="array" ref="Z9">VALUE(LEFT(A9, MIN(IFERROR(FIND({"o","p"}, A9), LEN(A9)+1))-1))</f>
        <v>4</v>
      </c>
    </row>
    <row r="10" spans="1:26">
      <c r="A10" t="s">
        <v>47</v>
      </c>
      <c r="B10" s="23">
        <v>45411</v>
      </c>
      <c r="C10">
        <v>34</v>
      </c>
      <c r="D10" t="s">
        <v>208</v>
      </c>
      <c r="E10" t="s">
        <v>207</v>
      </c>
      <c r="I10">
        <v>5</v>
      </c>
      <c r="J10">
        <v>1</v>
      </c>
      <c r="K10" t="s">
        <v>48</v>
      </c>
      <c r="L10" t="s">
        <v>173</v>
      </c>
      <c r="M10" t="s">
        <v>263</v>
      </c>
      <c r="N10" t="s">
        <v>200</v>
      </c>
      <c r="P10" t="s">
        <v>325</v>
      </c>
      <c r="R10" t="s">
        <v>326</v>
      </c>
      <c r="S10" t="s">
        <v>246</v>
      </c>
      <c r="V10" t="s">
        <v>327</v>
      </c>
      <c r="W10">
        <v>5</v>
      </c>
      <c r="X10">
        <v>1</v>
      </c>
      <c r="Z10" s="16" cm="1">
        <f t="array" ref="Z10">VALUE(LEFT(A10, MIN(IFERROR(FIND({"o","p"}, A10), LEN(A10)+1))-1))</f>
        <v>5</v>
      </c>
    </row>
    <row r="11" spans="1:26">
      <c r="A11" t="s">
        <v>49</v>
      </c>
      <c r="B11" s="23">
        <v>45411</v>
      </c>
      <c r="C11">
        <v>34</v>
      </c>
      <c r="E11" t="s">
        <v>238</v>
      </c>
      <c r="F11" t="s">
        <v>239</v>
      </c>
      <c r="G11" t="s">
        <v>178</v>
      </c>
      <c r="I11">
        <v>2</v>
      </c>
      <c r="J11">
        <v>1</v>
      </c>
      <c r="K11" t="s">
        <v>48</v>
      </c>
      <c r="L11" t="s">
        <v>202</v>
      </c>
      <c r="N11" t="s">
        <v>48</v>
      </c>
      <c r="O11">
        <v>1</v>
      </c>
      <c r="W11">
        <v>5</v>
      </c>
      <c r="X11">
        <v>1</v>
      </c>
      <c r="Z11" s="16" cm="1">
        <f t="array" ref="Z11">VALUE(LEFT(A11, MIN(IFERROR(FIND({"o","p"}, A11), LEN(A11)+1))-1))</f>
        <v>5</v>
      </c>
    </row>
    <row r="12" spans="1:26">
      <c r="A12" t="s">
        <v>50</v>
      </c>
      <c r="C12">
        <v>34</v>
      </c>
      <c r="E12" t="s">
        <v>259</v>
      </c>
      <c r="G12" t="s">
        <v>328</v>
      </c>
      <c r="L12" t="s">
        <v>279</v>
      </c>
      <c r="S12" t="s">
        <v>329</v>
      </c>
      <c r="W12">
        <v>5</v>
      </c>
      <c r="X12">
        <v>2</v>
      </c>
      <c r="Z12" s="16" cm="1">
        <f t="array" ref="Z12">VALUE(LEFT(A12, MIN(IFERROR(FIND({"o","p"}, A12), LEN(A12)+1))-1))</f>
        <v>5</v>
      </c>
    </row>
    <row r="13" spans="1:26">
      <c r="A13" t="s">
        <v>51</v>
      </c>
      <c r="B13" s="23">
        <v>45387</v>
      </c>
      <c r="C13">
        <v>66</v>
      </c>
      <c r="L13" t="s">
        <v>114</v>
      </c>
      <c r="M13" t="s">
        <v>63</v>
      </c>
      <c r="N13" t="s">
        <v>250</v>
      </c>
      <c r="O13">
        <v>1</v>
      </c>
      <c r="P13" t="s">
        <v>284</v>
      </c>
      <c r="R13" t="s">
        <v>177</v>
      </c>
      <c r="S13" t="s">
        <v>177</v>
      </c>
      <c r="V13" t="s">
        <v>285</v>
      </c>
      <c r="W13">
        <v>6</v>
      </c>
      <c r="X13">
        <v>1</v>
      </c>
      <c r="Z13" s="16" cm="1">
        <f t="array" ref="Z13">VALUE(LEFT(A13, MIN(IFERROR(FIND({"o","p"}, A13), LEN(A13)+1))-1))</f>
        <v>6</v>
      </c>
    </row>
    <row r="14" spans="1:26">
      <c r="A14" t="s">
        <v>52</v>
      </c>
      <c r="C14">
        <v>66</v>
      </c>
      <c r="W14">
        <v>6</v>
      </c>
      <c r="X14">
        <v>2</v>
      </c>
      <c r="Z14" s="16" cm="1">
        <f t="array" ref="Z14">VALUE(LEFT(A14, MIN(IFERROR(FIND({"o","p"}, A14), LEN(A14)+1))-1))</f>
        <v>6</v>
      </c>
    </row>
    <row r="15" spans="1:26">
      <c r="A15" t="s">
        <v>53</v>
      </c>
      <c r="B15" s="23">
        <v>45429</v>
      </c>
      <c r="C15">
        <v>67</v>
      </c>
      <c r="D15" t="s">
        <v>157</v>
      </c>
      <c r="E15" t="s">
        <v>238</v>
      </c>
      <c r="F15" t="s">
        <v>239</v>
      </c>
      <c r="L15" t="s">
        <v>32</v>
      </c>
      <c r="M15" t="s">
        <v>275</v>
      </c>
      <c r="N15" t="s">
        <v>247</v>
      </c>
      <c r="O15">
        <v>2</v>
      </c>
      <c r="P15" t="s">
        <v>174</v>
      </c>
      <c r="R15" t="s">
        <v>174</v>
      </c>
      <c r="S15" t="s">
        <v>174</v>
      </c>
      <c r="V15" t="s">
        <v>282</v>
      </c>
      <c r="W15">
        <v>7</v>
      </c>
      <c r="X15">
        <v>1</v>
      </c>
      <c r="Z15" s="16" cm="1">
        <f t="array" ref="Z15">VALUE(LEFT(A15, MIN(IFERROR(FIND({"o","p"}, A15), LEN(A15)+1))-1))</f>
        <v>7</v>
      </c>
    </row>
    <row r="16" spans="1:26">
      <c r="A16" t="s">
        <v>54</v>
      </c>
      <c r="C16">
        <v>67</v>
      </c>
      <c r="W16">
        <v>7</v>
      </c>
      <c r="X16">
        <v>2</v>
      </c>
      <c r="Z16" s="16" cm="1">
        <f t="array" ref="Z16">VALUE(LEFT(A16, MIN(IFERROR(FIND({"o","p"}, A16), LEN(A16)+1))-1))</f>
        <v>7</v>
      </c>
    </row>
    <row r="17" spans="1:26">
      <c r="A17" t="s">
        <v>55</v>
      </c>
      <c r="B17" s="23">
        <v>45443</v>
      </c>
      <c r="C17">
        <v>78</v>
      </c>
      <c r="D17" t="s">
        <v>158</v>
      </c>
      <c r="L17" t="s">
        <v>32</v>
      </c>
      <c r="M17" t="s">
        <v>280</v>
      </c>
      <c r="N17" t="s">
        <v>56</v>
      </c>
      <c r="P17" t="s">
        <v>174</v>
      </c>
      <c r="R17" t="s">
        <v>177</v>
      </c>
      <c r="S17" t="s">
        <v>174</v>
      </c>
      <c r="V17" t="s">
        <v>286</v>
      </c>
      <c r="W17">
        <v>8</v>
      </c>
      <c r="X17">
        <v>1</v>
      </c>
      <c r="Z17" s="16" cm="1">
        <f t="array" ref="Z17">VALUE(LEFT(A17, MIN(IFERROR(FIND({"o","p"}, A17), LEN(A17)+1))-1))</f>
        <v>8</v>
      </c>
    </row>
    <row r="18" spans="1:26">
      <c r="A18" t="s">
        <v>57</v>
      </c>
      <c r="C18">
        <v>78</v>
      </c>
      <c r="W18">
        <v>8</v>
      </c>
      <c r="X18">
        <v>2</v>
      </c>
      <c r="Z18" s="16" cm="1">
        <f t="array" ref="Z18">VALUE(LEFT(A18, MIN(IFERROR(FIND({"o","p"}, A18), LEN(A18)+1))-1))</f>
        <v>8</v>
      </c>
    </row>
    <row r="19" spans="1:26">
      <c r="A19" t="s">
        <v>58</v>
      </c>
      <c r="B19" s="23">
        <v>45331</v>
      </c>
      <c r="C19">
        <v>55</v>
      </c>
      <c r="D19" t="s">
        <v>159</v>
      </c>
      <c r="E19" t="s">
        <v>163</v>
      </c>
      <c r="G19" t="s">
        <v>287</v>
      </c>
      <c r="I19">
        <v>7</v>
      </c>
      <c r="J19">
        <v>4</v>
      </c>
      <c r="L19" t="s">
        <v>32</v>
      </c>
      <c r="M19" t="s">
        <v>280</v>
      </c>
      <c r="N19" t="s">
        <v>248</v>
      </c>
      <c r="O19">
        <v>3</v>
      </c>
      <c r="P19" t="s">
        <v>174</v>
      </c>
      <c r="R19" t="s">
        <v>288</v>
      </c>
      <c r="S19" t="s">
        <v>174</v>
      </c>
      <c r="V19" t="s">
        <v>241</v>
      </c>
      <c r="W19">
        <v>9</v>
      </c>
      <c r="X19">
        <v>1</v>
      </c>
      <c r="Z19" s="16" cm="1">
        <f t="array" ref="Z19">VALUE(LEFT(A19, MIN(IFERROR(FIND({"o","p"}, A19), LEN(A19)+1))-1))</f>
        <v>9</v>
      </c>
    </row>
    <row r="20" spans="1:26">
      <c r="A20" t="s">
        <v>59</v>
      </c>
      <c r="C20">
        <v>55</v>
      </c>
      <c r="G20" t="s">
        <v>289</v>
      </c>
      <c r="I20">
        <v>6</v>
      </c>
      <c r="J20">
        <v>5</v>
      </c>
      <c r="K20" t="s">
        <v>109</v>
      </c>
      <c r="L20" t="s">
        <v>279</v>
      </c>
      <c r="N20" t="s">
        <v>330</v>
      </c>
      <c r="O20">
        <v>2</v>
      </c>
      <c r="W20">
        <v>9</v>
      </c>
      <c r="X20">
        <v>2</v>
      </c>
      <c r="Z20" s="16" cm="1">
        <f t="array" ref="Z20">VALUE(LEFT(A20, MIN(IFERROR(FIND({"o","p"}, A20), LEN(A20)+1))-1))</f>
        <v>9</v>
      </c>
    </row>
    <row r="21" spans="1:26">
      <c r="A21" t="s">
        <v>60</v>
      </c>
      <c r="B21" s="23">
        <v>45436</v>
      </c>
      <c r="C21">
        <v>24</v>
      </c>
      <c r="D21" t="s">
        <v>158</v>
      </c>
      <c r="E21" t="s">
        <v>238</v>
      </c>
      <c r="I21">
        <v>1</v>
      </c>
      <c r="J21">
        <v>1</v>
      </c>
      <c r="L21" t="s">
        <v>202</v>
      </c>
      <c r="M21" t="s">
        <v>199</v>
      </c>
      <c r="N21" t="s">
        <v>249</v>
      </c>
      <c r="O21">
        <v>1</v>
      </c>
      <c r="P21" t="s">
        <v>174</v>
      </c>
      <c r="R21" t="s">
        <v>177</v>
      </c>
      <c r="S21" t="s">
        <v>174</v>
      </c>
      <c r="V21" t="s">
        <v>283</v>
      </c>
      <c r="W21">
        <v>10</v>
      </c>
      <c r="X21">
        <v>1</v>
      </c>
      <c r="Z21" s="16" cm="1">
        <f t="array" ref="Z21">VALUE(LEFT(A21, MIN(IFERROR(FIND({"o","p"}, A21), LEN(A21)+1))-1))</f>
        <v>10</v>
      </c>
    </row>
    <row r="22" spans="1:26">
      <c r="A22" t="s">
        <v>61</v>
      </c>
      <c r="C22">
        <v>24</v>
      </c>
      <c r="G22" t="s">
        <v>290</v>
      </c>
      <c r="L22" t="s">
        <v>279</v>
      </c>
      <c r="N22" t="s">
        <v>175</v>
      </c>
      <c r="O22">
        <v>1</v>
      </c>
      <c r="W22">
        <v>10</v>
      </c>
      <c r="X22">
        <v>2</v>
      </c>
      <c r="Z22" s="16" cm="1">
        <f t="array" ref="Z22">VALUE(LEFT(A22, MIN(IFERROR(FIND({"o","p"}, A22), LEN(A22)+1))-1))</f>
        <v>10</v>
      </c>
    </row>
    <row r="23" spans="1:26">
      <c r="A23" t="s">
        <v>62</v>
      </c>
      <c r="B23" s="23">
        <v>45443</v>
      </c>
      <c r="C23">
        <v>70</v>
      </c>
      <c r="D23" t="s">
        <v>154</v>
      </c>
      <c r="L23" t="s">
        <v>114</v>
      </c>
      <c r="M23" t="s">
        <v>63</v>
      </c>
      <c r="N23" t="s">
        <v>179</v>
      </c>
      <c r="O23">
        <v>2</v>
      </c>
      <c r="P23" t="s">
        <v>174</v>
      </c>
      <c r="R23" t="s">
        <v>177</v>
      </c>
      <c r="S23" t="s">
        <v>174</v>
      </c>
      <c r="V23" t="s">
        <v>331</v>
      </c>
      <c r="W23">
        <v>11</v>
      </c>
      <c r="X23">
        <v>1</v>
      </c>
      <c r="Z23" s="16" cm="1">
        <f t="array" ref="Z23">VALUE(LEFT(A23, MIN(IFERROR(FIND({"o","p"}, A23), LEN(A23)+1))-1))</f>
        <v>11</v>
      </c>
    </row>
    <row r="24" spans="1:26">
      <c r="A24" t="s">
        <v>64</v>
      </c>
      <c r="B24" s="24">
        <v>45443</v>
      </c>
      <c r="C24">
        <v>70</v>
      </c>
      <c r="W24">
        <v>11</v>
      </c>
      <c r="X24">
        <v>2</v>
      </c>
      <c r="Z24" s="16" cm="1">
        <f t="array" ref="Z24">VALUE(LEFT(A24, MIN(IFERROR(FIND({"o","p"}, A24), LEN(A24)+1))-1))</f>
        <v>11</v>
      </c>
    </row>
    <row r="25" spans="1:26">
      <c r="A25" t="s">
        <v>65</v>
      </c>
      <c r="B25" s="23">
        <v>45415</v>
      </c>
      <c r="C25">
        <v>67</v>
      </c>
      <c r="D25" t="s">
        <v>154</v>
      </c>
      <c r="E25" t="s">
        <v>238</v>
      </c>
      <c r="L25" t="s">
        <v>114</v>
      </c>
      <c r="M25" t="s">
        <v>63</v>
      </c>
      <c r="N25" t="s">
        <v>332</v>
      </c>
      <c r="O25">
        <v>1</v>
      </c>
      <c r="P25" t="s">
        <v>177</v>
      </c>
      <c r="Q25" t="s">
        <v>292</v>
      </c>
      <c r="R25" t="s">
        <v>177</v>
      </c>
      <c r="S25" t="s">
        <v>293</v>
      </c>
      <c r="V25" t="s">
        <v>282</v>
      </c>
      <c r="W25">
        <v>12</v>
      </c>
      <c r="X25">
        <v>1</v>
      </c>
      <c r="Z25" s="16" cm="1">
        <f t="array" ref="Z25">VALUE(LEFT(A25, MIN(IFERROR(FIND({"o","p"}, A25), LEN(A25)+1))-1))</f>
        <v>12</v>
      </c>
    </row>
    <row r="26" spans="1:26">
      <c r="A26" t="s">
        <v>66</v>
      </c>
      <c r="C26">
        <v>67</v>
      </c>
      <c r="L26" t="s">
        <v>235</v>
      </c>
      <c r="N26" t="s">
        <v>180</v>
      </c>
      <c r="W26">
        <v>12</v>
      </c>
      <c r="X26">
        <v>2</v>
      </c>
      <c r="Z26" s="16" cm="1">
        <f t="array" ref="Z26">VALUE(LEFT(A26, MIN(IFERROR(FIND({"o","p"}, A26), LEN(A26)+1))-1))</f>
        <v>12</v>
      </c>
    </row>
    <row r="27" spans="1:26">
      <c r="A27" t="s">
        <v>67</v>
      </c>
      <c r="B27" s="23">
        <v>45420</v>
      </c>
      <c r="C27">
        <v>66</v>
      </c>
      <c r="E27" t="s">
        <v>267</v>
      </c>
      <c r="G27" t="s">
        <v>333</v>
      </c>
      <c r="I27">
        <v>19</v>
      </c>
      <c r="J27">
        <v>2</v>
      </c>
      <c r="L27" t="s">
        <v>173</v>
      </c>
      <c r="M27" t="s">
        <v>260</v>
      </c>
      <c r="N27" t="s">
        <v>201</v>
      </c>
      <c r="P27" t="s">
        <v>177</v>
      </c>
      <c r="R27" t="s">
        <v>177</v>
      </c>
      <c r="S27" t="s">
        <v>177</v>
      </c>
      <c r="V27" t="s">
        <v>282</v>
      </c>
      <c r="W27">
        <v>13</v>
      </c>
      <c r="X27">
        <v>1</v>
      </c>
      <c r="Z27" s="16" cm="1">
        <f t="array" ref="Z27">VALUE(LEFT(A27, MIN(IFERROR(FIND({"o","p"}, A27), LEN(A27)+1))-1))</f>
        <v>13</v>
      </c>
    </row>
    <row r="28" spans="1:26">
      <c r="A28" t="s">
        <v>69</v>
      </c>
      <c r="C28">
        <v>66</v>
      </c>
      <c r="E28" t="s">
        <v>163</v>
      </c>
      <c r="F28" t="s">
        <v>239</v>
      </c>
      <c r="G28" t="s">
        <v>334</v>
      </c>
      <c r="I28" t="s">
        <v>335</v>
      </c>
      <c r="J28">
        <v>1</v>
      </c>
      <c r="K28" t="s">
        <v>181</v>
      </c>
      <c r="L28" t="s">
        <v>202</v>
      </c>
      <c r="N28" t="s">
        <v>294</v>
      </c>
      <c r="O28">
        <v>1</v>
      </c>
      <c r="P28" t="s">
        <v>177</v>
      </c>
      <c r="R28" t="s">
        <v>177</v>
      </c>
      <c r="S28" t="s">
        <v>177</v>
      </c>
      <c r="V28" t="s">
        <v>283</v>
      </c>
      <c r="W28">
        <v>13</v>
      </c>
      <c r="X28">
        <v>2</v>
      </c>
      <c r="Z28" s="16" cm="1">
        <f t="array" ref="Z28">VALUE(LEFT(A28, MIN(IFERROR(FIND({"o","p"}, A28), LEN(A28)+1))-1))</f>
        <v>13</v>
      </c>
    </row>
    <row r="29" spans="1:26">
      <c r="A29" t="s">
        <v>70</v>
      </c>
      <c r="B29" s="23">
        <v>45394</v>
      </c>
      <c r="C29">
        <v>51</v>
      </c>
      <c r="D29" t="s">
        <v>160</v>
      </c>
      <c r="L29" t="s">
        <v>32</v>
      </c>
      <c r="M29" t="s">
        <v>295</v>
      </c>
      <c r="N29" t="s">
        <v>71</v>
      </c>
      <c r="P29" t="s">
        <v>177</v>
      </c>
      <c r="Q29" t="s">
        <v>292</v>
      </c>
      <c r="R29" t="s">
        <v>177</v>
      </c>
      <c r="S29" t="s">
        <v>240</v>
      </c>
      <c r="W29">
        <v>14</v>
      </c>
      <c r="X29">
        <v>1</v>
      </c>
      <c r="Z29" s="16" cm="1">
        <f t="array" ref="Z29">VALUE(LEFT(A29, MIN(IFERROR(FIND({"o","p"}, A29), LEN(A29)+1))-1))</f>
        <v>14</v>
      </c>
    </row>
    <row r="30" spans="1:26">
      <c r="A30" t="s">
        <v>72</v>
      </c>
      <c r="C30">
        <v>51</v>
      </c>
      <c r="D30" t="s">
        <v>261</v>
      </c>
      <c r="E30" t="s">
        <v>238</v>
      </c>
      <c r="F30" t="s">
        <v>239</v>
      </c>
      <c r="G30" t="s">
        <v>178</v>
      </c>
      <c r="L30" t="s">
        <v>32</v>
      </c>
      <c r="O30">
        <v>1</v>
      </c>
      <c r="R30" t="s">
        <v>177</v>
      </c>
      <c r="S30" t="s">
        <v>177</v>
      </c>
      <c r="W30">
        <v>14</v>
      </c>
      <c r="X30">
        <v>2</v>
      </c>
      <c r="Z30" s="16" cm="1">
        <f t="array" ref="Z30">VALUE(LEFT(A30, MIN(IFERROR(FIND({"o","p"}, A30), LEN(A30)+1))-1))</f>
        <v>14</v>
      </c>
    </row>
    <row r="31" spans="1:26">
      <c r="A31" t="s">
        <v>73</v>
      </c>
      <c r="B31" s="23">
        <v>45441</v>
      </c>
      <c r="C31">
        <v>64</v>
      </c>
      <c r="L31" t="s">
        <v>114</v>
      </c>
      <c r="M31" t="s">
        <v>296</v>
      </c>
      <c r="N31" t="s">
        <v>251</v>
      </c>
      <c r="P31" t="s">
        <v>284</v>
      </c>
      <c r="R31" t="s">
        <v>284</v>
      </c>
      <c r="S31" t="s">
        <v>284</v>
      </c>
      <c r="T31" t="s">
        <v>297</v>
      </c>
      <c r="V31" t="s">
        <v>282</v>
      </c>
      <c r="W31">
        <v>15</v>
      </c>
      <c r="X31">
        <v>1</v>
      </c>
      <c r="Z31" s="16" cm="1">
        <f t="array" ref="Z31">VALUE(LEFT(A31, MIN(IFERROR(FIND({"o","p"}, A31), LEN(A31)+1))-1))</f>
        <v>15</v>
      </c>
    </row>
    <row r="32" spans="1:26">
      <c r="A32" t="s">
        <v>75</v>
      </c>
      <c r="C32">
        <v>64</v>
      </c>
      <c r="G32" t="s">
        <v>290</v>
      </c>
      <c r="L32" t="s">
        <v>279</v>
      </c>
      <c r="W32">
        <v>15</v>
      </c>
      <c r="X32">
        <v>2</v>
      </c>
      <c r="Z32" s="16" cm="1">
        <f t="array" ref="Z32">VALUE(LEFT(A32, MIN(IFERROR(FIND({"o","p"}, A32), LEN(A32)+1))-1))</f>
        <v>15</v>
      </c>
    </row>
    <row r="33" spans="1:26">
      <c r="A33" t="s">
        <v>76</v>
      </c>
      <c r="B33" s="23">
        <v>45331</v>
      </c>
      <c r="D33" t="s">
        <v>159</v>
      </c>
      <c r="E33" t="s">
        <v>238</v>
      </c>
      <c r="F33" t="s">
        <v>239</v>
      </c>
      <c r="I33">
        <v>4</v>
      </c>
      <c r="J33">
        <v>0</v>
      </c>
      <c r="L33" t="s">
        <v>202</v>
      </c>
      <c r="M33" t="s">
        <v>199</v>
      </c>
      <c r="N33" t="s">
        <v>252</v>
      </c>
      <c r="O33">
        <v>2</v>
      </c>
      <c r="P33" t="s">
        <v>233</v>
      </c>
      <c r="R33" t="s">
        <v>177</v>
      </c>
      <c r="S33" t="s">
        <v>174</v>
      </c>
      <c r="W33">
        <v>16</v>
      </c>
      <c r="X33">
        <v>1</v>
      </c>
      <c r="Z33" s="16" cm="1">
        <f t="array" ref="Z33">VALUE(LEFT(A33, MIN(IFERROR(FIND({"o","p"}, A33), LEN(A33)+1))-1))</f>
        <v>16</v>
      </c>
    </row>
    <row r="34" spans="1:26">
      <c r="A34" t="s">
        <v>77</v>
      </c>
      <c r="C34">
        <v>43</v>
      </c>
      <c r="D34" t="s">
        <v>261</v>
      </c>
      <c r="E34" t="s">
        <v>238</v>
      </c>
      <c r="F34" t="s">
        <v>239</v>
      </c>
      <c r="G34" t="s">
        <v>232</v>
      </c>
      <c r="L34" t="s">
        <v>298</v>
      </c>
      <c r="P34" t="s">
        <v>177</v>
      </c>
      <c r="R34" t="s">
        <v>177</v>
      </c>
      <c r="S34" t="s">
        <v>177</v>
      </c>
      <c r="W34">
        <v>16</v>
      </c>
      <c r="X34">
        <v>2</v>
      </c>
      <c r="Z34" s="16" cm="1">
        <f t="array" ref="Z34">VALUE(LEFT(A34, MIN(IFERROR(FIND({"o","p"}, A34), LEN(A34)+1))-1))</f>
        <v>16</v>
      </c>
    </row>
    <row r="35" spans="1:26">
      <c r="A35" t="s">
        <v>78</v>
      </c>
      <c r="B35" s="23">
        <v>45457</v>
      </c>
      <c r="C35">
        <v>49</v>
      </c>
      <c r="D35" t="s">
        <v>158</v>
      </c>
      <c r="E35" t="s">
        <v>165</v>
      </c>
      <c r="G35" t="s">
        <v>234</v>
      </c>
      <c r="I35">
        <v>21</v>
      </c>
      <c r="J35">
        <v>5</v>
      </c>
      <c r="K35" t="s">
        <v>253</v>
      </c>
      <c r="L35" t="s">
        <v>173</v>
      </c>
      <c r="M35" t="s">
        <v>260</v>
      </c>
      <c r="N35" t="s">
        <v>79</v>
      </c>
      <c r="P35" t="s">
        <v>174</v>
      </c>
      <c r="R35" t="s">
        <v>336</v>
      </c>
      <c r="S35" t="s">
        <v>174</v>
      </c>
      <c r="W35">
        <v>17</v>
      </c>
      <c r="X35">
        <v>1</v>
      </c>
      <c r="Z35" s="16" cm="1">
        <f t="array" ref="Z35">VALUE(LEFT(A35, MIN(IFERROR(FIND({"o","p"}, A35), LEN(A35)+1))-1))</f>
        <v>17</v>
      </c>
    </row>
    <row r="36" spans="1:26">
      <c r="A36" t="s">
        <v>80</v>
      </c>
      <c r="C36">
        <v>49</v>
      </c>
      <c r="E36" t="s">
        <v>162</v>
      </c>
      <c r="F36" t="s">
        <v>239</v>
      </c>
      <c r="G36" t="s">
        <v>299</v>
      </c>
      <c r="I36">
        <v>2</v>
      </c>
      <c r="J36">
        <v>1</v>
      </c>
      <c r="K36" t="s">
        <v>182</v>
      </c>
      <c r="L36" t="s">
        <v>202</v>
      </c>
      <c r="N36" t="s">
        <v>182</v>
      </c>
      <c r="O36">
        <v>1</v>
      </c>
      <c r="W36">
        <v>17</v>
      </c>
      <c r="X36">
        <v>2</v>
      </c>
      <c r="Z36" s="16" cm="1">
        <f t="array" ref="Z36">VALUE(LEFT(A36, MIN(IFERROR(FIND({"o","p"}, A36), LEN(A36)+1))-1))</f>
        <v>17</v>
      </c>
    </row>
    <row r="37" spans="1:26">
      <c r="A37" t="s">
        <v>81</v>
      </c>
      <c r="B37" s="23">
        <v>45355</v>
      </c>
      <c r="C37">
        <v>55</v>
      </c>
      <c r="D37" t="s">
        <v>155</v>
      </c>
      <c r="E37" t="s">
        <v>164</v>
      </c>
      <c r="G37" t="s">
        <v>300</v>
      </c>
      <c r="I37">
        <v>4</v>
      </c>
      <c r="J37">
        <v>4</v>
      </c>
      <c r="K37" t="s">
        <v>337</v>
      </c>
      <c r="L37" t="s">
        <v>32</v>
      </c>
      <c r="M37" t="s">
        <v>280</v>
      </c>
      <c r="N37" t="s">
        <v>205</v>
      </c>
      <c r="P37" t="s">
        <v>301</v>
      </c>
      <c r="R37" t="s">
        <v>240</v>
      </c>
      <c r="S37" t="s">
        <v>240</v>
      </c>
      <c r="V37" t="s">
        <v>302</v>
      </c>
      <c r="W37">
        <v>18</v>
      </c>
      <c r="X37">
        <v>1</v>
      </c>
      <c r="Z37" s="16" cm="1">
        <f t="array" ref="Z37">VALUE(LEFT(A37, MIN(IFERROR(FIND({"o","p"}, A37), LEN(A37)+1))-1))</f>
        <v>18</v>
      </c>
    </row>
    <row r="38" spans="1:26">
      <c r="A38" t="s">
        <v>82</v>
      </c>
      <c r="C38">
        <v>55</v>
      </c>
      <c r="D38" t="s">
        <v>261</v>
      </c>
      <c r="E38" t="s">
        <v>238</v>
      </c>
      <c r="F38" t="s">
        <v>239</v>
      </c>
      <c r="G38" t="s">
        <v>338</v>
      </c>
      <c r="L38" t="s">
        <v>202</v>
      </c>
      <c r="N38" t="s">
        <v>339</v>
      </c>
      <c r="O38">
        <v>1</v>
      </c>
      <c r="P38" t="s">
        <v>177</v>
      </c>
      <c r="R38" t="s">
        <v>177</v>
      </c>
      <c r="S38" t="s">
        <v>177</v>
      </c>
      <c r="V38" t="s">
        <v>282</v>
      </c>
      <c r="W38">
        <v>18</v>
      </c>
      <c r="X38">
        <v>2</v>
      </c>
      <c r="Z38" s="16" cm="1">
        <f t="array" ref="Z38">VALUE(LEFT(A38, MIN(IFERROR(FIND({"o","p"}, A38), LEN(A38)+1))-1))</f>
        <v>18</v>
      </c>
    </row>
    <row r="39" spans="1:26">
      <c r="A39" t="s">
        <v>83</v>
      </c>
      <c r="B39" s="23">
        <v>45457</v>
      </c>
      <c r="C39">
        <v>23</v>
      </c>
      <c r="E39" t="s">
        <v>238</v>
      </c>
      <c r="I39">
        <v>1</v>
      </c>
      <c r="J39">
        <v>0</v>
      </c>
      <c r="L39" t="s">
        <v>202</v>
      </c>
      <c r="M39" t="s">
        <v>199</v>
      </c>
      <c r="N39" t="s">
        <v>183</v>
      </c>
      <c r="O39">
        <v>1</v>
      </c>
      <c r="P39" t="s">
        <v>174</v>
      </c>
      <c r="R39" t="s">
        <v>177</v>
      </c>
      <c r="S39" t="s">
        <v>174</v>
      </c>
      <c r="V39" t="s">
        <v>282</v>
      </c>
      <c r="W39">
        <v>19</v>
      </c>
      <c r="X39">
        <v>1</v>
      </c>
      <c r="Z39" s="16" cm="1">
        <f t="array" ref="Z39">VALUE(LEFT(A39, MIN(IFERROR(FIND({"o","p"}, A39), LEN(A39)+1))-1))</f>
        <v>19</v>
      </c>
    </row>
    <row r="40" spans="1:26">
      <c r="A40" t="s">
        <v>84</v>
      </c>
      <c r="C40">
        <v>23</v>
      </c>
      <c r="W40">
        <v>19</v>
      </c>
      <c r="X40">
        <v>2</v>
      </c>
      <c r="Z40" s="16" cm="1">
        <f t="array" ref="Z40">VALUE(LEFT(A40, MIN(IFERROR(FIND({"o","p"}, A40), LEN(A40)+1))-1))</f>
        <v>19</v>
      </c>
    </row>
    <row r="41" spans="1:26">
      <c r="A41" t="s">
        <v>85</v>
      </c>
      <c r="B41" s="23">
        <v>45373</v>
      </c>
      <c r="C41">
        <v>61</v>
      </c>
      <c r="E41" t="s">
        <v>164</v>
      </c>
      <c r="G41" t="s">
        <v>340</v>
      </c>
      <c r="I41">
        <v>4</v>
      </c>
      <c r="J41">
        <v>3</v>
      </c>
      <c r="L41" t="s">
        <v>202</v>
      </c>
      <c r="N41" t="s">
        <v>79</v>
      </c>
      <c r="O41">
        <v>2</v>
      </c>
      <c r="P41" t="s">
        <v>177</v>
      </c>
      <c r="R41" t="s">
        <v>177</v>
      </c>
      <c r="S41" t="s">
        <v>177</v>
      </c>
      <c r="W41">
        <v>20</v>
      </c>
      <c r="X41">
        <v>1</v>
      </c>
      <c r="Z41" s="16" cm="1">
        <f t="array" ref="Z41">VALUE(LEFT(A41, MIN(IFERROR(FIND({"o","p"}, A41), LEN(A41)+1))-1))</f>
        <v>20</v>
      </c>
    </row>
    <row r="42" spans="1:26">
      <c r="A42" t="s">
        <v>86</v>
      </c>
      <c r="B42" s="23">
        <v>45320</v>
      </c>
      <c r="C42">
        <v>67</v>
      </c>
      <c r="D42" t="s">
        <v>158</v>
      </c>
      <c r="L42" t="s">
        <v>32</v>
      </c>
      <c r="M42" t="s">
        <v>275</v>
      </c>
      <c r="N42" t="s">
        <v>198</v>
      </c>
      <c r="O42">
        <v>1</v>
      </c>
      <c r="P42" t="s">
        <v>174</v>
      </c>
      <c r="R42" t="s">
        <v>177</v>
      </c>
      <c r="S42" t="s">
        <v>174</v>
      </c>
      <c r="V42" t="s">
        <v>278</v>
      </c>
      <c r="W42">
        <v>20</v>
      </c>
      <c r="X42">
        <v>2</v>
      </c>
      <c r="Z42" s="16" cm="1">
        <f t="array" ref="Z42">VALUE(LEFT(A42, MIN(IFERROR(FIND({"o","p"}, A42), LEN(A42)+1))-1))</f>
        <v>20</v>
      </c>
    </row>
    <row r="43" spans="1:26">
      <c r="A43" t="s">
        <v>87</v>
      </c>
      <c r="B43" s="23">
        <v>45296</v>
      </c>
      <c r="C43">
        <v>51</v>
      </c>
      <c r="G43" t="s">
        <v>303</v>
      </c>
      <c r="I43">
        <v>7</v>
      </c>
      <c r="J43">
        <v>4</v>
      </c>
      <c r="K43" t="s">
        <v>342</v>
      </c>
      <c r="L43" t="s">
        <v>202</v>
      </c>
      <c r="N43" t="s">
        <v>88</v>
      </c>
      <c r="O43">
        <v>1</v>
      </c>
      <c r="P43" t="s">
        <v>177</v>
      </c>
      <c r="R43" t="s">
        <v>177</v>
      </c>
      <c r="S43" t="s">
        <v>177</v>
      </c>
      <c r="T43" t="s">
        <v>341</v>
      </c>
      <c r="U43" t="s">
        <v>341</v>
      </c>
      <c r="W43">
        <v>21</v>
      </c>
      <c r="X43">
        <v>1</v>
      </c>
      <c r="Z43" s="16" cm="1">
        <f t="array" ref="Z43">VALUE(LEFT(A43, MIN(IFERROR(FIND({"o","p"}, A43), LEN(A43)+1))-1))</f>
        <v>21</v>
      </c>
    </row>
    <row r="44" spans="1:26">
      <c r="A44" t="s">
        <v>89</v>
      </c>
      <c r="C44">
        <v>51</v>
      </c>
      <c r="E44" t="s">
        <v>238</v>
      </c>
      <c r="F44" t="s">
        <v>239</v>
      </c>
      <c r="G44" t="s">
        <v>232</v>
      </c>
      <c r="L44" t="s">
        <v>202</v>
      </c>
      <c r="W44">
        <v>21</v>
      </c>
      <c r="X44">
        <v>2</v>
      </c>
      <c r="Z44" s="16" cm="1">
        <f t="array" ref="Z44">VALUE(LEFT(A44, MIN(IFERROR(FIND({"o","p"}, A44), LEN(A44)+1))-1))</f>
        <v>21</v>
      </c>
    </row>
    <row r="45" spans="1:26">
      <c r="A45" t="s">
        <v>90</v>
      </c>
      <c r="B45" s="23">
        <v>45299</v>
      </c>
      <c r="C45">
        <v>50</v>
      </c>
      <c r="D45" t="s">
        <v>157</v>
      </c>
      <c r="E45" t="s">
        <v>238</v>
      </c>
      <c r="I45">
        <v>1</v>
      </c>
      <c r="J45">
        <v>0</v>
      </c>
      <c r="L45" t="s">
        <v>32</v>
      </c>
      <c r="M45" t="s">
        <v>280</v>
      </c>
      <c r="N45" t="s">
        <v>184</v>
      </c>
      <c r="O45">
        <v>1</v>
      </c>
      <c r="P45" t="s">
        <v>174</v>
      </c>
      <c r="R45" t="s">
        <v>177</v>
      </c>
      <c r="S45" t="s">
        <v>174</v>
      </c>
      <c r="W45">
        <v>22</v>
      </c>
      <c r="X45">
        <v>1</v>
      </c>
      <c r="Z45" s="16" cm="1">
        <f t="array" ref="Z45">VALUE(LEFT(A45, MIN(IFERROR(FIND({"o","p"}, A45), LEN(A45)+1))-1))</f>
        <v>22</v>
      </c>
    </row>
    <row r="46" spans="1:26">
      <c r="A46" t="s">
        <v>91</v>
      </c>
      <c r="C46">
        <v>50</v>
      </c>
      <c r="D46" t="s">
        <v>156</v>
      </c>
      <c r="E46" t="s">
        <v>162</v>
      </c>
      <c r="F46" t="s">
        <v>166</v>
      </c>
      <c r="L46" t="s">
        <v>279</v>
      </c>
      <c r="R46" t="s">
        <v>177</v>
      </c>
      <c r="S46" t="s">
        <v>177</v>
      </c>
      <c r="W46">
        <v>22</v>
      </c>
      <c r="X46">
        <v>2</v>
      </c>
      <c r="Z46" s="16" cm="1">
        <f t="array" ref="Z46">VALUE(LEFT(A46, MIN(IFERROR(FIND({"o","p"}, A46), LEN(A46)+1))-1))</f>
        <v>22</v>
      </c>
    </row>
    <row r="47" spans="1:26">
      <c r="A47" t="s">
        <v>92</v>
      </c>
      <c r="B47" s="23">
        <v>45296</v>
      </c>
      <c r="C47">
        <v>61</v>
      </c>
      <c r="E47" t="s">
        <v>238</v>
      </c>
      <c r="I47">
        <v>1</v>
      </c>
      <c r="J47">
        <v>0</v>
      </c>
      <c r="L47" t="s">
        <v>202</v>
      </c>
      <c r="M47" t="s">
        <v>33</v>
      </c>
      <c r="N47" t="s">
        <v>254</v>
      </c>
      <c r="O47">
        <v>2</v>
      </c>
      <c r="P47" t="s">
        <v>284</v>
      </c>
      <c r="R47" t="s">
        <v>177</v>
      </c>
      <c r="S47" t="s">
        <v>177</v>
      </c>
      <c r="V47" t="s">
        <v>282</v>
      </c>
      <c r="W47">
        <v>23</v>
      </c>
      <c r="X47">
        <v>1</v>
      </c>
      <c r="Z47" s="16" cm="1">
        <f t="array" ref="Z47">VALUE(LEFT(A47, MIN(IFERROR(FIND({"o","p"}, A47), LEN(A47)+1))-1))</f>
        <v>23</v>
      </c>
    </row>
    <row r="48" spans="1:26">
      <c r="A48" t="s">
        <v>93</v>
      </c>
      <c r="C48">
        <v>61</v>
      </c>
      <c r="L48" t="s">
        <v>235</v>
      </c>
      <c r="W48">
        <v>23</v>
      </c>
      <c r="X48">
        <v>2</v>
      </c>
      <c r="Z48" s="16" cm="1">
        <f t="array" ref="Z48">VALUE(LEFT(A48, MIN(IFERROR(FIND({"o","p"}, A48), LEN(A48)+1))-1))</f>
        <v>23</v>
      </c>
    </row>
    <row r="49" spans="1:26">
      <c r="A49" t="s">
        <v>94</v>
      </c>
      <c r="B49" s="23">
        <v>45301</v>
      </c>
      <c r="C49">
        <v>55</v>
      </c>
      <c r="D49" t="s">
        <v>155</v>
      </c>
      <c r="G49" t="s">
        <v>343</v>
      </c>
      <c r="I49">
        <v>15</v>
      </c>
      <c r="J49">
        <v>9</v>
      </c>
      <c r="K49" t="s">
        <v>270</v>
      </c>
      <c r="L49" t="s">
        <v>32</v>
      </c>
      <c r="M49" t="s">
        <v>304</v>
      </c>
      <c r="N49" t="s">
        <v>305</v>
      </c>
      <c r="P49" t="s">
        <v>177</v>
      </c>
      <c r="R49" t="s">
        <v>177</v>
      </c>
      <c r="S49" t="s">
        <v>242</v>
      </c>
      <c r="V49" t="s">
        <v>186</v>
      </c>
      <c r="W49">
        <v>24</v>
      </c>
      <c r="X49">
        <v>1</v>
      </c>
      <c r="Z49" s="16" cm="1">
        <f t="array" ref="Z49">VALUE(LEFT(A49, MIN(IFERROR(FIND({"o","p"}, A49), LEN(A49)+1))-1))</f>
        <v>24</v>
      </c>
    </row>
    <row r="50" spans="1:26">
      <c r="A50" t="s">
        <v>95</v>
      </c>
      <c r="C50">
        <v>55</v>
      </c>
      <c r="D50" t="s">
        <v>261</v>
      </c>
      <c r="E50" t="s">
        <v>163</v>
      </c>
      <c r="F50" t="s">
        <v>239</v>
      </c>
      <c r="G50" t="s">
        <v>344</v>
      </c>
      <c r="L50" t="s">
        <v>202</v>
      </c>
      <c r="N50" t="s">
        <v>168</v>
      </c>
      <c r="O50">
        <v>1</v>
      </c>
      <c r="P50" t="s">
        <v>177</v>
      </c>
      <c r="R50" t="s">
        <v>177</v>
      </c>
      <c r="S50" t="s">
        <v>177</v>
      </c>
      <c r="V50" t="s">
        <v>283</v>
      </c>
      <c r="W50">
        <v>24</v>
      </c>
      <c r="X50">
        <v>2</v>
      </c>
      <c r="Z50" s="16" cm="1">
        <f t="array" ref="Z50">VALUE(LEFT(A50, MIN(IFERROR(FIND({"o","p"}, A50), LEN(A50)+1))-1))</f>
        <v>24</v>
      </c>
    </row>
    <row r="51" spans="1:26">
      <c r="A51" t="s">
        <v>96</v>
      </c>
      <c r="B51" s="23">
        <v>45310</v>
      </c>
      <c r="C51">
        <v>42</v>
      </c>
      <c r="D51" t="s">
        <v>158</v>
      </c>
      <c r="F51" t="s">
        <v>239</v>
      </c>
      <c r="L51" t="s">
        <v>32</v>
      </c>
      <c r="M51" t="s">
        <v>304</v>
      </c>
      <c r="N51" t="s">
        <v>271</v>
      </c>
      <c r="O51">
        <v>1</v>
      </c>
      <c r="P51" t="s">
        <v>185</v>
      </c>
      <c r="R51" t="s">
        <v>185</v>
      </c>
      <c r="S51" t="s">
        <v>185</v>
      </c>
      <c r="W51">
        <v>25</v>
      </c>
      <c r="X51">
        <v>1</v>
      </c>
      <c r="Z51" s="16" cm="1">
        <f t="array" ref="Z51">VALUE(LEFT(A51, MIN(IFERROR(FIND({"o","p"}, A51), LEN(A51)+1))-1))</f>
        <v>25</v>
      </c>
    </row>
    <row r="52" spans="1:26">
      <c r="A52" t="s">
        <v>97</v>
      </c>
      <c r="C52">
        <v>42</v>
      </c>
      <c r="L52" t="s">
        <v>32</v>
      </c>
      <c r="N52" t="s">
        <v>98</v>
      </c>
      <c r="O52">
        <v>1</v>
      </c>
      <c r="W52">
        <v>25</v>
      </c>
      <c r="X52">
        <v>2</v>
      </c>
      <c r="Z52" s="16" cm="1">
        <f t="array" ref="Z52">VALUE(LEFT(A52, MIN(IFERROR(FIND({"o","p"}, A52), LEN(A52)+1))-1))</f>
        <v>25</v>
      </c>
    </row>
    <row r="53" spans="1:26">
      <c r="A53" t="s">
        <v>99</v>
      </c>
      <c r="B53" s="23">
        <v>45464</v>
      </c>
      <c r="C53">
        <v>73</v>
      </c>
      <c r="L53" t="s">
        <v>32</v>
      </c>
      <c r="M53" t="s">
        <v>280</v>
      </c>
      <c r="N53" t="s">
        <v>79</v>
      </c>
      <c r="P53" t="s">
        <v>174</v>
      </c>
      <c r="R53" t="s">
        <v>177</v>
      </c>
      <c r="S53" t="s">
        <v>177</v>
      </c>
      <c r="V53" t="s">
        <v>306</v>
      </c>
      <c r="W53">
        <v>26</v>
      </c>
      <c r="X53">
        <v>1</v>
      </c>
      <c r="Z53" s="16" cm="1">
        <f t="array" ref="Z53">VALUE(LEFT(A53, MIN(IFERROR(FIND({"o","p"}, A53), LEN(A53)+1))-1))</f>
        <v>26</v>
      </c>
    </row>
    <row r="54" spans="1:26">
      <c r="A54" t="s">
        <v>100</v>
      </c>
      <c r="C54">
        <v>73</v>
      </c>
      <c r="D54" t="s">
        <v>156</v>
      </c>
      <c r="E54" t="s">
        <v>238</v>
      </c>
      <c r="F54" t="s">
        <v>239</v>
      </c>
      <c r="G54" t="s">
        <v>232</v>
      </c>
      <c r="L54" t="s">
        <v>202</v>
      </c>
      <c r="N54" t="s">
        <v>98</v>
      </c>
      <c r="O54">
        <v>1</v>
      </c>
      <c r="P54" t="s">
        <v>177</v>
      </c>
      <c r="R54" t="s">
        <v>177</v>
      </c>
      <c r="S54" t="s">
        <v>177</v>
      </c>
      <c r="V54" t="s">
        <v>282</v>
      </c>
      <c r="W54">
        <v>26</v>
      </c>
      <c r="X54">
        <v>2</v>
      </c>
      <c r="Z54" s="16" cm="1">
        <f t="array" ref="Z54">VALUE(LEFT(A54, MIN(IFERROR(FIND({"o","p"}, A54), LEN(A54)+1))-1))</f>
        <v>26</v>
      </c>
    </row>
    <row r="55" spans="1:26">
      <c r="A55" t="s">
        <v>101</v>
      </c>
      <c r="B55" s="23">
        <v>45464</v>
      </c>
      <c r="C55">
        <v>39</v>
      </c>
      <c r="D55" t="s">
        <v>157</v>
      </c>
      <c r="E55" t="s">
        <v>162</v>
      </c>
      <c r="I55">
        <v>2</v>
      </c>
      <c r="J55">
        <v>1</v>
      </c>
      <c r="L55" t="s">
        <v>202</v>
      </c>
      <c r="N55" t="s">
        <v>307</v>
      </c>
      <c r="O55">
        <v>2</v>
      </c>
      <c r="P55" t="s">
        <v>174</v>
      </c>
      <c r="R55" t="s">
        <v>308</v>
      </c>
      <c r="S55" t="s">
        <v>174</v>
      </c>
      <c r="V55" t="s">
        <v>282</v>
      </c>
      <c r="W55">
        <v>27</v>
      </c>
      <c r="X55">
        <v>1</v>
      </c>
      <c r="Z55" s="16" cm="1">
        <f t="array" ref="Z55">VALUE(LEFT(A55, MIN(IFERROR(FIND({"o","p"}, A55), LEN(A55)+1))-1))</f>
        <v>27</v>
      </c>
    </row>
    <row r="56" spans="1:26">
      <c r="A56" t="s">
        <v>102</v>
      </c>
      <c r="C56">
        <v>39</v>
      </c>
      <c r="L56" t="s">
        <v>309</v>
      </c>
      <c r="W56">
        <v>27</v>
      </c>
      <c r="X56">
        <v>2</v>
      </c>
      <c r="Z56" s="16" cm="1">
        <f t="array" ref="Z56">VALUE(LEFT(A56, MIN(IFERROR(FIND({"o","p"}, A56), LEN(A56)+1))-1))</f>
        <v>27</v>
      </c>
    </row>
    <row r="57" spans="1:26">
      <c r="A57" t="s">
        <v>103</v>
      </c>
      <c r="B57" s="23">
        <v>45464</v>
      </c>
      <c r="C57">
        <v>57</v>
      </c>
      <c r="D57" t="s">
        <v>157</v>
      </c>
      <c r="E57" t="s">
        <v>162</v>
      </c>
      <c r="G57" t="s">
        <v>243</v>
      </c>
      <c r="I57">
        <v>5</v>
      </c>
      <c r="J57">
        <v>1</v>
      </c>
      <c r="K57" t="s">
        <v>104</v>
      </c>
      <c r="L57" t="s">
        <v>173</v>
      </c>
      <c r="N57" t="s">
        <v>266</v>
      </c>
      <c r="O57">
        <v>2</v>
      </c>
      <c r="P57" t="s">
        <v>174</v>
      </c>
      <c r="R57" t="s">
        <v>174</v>
      </c>
      <c r="S57" t="s">
        <v>174</v>
      </c>
      <c r="V57" t="s">
        <v>272</v>
      </c>
      <c r="W57">
        <v>28</v>
      </c>
      <c r="X57">
        <v>1</v>
      </c>
      <c r="Z57" s="16" cm="1">
        <f t="array" ref="Z57">VALUE(LEFT(A57, MIN(IFERROR(FIND({"o","p"}, A57), LEN(A57)+1))-1))</f>
        <v>28</v>
      </c>
    </row>
    <row r="58" spans="1:26">
      <c r="A58" t="s">
        <v>105</v>
      </c>
      <c r="C58">
        <v>57</v>
      </c>
      <c r="L58" t="s">
        <v>265</v>
      </c>
      <c r="W58">
        <v>28</v>
      </c>
      <c r="X58">
        <v>2</v>
      </c>
      <c r="Z58" s="16" cm="1">
        <f t="array" ref="Z58">VALUE(LEFT(A58, MIN(IFERROR(FIND({"o","p"}, A58), LEN(A58)+1))-1))</f>
        <v>28</v>
      </c>
    </row>
    <row r="59" spans="1:26">
      <c r="A59" t="s">
        <v>106</v>
      </c>
      <c r="B59" s="23">
        <v>45271</v>
      </c>
      <c r="C59">
        <v>63</v>
      </c>
      <c r="D59" t="s">
        <v>157</v>
      </c>
      <c r="L59" t="s">
        <v>32</v>
      </c>
      <c r="M59" t="s">
        <v>280</v>
      </c>
      <c r="N59" t="s">
        <v>203</v>
      </c>
      <c r="O59">
        <v>1</v>
      </c>
      <c r="P59" t="s">
        <v>174</v>
      </c>
      <c r="R59" t="s">
        <v>174</v>
      </c>
      <c r="S59" t="s">
        <v>174</v>
      </c>
      <c r="V59" t="s">
        <v>291</v>
      </c>
      <c r="W59">
        <v>29</v>
      </c>
      <c r="X59">
        <v>1</v>
      </c>
      <c r="Z59" s="16" cm="1">
        <f t="array" ref="Z59">VALUE(LEFT(A59, MIN(IFERROR(FIND({"o","p"}, A59), LEN(A59)+1))-1))</f>
        <v>29</v>
      </c>
    </row>
    <row r="60" spans="1:26">
      <c r="A60" t="s">
        <v>107</v>
      </c>
      <c r="C60">
        <v>63</v>
      </c>
      <c r="L60" t="s">
        <v>35</v>
      </c>
      <c r="W60">
        <v>29</v>
      </c>
      <c r="X60">
        <v>2</v>
      </c>
      <c r="Z60" s="16" cm="1">
        <f t="array" ref="Z60">VALUE(LEFT(A60, MIN(IFERROR(FIND({"o","p"}, A60), LEN(A60)+1))-1))</f>
        <v>29</v>
      </c>
    </row>
    <row r="61" spans="1:26">
      <c r="A61" t="s">
        <v>108</v>
      </c>
      <c r="B61" s="23">
        <v>45287</v>
      </c>
      <c r="C61">
        <v>39</v>
      </c>
      <c r="D61" t="s">
        <v>158</v>
      </c>
      <c r="G61" t="s">
        <v>310</v>
      </c>
      <c r="I61">
        <v>24</v>
      </c>
      <c r="J61">
        <v>3</v>
      </c>
      <c r="K61" t="s">
        <v>273</v>
      </c>
      <c r="L61" t="s">
        <v>173</v>
      </c>
      <c r="M61" t="s">
        <v>176</v>
      </c>
      <c r="N61" t="s">
        <v>255</v>
      </c>
      <c r="P61" t="s">
        <v>174</v>
      </c>
      <c r="R61" t="s">
        <v>177</v>
      </c>
      <c r="S61" t="s">
        <v>174</v>
      </c>
      <c r="V61" t="s">
        <v>291</v>
      </c>
      <c r="W61">
        <v>30</v>
      </c>
      <c r="X61">
        <v>1</v>
      </c>
      <c r="Z61" s="16" cm="1">
        <f t="array" ref="Z61">VALUE(LEFT(A61, MIN(IFERROR(FIND({"o","p"}, A61), LEN(A61)+1))-1))</f>
        <v>30</v>
      </c>
    </row>
    <row r="62" spans="1:26">
      <c r="A62" t="s">
        <v>110</v>
      </c>
      <c r="C62">
        <v>39</v>
      </c>
      <c r="E62" t="s">
        <v>163</v>
      </c>
      <c r="F62" t="s">
        <v>239</v>
      </c>
      <c r="G62" t="s">
        <v>274</v>
      </c>
      <c r="I62">
        <v>6</v>
      </c>
      <c r="J62">
        <v>1</v>
      </c>
      <c r="L62" t="s">
        <v>202</v>
      </c>
      <c r="O62">
        <v>1</v>
      </c>
      <c r="R62" t="s">
        <v>177</v>
      </c>
      <c r="S62" t="s">
        <v>174</v>
      </c>
      <c r="W62">
        <v>30</v>
      </c>
      <c r="X62">
        <v>2</v>
      </c>
      <c r="Z62" s="16" cm="1">
        <f t="array" ref="Z62">VALUE(LEFT(A62, MIN(IFERROR(FIND({"o","p"}, A62), LEN(A62)+1))-1))</f>
        <v>30</v>
      </c>
    </row>
    <row r="63" spans="1:26">
      <c r="A63" t="s">
        <v>111</v>
      </c>
      <c r="B63" s="23">
        <v>43304</v>
      </c>
      <c r="E63" t="s">
        <v>163</v>
      </c>
      <c r="G63" t="s">
        <v>345</v>
      </c>
      <c r="I63">
        <v>1</v>
      </c>
      <c r="J63">
        <v>1</v>
      </c>
      <c r="K63" t="s">
        <v>153</v>
      </c>
      <c r="L63" t="s">
        <v>32</v>
      </c>
      <c r="M63" t="s">
        <v>275</v>
      </c>
      <c r="N63" t="s">
        <v>256</v>
      </c>
      <c r="O63">
        <v>1</v>
      </c>
      <c r="P63" t="s">
        <v>177</v>
      </c>
      <c r="R63" t="s">
        <v>177</v>
      </c>
      <c r="S63" t="s">
        <v>177</v>
      </c>
      <c r="V63" t="s">
        <v>311</v>
      </c>
      <c r="W63">
        <v>31</v>
      </c>
      <c r="X63">
        <v>1</v>
      </c>
      <c r="Z63" s="16" cm="1">
        <f t="array" ref="Z63">VALUE(LEFT(A63, MIN(IFERROR(FIND({"o","p"}, A63), LEN(A63)+1))-1))</f>
        <v>31</v>
      </c>
    </row>
    <row r="64" spans="1:26">
      <c r="A64" t="s">
        <v>112</v>
      </c>
      <c r="B64" s="24">
        <v>43304</v>
      </c>
      <c r="C64">
        <v>60</v>
      </c>
      <c r="L64" t="s">
        <v>312</v>
      </c>
      <c r="N64" t="s">
        <v>181</v>
      </c>
      <c r="R64" t="s">
        <v>177</v>
      </c>
      <c r="S64" t="s">
        <v>177</v>
      </c>
      <c r="W64">
        <v>31</v>
      </c>
      <c r="X64">
        <v>2</v>
      </c>
      <c r="Z64" s="16" cm="1">
        <f t="array" ref="Z64">VALUE(LEFT(A64, MIN(IFERROR(FIND({"o","p"}, A64), LEN(A64)+1))-1))</f>
        <v>31</v>
      </c>
    </row>
    <row r="65" spans="1:26">
      <c r="A65" t="s">
        <v>113</v>
      </c>
      <c r="B65" s="23">
        <v>44630</v>
      </c>
      <c r="D65" t="s">
        <v>161</v>
      </c>
      <c r="E65" t="s">
        <v>238</v>
      </c>
      <c r="F65" t="s">
        <v>239</v>
      </c>
      <c r="G65" t="s">
        <v>313</v>
      </c>
      <c r="I65">
        <v>3</v>
      </c>
      <c r="J65">
        <v>1</v>
      </c>
      <c r="K65" t="s">
        <v>314</v>
      </c>
      <c r="L65" t="s">
        <v>264</v>
      </c>
      <c r="N65" t="s">
        <v>276</v>
      </c>
      <c r="O65">
        <v>1</v>
      </c>
      <c r="P65" t="s">
        <v>177</v>
      </c>
      <c r="Q65" t="s">
        <v>315</v>
      </c>
      <c r="R65" t="s">
        <v>346</v>
      </c>
      <c r="S65" t="s">
        <v>316</v>
      </c>
      <c r="V65" t="s">
        <v>347</v>
      </c>
      <c r="W65">
        <v>32</v>
      </c>
      <c r="X65">
        <v>1</v>
      </c>
      <c r="Z65" s="16" cm="1">
        <f t="array" ref="Z65">VALUE(LEFT(A65, MIN(IFERROR(FIND({"o","p"}, A65), LEN(A65)+1))-1))</f>
        <v>32</v>
      </c>
    </row>
    <row r="66" spans="1:26">
      <c r="A66" t="s">
        <v>115</v>
      </c>
      <c r="B66" s="24">
        <v>44629</v>
      </c>
      <c r="C66">
        <v>72</v>
      </c>
      <c r="E66" t="s">
        <v>268</v>
      </c>
      <c r="G66" t="s">
        <v>178</v>
      </c>
      <c r="L66" t="s">
        <v>235</v>
      </c>
      <c r="N66" t="s">
        <v>257</v>
      </c>
      <c r="O66">
        <v>1</v>
      </c>
      <c r="W66">
        <v>32</v>
      </c>
      <c r="X66">
        <v>2</v>
      </c>
      <c r="Z66" s="16" cm="1">
        <f t="array" ref="Z66">VALUE(LEFT(A66, MIN(IFERROR(FIND({"o","p"}, A66), LEN(A66)+1))-1))</f>
        <v>32</v>
      </c>
    </row>
    <row r="67" spans="1:26">
      <c r="A67" t="s">
        <v>116</v>
      </c>
      <c r="B67" s="23">
        <v>44517</v>
      </c>
      <c r="D67" t="s">
        <v>157</v>
      </c>
      <c r="E67" t="s">
        <v>238</v>
      </c>
      <c r="F67" t="s">
        <v>239</v>
      </c>
      <c r="L67" t="s">
        <v>32</v>
      </c>
      <c r="N67" t="s">
        <v>48</v>
      </c>
      <c r="O67">
        <v>1</v>
      </c>
      <c r="P67" t="s">
        <v>284</v>
      </c>
      <c r="R67" t="s">
        <v>177</v>
      </c>
      <c r="S67" t="s">
        <v>174</v>
      </c>
      <c r="W67">
        <v>33</v>
      </c>
      <c r="X67">
        <v>1</v>
      </c>
      <c r="Z67" s="16" cm="1">
        <f t="array" ref="Z67">VALUE(LEFT(A67, MIN(IFERROR(FIND({"o","p"}, A67), LEN(A67)+1))-1))</f>
        <v>33</v>
      </c>
    </row>
    <row r="68" spans="1:26">
      <c r="A68" t="s">
        <v>117</v>
      </c>
      <c r="B68" s="24">
        <v>44517</v>
      </c>
      <c r="C68">
        <v>41</v>
      </c>
      <c r="F68" t="s">
        <v>239</v>
      </c>
      <c r="H68" t="s">
        <v>317</v>
      </c>
      <c r="L68" t="s">
        <v>318</v>
      </c>
      <c r="R68" t="s">
        <v>177</v>
      </c>
      <c r="S68" t="s">
        <v>177</v>
      </c>
      <c r="W68">
        <v>33</v>
      </c>
      <c r="X68">
        <v>2</v>
      </c>
      <c r="Z68" s="16" cm="1">
        <f t="array" ref="Z68">VALUE(LEFT(A68, MIN(IFERROR(FIND({"o","p"}, A68), LEN(A68)+1))-1))</f>
        <v>33</v>
      </c>
    </row>
    <row r="69" spans="1:26">
      <c r="A69" t="s">
        <v>118</v>
      </c>
      <c r="B69" s="23">
        <v>44825</v>
      </c>
      <c r="D69" t="s">
        <v>155</v>
      </c>
      <c r="E69" t="s">
        <v>162</v>
      </c>
      <c r="G69" t="s">
        <v>348</v>
      </c>
      <c r="I69">
        <v>1</v>
      </c>
      <c r="J69">
        <v>1</v>
      </c>
      <c r="K69" t="s">
        <v>187</v>
      </c>
      <c r="L69" t="s">
        <v>32</v>
      </c>
      <c r="M69" t="s">
        <v>277</v>
      </c>
      <c r="N69" t="s">
        <v>187</v>
      </c>
      <c r="O69">
        <v>3</v>
      </c>
      <c r="P69" t="s">
        <v>319</v>
      </c>
      <c r="Q69" t="s">
        <v>315</v>
      </c>
      <c r="R69" t="s">
        <v>177</v>
      </c>
      <c r="S69" t="s">
        <v>244</v>
      </c>
      <c r="V69" t="s">
        <v>283</v>
      </c>
      <c r="W69">
        <v>34</v>
      </c>
      <c r="X69">
        <v>1</v>
      </c>
      <c r="Z69" s="16" cm="1">
        <f t="array" ref="Z69">VALUE(LEFT(A69, MIN(IFERROR(FIND({"o","p"}, A69), LEN(A69)+1))-1))</f>
        <v>34</v>
      </c>
    </row>
    <row r="70" spans="1:26">
      <c r="A70" t="s">
        <v>119</v>
      </c>
      <c r="B70" s="24">
        <v>44825</v>
      </c>
      <c r="C70">
        <v>63</v>
      </c>
      <c r="L70" t="s">
        <v>32</v>
      </c>
      <c r="N70" t="s">
        <v>188</v>
      </c>
      <c r="S70" t="s">
        <v>177</v>
      </c>
      <c r="W70">
        <v>34</v>
      </c>
      <c r="X70">
        <v>2</v>
      </c>
      <c r="Z70" s="16" cm="1">
        <f t="array" ref="Z70">VALUE(LEFT(A70, MIN(IFERROR(FIND({"o","p"}, A70), LEN(A70)+1))-1))</f>
        <v>34</v>
      </c>
    </row>
    <row r="71" spans="1:26">
      <c r="A71" t="s">
        <v>120</v>
      </c>
      <c r="B71" s="23">
        <v>44419</v>
      </c>
      <c r="E71" t="s">
        <v>238</v>
      </c>
      <c r="G71" t="s">
        <v>320</v>
      </c>
      <c r="I71">
        <v>35</v>
      </c>
      <c r="J71">
        <v>7</v>
      </c>
      <c r="K71" t="s">
        <v>254</v>
      </c>
      <c r="L71" t="s">
        <v>202</v>
      </c>
      <c r="M71" t="s">
        <v>204</v>
      </c>
      <c r="N71" t="s">
        <v>258</v>
      </c>
      <c r="P71" t="s">
        <v>177</v>
      </c>
      <c r="R71" t="s">
        <v>177</v>
      </c>
      <c r="S71" t="s">
        <v>177</v>
      </c>
      <c r="V71" t="s">
        <v>283</v>
      </c>
      <c r="W71">
        <v>35</v>
      </c>
      <c r="X71">
        <v>1</v>
      </c>
      <c r="Z71" s="16" cm="1">
        <f t="array" ref="Z71">VALUE(LEFT(A71, MIN(IFERROR(FIND({"o","p"}, A71), LEN(A71)+1))-1))</f>
        <v>35</v>
      </c>
    </row>
    <row r="72" spans="1:26">
      <c r="A72" t="s">
        <v>121</v>
      </c>
      <c r="B72" s="24">
        <v>44419</v>
      </c>
      <c r="C72">
        <v>62</v>
      </c>
      <c r="F72" t="s">
        <v>167</v>
      </c>
      <c r="G72" t="s">
        <v>349</v>
      </c>
      <c r="H72" t="s">
        <v>321</v>
      </c>
      <c r="L72" t="s">
        <v>269</v>
      </c>
      <c r="N72" t="s">
        <v>181</v>
      </c>
      <c r="O72">
        <v>1</v>
      </c>
      <c r="R72" t="s">
        <v>177</v>
      </c>
      <c r="S72" t="s">
        <v>177</v>
      </c>
      <c r="W72">
        <v>35</v>
      </c>
      <c r="X72">
        <v>2</v>
      </c>
      <c r="Z72" s="16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122</v>
      </c>
      <c r="B1" s="2" t="s">
        <v>123</v>
      </c>
    </row>
    <row r="2" spans="1:2">
      <c r="A2" s="1" t="s">
        <v>2</v>
      </c>
      <c r="B2" s="1" t="s">
        <v>124</v>
      </c>
    </row>
    <row r="3" spans="1:2">
      <c r="A3" s="1" t="s">
        <v>3</v>
      </c>
      <c r="B3" s="1" t="s">
        <v>125</v>
      </c>
    </row>
    <row r="4" spans="1:2">
      <c r="A4" s="1" t="s">
        <v>4</v>
      </c>
      <c r="B4" s="1" t="s">
        <v>126</v>
      </c>
    </row>
    <row r="5" spans="1:2">
      <c r="A5" s="1" t="s">
        <v>5</v>
      </c>
      <c r="B5" s="1" t="s">
        <v>127</v>
      </c>
    </row>
    <row r="6" spans="1:2">
      <c r="A6" s="1" t="s">
        <v>6</v>
      </c>
      <c r="B6" s="1" t="s">
        <v>128</v>
      </c>
    </row>
    <row r="7" spans="1:2">
      <c r="A7" s="1" t="s">
        <v>7</v>
      </c>
      <c r="B7" s="1" t="s">
        <v>129</v>
      </c>
    </row>
    <row r="8" spans="1:2">
      <c r="A8" s="1" t="s">
        <v>10</v>
      </c>
      <c r="B8" s="1" t="s">
        <v>130</v>
      </c>
    </row>
    <row r="9" spans="1:2">
      <c r="A9" s="1" t="s">
        <v>12</v>
      </c>
      <c r="B9" s="1" t="s">
        <v>131</v>
      </c>
    </row>
    <row r="10" spans="1:2">
      <c r="A10" s="1" t="s">
        <v>13</v>
      </c>
      <c r="B10" s="1" t="s">
        <v>132</v>
      </c>
    </row>
    <row r="11" spans="1:2">
      <c r="A11" s="1" t="s">
        <v>14</v>
      </c>
      <c r="B11" s="1" t="s">
        <v>133</v>
      </c>
    </row>
    <row r="12" spans="1:2">
      <c r="A12" s="1" t="s">
        <v>15</v>
      </c>
      <c r="B12" s="1" t="s">
        <v>134</v>
      </c>
    </row>
    <row r="13" spans="1:2">
      <c r="A13" s="1" t="s">
        <v>16</v>
      </c>
      <c r="B13" s="1" t="s">
        <v>135</v>
      </c>
    </row>
    <row r="14" spans="1:2">
      <c r="A14" s="1" t="s">
        <v>18</v>
      </c>
      <c r="B14" s="1" t="s">
        <v>136</v>
      </c>
    </row>
    <row r="15" spans="1:2">
      <c r="A15" s="1" t="s">
        <v>19</v>
      </c>
      <c r="B15" s="1" t="s">
        <v>137</v>
      </c>
    </row>
    <row r="16" spans="1:2">
      <c r="A16" s="1" t="s">
        <v>20</v>
      </c>
      <c r="B16" s="1" t="s">
        <v>138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139</v>
      </c>
    </row>
    <row r="19" spans="1:2">
      <c r="A19" s="1" t="s">
        <v>23</v>
      </c>
      <c r="B19" s="1" t="s">
        <v>140</v>
      </c>
    </row>
    <row r="20" spans="1:2">
      <c r="A20" s="1" t="s">
        <v>24</v>
      </c>
      <c r="B20" s="1" t="s">
        <v>141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142</v>
      </c>
    </row>
    <row r="23" spans="1:2">
      <c r="A23" s="1" t="s">
        <v>27</v>
      </c>
      <c r="B23" s="1" t="s">
        <v>143</v>
      </c>
    </row>
    <row r="24" spans="1:2">
      <c r="A24" s="1" t="s">
        <v>28</v>
      </c>
      <c r="B24" s="1" t="s">
        <v>144</v>
      </c>
    </row>
    <row r="25" spans="1:2">
      <c r="A25" s="2" t="s">
        <v>29</v>
      </c>
      <c r="B25" s="2" t="s">
        <v>145</v>
      </c>
    </row>
    <row r="27" spans="1:2">
      <c r="A27" s="1" t="s">
        <v>146</v>
      </c>
    </row>
    <row r="28" spans="1:2">
      <c r="A28" s="1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2024-12-06T15:18:47Z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