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585E8F4C-AEAA-4DAA-B65C-3626184A6951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" i="16" l="1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 s="1"/>
  <c r="AG4" i="16" a="1"/>
  <c r="AG4" i="16" s="1"/>
  <c r="AG5" i="16" a="1"/>
  <c r="AG5" i="16" s="1"/>
  <c r="AG6" i="16" a="1"/>
  <c r="AG6" i="16" s="1"/>
  <c r="AG7" i="16" a="1"/>
  <c r="AG7" i="16" s="1"/>
  <c r="AG8" i="16" a="1"/>
  <c r="AG8" i="16" s="1"/>
  <c r="AG9" i="16" a="1"/>
  <c r="AG9" i="16" s="1"/>
  <c r="AG10" i="16" a="1"/>
  <c r="AG10" i="16" s="1"/>
  <c r="AG11" i="16" a="1"/>
  <c r="AG11" i="16" s="1"/>
  <c r="AG12" i="16" a="1"/>
  <c r="AG12" i="16" s="1"/>
  <c r="AG13" i="16" a="1"/>
  <c r="AG13" i="16" s="1"/>
  <c r="AG14" i="16" a="1"/>
  <c r="AG14" i="16" s="1"/>
  <c r="AG15" i="16" a="1"/>
  <c r="AG15" i="16" s="1"/>
  <c r="AG16" i="16" a="1"/>
  <c r="AG16" i="16" s="1"/>
  <c r="AG17" i="16" a="1"/>
  <c r="AG17" i="16" s="1"/>
  <c r="AG18" i="16" a="1"/>
  <c r="AG18" i="16" s="1"/>
  <c r="AG19" i="16" a="1"/>
  <c r="AG19" i="16" s="1"/>
  <c r="AG20" i="16" a="1"/>
  <c r="AG20" i="16" s="1"/>
  <c r="AG21" i="16" a="1"/>
  <c r="AG21" i="16" s="1"/>
  <c r="AG22" i="16" a="1"/>
  <c r="AG22" i="16" s="1"/>
  <c r="AG23" i="16" a="1"/>
  <c r="AG23" i="16" s="1"/>
  <c r="AG24" i="16" a="1"/>
  <c r="AG24" i="16" s="1"/>
  <c r="AG25" i="16" a="1"/>
  <c r="AG25" i="16" s="1"/>
  <c r="AG26" i="16" a="1"/>
  <c r="AG26" i="16" s="1"/>
  <c r="AG27" i="16" a="1"/>
  <c r="AG27" i="16" s="1"/>
  <c r="AG28" i="16" a="1"/>
  <c r="AG28" i="16" s="1"/>
  <c r="AG29" i="16" a="1"/>
  <c r="AG29" i="16" s="1"/>
  <c r="AG30" i="16" a="1"/>
  <c r="AG30" i="16" s="1"/>
  <c r="AG31" i="16" a="1"/>
  <c r="AG31" i="16" s="1"/>
  <c r="AG32" i="16" a="1"/>
  <c r="AG32" i="16" s="1"/>
  <c r="AG33" i="16" a="1"/>
  <c r="AG33" i="16" s="1"/>
  <c r="AG34" i="16" a="1"/>
  <c r="AG34" i="16" s="1"/>
  <c r="AG35" i="16" a="1"/>
  <c r="AG35" i="16" s="1"/>
  <c r="AG36" i="16" a="1"/>
  <c r="AG36" i="16" s="1"/>
  <c r="AG37" i="16" a="1"/>
  <c r="AG37" i="16" s="1"/>
  <c r="AG3" i="16" a="1"/>
  <c r="AG3" i="16" s="1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 s="1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 s="1"/>
  <c r="Z39" i="15" a="1"/>
  <c r="Z39" i="15" s="1"/>
  <c r="Z40" i="15" a="1"/>
  <c r="Z40" i="15" s="1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V14" i="16" l="1" a="1"/>
  <c r="V14" i="16" s="1"/>
  <c r="V34" i="16" a="1"/>
  <c r="V34" i="16" s="1"/>
  <c r="V15" i="16" a="1"/>
  <c r="V15" i="16" s="1"/>
  <c r="V35" i="16" a="1"/>
  <c r="V35" i="16" s="1"/>
  <c r="Y35" i="16" s="1"/>
  <c r="V16" i="16" a="1"/>
  <c r="V16" i="16" s="1"/>
  <c r="V36" i="16" a="1"/>
  <c r="V36" i="16" s="1"/>
  <c r="V17" i="16" a="1"/>
  <c r="V17" i="16" s="1"/>
  <c r="Y17" i="16" s="1"/>
  <c r="V37" i="16" a="1"/>
  <c r="V37" i="16" s="1"/>
  <c r="V18" i="16" a="1"/>
  <c r="V18" i="16" s="1"/>
  <c r="V3" i="16" a="1"/>
  <c r="V3" i="16" s="1"/>
  <c r="Y3" i="16" s="1"/>
  <c r="V19" i="16" a="1"/>
  <c r="V19" i="16" s="1"/>
  <c r="Y19" i="16" s="1"/>
  <c r="V20" i="16" a="1"/>
  <c r="V20" i="16" s="1"/>
  <c r="V21" i="16" a="1"/>
  <c r="V21" i="16" s="1"/>
  <c r="Y21" i="16" s="1"/>
  <c r="V22" i="16" a="1"/>
  <c r="V22" i="16" s="1"/>
  <c r="V24" i="16" a="1"/>
  <c r="V24" i="16" s="1"/>
  <c r="Y24" i="16" s="1"/>
  <c r="V23" i="16" a="1"/>
  <c r="V23" i="16" s="1"/>
  <c r="V26" i="16" a="1"/>
  <c r="V26" i="16" s="1"/>
  <c r="V4" i="16" a="1"/>
  <c r="V4" i="16" s="1"/>
  <c r="Y4" i="16" s="1"/>
  <c r="V28" i="16" a="1"/>
  <c r="V28" i="16" s="1"/>
  <c r="Y28" i="16" s="1"/>
  <c r="V5" i="16" a="1"/>
  <c r="V5" i="16" s="1"/>
  <c r="Y5" i="16" s="1"/>
  <c r="V25" i="16" a="1"/>
  <c r="V25" i="16" s="1"/>
  <c r="Y25" i="16" s="1"/>
  <c r="V6" i="16" a="1"/>
  <c r="V6" i="16" s="1"/>
  <c r="Y6" i="16" s="1"/>
  <c r="V7" i="16" a="1"/>
  <c r="V7" i="16" s="1"/>
  <c r="V27" i="16" a="1"/>
  <c r="V27" i="16" s="1"/>
  <c r="Y27" i="16" s="1"/>
  <c r="V8" i="16" a="1"/>
  <c r="V8" i="16" s="1"/>
  <c r="Y8" i="16" s="1"/>
  <c r="V29" i="16" a="1"/>
  <c r="V29" i="16" s="1"/>
  <c r="Y29" i="16" s="1"/>
  <c r="V9" i="16" a="1"/>
  <c r="V9" i="16" s="1"/>
  <c r="Y9" i="16" s="1"/>
  <c r="V32" i="16" a="1"/>
  <c r="V32" i="16" s="1"/>
  <c r="V10" i="16" a="1"/>
  <c r="V10" i="16" s="1"/>
  <c r="Y10" i="16" s="1"/>
  <c r="V30" i="16" a="1"/>
  <c r="V30" i="16" s="1"/>
  <c r="Y30" i="16" s="1"/>
  <c r="V11" i="16" a="1"/>
  <c r="V11" i="16" s="1"/>
  <c r="Y11" i="16" s="1"/>
  <c r="V31" i="16" a="1"/>
  <c r="V31" i="16" s="1"/>
  <c r="Y31" i="16" s="1"/>
  <c r="V12" i="16" a="1"/>
  <c r="V12" i="16" s="1"/>
  <c r="Y12" i="16" s="1"/>
  <c r="V13" i="16" a="1"/>
  <c r="V13" i="16" s="1"/>
  <c r="Y13" i="16" s="1"/>
  <c r="V33" i="16" a="1"/>
  <c r="V33" i="16" s="1"/>
  <c r="F12" i="16" a="1"/>
  <c r="F12" i="16" s="1"/>
  <c r="F13" i="16" a="1"/>
  <c r="F13" i="16" s="1"/>
  <c r="F33" i="16" a="1"/>
  <c r="F33" i="16" s="1"/>
  <c r="F14" i="16" a="1"/>
  <c r="F14" i="16" s="1"/>
  <c r="F15" i="16" a="1"/>
  <c r="F15" i="16" s="1"/>
  <c r="F35" i="16" a="1"/>
  <c r="F35" i="16" s="1"/>
  <c r="F16" i="16" a="1"/>
  <c r="F16" i="16" s="1"/>
  <c r="F36" i="16" a="1"/>
  <c r="F36" i="16" s="1"/>
  <c r="F17" i="16" a="1"/>
  <c r="F17" i="16" s="1"/>
  <c r="F18" i="16" a="1"/>
  <c r="F18" i="16" s="1"/>
  <c r="F3" i="16" a="1"/>
  <c r="F3" i="16" s="1"/>
  <c r="F19" i="16" a="1"/>
  <c r="F19" i="16" s="1"/>
  <c r="F4" i="16" a="1"/>
  <c r="F4" i="16" s="1"/>
  <c r="F20" i="16" a="1"/>
  <c r="F20" i="16" s="1"/>
  <c r="F5" i="16" a="1"/>
  <c r="F5" i="16" s="1"/>
  <c r="F21" i="16" a="1"/>
  <c r="F21" i="16" s="1"/>
  <c r="F22" i="16" a="1"/>
  <c r="F22" i="16" s="1"/>
  <c r="F6" i="16" a="1"/>
  <c r="F6" i="16" s="1"/>
  <c r="F23" i="16" a="1"/>
  <c r="F23" i="16" s="1"/>
  <c r="F32" i="16" a="1"/>
  <c r="F32" i="16" s="1"/>
  <c r="F24" i="16" a="1"/>
  <c r="F24" i="16" s="1"/>
  <c r="F30" i="16" a="1"/>
  <c r="F30" i="16" s="1"/>
  <c r="F25" i="16" a="1"/>
  <c r="F25" i="16" s="1"/>
  <c r="F27" i="16" a="1"/>
  <c r="F27" i="16" s="1"/>
  <c r="F26" i="16" a="1"/>
  <c r="F26" i="16" s="1"/>
  <c r="F28" i="16" a="1"/>
  <c r="F28" i="16" s="1"/>
  <c r="F7" i="16" a="1"/>
  <c r="F7" i="16" s="1"/>
  <c r="F8" i="16" a="1"/>
  <c r="F8" i="16" s="1"/>
  <c r="F29" i="16" a="1"/>
  <c r="F29" i="16" s="1"/>
  <c r="F9" i="16" a="1"/>
  <c r="F9" i="16" s="1"/>
  <c r="F34" i="16" a="1"/>
  <c r="F34" i="16" s="1"/>
  <c r="F10" i="16" a="1"/>
  <c r="F10" i="16" s="1"/>
  <c r="F37" i="16" a="1"/>
  <c r="F37" i="16" s="1"/>
  <c r="F11" i="16" a="1"/>
  <c r="F11" i="16" s="1"/>
  <c r="F31" i="16" a="1"/>
  <c r="F31" i="16" s="1"/>
  <c r="H4" i="16" a="1"/>
  <c r="H4" i="16" s="1"/>
  <c r="AF9" i="16" a="1"/>
  <c r="AF9" i="16" s="1"/>
  <c r="AF29" i="16" a="1"/>
  <c r="AF29" i="16" s="1"/>
  <c r="AF10" i="16" a="1"/>
  <c r="AF10" i="16" s="1"/>
  <c r="AF30" i="16" a="1"/>
  <c r="AF30" i="16" s="1"/>
  <c r="H26" i="16" a="1"/>
  <c r="H26" i="16" s="1"/>
  <c r="AF11" i="16" a="1"/>
  <c r="AF11" i="16" s="1"/>
  <c r="AF31" i="16" a="1"/>
  <c r="AF31" i="16" s="1"/>
  <c r="AF12" i="16" a="1"/>
  <c r="AF12" i="16" s="1"/>
  <c r="AF32" i="16" a="1"/>
  <c r="AF32" i="16" s="1"/>
  <c r="H8" i="16" a="1"/>
  <c r="H8" i="16" s="1"/>
  <c r="H28" i="16" a="1"/>
  <c r="H28" i="16" s="1"/>
  <c r="AF13" i="16" a="1"/>
  <c r="AF13" i="16" s="1"/>
  <c r="AF33" i="16" a="1"/>
  <c r="AF33" i="16" s="1"/>
  <c r="AF14" i="16" a="1"/>
  <c r="AF14" i="16" s="1"/>
  <c r="AF34" i="16" a="1"/>
  <c r="AF34" i="16" s="1"/>
  <c r="AF15" i="16" a="1"/>
  <c r="AF15" i="16" s="1"/>
  <c r="AF35" i="16" a="1"/>
  <c r="AF35" i="16" s="1"/>
  <c r="AF16" i="16" a="1"/>
  <c r="AF16" i="16" s="1"/>
  <c r="AF36" i="16" a="1"/>
  <c r="AF36" i="16" s="1"/>
  <c r="AF3" i="16" a="1"/>
  <c r="AF3" i="16" s="1"/>
  <c r="H32" i="16" a="1"/>
  <c r="H32" i="16" s="1"/>
  <c r="AF17" i="16" a="1"/>
  <c r="AF17" i="16" s="1"/>
  <c r="AF37" i="16" a="1"/>
  <c r="AF37" i="16" s="1"/>
  <c r="AF18" i="16" a="1"/>
  <c r="AF18" i="16" s="1"/>
  <c r="AF19" i="16" a="1"/>
  <c r="AF19" i="16" s="1"/>
  <c r="AF20" i="16" a="1"/>
  <c r="AF20" i="16" s="1"/>
  <c r="AF21" i="16" a="1"/>
  <c r="AF21" i="16" s="1"/>
  <c r="AF22" i="16" a="1"/>
  <c r="AF22" i="16" s="1"/>
  <c r="AF23" i="16" a="1"/>
  <c r="AF23" i="16" s="1"/>
  <c r="AF4" i="16" a="1"/>
  <c r="AF4" i="16" s="1"/>
  <c r="AF24" i="16" a="1"/>
  <c r="AF24" i="16" s="1"/>
  <c r="AF5" i="16" a="1"/>
  <c r="AF5" i="16" s="1"/>
  <c r="AF25" i="16" a="1"/>
  <c r="AF25" i="16" s="1"/>
  <c r="AF6" i="16" a="1"/>
  <c r="AF6" i="16" s="1"/>
  <c r="AF26" i="16" a="1"/>
  <c r="AF26" i="16" s="1"/>
  <c r="H22" i="16" a="1"/>
  <c r="H22" i="16" s="1"/>
  <c r="AF7" i="16" a="1"/>
  <c r="AF7" i="16" s="1"/>
  <c r="AF27" i="16" a="1"/>
  <c r="AF27" i="16" s="1"/>
  <c r="H23" i="16" a="1"/>
  <c r="H23" i="16" s="1"/>
  <c r="AF8" i="16" a="1"/>
  <c r="AF8" i="16" s="1"/>
  <c r="AF28" i="16" a="1"/>
  <c r="AF28" i="16" s="1"/>
  <c r="E19" i="16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Z19" i="16" a="1"/>
  <c r="Z19" i="16" s="1"/>
  <c r="B26" i="16"/>
  <c r="B6" i="16"/>
  <c r="E21" i="16"/>
  <c r="Q28" i="16" a="1"/>
  <c r="Q28" i="16" s="1"/>
  <c r="Q8" i="16" a="1"/>
  <c r="Q8" i="16" s="1"/>
  <c r="Z3" i="16" a="1"/>
  <c r="Z3" i="16" s="1"/>
  <c r="Z18" i="16" a="1"/>
  <c r="Z18" i="16" s="1"/>
  <c r="Q27" i="16" a="1"/>
  <c r="Q27" i="16" s="1"/>
  <c r="Q7" i="16" a="1"/>
  <c r="Q7" i="16" s="1"/>
  <c r="Z37" i="16" a="1"/>
  <c r="Z37" i="16" s="1"/>
  <c r="Z17" i="16" a="1"/>
  <c r="Z17" i="16" s="1"/>
  <c r="Q26" i="16" a="1"/>
  <c r="Q26" i="16" s="1"/>
  <c r="Q6" i="16" a="1"/>
  <c r="Q6" i="16" s="1"/>
  <c r="H21" i="16" a="1"/>
  <c r="H21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G14" i="16" a="1"/>
  <c r="G14" i="16" s="1"/>
  <c r="S23" i="16" a="1"/>
  <c r="S23" i="16" s="1"/>
  <c r="R7" i="16" a="1"/>
  <c r="R7" i="16" s="1"/>
  <c r="AL7" i="16" s="1"/>
  <c r="R27" i="16" a="1"/>
  <c r="R27" i="16" s="1"/>
  <c r="AL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X14" i="16" a="1"/>
  <c r="X14" i="16" s="1"/>
  <c r="X34" i="16" a="1"/>
  <c r="X34" i="16" s="1"/>
  <c r="X15" i="16" a="1"/>
  <c r="X15" i="16" s="1"/>
  <c r="X35" i="16" a="1"/>
  <c r="X35" i="16" s="1"/>
  <c r="X16" i="16" a="1"/>
  <c r="X16" i="16" s="1"/>
  <c r="X36" i="16" a="1"/>
  <c r="X36" i="16" s="1"/>
  <c r="X17" i="16" a="1"/>
  <c r="X17" i="16" s="1"/>
  <c r="X37" i="16" a="1"/>
  <c r="X37" i="16" s="1"/>
  <c r="X18" i="16" a="1"/>
  <c r="X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X23" i="16" a="1"/>
  <c r="X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AI17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N24" i="16" a="1"/>
  <c r="T6" i="16" a="1"/>
  <c r="T35" i="16" a="1"/>
  <c r="N30" i="16" a="1"/>
  <c r="T32" i="16" a="1"/>
  <c r="N14" i="16" a="1"/>
  <c r="T36" i="16" a="1"/>
  <c r="T5" i="16" a="1"/>
  <c r="N7" i="16" a="1"/>
  <c r="T19" i="16" a="1"/>
  <c r="T12" i="16" a="1"/>
  <c r="T25" i="16" a="1"/>
  <c r="T28" i="16" a="1"/>
  <c r="N19" i="16" a="1"/>
  <c r="N22" i="16" a="1"/>
  <c r="T37" i="16" a="1"/>
  <c r="N17" i="16" a="1"/>
  <c r="T27" i="16" a="1"/>
  <c r="N26" i="16" a="1"/>
  <c r="T26" i="16" a="1"/>
  <c r="N32" i="16" a="1"/>
  <c r="T20" i="16" a="1"/>
  <c r="N13" i="16" a="1"/>
  <c r="T10" i="16" a="1"/>
  <c r="N36" i="16" a="1"/>
  <c r="T11" i="16" a="1"/>
  <c r="N23" i="16" a="1"/>
  <c r="N20" i="16" a="1"/>
  <c r="T8" i="16" a="1"/>
  <c r="N15" i="16" a="1"/>
  <c r="N10" i="16" a="1"/>
  <c r="T4" i="16" a="1"/>
  <c r="T24" i="16" a="1"/>
  <c r="N25" i="16" a="1"/>
  <c r="N8" i="16" a="1"/>
  <c r="T31" i="16" a="1"/>
  <c r="T3" i="16" a="1"/>
  <c r="T13" i="16" a="1"/>
  <c r="N18" i="16" a="1"/>
  <c r="T17" i="16" a="1"/>
  <c r="T21" i="16" a="1"/>
  <c r="N34" i="16" a="1"/>
  <c r="N4" i="16" a="1"/>
  <c r="T16" i="16" a="1"/>
  <c r="T22" i="16" a="1"/>
  <c r="N27" i="16" a="1"/>
  <c r="T29" i="16" a="1"/>
  <c r="N3" i="16" a="1"/>
  <c r="T15" i="16" a="1"/>
  <c r="N12" i="16" a="1"/>
  <c r="N16" i="16" a="1"/>
  <c r="T33" i="16" a="1"/>
  <c r="N35" i="16" a="1"/>
  <c r="N11" i="16" a="1"/>
  <c r="N9" i="16" a="1"/>
  <c r="N31" i="16" a="1"/>
  <c r="T30" i="16" a="1"/>
  <c r="T34" i="16" a="1"/>
  <c r="T14" i="16" a="1"/>
  <c r="N28" i="16" a="1"/>
  <c r="N6" i="16" a="1"/>
  <c r="N37" i="16" a="1"/>
  <c r="T9" i="16" a="1"/>
  <c r="T18" i="16" a="1"/>
  <c r="T23" i="16" a="1"/>
  <c r="N5" i="16" a="1"/>
  <c r="T7" i="16" a="1"/>
  <c r="N21" i="16" a="1"/>
  <c r="N33" i="16" a="1"/>
  <c r="N29" i="16" a="1"/>
  <c r="AL6" i="16" l="1"/>
  <c r="AL32" i="16"/>
  <c r="AE30" i="16"/>
  <c r="AA30" i="16"/>
  <c r="AL24" i="16"/>
  <c r="AM24" i="16" s="1"/>
  <c r="AJ17" i="16"/>
  <c r="AE25" i="16"/>
  <c r="AA25" i="16"/>
  <c r="AE10" i="16"/>
  <c r="AA10" i="16"/>
  <c r="AE5" i="16"/>
  <c r="AA5" i="16"/>
  <c r="AE21" i="16"/>
  <c r="AA21" i="16"/>
  <c r="AE34" i="16"/>
  <c r="AJ34" i="16" s="1"/>
  <c r="AA34" i="16"/>
  <c r="Y26" i="16"/>
  <c r="AE37" i="16"/>
  <c r="AA37" i="16"/>
  <c r="AE14" i="16"/>
  <c r="AA14" i="16"/>
  <c r="Y23" i="16"/>
  <c r="AE17" i="16"/>
  <c r="AA17" i="16"/>
  <c r="Y33" i="16"/>
  <c r="AE24" i="16"/>
  <c r="AA24" i="16"/>
  <c r="AE29" i="16"/>
  <c r="AA29" i="16"/>
  <c r="Y22" i="16"/>
  <c r="AE28" i="16"/>
  <c r="AA28" i="16"/>
  <c r="AE4" i="16"/>
  <c r="AA4" i="16"/>
  <c r="AE20" i="16"/>
  <c r="AJ20" i="16" s="1"/>
  <c r="AA20" i="16"/>
  <c r="AE33" i="16"/>
  <c r="AA33" i="16"/>
  <c r="AE9" i="16"/>
  <c r="AA9" i="16"/>
  <c r="AE8" i="16"/>
  <c r="AA8" i="16"/>
  <c r="AE13" i="16"/>
  <c r="AA13" i="16"/>
  <c r="Y20" i="16"/>
  <c r="AE3" i="16"/>
  <c r="AA3" i="16"/>
  <c r="AL26" i="16"/>
  <c r="AE36" i="16"/>
  <c r="AJ36" i="16" s="1"/>
  <c r="AA36" i="16"/>
  <c r="AE32" i="16"/>
  <c r="AA32" i="16"/>
  <c r="Y18" i="16"/>
  <c r="AE23" i="16"/>
  <c r="AA23" i="16"/>
  <c r="AE16" i="16"/>
  <c r="AA16" i="16"/>
  <c r="AE12" i="16"/>
  <c r="AA12" i="16"/>
  <c r="Y32" i="16"/>
  <c r="Y37" i="16"/>
  <c r="AE27" i="16"/>
  <c r="AA27" i="16"/>
  <c r="AE7" i="16"/>
  <c r="AJ7" i="16" s="1"/>
  <c r="AA7" i="16"/>
  <c r="AE19" i="16"/>
  <c r="AA19" i="16"/>
  <c r="Y36" i="16"/>
  <c r="AE31" i="16"/>
  <c r="AA31" i="16"/>
  <c r="Y16" i="16"/>
  <c r="AE11" i="16"/>
  <c r="AA11" i="16"/>
  <c r="AE26" i="16"/>
  <c r="AJ26" i="16" s="1"/>
  <c r="AM26" i="16" s="1"/>
  <c r="AA26" i="16"/>
  <c r="AE35" i="16"/>
  <c r="AA35" i="16"/>
  <c r="Y7" i="16"/>
  <c r="Y15" i="16"/>
  <c r="AE6" i="16"/>
  <c r="AA6" i="16"/>
  <c r="AE22" i="16"/>
  <c r="AA22" i="16"/>
  <c r="AE18" i="16"/>
  <c r="AJ18" i="16" s="1"/>
  <c r="AA18" i="16"/>
  <c r="AE15" i="16"/>
  <c r="AA15" i="16"/>
  <c r="Y34" i="16"/>
  <c r="AJ16" i="16"/>
  <c r="Y14" i="16"/>
  <c r="AM32" i="16"/>
  <c r="AM7" i="16"/>
  <c r="AM27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AK18" i="16" s="1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27" i="16" a="1"/>
  <c r="O15" i="16" a="1"/>
  <c r="O18" i="16" a="1"/>
  <c r="U34" i="16" a="1"/>
  <c r="U37" i="16" a="1"/>
  <c r="U17" i="16" a="1"/>
  <c r="O21" i="16" a="1"/>
  <c r="O9" i="16" a="1"/>
  <c r="U7" i="16" a="1"/>
  <c r="U10" i="16" a="1"/>
  <c r="U16" i="16" a="1"/>
  <c r="O23" i="16" a="1"/>
  <c r="U13" i="16" a="1"/>
  <c r="O25" i="16" a="1"/>
  <c r="U14" i="16" a="1"/>
  <c r="U33" i="16" a="1"/>
  <c r="U6" i="16" a="1"/>
  <c r="U18" i="16" a="1"/>
  <c r="O12" i="16" a="1"/>
  <c r="O32" i="16" a="1"/>
  <c r="O30" i="16" a="1"/>
  <c r="U12" i="16" a="1"/>
  <c r="O24" i="16" a="1"/>
  <c r="O31" i="16" a="1"/>
  <c r="O6" i="16" a="1"/>
  <c r="U20" i="16" a="1"/>
  <c r="U30" i="16" a="1"/>
  <c r="O36" i="16" a="1"/>
  <c r="O13" i="16" a="1"/>
  <c r="U23" i="16" a="1"/>
  <c r="O19" i="16" a="1"/>
  <c r="U22" i="16" a="1"/>
  <c r="O8" i="16" a="1"/>
  <c r="O7" i="16" a="1"/>
  <c r="O14" i="16" a="1"/>
  <c r="U5" i="16" a="1"/>
  <c r="U32" i="16" a="1"/>
  <c r="U25" i="16" a="1"/>
  <c r="O20" i="16" a="1"/>
  <c r="U26" i="16" a="1"/>
  <c r="U31" i="16" a="1"/>
  <c r="O28" i="16" a="1"/>
  <c r="U35" i="16" a="1"/>
  <c r="O17" i="16" a="1"/>
  <c r="U24" i="16" a="1"/>
  <c r="O3" i="16" a="1"/>
  <c r="U15" i="16" a="1"/>
  <c r="U11" i="16" a="1"/>
  <c r="O10" i="16" a="1"/>
  <c r="U29" i="16" a="1"/>
  <c r="O37" i="16" a="1"/>
  <c r="O35" i="16" a="1"/>
  <c r="U4" i="16" a="1"/>
  <c r="U27" i="16" a="1"/>
  <c r="O5" i="16" a="1"/>
  <c r="U8" i="16" a="1"/>
  <c r="O16" i="16" a="1"/>
  <c r="U3" i="16" a="1"/>
  <c r="U28" i="16" a="1"/>
  <c r="U21" i="16" a="1"/>
  <c r="U9" i="16" a="1"/>
  <c r="O22" i="16" a="1"/>
  <c r="O29" i="16" a="1"/>
  <c r="O34" i="16" a="1"/>
  <c r="U19" i="16" a="1"/>
  <c r="O11" i="16" a="1"/>
  <c r="U36" i="16" a="1"/>
  <c r="O26" i="16" a="1"/>
  <c r="O4" i="16" a="1"/>
  <c r="O33" i="16" a="1"/>
  <c r="AM20" i="16" l="1"/>
  <c r="AM34" i="16"/>
  <c r="AM36" i="16"/>
  <c r="AK35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U8" i="16"/>
  <c r="U33" i="16"/>
  <c r="U31" i="16"/>
  <c r="AJ31" i="16" s="1"/>
  <c r="U19" i="16"/>
  <c r="U22" i="16"/>
  <c r="U15" i="16"/>
  <c r="AJ15" i="16" s="1"/>
  <c r="U37" i="16"/>
  <c r="U11" i="16"/>
  <c r="U13" i="16"/>
  <c r="AJ13" i="16" s="1"/>
  <c r="AM13" i="16" s="1"/>
  <c r="U24" i="16"/>
  <c r="AJ24" i="16" s="1"/>
  <c r="U29" i="16"/>
  <c r="U30" i="16"/>
  <c r="AJ30" i="16" s="1"/>
  <c r="AM30" i="16" s="1"/>
  <c r="U17" i="16"/>
  <c r="U20" i="16"/>
  <c r="U14" i="16"/>
  <c r="U35" i="16"/>
  <c r="U21" i="16"/>
  <c r="U5" i="16"/>
  <c r="U16" i="16"/>
  <c r="U3" i="16"/>
  <c r="U36" i="16"/>
  <c r="U28" i="16"/>
  <c r="U32" i="16"/>
  <c r="U27" i="16"/>
  <c r="U7" i="16"/>
  <c r="U6" i="16"/>
  <c r="AJ6" i="16" s="1"/>
  <c r="U12" i="16"/>
  <c r="AJ12" i="16" s="1"/>
  <c r="U18" i="16"/>
  <c r="U10" i="16"/>
  <c r="U23" i="16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14" i="16" a="1"/>
  <c r="P3" i="16" a="1"/>
  <c r="P29" i="16" a="1"/>
  <c r="P10" i="16" a="1"/>
  <c r="P19" i="16" a="1"/>
  <c r="P21" i="16" a="1"/>
  <c r="P25" i="16" a="1"/>
  <c r="P13" i="16" a="1"/>
  <c r="P11" i="16" a="1"/>
  <c r="P30" i="16" a="1"/>
  <c r="P28" i="16" a="1"/>
  <c r="P23" i="16" a="1"/>
  <c r="P20" i="16" a="1"/>
  <c r="P36" i="16" a="1"/>
  <c r="P6" i="16" a="1"/>
  <c r="P5" i="16" a="1"/>
  <c r="P24" i="16" a="1"/>
  <c r="P26" i="16" a="1"/>
  <c r="P12" i="16" a="1"/>
  <c r="P8" i="16" a="1"/>
  <c r="P22" i="16" a="1"/>
  <c r="P27" i="16" a="1"/>
  <c r="P4" i="16" a="1"/>
  <c r="P17" i="16" a="1"/>
  <c r="P34" i="16" a="1"/>
  <c r="P37" i="16" a="1"/>
  <c r="P33" i="16" a="1"/>
  <c r="P15" i="16" a="1"/>
  <c r="P35" i="16" a="1"/>
  <c r="P18" i="16" a="1"/>
  <c r="P31" i="16" a="1"/>
  <c r="P9" i="16" a="1"/>
  <c r="P7" i="16" a="1"/>
  <c r="P32" i="16" a="1"/>
  <c r="P16" i="16" a="1"/>
  <c r="AM31" i="16" l="1"/>
  <c r="AJ8" i="16"/>
  <c r="AJ5" i="16"/>
  <c r="AJ21" i="16"/>
  <c r="AJ25" i="16"/>
  <c r="AM25" i="16" s="1"/>
  <c r="AJ11" i="16"/>
  <c r="AM11" i="16" s="1"/>
  <c r="AJ29" i="16"/>
  <c r="AJ10" i="16"/>
  <c r="AM10" i="16" s="1"/>
  <c r="AJ37" i="16"/>
  <c r="AJ14" i="16"/>
  <c r="AM14" i="16" s="1"/>
  <c r="AJ28" i="16"/>
  <c r="AM28" i="16" s="1"/>
  <c r="AJ27" i="16"/>
  <c r="AJ19" i="16"/>
  <c r="AJ32" i="16"/>
  <c r="AM9" i="16"/>
  <c r="AJ22" i="16"/>
  <c r="AM22" i="16" s="1"/>
  <c r="AJ35" i="16"/>
  <c r="AJ33" i="16"/>
  <c r="AM33" i="16" s="1"/>
  <c r="AJ23" i="16"/>
  <c r="AJ3" i="16"/>
  <c r="AM3" i="16" s="1"/>
  <c r="AU31" i="16"/>
  <c r="AM6" i="16"/>
  <c r="AU28" i="16"/>
  <c r="AU24" i="16"/>
  <c r="AM15" i="16"/>
  <c r="AU36" i="16"/>
  <c r="AU21" i="16"/>
  <c r="AM8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<sst xmlns="http://schemas.openxmlformats.org/spreadsheetml/2006/main" count="817" uniqueCount="366">
  <si>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</si>
  <si>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</si>
  <si>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</si>
  <si>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</si>
  <si>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</si>
  <si>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</si>
  <si>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</si>
  <si>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</si>
  <si>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</si>
  <si>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</si>
  <si>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</si>
  <si>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</si>
  <si>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</si>
  <si>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</si>
  <si>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</si>
  <si>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</si>
  <si>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</si>
  <si>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</si>
  <si>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</si>
  <si>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</si>
  <si>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</si>
  <si>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</si>
  <si>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</si>
  <si>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</si>
  <si>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</si>
  <si>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</si>
  <si>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</si>
  <si>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</si>
  <si>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</si>
  <si>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</si>
  <si>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</si>
  <si>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</si>
  <si>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</si>
  <si>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</si>
  <si>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</si>
  <si>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</si>
  <si>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</si>
  <si>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</si>
  <si>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</si>
  <si>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</si>
  <si>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</si>
  <si>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</si>
  <si>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</si>
  <si>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</si>
  <si>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</si>
  <si>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</si>
  <si>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</si>
  <si>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</si>
  <si>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</si>
  <si>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</si>
  <si>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</si>
  <si>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</si>
  <si>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</si>
  <si>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</si>
  <si>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</si>
  <si>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</si>
  <si>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</si>
  <si>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</si>
  <si>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</si>
  <si>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</si>
  <si>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</si>
  <si>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</si>
  <si>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</si>
  <si>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</si>
  <si>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</si>
  <si>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</si>
  <si>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</si>
  <si>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</si>
  <si>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</si>
  <si>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</si>
  <si>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</si>
  <si>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</si>
  <si>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</si>
  <si>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</si>
  <si>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</si>
  <si>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</si>
  <si>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</si>
  <si>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</si>
  <si>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</si>
  <si>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</si>
  <si>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</si>
  <si>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</si>
  <si>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</si>
  <si>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</si>
  <si>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</si>
  <si>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</si>
  <si>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</si>
  <si>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</si>
  <si>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</si>
  <si>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</si>
  <si>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</si>
  <si>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</si>
  <si>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</si>
  <si>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</si>
  <si>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</si>
  <si>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</si>
  <si>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</si>
  <si>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</si>
  <si>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</si>
  <si>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</si>
  <si>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</si>
  <si>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</si>
  <si>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</si>
  <si>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</si>
  <si>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</si>
  <si>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</si>
  <si>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</si>
  <si>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</si>
  <si>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</si>
  <si>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</si>
  <si>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</si>
  <si>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</si>
  <si>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</si>
  <si>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</si>
  <si>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</si>
  <si>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</si>
  <si>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</si>
  <si>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</si>
  <si>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</si>
  <si>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</si>
  <si>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</si>
  <si>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</si>
  <si>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</si>
  <si>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</si>
  <si>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</si>
  <si>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</si>
  <si>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</si>
  <si>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</si>
  <si>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</si>
  <si>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</si>
  <si>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</si>
  <si>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</si>
  <si>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</si>
  <si>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</si>
  <si>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</si>
  <si>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</si>
  <si>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</si>
  <si>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</si>
  <si>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</si>
  <si>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</si>
  <si>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</si>
  <si>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</si>
  <si>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</si>
  <si>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</si>
  <si>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</si>
  <si>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</si>
  <si>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</si>
  <si>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</si>
  <si>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</si>
  <si>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</si>
  <si>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</si>
  <si>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</si>
  <si>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</si>
  <si>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</si>
  <si>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</si>
  <si>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</si>
  <si>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</si>
  <si>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</si>
  <si>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</si>
  <si>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</si>
  <si>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T4b</t>
  </si>
  <si>
    <t>N0</t>
  </si>
  <si>
    <t>N1</t>
  </si>
  <si>
    <t>N1a</t>
  </si>
  <si>
    <t>N1b</t>
  </si>
  <si>
    <t>M0</t>
  </si>
  <si>
    <t>M1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</si>
  <si>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</si>
  <si>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</si>
  <si>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</si>
  <si>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</si>
  <si>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</si>
  <si>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</si>
  <si>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</si>
  <si>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infiltrative follicular subtype</t>
  </si>
  <si>
    <t>Present</t>
  </si>
  <si>
    <t>Left central compartment</t>
  </si>
  <si>
    <t>11g</t>
  </si>
  <si>
    <t>50 mm</t>
  </si>
  <si>
    <t>6.5cm</t>
  </si>
  <si>
    <t>4cm</t>
  </si>
  <si>
    <t>1.3cm</t>
  </si>
  <si>
    <t>2mm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</si>
  <si>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</si>
  <si>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</si>
  <si>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</si>
  <si>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</si>
  <si>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</si>
  <si>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</si>
  <si>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</si>
  <si>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</si>
  <si>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</si>
  <si>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</si>
  <si>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</si>
  <si>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</si>
  <si>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</si>
  <si>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</si>
  <si>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</si>
  <si>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classic</t>
  </si>
  <si>
    <t>20 mm</t>
  </si>
  <si>
    <t>63 mm</t>
  </si>
  <si>
    <t>papillary</t>
  </si>
  <si>
    <t>7 mm</t>
  </si>
  <si>
    <t>tall cell</t>
  </si>
  <si>
    <r>
      <t>NoFociVIFTC</t>
    </r>
    <r>
      <rPr>
        <b/>
        <sz val="11"/>
        <rFont val="Calibri (Body)"/>
      </rPr>
      <t xml:space="preserve"> (extensive/minimal)</t>
    </r>
  </si>
  <si>
    <t>22/03/2024</t>
  </si>
  <si>
    <t>pN1a</t>
  </si>
  <si>
    <t>30/04/2024</t>
  </si>
  <si>
    <t>pT3b</t>
  </si>
  <si>
    <t>31/05/2024</t>
  </si>
  <si>
    <t>24/05/2024</t>
  </si>
  <si>
    <t>29/05/2024</t>
  </si>
  <si>
    <t>23/07/2018</t>
  </si>
  <si>
    <t>21/09/2022</t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</si>
  <si>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</si>
  <si>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</si>
  <si>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</si>
  <si>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</si>
  <si>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</si>
  <si>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</si>
  <si>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</si>
  <si>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</si>
  <si>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</si>
  <si>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</si>
  <si>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</si>
  <si>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</si>
  <si>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</si>
  <si>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</si>
  <si>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</si>
  <si>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</si>
  <si>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</si>
  <si>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</si>
  <si>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</si>
  <si>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</si>
  <si>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</si>
  <si>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</si>
  <si>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</si>
  <si>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</si>
  <si>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</si>
  <si>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Right level III</t>
  </si>
  <si>
    <t>Present (focal)</t>
  </si>
  <si>
    <t>follicular</t>
  </si>
  <si>
    <t>PATIENT ID</t>
  </si>
  <si>
    <t>Site of extrathyroidal extension</t>
  </si>
  <si>
    <t>29/01/2024</t>
  </si>
  <si>
    <t>NX</t>
  </si>
  <si>
    <t>MX</t>
  </si>
  <si>
    <t>26/02/2024</t>
  </si>
  <si>
    <t>Uninvolved by carcinoma</t>
  </si>
  <si>
    <t>29/04/2024</t>
  </si>
  <si>
    <t>17/05/2024</t>
  </si>
  <si>
    <t>Invading only strap muscles</t>
  </si>
  <si>
    <t>Clear</t>
  </si>
  <si>
    <t>14/06/2024</t>
  </si>
  <si>
    <t>Present (minimal)</t>
  </si>
  <si>
    <t>19/01/2024</t>
  </si>
  <si>
    <t>21/06/2024</t>
  </si>
  <si>
    <t>Isthmus</t>
  </si>
  <si>
    <t>27/12/2023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</si>
  <si>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</si>
  <si>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</si>
  <si>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</si>
  <si>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</si>
  <si>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</si>
  <si>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</si>
  <si>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4 cm</t>
  </si>
  <si>
    <t>25 x 15 x 15 mm</t>
  </si>
  <si>
    <t>36 x 32 x 26 mm</t>
  </si>
  <si>
    <t>8 mm</t>
  </si>
  <si>
    <t>1.2 cm</t>
  </si>
  <si>
    <t>12 mm</t>
  </si>
  <si>
    <t>4.5 x 3 x 2cm</t>
  </si>
  <si>
    <t>28g</t>
  </si>
  <si>
    <t>5.5 cm</t>
  </si>
  <si>
    <t>Left central compartment LN excised</t>
  </si>
  <si>
    <t>Classic subtype</t>
  </si>
  <si>
    <t>TX</t>
  </si>
  <si>
    <t>Touched posterior and lateral margins</t>
  </si>
  <si>
    <t>Oncocytic classic subtype</t>
  </si>
  <si>
    <t>Follicular carcinoma</t>
  </si>
  <si>
    <t>thyroid</t>
  </si>
  <si>
    <t>0.8 cm</t>
  </si>
  <si>
    <t>pN1b</t>
  </si>
  <si>
    <t>Right central compartment LN excised</t>
  </si>
  <si>
    <t>Left central compartment LN dissection</t>
  </si>
  <si>
    <t>Cancer of thyroid</t>
  </si>
  <si>
    <t>~9mm</t>
  </si>
  <si>
    <t>~2.7cm</t>
  </si>
  <si>
    <t>1 cm</t>
  </si>
  <si>
    <t>Close to resection margins</t>
  </si>
  <si>
    <t>5.7 mm</t>
  </si>
  <si>
    <t>Left level III LN</t>
  </si>
  <si>
    <t>Infiltrative follicular</t>
  </si>
  <si>
    <t>6 cm</t>
  </si>
  <si>
    <t>17/11/2021</t>
  </si>
  <si>
    <t>Tall cell variant</t>
  </si>
  <si>
    <t>Cannot be assessed</t>
  </si>
  <si>
    <t>['Left thyroid nodule', 'Right upper pole thyroid nodule']</t>
  </si>
  <si>
    <t>[]</t>
  </si>
  <si>
    <t>PTC (Papillary Thyroid Carcinoma)</t>
  </si>
  <si>
    <t>Classic</t>
  </si>
  <si>
    <t>Focally involved</t>
  </si>
  <si>
    <t>Present, microscopic invasive of the surrounding fat</t>
  </si>
  <si>
    <t>Margins uninvolved</t>
  </si>
  <si>
    <t>Focal Invasion</t>
  </si>
  <si>
    <t>Margins involved</t>
  </si>
  <si>
    <t>Negative</t>
  </si>
  <si>
    <t>Positive</t>
  </si>
  <si>
    <t>&lt; 0.1 mm from carcinoma</t>
  </si>
  <si>
    <t>Left central compartment LN</t>
  </si>
  <si>
    <t>Invaded through the fibrous capsule</t>
  </si>
  <si>
    <t>central compartment, LNs bilaterally</t>
  </si>
  <si>
    <t>Left</t>
  </si>
  <si>
    <t>5 cm</t>
  </si>
  <si>
    <t>&lt;4</t>
  </si>
  <si>
    <t>Invading perithyroid soft tissue</t>
  </si>
  <si>
    <t>unilateral, bilateral, or contralateral lateral neck lymph nodes (levels I, II, III, IV, or V) or retropharyngeal lymph nodes</t>
  </si>
  <si>
    <t>Left central compartment LN, Level II-VB, Left SCF LN, Lt IJV / phrenic nerve / CNX</t>
  </si>
  <si>
    <t>whole left lobe and isthmus</t>
  </si>
  <si>
    <t>Encapsulated classic</t>
  </si>
  <si>
    <t>Non-invasive follicular thyroid neoplasm with papillary-like nuclear features</t>
  </si>
  <si>
    <t>BRAF, KRAS, NRAS</t>
  </si>
  <si>
    <t>Gross extrathyroidal extension with invasion to overlying strap muscles</t>
  </si>
  <si>
    <t>Present, invading into the region of the recurrent laryngeal nerve</t>
  </si>
  <si>
    <t>Reaches the anterior and anterolateral capsule without breaching the capsule</t>
  </si>
  <si>
    <t>Right level III LNs</t>
  </si>
  <si>
    <t>Level VI or VII (pretracheal, paratracheal, or prelaryngeal/Delphian, or upper mediastinal)</t>
  </si>
  <si>
    <t>Present (lymphatic invasion)</t>
  </si>
  <si>
    <t>Posterior margin: involved by carcinoma</t>
  </si>
  <si>
    <t>Right cricothyroid and inferior constrictor muscle</t>
  </si>
  <si>
    <t>isthmic side resection end, central compartment</t>
  </si>
  <si>
    <t>papillary, // inferred from the context</t>
  </si>
  <si>
    <t>['Right central compartment']</t>
  </si>
  <si>
    <t>Right level 2, 3, 4</t>
  </si>
  <si>
    <t>Classic (usual, conventional)</t>
  </si>
  <si>
    <t>Right lateral neck, Level II, III, IV</t>
  </si>
  <si>
    <t>Margins close to resection margins</t>
  </si>
  <si>
    <t>5 mm</t>
  </si>
  <si>
    <t>No definite capsular invasion is seen</t>
  </si>
  <si>
    <t>Hurthle cell</t>
  </si>
  <si>
    <t>Left central compartment, Left level 2, 3, 4 cervical</t>
  </si>
  <si>
    <t>Uninvolved</t>
  </si>
  <si>
    <t>Central compartment, Level not specified</t>
  </si>
  <si>
    <t>Anterior and posterior margins focally involved</t>
  </si>
  <si>
    <t>Suspected Cancer</t>
  </si>
  <si>
    <t>Left central compartment, adjacent fibroadipose tissue</t>
  </si>
  <si>
    <t>2.5 cm</t>
  </si>
  <si>
    <t>&gt;4</t>
  </si>
  <si>
    <t>Focal invasion</t>
  </si>
  <si>
    <t>Present, focally into adjacent fibroadipose tissue</t>
  </si>
  <si>
    <t>Lung, Bone</t>
  </si>
  <si>
    <t>Superior pole, Isthmus</t>
  </si>
  <si>
    <t>Extensive (= or &gt;4 vessels)</t>
  </si>
  <si>
    <t>Left lateral level II, III, IV</t>
  </si>
  <si>
    <t>Left lateral neck LNs, Left central compartment LN</t>
  </si>
  <si>
    <t>Lung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</si>
  <si>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</si>
  <si>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</si>
  <si>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</si>
  <si>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</si>
  <si>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</si>
  <si>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</si>
  <si>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t>EXTRACTED INFORMATION FOR CLASSIFCATION</t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</si>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</sst>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3" xfId="0" applyBorder="1"/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1" fontId="10" fillId="0" borderId="15" xfId="0" applyNumberFormat="1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11.19921875" customWidth="1"/>
    <col min="7" max="7" width="10.8632812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1.5976562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4.73046875" bestFit="1" customWidth="1"/>
    <col min="41" max="46" width="10.796875" customWidth="1"/>
    <col min="47" max="49" width="10.6640625" customWidth="1"/>
  </cols>
  <sheetData>
    <row r="1" spans="1:49" s="5" customFormat="1">
      <c r="A1" s="32" t="s">
        <v>362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365</v>
      </c>
      <c r="AJ1" s="34"/>
      <c r="AK1" s="34"/>
      <c r="AL1" s="34"/>
      <c r="AM1" s="34"/>
      <c r="AN1" s="33" t="s">
        <v>195</v>
      </c>
      <c r="AO1" s="34"/>
      <c r="AP1" s="34"/>
      <c r="AQ1" s="34"/>
      <c r="AR1" s="34"/>
      <c r="AS1" s="33" t="s">
        <v>196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171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363</v>
      </c>
      <c r="P2" s="47" t="s">
        <v>364</v>
      </c>
      <c r="Q2" s="6" t="s">
        <v>13</v>
      </c>
      <c r="R2" s="6" t="s">
        <v>14</v>
      </c>
      <c r="S2" s="6" t="s">
        <v>15</v>
      </c>
      <c r="T2" s="7" t="s">
        <v>360</v>
      </c>
      <c r="U2" s="47" t="s">
        <v>361</v>
      </c>
      <c r="V2" s="6" t="s">
        <v>16</v>
      </c>
      <c r="W2" s="6" t="s">
        <v>17</v>
      </c>
      <c r="X2" s="6" t="s">
        <v>18</v>
      </c>
      <c r="Y2" s="7" t="s">
        <v>204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359</v>
      </c>
      <c r="AG2" s="6" t="s">
        <v>260</v>
      </c>
      <c r="AH2" s="8"/>
      <c r="AI2" s="24" t="s">
        <v>147</v>
      </c>
      <c r="AJ2" s="9" t="s">
        <v>148</v>
      </c>
      <c r="AK2" s="9" t="s">
        <v>149</v>
      </c>
      <c r="AL2" s="9" t="s">
        <v>150</v>
      </c>
      <c r="AM2" s="9" t="s">
        <v>151</v>
      </c>
      <c r="AN2" s="10" t="s">
        <v>147</v>
      </c>
      <c r="AO2" s="9" t="s">
        <v>148</v>
      </c>
      <c r="AP2" s="9" t="s">
        <v>149</v>
      </c>
      <c r="AQ2" s="9" t="s">
        <v>150</v>
      </c>
      <c r="AR2" s="9" t="s">
        <v>151</v>
      </c>
      <c r="AS2" s="10" t="s">
        <v>147</v>
      </c>
      <c r="AT2" s="9" t="s">
        <v>148</v>
      </c>
      <c r="AU2" s="9" t="s">
        <v>149</v>
      </c>
      <c r="AV2" s="9" t="s">
        <v>150</v>
      </c>
      <c r="AW2" s="25" t="s">
        <v>151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31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IF(OR(ISNUMBER(SEARCH("[]",_xlfn.TEXTJOIN("; ", TRUE, _xlfn._xlws.FILTER('Model output'!H:H, 'Model output'!Z:Z=A3)),1)),ISNUMBER(SEARCH("lymph",_xlfn.TEXTJOIN(";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infiltrative follicular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positive</v>
      </c>
      <c r="AA3" s="17" t="str">
        <f>IF(OR(ISNUMBER(SEARCH("soft tissue", AF3)), ISNUMBER(SEARCH("adipose tissue", AF3)),ISNUMBER(SEARCH("muscles",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>IF(OR(ISNUMBER(SEARCH("subcutaneous soft tissues",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>Not identified</v>
      </c>
      <c r="AG3" s="17" t="str" cm="1">
        <f t="array" ref="AG3">IF(OR(ISNUMBER(SEARCH("uninvolved",_xlfn.TEXTJOIN("; ",TRUE,_xlfn._xlws.FILTER('Model output'!V:V,'Model output'!Z:Z=A3)),1)),ISNUMBER(SEARCH("cannot be assessed",_xlfn.TEXTJOIN(";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negative</v>
      </c>
      <c r="AI3" s="44" t="str">
        <f t="shared" ref="AI3:AI37" si="1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31" si="2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3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4">IF(OR(ISNUMBER(SEARCH("non-invasive follicular",Q3,1)),ISNUMBER(SEARCH("non-invasive follicular",R3,1))),"NIFTP",IF(K3="unknown","x",IF(K3="negative",0,1)))</f>
        <v>0</v>
      </c>
      <c r="AM3" s="36" t="str">
        <f t="shared" ref="AM3:AM16" si="5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170</v>
      </c>
      <c r="AO3" s="38" t="s">
        <v>188</v>
      </c>
      <c r="AP3" s="38" t="s">
        <v>189</v>
      </c>
      <c r="AQ3" s="38">
        <v>0</v>
      </c>
      <c r="AR3" s="38" t="s">
        <v>31</v>
      </c>
      <c r="AS3" s="37">
        <f t="shared" ref="AS3:AS37" si="6">IF(AN3=AI3,1,0)</f>
        <v>1</v>
      </c>
      <c r="AT3" s="38">
        <f t="shared" ref="AT3:AT37" si="7">IF(AO3=AJ3,1,0)</f>
        <v>1</v>
      </c>
      <c r="AU3" s="38">
        <f t="shared" ref="AU3:AU37" si="8">IF(AK3=AP3,1,IF(OR(AND(AP3="x",AK3=0),AND(AK3="x",AP3=0)),1,0))</f>
        <v>1</v>
      </c>
      <c r="AV3" s="38">
        <f t="shared" ref="AV3:AV37" si="9">IF(AQ3=AL3,1,0)</f>
        <v>1</v>
      </c>
      <c r="AW3" s="39">
        <f t="shared" ref="AW3:AW37" si="10">IF(AR3=AM3,1,0)</f>
        <v>1</v>
      </c>
    </row>
    <row r="4" spans="1:49">
      <c r="A4" s="13">
        <v>2</v>
      </c>
      <c r="B4" s="16">
        <f>_xlfn.MAXIFS('Model output'!B:B,'Model output'!Z:Z,'Classification result'!$A4)</f>
        <v>0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IF(OR(ISNUMBER(SEARCH("[]",_xlfn.TEXTJOIN("; ", TRUE, _xlfn._xlws.FILTER('Model output'!H:H, 'Model output'!Z:Z=A4)),1)),ISNUMBER(SEARCH("lymph",_xlfn.TEXTJOIN(";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1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positive</v>
      </c>
      <c r="AA4" s="17" t="str">
        <f t="shared" ref="AA4:AA37" si="12">IF(OR(ISNUMBER(SEARCH("soft tissue", AF4)), ISNUMBER(SEARCH("adipose tissue", AF4)),ISNUMBER(SEARCH("muscles",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ref="AE4:AE37" si="13">IF(OR(ISNUMBER(SEARCH("subcutaneous soft tissues", AF4)),ISNUMBER(SEARCH("strap muscle", AF4)), ISNUMBER(SEARCH("larynx", AF4)),ISNUMBER(SEARCH("trachea", AF4)),ISNUMBER(SEARCH("esophagus", AF4)), ISNUMBER(SEARCH("recurrent laryngeal nerve", AF4)), ISNUMBER(SEARCH("RLN", AF4))), "positive", "negative")</f>
        <v>negative</v>
      </c>
      <c r="AF4" t="str" cm="1">
        <f t="array" ref="AF4">_xlfn.TEXTJOIN("; ",TRUE,_xlfn._xlws.FILTER('Model output'!S:S,'Model output'!Z:Z=A4))</f>
        <v>Not identified</v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1"/>
        <v>low</v>
      </c>
      <c r="AJ4" s="36" t="str">
        <f t="shared" si="2"/>
        <v>2</v>
      </c>
      <c r="AK4" s="36" t="str">
        <f t="shared" si="3"/>
        <v>x</v>
      </c>
      <c r="AL4" s="36">
        <f t="shared" si="4"/>
        <v>0</v>
      </c>
      <c r="AM4" s="36" t="str">
        <f t="shared" si="5"/>
        <v>I</v>
      </c>
      <c r="AN4" s="37" t="s">
        <v>170</v>
      </c>
      <c r="AO4" s="38" t="s">
        <v>356</v>
      </c>
      <c r="AP4" s="38" t="s">
        <v>189</v>
      </c>
      <c r="AQ4" s="38">
        <v>0</v>
      </c>
      <c r="AR4" s="38" t="s">
        <v>31</v>
      </c>
      <c r="AS4" s="37">
        <f t="shared" si="6"/>
        <v>1</v>
      </c>
      <c r="AT4" s="38">
        <f t="shared" si="7"/>
        <v>1</v>
      </c>
      <c r="AU4" s="38">
        <f t="shared" si="8"/>
        <v>1</v>
      </c>
      <c r="AV4" s="38">
        <f t="shared" si="9"/>
        <v>1</v>
      </c>
      <c r="AW4" s="39">
        <f t="shared" si="10"/>
        <v>1</v>
      </c>
    </row>
    <row r="5" spans="1:49">
      <c r="A5" s="13">
        <v>3</v>
      </c>
      <c r="B5" s="16">
        <f>_xlfn.MAXIFS('Model output'!B:B,'Model output'!Z:Z,'Classification result'!$A5)</f>
        <v>0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IF(OR(ISNUMBER(SEARCH("[]",_xlfn.TEXTJOIN("; ", TRUE, _xlfn._xlws.FILTER('Model output'!H:H, 'Model output'!Z:Z=A5)),1)),ISNUMBER(SEARCH("lymph",_xlfn.TEXTJOIN(";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1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2"/>
        <v>positive</v>
      </c>
      <c r="AE5" s="17" t="str">
        <f t="shared" si="13"/>
        <v>negative</v>
      </c>
      <c r="AF5" t="str" cm="1">
        <f t="array" ref="AF5">_xlfn.TEXTJOIN("; ",TRUE,_xlfn._xlws.FILTER('Model output'!S:S,'Model output'!Z:Z=A5))</f>
        <v>Present, microscopic invasive of the surrounding fat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1"/>
        <v>intermediate</v>
      </c>
      <c r="AJ5" s="36" t="str">
        <f t="shared" si="2"/>
        <v>1a</v>
      </c>
      <c r="AK5" s="36" t="str">
        <f t="shared" si="3"/>
        <v>1a</v>
      </c>
      <c r="AL5" s="36">
        <f t="shared" si="4"/>
        <v>0</v>
      </c>
      <c r="AM5" s="36" t="str">
        <f t="shared" si="5"/>
        <v>I</v>
      </c>
      <c r="AN5" s="37" t="s">
        <v>168</v>
      </c>
      <c r="AO5" s="38" t="s">
        <v>190</v>
      </c>
      <c r="AP5" s="38" t="s">
        <v>190</v>
      </c>
      <c r="AQ5" s="38">
        <v>0</v>
      </c>
      <c r="AR5" s="38" t="s">
        <v>31</v>
      </c>
      <c r="AS5" s="37">
        <f t="shared" si="6"/>
        <v>1</v>
      </c>
      <c r="AT5" s="38">
        <f t="shared" si="7"/>
        <v>1</v>
      </c>
      <c r="AU5" s="38">
        <f t="shared" si="8"/>
        <v>1</v>
      </c>
      <c r="AV5" s="38">
        <f t="shared" si="9"/>
        <v>1</v>
      </c>
      <c r="AW5" s="39">
        <f t="shared" si="10"/>
        <v>1</v>
      </c>
    </row>
    <row r="6" spans="1:49">
      <c r="A6" s="13">
        <v>4</v>
      </c>
      <c r="B6" s="16">
        <f>_xlfn.MAXIFS('Model output'!B:B,'Model output'!Z:Z,'Classification result'!$A6)</f>
        <v>0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IF(OR(ISNUMBER(SEARCH("[]",_xlfn.TEXTJOIN("; ", TRUE, _xlfn._xlws.FILTER('Model output'!H:H, 'Model output'!Z:Z=A6)),1)),ISNUMBER(SEARCH("lymph",_xlfn.TEXTJOIN(";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1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positive</v>
      </c>
      <c r="AA6" s="17" t="str">
        <f t="shared" si="12"/>
        <v>positive</v>
      </c>
      <c r="AE6" s="17" t="str">
        <f t="shared" si="13"/>
        <v>negative</v>
      </c>
      <c r="AF6" t="str" cm="1">
        <f t="array" ref="AF6">_xlfn.TEXTJOIN("; ",TRUE,_xlfn._xlws.FILTER('Model output'!S:S,'Model output'!Z:Z=A6))</f>
        <v>Present; Present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1"/>
        <v>intermediate</v>
      </c>
      <c r="AJ6" s="36" t="str">
        <f t="shared" si="2"/>
        <v>1b</v>
      </c>
      <c r="AK6" s="36" t="str">
        <f t="shared" si="3"/>
        <v>1a</v>
      </c>
      <c r="AL6" s="36">
        <f t="shared" si="4"/>
        <v>0</v>
      </c>
      <c r="AM6" s="36" t="str">
        <f t="shared" si="5"/>
        <v>II</v>
      </c>
      <c r="AN6" s="37" t="s">
        <v>168</v>
      </c>
      <c r="AO6" s="36" t="s">
        <v>188</v>
      </c>
      <c r="AP6" s="38" t="s">
        <v>190</v>
      </c>
      <c r="AQ6" s="38">
        <v>0</v>
      </c>
      <c r="AR6" s="38" t="s">
        <v>43</v>
      </c>
      <c r="AS6" s="37">
        <f t="shared" si="6"/>
        <v>1</v>
      </c>
      <c r="AT6" s="38">
        <f t="shared" si="7"/>
        <v>1</v>
      </c>
      <c r="AU6" s="38">
        <f t="shared" si="8"/>
        <v>1</v>
      </c>
      <c r="AV6" s="38">
        <f t="shared" si="9"/>
        <v>1</v>
      </c>
      <c r="AW6" s="39">
        <f t="shared" si="10"/>
        <v>1</v>
      </c>
    </row>
    <row r="7" spans="1:49">
      <c r="A7" s="13">
        <v>5</v>
      </c>
      <c r="B7" s="16">
        <f>_xlfn.MAXIFS('Model output'!B:B,'Model output'!Z:Z,'Classification result'!$A7)</f>
        <v>0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IF(OR(ISNUMBER(SEARCH("[]",_xlfn.TEXTJOIN("; ", TRUE, _xlfn._xlws.FILTER('Model output'!H:H, 'Model output'!Z:Z=A7)),1)),ISNUMBER(SEARCH("lymph",_xlfn.TEXTJOIN(";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0.6mm;0.6mm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0.6mm;0.6mm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 subtype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positive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1"/>
        <v>minimal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positive</v>
      </c>
      <c r="AA7" s="17" t="str">
        <f t="shared" si="12"/>
        <v>positive</v>
      </c>
      <c r="AE7" s="17" t="str">
        <f t="shared" si="13"/>
        <v>positive</v>
      </c>
      <c r="AF7" t="str" cm="1">
        <f t="array" ref="AF7">_xlfn.TEXTJOIN("; ",TRUE,_xlfn._xlws.FILTER('Model output'!S:S,'Model output'!Z:Z=A7))</f>
        <v>Invading soft tissue and strap muscles; Present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1"/>
        <v>high</v>
      </c>
      <c r="AJ7" s="36" t="str">
        <f t="shared" si="2"/>
        <v>4a</v>
      </c>
      <c r="AK7" s="36" t="str">
        <f t="shared" si="3"/>
        <v>1a</v>
      </c>
      <c r="AL7" s="36">
        <f t="shared" si="4"/>
        <v>0</v>
      </c>
      <c r="AM7" s="36" t="str">
        <f t="shared" si="5"/>
        <v>I</v>
      </c>
      <c r="AN7" s="37" t="s">
        <v>169</v>
      </c>
      <c r="AO7" s="38" t="s">
        <v>191</v>
      </c>
      <c r="AP7" s="38" t="s">
        <v>190</v>
      </c>
      <c r="AQ7" s="38">
        <v>0</v>
      </c>
      <c r="AR7" s="38" t="s">
        <v>31</v>
      </c>
      <c r="AS7" s="37">
        <f t="shared" si="6"/>
        <v>1</v>
      </c>
      <c r="AT7" s="38">
        <f t="shared" si="7"/>
        <v>0</v>
      </c>
      <c r="AU7" s="38">
        <f t="shared" si="8"/>
        <v>1</v>
      </c>
      <c r="AV7" s="38">
        <f t="shared" si="9"/>
        <v>1</v>
      </c>
      <c r="AW7" s="39">
        <f t="shared" si="10"/>
        <v>1</v>
      </c>
    </row>
    <row r="8" spans="1:49">
      <c r="A8" s="13">
        <v>6</v>
      </c>
      <c r="B8" s="16">
        <f>_xlfn.MAXIFS('Model output'!B:B,'Model output'!Z:Z,'Classification result'!$A8)</f>
        <v>45416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/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/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IF(OR(ISNUMBER(SEARCH("[]",_xlfn.TEXTJOIN("; ", TRUE, _xlfn._xlws.FILTER('Model output'!H:H, 'Model output'!Z:Z=A8)),1)),ISNUMBER(SEARCH("lymph",_xlfn.TEXTJOIN(";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4cm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4cm</v>
      </c>
      <c r="U8" cm="1">
        <f t="array" ref="U8">IF(MaxSize((SplitDimensions(T8)))=0, "", MaxSize((SplitDimensions(T8))))</f>
        <v>4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1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2"/>
        <v>positive</v>
      </c>
      <c r="AE8" s="17" t="str">
        <f t="shared" si="13"/>
        <v>negative</v>
      </c>
      <c r="AF8" t="str" cm="1">
        <f t="array" ref="AF8">_xlfn.TEXTJOIN("; ",TRUE,_xlfn._xlws.FILTER('Model output'!S:S,'Model output'!Z:Z=A8))</f>
        <v>Present</v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1"/>
        <v>intermediate</v>
      </c>
      <c r="AJ8" s="36" t="str">
        <f t="shared" si="2"/>
        <v>2</v>
      </c>
      <c r="AK8" s="36" t="str">
        <f t="shared" si="3"/>
        <v>x</v>
      </c>
      <c r="AL8" s="36">
        <f t="shared" si="4"/>
        <v>0</v>
      </c>
      <c r="AM8" s="36" t="str">
        <f t="shared" si="5"/>
        <v>I</v>
      </c>
      <c r="AN8" s="37" t="s">
        <v>170</v>
      </c>
      <c r="AO8" s="36" t="s">
        <v>189</v>
      </c>
      <c r="AP8" s="38" t="s">
        <v>189</v>
      </c>
      <c r="AQ8" s="38">
        <v>0</v>
      </c>
      <c r="AR8" s="38" t="s">
        <v>31</v>
      </c>
      <c r="AS8" s="37">
        <f t="shared" si="6"/>
        <v>0</v>
      </c>
      <c r="AT8" s="38">
        <f t="shared" si="7"/>
        <v>0</v>
      </c>
      <c r="AU8" s="38">
        <f t="shared" si="8"/>
        <v>1</v>
      </c>
      <c r="AV8" s="38">
        <f t="shared" si="9"/>
        <v>1</v>
      </c>
      <c r="AW8" s="39">
        <f t="shared" si="10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/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IF(OR(ISNUMBER(SEARCH("[]",_xlfn.TEXTJOIN("; ", TRUE, _xlfn._xlws.FILTER('Model output'!H:H, 'Model output'!Z:Z=A9)),1)),ISNUMBER(SEARCH("lymph",_xlfn.TEXTJOIN(";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1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2"/>
        <v>negative</v>
      </c>
      <c r="AE9" s="17" t="str">
        <f t="shared" si="13"/>
        <v>negative</v>
      </c>
      <c r="AF9" t="str" cm="1">
        <f t="array" ref="AF9">_xlfn.TEXTJOIN("; ",TRUE,_xlfn._xlws.FILTER('Model output'!S:S,'Model output'!Z:Z=A9))</f>
        <v/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1"/>
        <v>low</v>
      </c>
      <c r="AJ9" s="36" t="str">
        <f t="shared" si="2"/>
        <v>1a</v>
      </c>
      <c r="AK9" s="36" t="str">
        <f t="shared" si="3"/>
        <v>x</v>
      </c>
      <c r="AL9" s="36">
        <f t="shared" si="4"/>
        <v>0</v>
      </c>
      <c r="AM9" s="36" t="str">
        <f t="shared" si="5"/>
        <v>I</v>
      </c>
      <c r="AN9" s="37" t="s">
        <v>170</v>
      </c>
      <c r="AO9" s="38" t="s">
        <v>190</v>
      </c>
      <c r="AP9" s="38" t="s">
        <v>189</v>
      </c>
      <c r="AQ9" s="38">
        <v>0</v>
      </c>
      <c r="AR9" s="38" t="s">
        <v>31</v>
      </c>
      <c r="AS9" s="37">
        <f t="shared" si="6"/>
        <v>1</v>
      </c>
      <c r="AT9" s="38">
        <f t="shared" si="7"/>
        <v>1</v>
      </c>
      <c r="AU9" s="38">
        <f t="shared" si="8"/>
        <v>1</v>
      </c>
      <c r="AV9" s="38">
        <f t="shared" si="9"/>
        <v>1</v>
      </c>
      <c r="AW9" s="39">
        <f t="shared" si="10"/>
        <v>1</v>
      </c>
    </row>
    <row r="10" spans="1:49">
      <c r="A10" s="13">
        <v>8</v>
      </c>
      <c r="B10" s="16">
        <f>_xlfn.MAXIFS('Model output'!B:B,'Model output'!Z:Z,'Classification result'!$A10)</f>
        <v>0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IF(OR(ISNUMBER(SEARCH("[]",_xlfn.TEXTJOIN("; ", TRUE, _xlfn._xlws.FILTER('Model output'!H:H, 'Model output'!Z:Z=A10)),1)),ISNUMBER(SEARCH("lymph",_xlfn.TEXTJOIN(";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1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positive</v>
      </c>
      <c r="AA10" s="17" t="str">
        <f t="shared" si="12"/>
        <v>negative</v>
      </c>
      <c r="AE10" s="17" t="str">
        <f t="shared" si="13"/>
        <v>negative</v>
      </c>
      <c r="AF10" t="str" cm="1">
        <f t="array" ref="AF10">_xlfn.TEXTJOIN("; ",TRUE,_xlfn._xlws.FILTER('Model output'!S:S,'Model output'!Z:Z=A10))</f>
        <v>Not identified</v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1"/>
        <v>low</v>
      </c>
      <c r="AJ10" s="36" t="str">
        <f t="shared" si="2"/>
        <v>1b</v>
      </c>
      <c r="AK10" s="36" t="str">
        <f t="shared" si="3"/>
        <v>x</v>
      </c>
      <c r="AL10" s="36">
        <f t="shared" si="4"/>
        <v>0</v>
      </c>
      <c r="AM10" s="36" t="str">
        <f t="shared" si="5"/>
        <v>I</v>
      </c>
      <c r="AN10" s="37" t="s">
        <v>170</v>
      </c>
      <c r="AO10" s="38" t="s">
        <v>188</v>
      </c>
      <c r="AP10" s="38" t="s">
        <v>189</v>
      </c>
      <c r="AQ10" s="38">
        <v>0</v>
      </c>
      <c r="AR10" s="38" t="s">
        <v>31</v>
      </c>
      <c r="AS10" s="37">
        <f t="shared" si="6"/>
        <v>1</v>
      </c>
      <c r="AT10" s="38">
        <f t="shared" si="7"/>
        <v>1</v>
      </c>
      <c r="AU10" s="38">
        <f t="shared" si="8"/>
        <v>1</v>
      </c>
      <c r="AV10" s="38">
        <f t="shared" si="9"/>
        <v>1</v>
      </c>
      <c r="AW10" s="39">
        <f t="shared" si="10"/>
        <v>1</v>
      </c>
    </row>
    <row r="11" spans="1:49">
      <c r="A11" s="13">
        <v>9</v>
      </c>
      <c r="B11" s="16">
        <f>_xlfn.MAXIFS('Model output'!B:B,'Model output'!Z:Z,'Classification result'!$A11)</f>
        <v>45537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IF(OR(ISNUMBER(SEARCH("[]",_xlfn.TEXTJOIN("; ", TRUE, _xlfn._xlws.FILTER('Model output'!H:H, 'Model output'!Z:Z=A11)),1)),ISNUMBER(SEARCH("lymph",_xlfn.TEXTJOIN(";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7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1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2"/>
        <v>negative</v>
      </c>
      <c r="AE11" s="17" t="str">
        <f t="shared" si="13"/>
        <v>negative</v>
      </c>
      <c r="AF11" t="str" cm="1">
        <f t="array" ref="AF11">_xlfn.TEXTJOIN("; ",TRUE,_xlfn._xlws.FILTER('Model output'!S:S,'Model output'!Z:Z=A11))</f>
        <v>Not identified</v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1"/>
        <v>low</v>
      </c>
      <c r="AJ11" s="36" t="str">
        <f t="shared" si="2"/>
        <v>2</v>
      </c>
      <c r="AK11" s="36" t="str">
        <f t="shared" si="3"/>
        <v>1a</v>
      </c>
      <c r="AL11" s="36">
        <f t="shared" si="4"/>
        <v>0</v>
      </c>
      <c r="AM11" s="36" t="str">
        <f t="shared" si="5"/>
        <v>II</v>
      </c>
      <c r="AN11" s="37" t="s">
        <v>168</v>
      </c>
      <c r="AO11" s="38" t="s">
        <v>356</v>
      </c>
      <c r="AP11" s="38" t="s">
        <v>190</v>
      </c>
      <c r="AQ11" s="38">
        <v>0</v>
      </c>
      <c r="AR11" s="38" t="s">
        <v>43</v>
      </c>
      <c r="AS11" s="37">
        <f t="shared" si="6"/>
        <v>0</v>
      </c>
      <c r="AT11" s="38">
        <f t="shared" si="7"/>
        <v>1</v>
      </c>
      <c r="AU11" s="38">
        <f t="shared" si="8"/>
        <v>1</v>
      </c>
      <c r="AV11" s="38">
        <f t="shared" si="9"/>
        <v>1</v>
      </c>
      <c r="AW11" s="39">
        <f t="shared" si="10"/>
        <v>1</v>
      </c>
    </row>
    <row r="12" spans="1:49">
      <c r="A12" s="13">
        <v>10</v>
      </c>
      <c r="B12" s="16">
        <f>_xlfn.MAXIFS('Model output'!B:B,'Model output'!Z:Z,'Classification result'!$A12)</f>
        <v>0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/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IF(OR(ISNUMBER(SEARCH("[]",_xlfn.TEXTJOIN("; ", TRUE, _xlfn._xlws.FILTER('Model output'!H:H, 'Model output'!Z:Z=A12)),1)),ISNUMBER(SEARCH("lymph",_xlfn.TEXTJOIN(";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1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positive</v>
      </c>
      <c r="AA12" s="17" t="str">
        <f t="shared" si="12"/>
        <v>negative</v>
      </c>
      <c r="AE12" s="17" t="str">
        <f t="shared" si="13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1"/>
        <v>low</v>
      </c>
      <c r="AJ12" s="36" t="str">
        <f t="shared" si="2"/>
        <v>1b</v>
      </c>
      <c r="AK12" s="36" t="str">
        <f t="shared" si="3"/>
        <v>1a</v>
      </c>
      <c r="AL12" s="36">
        <f t="shared" si="4"/>
        <v>0</v>
      </c>
      <c r="AM12" s="36" t="str">
        <f t="shared" si="5"/>
        <v>I</v>
      </c>
      <c r="AN12" s="37" t="s">
        <v>170</v>
      </c>
      <c r="AO12" s="38" t="s">
        <v>188</v>
      </c>
      <c r="AP12" s="38" t="s">
        <v>190</v>
      </c>
      <c r="AQ12" s="38">
        <v>0</v>
      </c>
      <c r="AR12" s="38" t="s">
        <v>31</v>
      </c>
      <c r="AS12" s="37">
        <f t="shared" si="6"/>
        <v>1</v>
      </c>
      <c r="AT12" s="38">
        <f t="shared" si="7"/>
        <v>1</v>
      </c>
      <c r="AU12" s="38">
        <f t="shared" si="8"/>
        <v>1</v>
      </c>
      <c r="AV12" s="38">
        <f t="shared" si="9"/>
        <v>1</v>
      </c>
      <c r="AW12" s="39">
        <f t="shared" si="10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/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IF(OR(ISNUMBER(SEARCH("[]",_xlfn.TEXTJOIN("; ", TRUE, _xlfn._xlws.FILTER('Model output'!H:H, 'Model output'!Z:Z=A13)),1)),ISNUMBER(SEARCH("lymph",_xlfn.TEXTJOIN(";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1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2"/>
        <v>negative</v>
      </c>
      <c r="AE13" s="17" t="str">
        <f t="shared" si="13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1"/>
        <v>low</v>
      </c>
      <c r="AJ13" s="36" t="str">
        <f t="shared" si="2"/>
        <v>3a</v>
      </c>
      <c r="AK13" s="36" t="str">
        <f t="shared" si="3"/>
        <v>x</v>
      </c>
      <c r="AL13" s="36">
        <f t="shared" si="4"/>
        <v>0</v>
      </c>
      <c r="AM13" s="36" t="str">
        <f t="shared" si="5"/>
        <v>II</v>
      </c>
      <c r="AN13" s="37" t="s">
        <v>170</v>
      </c>
      <c r="AO13" s="38" t="s">
        <v>192</v>
      </c>
      <c r="AP13" s="38" t="s">
        <v>189</v>
      </c>
      <c r="AQ13" s="38">
        <v>0</v>
      </c>
      <c r="AR13" s="38" t="s">
        <v>43</v>
      </c>
      <c r="AS13" s="37">
        <f t="shared" si="6"/>
        <v>1</v>
      </c>
      <c r="AT13" s="38">
        <f t="shared" si="7"/>
        <v>1</v>
      </c>
      <c r="AU13" s="38">
        <f t="shared" si="8"/>
        <v>1</v>
      </c>
      <c r="AV13" s="38">
        <f t="shared" si="9"/>
        <v>1</v>
      </c>
      <c r="AW13" s="39">
        <f t="shared" si="10"/>
        <v>1</v>
      </c>
    </row>
    <row r="14" spans="1:49">
      <c r="A14" s="13">
        <v>12</v>
      </c>
      <c r="B14" s="16">
        <f>_xlfn.MAXIFS('Model output'!B:B,'Model output'!Z:Z,'Classification result'!$A14)</f>
        <v>45356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3a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IF(OR(ISNUMBER(SEARCH("[]",_xlfn.TEXTJOIN("; ", TRUE, _xlfn._xlws.FILTER('Model output'!H:H, 'Model output'!Z:Z=A14)),1)),ISNUMBER(SEARCH("lymph",_xlfn.TEXTJOIN(";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5cm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&lt;4</v>
      </c>
      <c r="Y14" t="str">
        <f t="shared" si="11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positive</v>
      </c>
      <c r="AA14" s="17" t="str">
        <f t="shared" si="12"/>
        <v>positive</v>
      </c>
      <c r="AE14" s="17" t="str">
        <f t="shared" si="13"/>
        <v>negative</v>
      </c>
      <c r="AF14" t="str" cm="1">
        <f t="array" ref="AF14">_xlfn.TEXTJOIN("; ",TRUE,_xlfn._xlws.FILTER('Model output'!S:S,'Model output'!Z:Z=A14))</f>
        <v>Invading perithyroid soft tissue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1"/>
        <v>intermediate</v>
      </c>
      <c r="AJ14" s="36" t="str">
        <f t="shared" si="2"/>
        <v>3a</v>
      </c>
      <c r="AK14" s="36" t="str">
        <f t="shared" si="3"/>
        <v>x</v>
      </c>
      <c r="AL14" s="36">
        <f t="shared" si="4"/>
        <v>0</v>
      </c>
      <c r="AM14" s="36" t="str">
        <f t="shared" si="5"/>
        <v>II</v>
      </c>
      <c r="AN14" s="37" t="s">
        <v>168</v>
      </c>
      <c r="AO14" s="38" t="s">
        <v>192</v>
      </c>
      <c r="AP14" s="38" t="s">
        <v>189</v>
      </c>
      <c r="AQ14" s="38">
        <v>0</v>
      </c>
      <c r="AR14" s="38" t="s">
        <v>43</v>
      </c>
      <c r="AS14" s="37">
        <f t="shared" si="6"/>
        <v>1</v>
      </c>
      <c r="AT14" s="38">
        <f t="shared" si="7"/>
        <v>1</v>
      </c>
      <c r="AU14" s="38">
        <f t="shared" si="8"/>
        <v>1</v>
      </c>
      <c r="AV14" s="38">
        <f t="shared" si="9"/>
        <v>1</v>
      </c>
      <c r="AW14" s="39">
        <f t="shared" si="10"/>
        <v>1</v>
      </c>
    </row>
    <row r="15" spans="1:49">
      <c r="A15" s="13">
        <v>13</v>
      </c>
      <c r="B15" s="16">
        <f>_xlfn.MAXIFS('Model output'!B:B,'Model output'!Z:Z,'Classification result'!$A15)</f>
        <v>45509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IF(OR(ISNUMBER(SEARCH("[]",_xlfn.TEXTJOIN("; ", TRUE, _xlfn._xlws.FILTER('Model output'!H:H, 'Model output'!Z:Z=A15)),1)),ISNUMBER(SEARCH("lymph",_xlfn.TEXTJOIN(";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positive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1"/>
        <v>minimal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positive</v>
      </c>
      <c r="AA15" s="17" t="str">
        <f t="shared" si="12"/>
        <v>positive</v>
      </c>
      <c r="AE15" s="17" t="str">
        <f t="shared" si="13"/>
        <v>negative</v>
      </c>
      <c r="AF15" t="str" cm="1">
        <f t="array" ref="AF15">_xlfn.TEXTJOIN("; ",TRUE,_xlfn._xlws.FILTER('Model output'!S:S,'Model output'!Z:Z=A15))</f>
        <v>Present; Present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1"/>
        <v>high</v>
      </c>
      <c r="AJ15" s="36" t="str">
        <f t="shared" si="2"/>
        <v>3a</v>
      </c>
      <c r="AK15" s="36" t="str">
        <f t="shared" si="3"/>
        <v>1b</v>
      </c>
      <c r="AL15" s="36">
        <f t="shared" si="4"/>
        <v>0</v>
      </c>
      <c r="AM15" s="36" t="str">
        <f t="shared" si="5"/>
        <v>II</v>
      </c>
      <c r="AN15" s="37" t="s">
        <v>169</v>
      </c>
      <c r="AO15" s="38" t="s">
        <v>193</v>
      </c>
      <c r="AP15" s="38" t="s">
        <v>188</v>
      </c>
      <c r="AQ15" s="38">
        <v>0</v>
      </c>
      <c r="AR15" s="38" t="s">
        <v>68</v>
      </c>
      <c r="AS15" s="37">
        <f t="shared" si="6"/>
        <v>1</v>
      </c>
      <c r="AT15" s="38">
        <f t="shared" si="7"/>
        <v>0</v>
      </c>
      <c r="AU15" s="38">
        <f t="shared" si="8"/>
        <v>1</v>
      </c>
      <c r="AV15" s="38">
        <f t="shared" si="9"/>
        <v>1</v>
      </c>
      <c r="AW15" s="39">
        <f t="shared" si="10"/>
        <v>0</v>
      </c>
    </row>
    <row r="16" spans="1:49">
      <c r="A16" s="13">
        <v>14</v>
      </c>
      <c r="B16" s="16">
        <f>_xlfn.MAXIFS('Model output'!B:B,'Model output'!Z:Z,'Classification result'!$A16)</f>
        <v>45630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7" t="str" cm="1">
        <f t="array" ref="K16">IF(OR(ISNUMBER(SEARCH("[]",_xlfn.TEXTJOIN("; ", TRUE, _xlfn._xlws.FILTER('Model output'!H:H, 'Model output'!Z:Z=A16)),1)),ISNUMBER(SEARCH("lymph",_xlfn.TEXTJOIN(";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&lt;4</v>
      </c>
      <c r="Y16" t="str">
        <f t="shared" si="11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2"/>
        <v>positive</v>
      </c>
      <c r="AE16" s="17" t="str">
        <f t="shared" si="13"/>
        <v>positive</v>
      </c>
      <c r="AF16" t="str" cm="1">
        <f t="array" ref="AF16">_xlfn.TEXTJOIN("; ",TRUE,_xlfn._xlws.FILTER('Model output'!S:S,'Model output'!Z:Z=A16))</f>
        <v>Invading only strap muscles; Present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1"/>
        <v>high</v>
      </c>
      <c r="AJ16" s="36" t="str">
        <f t="shared" si="2"/>
        <v>3b</v>
      </c>
      <c r="AK16" s="36" t="str">
        <f t="shared" si="3"/>
        <v>x</v>
      </c>
      <c r="AL16" s="36">
        <f t="shared" si="4"/>
        <v>0</v>
      </c>
      <c r="AM16" s="36" t="str">
        <f t="shared" si="5"/>
        <v>I</v>
      </c>
      <c r="AN16" s="37" t="s">
        <v>169</v>
      </c>
      <c r="AO16" s="38" t="s">
        <v>191</v>
      </c>
      <c r="AP16" s="38" t="s">
        <v>189</v>
      </c>
      <c r="AQ16" s="38">
        <v>0</v>
      </c>
      <c r="AR16" s="38" t="s">
        <v>31</v>
      </c>
      <c r="AS16" s="37">
        <f t="shared" si="6"/>
        <v>1</v>
      </c>
      <c r="AT16" s="38">
        <f t="shared" si="7"/>
        <v>1</v>
      </c>
      <c r="AU16" s="38">
        <f t="shared" si="8"/>
        <v>1</v>
      </c>
      <c r="AV16" s="38">
        <f t="shared" si="9"/>
        <v>1</v>
      </c>
      <c r="AW16" s="39">
        <f t="shared" si="10"/>
        <v>1</v>
      </c>
    </row>
    <row r="17" spans="1:49">
      <c r="A17" s="13">
        <v>15</v>
      </c>
      <c r="B17" s="16">
        <f>_xlfn.MAXIFS('Model output'!B:B,'Model output'!Z:Z,'Classification result'!$A17)</f>
        <v>0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>positive</v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>central</v>
      </c>
      <c r="K17" s="17" t="str" cm="1">
        <f t="array" ref="K17">IF(OR(ISNUMBER(SEARCH("[]",_xlfn.TEXTJOIN("; ", TRUE, _xlfn._xlws.FILTER('Model output'!H:H, 'Model output'!Z:Z=A17)),1)),ISNUMBER(SEARCH("lymph",_xlfn.TEXTJOIN(";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1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positive</v>
      </c>
      <c r="AA17" s="17" t="str">
        <f t="shared" si="12"/>
        <v>negative</v>
      </c>
      <c r="AE17" s="17" t="str">
        <f t="shared" si="13"/>
        <v>negative</v>
      </c>
      <c r="AF17" t="str" cm="1">
        <f t="array" ref="AF17">_xlfn.TEXTJOIN("; ",TRUE,_xlfn._xlws.FILTER('Model output'!S:S,'Model output'!Z:Z=A17))</f>
        <v>Negative</v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1"/>
        <v>NIFTP</v>
      </c>
      <c r="AJ17" s="36" t="str">
        <f t="shared" si="2"/>
        <v>NIFTP</v>
      </c>
      <c r="AK17" s="36" t="s">
        <v>74</v>
      </c>
      <c r="AL17" s="36" t="s">
        <v>74</v>
      </c>
      <c r="AM17" s="36" t="s">
        <v>74</v>
      </c>
      <c r="AN17" s="37" t="s">
        <v>74</v>
      </c>
      <c r="AO17" s="38" t="s">
        <v>74</v>
      </c>
      <c r="AP17" s="38" t="s">
        <v>74</v>
      </c>
      <c r="AQ17" s="38" t="s">
        <v>74</v>
      </c>
      <c r="AR17" s="38" t="s">
        <v>74</v>
      </c>
      <c r="AS17" s="37">
        <f t="shared" si="6"/>
        <v>1</v>
      </c>
      <c r="AT17" s="38">
        <f t="shared" si="7"/>
        <v>1</v>
      </c>
      <c r="AU17" s="38">
        <f t="shared" si="8"/>
        <v>1</v>
      </c>
      <c r="AV17" s="38">
        <f t="shared" si="9"/>
        <v>1</v>
      </c>
      <c r="AW17" s="39">
        <f t="shared" si="10"/>
        <v>1</v>
      </c>
    </row>
    <row r="18" spans="1:49">
      <c r="A18" s="13">
        <v>16</v>
      </c>
      <c r="B18" s="16">
        <f>_xlfn.MAXIFS('Model output'!B:B,'Model output'!Z:Z,'Classification result'!$A18)</f>
        <v>45537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IF(OR(ISNUMBER(SEARCH("[]",_xlfn.TEXTJOIN("; ", TRUE, _xlfn._xlws.FILTER('Model output'!H:H, 'Model output'!Z:Z=A18)),1)),ISNUMBER(SEARCH("lymph",_xlfn.TEXTJOIN(";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36x32x26mm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36x32x26mm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1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2"/>
        <v>positive</v>
      </c>
      <c r="AE18" s="17" t="str">
        <f t="shared" si="13"/>
        <v>positive</v>
      </c>
      <c r="AF18" t="str" cm="1">
        <f t="array" ref="AF18">_xlfn.TEXTJOIN("; ",TRUE,_xlfn._xlws.FILTER('Model output'!S:S,'Model output'!Z:Z=A18))</f>
        <v>Not identified; Present, invading into the region of the recurrent laryngeal nerve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1"/>
        <v>high</v>
      </c>
      <c r="AJ18" s="36" t="str">
        <f t="shared" si="2"/>
        <v>4a</v>
      </c>
      <c r="AK18" s="36">
        <f t="shared" ref="AK18:AK37" si="14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5">IF(OR(ISNUMBER(SEARCH("non-invasive follicular",Q18,1)),ISNUMBER(SEARCH("non-invasive follicular",R18,1))),"NIFTP",IF(K18="unknown","x",IF(K18="negative",0,1)))</f>
        <v>0</v>
      </c>
      <c r="AM18" s="36" t="str">
        <f t="shared" ref="AM18:AM37" si="16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168</v>
      </c>
      <c r="AO18" s="38" t="s">
        <v>356</v>
      </c>
      <c r="AP18" s="38">
        <v>0</v>
      </c>
      <c r="AQ18" s="38">
        <v>0</v>
      </c>
      <c r="AR18" s="38" t="s">
        <v>31</v>
      </c>
      <c r="AS18" s="37">
        <f t="shared" si="6"/>
        <v>0</v>
      </c>
      <c r="AT18" s="38">
        <f t="shared" si="7"/>
        <v>0</v>
      </c>
      <c r="AU18" s="38">
        <f t="shared" si="8"/>
        <v>1</v>
      </c>
      <c r="AV18" s="38">
        <f t="shared" si="9"/>
        <v>1</v>
      </c>
      <c r="AW18" s="39">
        <f t="shared" si="10"/>
        <v>1</v>
      </c>
    </row>
    <row r="19" spans="1:49">
      <c r="A19" s="13">
        <v>17</v>
      </c>
      <c r="B19" s="16">
        <f>_xlfn.MAXIFS('Model output'!B:B,'Model output'!Z:Z,'Classification result'!$A19)</f>
        <v>0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IF(OR(ISNUMBER(SEARCH("[]",_xlfn.TEXTJOIN("; ", TRUE, _xlfn._xlws.FILTER('Model output'!H:H, 'Model output'!Z:Z=A19)),1)),ISNUMBER(SEARCH("lymph",_xlfn.TEXTJOIN(";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</v>
      </c>
      <c r="M19" s="17">
        <f>IFERROR(INDEX('Model output'!J:J, MATCH(A19, 'Model output'!Z:Z, 0)), "")</f>
        <v>1</v>
      </c>
      <c r="N19" s="18" t="str" cm="1">
        <f t="array" ref="N19">ReplaceTo(ReplaceAnd(SUBSTITUTE(SUBSTITUTE(_xlfn.TEXTJOIN("; ", TRUE, _xlfn._xlws.FILTER('Model output'!K:K, 'Model output'!Z:Z=A19)), " ", ""), ",", ";")))</f>
        <v>10mm;1.3cm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10mm;1.3cm</v>
      </c>
      <c r="P19" cm="1">
        <f t="array" ref="P19">IF(MaxSize((SplitDimensions(O19)))=0, "", MaxSize((SplitDimensions(O19))))</f>
        <v>1.3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1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positive</v>
      </c>
      <c r="AA19" s="17" t="str">
        <f t="shared" si="12"/>
        <v>negative</v>
      </c>
      <c r="AE19" s="17" t="str">
        <f t="shared" si="13"/>
        <v>negative</v>
      </c>
      <c r="AF19" t="str" cm="1">
        <f t="array" ref="AF19">_xlfn.TEXTJOIN("; ",TRUE,_xlfn._xlws.FILTER('Model output'!S:S,'Model output'!Z:Z=A19))</f>
        <v>Not identified</v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1"/>
        <v>intermediate</v>
      </c>
      <c r="AJ19" s="36" t="str">
        <f t="shared" si="2"/>
        <v>1b</v>
      </c>
      <c r="AK19" s="36" t="str">
        <f t="shared" si="14"/>
        <v>1b</v>
      </c>
      <c r="AL19" s="36">
        <f t="shared" si="15"/>
        <v>0</v>
      </c>
      <c r="AM19" s="36" t="str">
        <f t="shared" si="16"/>
        <v>I</v>
      </c>
      <c r="AN19" s="37" t="s">
        <v>168</v>
      </c>
      <c r="AO19" s="38" t="s">
        <v>188</v>
      </c>
      <c r="AP19" s="38" t="s">
        <v>188</v>
      </c>
      <c r="AQ19" s="38">
        <v>0</v>
      </c>
      <c r="AR19" s="38" t="s">
        <v>31</v>
      </c>
      <c r="AS19" s="37">
        <f t="shared" si="6"/>
        <v>1</v>
      </c>
      <c r="AT19" s="38">
        <f t="shared" si="7"/>
        <v>1</v>
      </c>
      <c r="AU19" s="38">
        <f t="shared" si="8"/>
        <v>1</v>
      </c>
      <c r="AV19" s="38">
        <f t="shared" si="9"/>
        <v>1</v>
      </c>
      <c r="AW19" s="39">
        <f t="shared" si="10"/>
        <v>1</v>
      </c>
    </row>
    <row r="20" spans="1:49">
      <c r="A20" s="13">
        <v>18</v>
      </c>
      <c r="B20" s="16">
        <f>_xlfn.MAXIFS('Model output'!B:B,'Model output'!Z:Z,'Classification result'!$A20)</f>
        <v>45385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IF(OR(ISNUMBER(SEARCH("[]",_xlfn.TEXTJOIN("; ", TRUE, _xlfn._xlws.FILTER('Model output'!H:H, 'Model output'!Z:Z=A20)),1)),ISNUMBER(SEARCH("lymph",_xlfn.TEXTJOIN(";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/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/>
      </c>
      <c r="P20" t="str" cm="1">
        <f t="array" ref="P20">IF(MaxSize((SplitDimensions(O20)))=0, "", MaxSize((SplitDimensions(O20))))</f>
        <v/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30mm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30mm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positive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1"/>
        <v>minimal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positive</v>
      </c>
      <c r="AA20" s="17" t="str">
        <f t="shared" si="12"/>
        <v>positive</v>
      </c>
      <c r="AE20" s="17" t="str">
        <f t="shared" si="13"/>
        <v>positive</v>
      </c>
      <c r="AF20" t="str" cm="1">
        <f t="array" ref="AF20">_xlfn.TEXTJOIN("; ",TRUE,_xlfn._xlws.FILTER('Model output'!S:S,'Model output'!Z:Z=A20))</f>
        <v>Invading only strap muscles; Present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1"/>
        <v>high</v>
      </c>
      <c r="AJ20" s="36" t="str">
        <f t="shared" si="2"/>
        <v>4a</v>
      </c>
      <c r="AK20" s="36" t="str">
        <f t="shared" si="14"/>
        <v>1a</v>
      </c>
      <c r="AL20" s="36">
        <f t="shared" si="15"/>
        <v>0</v>
      </c>
      <c r="AM20" s="36" t="str">
        <f t="shared" si="16"/>
        <v>III</v>
      </c>
      <c r="AN20" s="37" t="s">
        <v>169</v>
      </c>
      <c r="AO20" s="38" t="s">
        <v>193</v>
      </c>
      <c r="AP20" s="38" t="s">
        <v>190</v>
      </c>
      <c r="AQ20" s="38">
        <v>0</v>
      </c>
      <c r="AR20" s="38" t="s">
        <v>68</v>
      </c>
      <c r="AS20" s="37">
        <f t="shared" si="6"/>
        <v>1</v>
      </c>
      <c r="AT20" s="38">
        <f t="shared" si="7"/>
        <v>1</v>
      </c>
      <c r="AU20" s="38">
        <f t="shared" si="8"/>
        <v>1</v>
      </c>
      <c r="AV20" s="38">
        <f t="shared" si="9"/>
        <v>1</v>
      </c>
      <c r="AW20" s="39">
        <f t="shared" si="10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>X</v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IF(OR(ISNUMBER(SEARCH("[]",_xlfn.TEXTJOIN("; ", TRUE, _xlfn._xlws.FILTER('Model output'!H:H, 'Model output'!Z:Z=A21)),1)),ISNUMBER(SEARCH("lymph",_xlfn.TEXTJOIN(";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1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>papillary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>classic</v>
      </c>
      <c r="S21" t="str" c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2mm</v>
      </c>
      <c r="T21" t="str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2mm</v>
      </c>
      <c r="U21" cm="1">
        <f t="array" ref="U21">IF(MaxSize((SplitDimensions(T21)))=0, "", MaxSize((SplitDimensions(T21))))</f>
        <v>0.2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1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positive</v>
      </c>
      <c r="AA21" s="17" t="str">
        <f t="shared" si="12"/>
        <v>negative</v>
      </c>
      <c r="AE21" s="17" t="str">
        <f t="shared" si="13"/>
        <v>negative</v>
      </c>
      <c r="AF21" t="str" cm="1">
        <f t="array" ref="AF21">_xlfn.TEXTJOIN("; ",TRUE,_xlfn._xlws.FILTER('Model output'!S:S,'Model output'!Z:Z=A21))</f>
        <v>Not identified</v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1"/>
        <v>low</v>
      </c>
      <c r="AJ21" s="36" t="str">
        <f t="shared" si="2"/>
        <v>1a</v>
      </c>
      <c r="AK21" s="36">
        <f t="shared" si="14"/>
        <v>0</v>
      </c>
      <c r="AL21" s="36">
        <f t="shared" si="15"/>
        <v>0</v>
      </c>
      <c r="AM21" s="36" t="str">
        <f t="shared" si="16"/>
        <v>I</v>
      </c>
      <c r="AN21" s="37" t="s">
        <v>170</v>
      </c>
      <c r="AO21" s="38" t="s">
        <v>190</v>
      </c>
      <c r="AP21" s="38">
        <v>0</v>
      </c>
      <c r="AQ21" s="38">
        <v>0</v>
      </c>
      <c r="AR21" s="38" t="s">
        <v>31</v>
      </c>
      <c r="AS21" s="37">
        <f t="shared" si="6"/>
        <v>1</v>
      </c>
      <c r="AT21" s="38">
        <f t="shared" si="7"/>
        <v>1</v>
      </c>
      <c r="AU21" s="38">
        <f t="shared" si="8"/>
        <v>1</v>
      </c>
      <c r="AV21" s="38">
        <f t="shared" si="9"/>
        <v>1</v>
      </c>
      <c r="AW21" s="39">
        <f t="shared" si="10"/>
        <v>1</v>
      </c>
    </row>
    <row r="22" spans="1:49">
      <c r="A22" s="13">
        <v>20</v>
      </c>
      <c r="B22" s="16">
        <f>_xlfn.MAXIFS('Model output'!B:B,'Model output'!Z:Z,'Classification result'!$A22)</f>
        <v>0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IF(OR(ISNUMBER(SEARCH("[]",_xlfn.TEXTJOIN("; ", TRUE, _xlfn._xlws.FILTER('Model output'!H:H, 'Model output'!Z:Z=A22)),1)),ISNUMBER(SEARCH("lymph",_xlfn.TEXTJOIN(";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1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positive</v>
      </c>
      <c r="AA22" s="17" t="str">
        <f t="shared" si="12"/>
        <v>positive</v>
      </c>
      <c r="AE22" s="17" t="str">
        <f t="shared" si="13"/>
        <v>negative</v>
      </c>
      <c r="AF22" t="str" cm="1">
        <f t="array" ref="AF22">_xlfn.TEXTJOIN("; ",TRUE,_xlfn._xlws.FILTER('Model output'!S:S,'Model output'!Z:Z=A22))</f>
        <v>Present; 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5" t="str">
        <f t="shared" si="1"/>
        <v>intermediate</v>
      </c>
      <c r="AJ22" s="36" t="str">
        <f t="shared" si="2"/>
        <v>1b</v>
      </c>
      <c r="AK22" s="36" t="str">
        <f t="shared" si="14"/>
        <v>1a</v>
      </c>
      <c r="AL22" s="36">
        <f t="shared" si="15"/>
        <v>0</v>
      </c>
      <c r="AM22" s="36" t="str">
        <f t="shared" si="16"/>
        <v>II</v>
      </c>
      <c r="AN22" s="37" t="s">
        <v>168</v>
      </c>
      <c r="AO22" s="38" t="s">
        <v>188</v>
      </c>
      <c r="AP22" s="38" t="s">
        <v>190</v>
      </c>
      <c r="AQ22" s="38">
        <v>0</v>
      </c>
      <c r="AR22" s="38" t="s">
        <v>43</v>
      </c>
      <c r="AS22" s="37">
        <f t="shared" si="6"/>
        <v>1</v>
      </c>
      <c r="AT22" s="38">
        <f t="shared" si="7"/>
        <v>1</v>
      </c>
      <c r="AU22" s="38">
        <f t="shared" si="8"/>
        <v>1</v>
      </c>
      <c r="AV22" s="38">
        <f t="shared" si="9"/>
        <v>1</v>
      </c>
      <c r="AW22" s="39">
        <f t="shared" si="10"/>
        <v>1</v>
      </c>
    </row>
    <row r="23" spans="1:49">
      <c r="A23" s="13">
        <v>21</v>
      </c>
      <c r="B23" s="16">
        <f>_xlfn.MAXIFS('Model output'!B:B,'Model output'!Z:Z,'Classification result'!$A23)</f>
        <v>45413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/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IF(OR(ISNUMBER(SEARCH("[]",_xlfn.TEXTJOIN("; ", TRUE, _xlfn._xlws.FILTER('Model output'!H:H, 'Model output'!Z:Z=A23)),1)),ISNUMBER(SEARCH("lymph",_xlfn.TEXTJOIN(";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1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positive</v>
      </c>
      <c r="AA23" s="17" t="str">
        <f t="shared" si="12"/>
        <v>positive</v>
      </c>
      <c r="AE23" s="17" t="str">
        <f t="shared" si="13"/>
        <v>negative</v>
      </c>
      <c r="AF23" t="str" cm="1">
        <f t="array" ref="AF23">_xlfn.TEXTJOIN("; ",TRUE,_xlfn._xlws.FILTER('Model output'!S:S,'Model output'!Z:Z=A23))</f>
        <v>Present; Present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1"/>
        <v>intermediate</v>
      </c>
      <c r="AJ23" s="36" t="str">
        <f t="shared" si="2"/>
        <v>1b</v>
      </c>
      <c r="AK23" s="36" t="str">
        <f t="shared" si="14"/>
        <v>1a</v>
      </c>
      <c r="AL23" s="36">
        <f t="shared" si="15"/>
        <v>0</v>
      </c>
      <c r="AM23" s="36" t="str">
        <f t="shared" si="16"/>
        <v>I</v>
      </c>
      <c r="AN23" s="37" t="s">
        <v>168</v>
      </c>
      <c r="AO23" s="38" t="s">
        <v>188</v>
      </c>
      <c r="AP23" s="38" t="s">
        <v>190</v>
      </c>
      <c r="AQ23" s="38">
        <v>0</v>
      </c>
      <c r="AR23" s="38" t="s">
        <v>31</v>
      </c>
      <c r="AS23" s="37">
        <f t="shared" si="6"/>
        <v>1</v>
      </c>
      <c r="AT23" s="38">
        <f t="shared" si="7"/>
        <v>1</v>
      </c>
      <c r="AU23" s="38">
        <f t="shared" si="8"/>
        <v>1</v>
      </c>
      <c r="AV23" s="38">
        <f t="shared" si="9"/>
        <v>1</v>
      </c>
      <c r="AW23" s="39">
        <f t="shared" si="10"/>
        <v>1</v>
      </c>
    </row>
    <row r="24" spans="1:49">
      <c r="A24" s="13">
        <v>22</v>
      </c>
      <c r="B24" s="16">
        <f>_xlfn.MAXIFS('Model output'!B:B,'Model output'!Z:Z,'Classification result'!$A24)</f>
        <v>45505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IF(OR(ISNUMBER(SEARCH("[]",_xlfn.TEXTJOIN("; ", TRUE, _xlfn._xlws.FILTER('Model output'!H:H, 'Model output'!Z:Z=A24)),1)),ISNUMBER(SEARCH("lymph",_xlfn.TEXTJOIN(";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1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positive</v>
      </c>
      <c r="AA24" s="17" t="str">
        <f t="shared" si="12"/>
        <v>positive</v>
      </c>
      <c r="AE24" s="17" t="str">
        <f t="shared" si="13"/>
        <v>negative</v>
      </c>
      <c r="AF24" t="str" cm="1">
        <f t="array" ref="AF24">_xlfn.TEXTJOIN("; ",TRUE,_xlfn._xlws.FILTER('Model output'!S:S,'Model output'!Z:Z=A24))</f>
        <v>Not identified; Present</v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1"/>
        <v>intermediate</v>
      </c>
      <c r="AJ24" s="36" t="str">
        <f t="shared" si="2"/>
        <v>1a</v>
      </c>
      <c r="AK24" s="36">
        <f t="shared" si="14"/>
        <v>0</v>
      </c>
      <c r="AL24" s="36">
        <f t="shared" si="15"/>
        <v>0</v>
      </c>
      <c r="AM24" s="36" t="str">
        <f t="shared" si="16"/>
        <v>I</v>
      </c>
      <c r="AN24" s="37" t="s">
        <v>170</v>
      </c>
      <c r="AO24" s="38" t="s">
        <v>190</v>
      </c>
      <c r="AP24" s="38">
        <v>0</v>
      </c>
      <c r="AQ24" s="38">
        <v>0</v>
      </c>
      <c r="AR24" s="38" t="s">
        <v>31</v>
      </c>
      <c r="AS24" s="37">
        <f t="shared" si="6"/>
        <v>0</v>
      </c>
      <c r="AT24" s="38">
        <f t="shared" si="7"/>
        <v>1</v>
      </c>
      <c r="AU24" s="38">
        <f t="shared" si="8"/>
        <v>1</v>
      </c>
      <c r="AV24" s="38">
        <f t="shared" si="9"/>
        <v>1</v>
      </c>
      <c r="AW24" s="39">
        <f t="shared" si="10"/>
        <v>1</v>
      </c>
    </row>
    <row r="25" spans="1:49">
      <c r="A25" s="13">
        <v>23</v>
      </c>
      <c r="B25" s="16">
        <f>_xlfn.MAXIFS('Model output'!B:B,'Model output'!Z:Z,'Classification result'!$A25)</f>
        <v>45413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/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IF(OR(ISNUMBER(SEARCH("[]",_xlfn.TEXTJOIN("; ", TRUE, _xlfn._xlws.FILTER('Model output'!H:H, 'Model output'!Z:Z=A25)),1)),ISNUMBER(SEARCH("lymph",_xlfn.TEXTJOIN(";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1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positive</v>
      </c>
      <c r="AA25" s="17" t="str">
        <f t="shared" si="12"/>
        <v>positive</v>
      </c>
      <c r="AE25" s="17" t="str">
        <f t="shared" si="13"/>
        <v>negative</v>
      </c>
      <c r="AF25" t="str" cm="1">
        <f t="array" ref="AF25">_xlfn.TEXTJOIN("; ",TRUE,_xlfn._xlws.FILTER('Model output'!S:S,'Model output'!Z:Z=A25))</f>
        <v>Present; Not identified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1"/>
        <v>intermediate</v>
      </c>
      <c r="AJ25" s="36" t="str">
        <f t="shared" si="2"/>
        <v>1b</v>
      </c>
      <c r="AK25" s="36">
        <f t="shared" si="14"/>
        <v>0</v>
      </c>
      <c r="AL25" s="36">
        <f t="shared" si="15"/>
        <v>0</v>
      </c>
      <c r="AM25" s="36" t="str">
        <f t="shared" si="16"/>
        <v>I</v>
      </c>
      <c r="AN25" s="37" t="s">
        <v>168</v>
      </c>
      <c r="AO25" s="38" t="s">
        <v>188</v>
      </c>
      <c r="AP25" s="38">
        <v>0</v>
      </c>
      <c r="AQ25" s="38">
        <v>0</v>
      </c>
      <c r="AR25" s="38" t="s">
        <v>31</v>
      </c>
      <c r="AS25" s="37">
        <f t="shared" si="6"/>
        <v>1</v>
      </c>
      <c r="AT25" s="38">
        <f t="shared" si="7"/>
        <v>1</v>
      </c>
      <c r="AU25" s="38">
        <f t="shared" si="8"/>
        <v>1</v>
      </c>
      <c r="AV25" s="38">
        <f t="shared" si="9"/>
        <v>1</v>
      </c>
      <c r="AW25" s="39">
        <f t="shared" si="10"/>
        <v>1</v>
      </c>
    </row>
    <row r="26" spans="1:49">
      <c r="A26" s="13">
        <v>24</v>
      </c>
      <c r="B26" s="16">
        <f>_xlfn.MAXIFS('Model output'!B:B,'Model output'!Z:Z,'Classification result'!$A26)</f>
        <v>45566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/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IF(OR(ISNUMBER(SEARCH("[]",_xlfn.TEXTJOIN("; ", TRUE, _xlfn._xlws.FILTER('Model output'!H:H, 'Model output'!Z:Z=A26)),1)),ISNUMBER(SEARCH("lymph",_xlfn.TEXTJOIN(";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15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1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2"/>
        <v>positive</v>
      </c>
      <c r="AE26" s="17" t="str">
        <f t="shared" si="13"/>
        <v>negative</v>
      </c>
      <c r="AF26" t="str" cm="1">
        <f t="array" ref="AF26">_xlfn.TEXTJOIN("; ",TRUE,_xlfn._xlws.FILTER('Model output'!S:S,'Model output'!Z:Z=A26))</f>
        <v>Present (minimal); Present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1"/>
        <v>intermediate</v>
      </c>
      <c r="AJ26" s="36" t="str">
        <f t="shared" si="2"/>
        <v>4a</v>
      </c>
      <c r="AK26" s="36" t="str">
        <f t="shared" si="14"/>
        <v>1b</v>
      </c>
      <c r="AL26" s="36">
        <f t="shared" si="15"/>
        <v>0</v>
      </c>
      <c r="AM26" s="36" t="str">
        <f t="shared" si="16"/>
        <v>III</v>
      </c>
      <c r="AN26" s="37" t="s">
        <v>169</v>
      </c>
      <c r="AO26" s="38" t="s">
        <v>193</v>
      </c>
      <c r="AP26" s="38" t="s">
        <v>188</v>
      </c>
      <c r="AQ26" s="38">
        <v>0</v>
      </c>
      <c r="AR26" s="38" t="s">
        <v>68</v>
      </c>
      <c r="AS26" s="37">
        <f t="shared" si="6"/>
        <v>0</v>
      </c>
      <c r="AT26" s="38">
        <f t="shared" si="7"/>
        <v>1</v>
      </c>
      <c r="AU26" s="38">
        <f t="shared" si="8"/>
        <v>1</v>
      </c>
      <c r="AV26" s="38">
        <f t="shared" si="9"/>
        <v>1</v>
      </c>
      <c r="AW26" s="39">
        <f t="shared" si="10"/>
        <v>1</v>
      </c>
    </row>
    <row r="27" spans="1:49">
      <c r="A27" s="13">
        <v>25</v>
      </c>
      <c r="B27" s="16">
        <f>_xlfn.MAXIFS('Model output'!B:B,'Model output'!Z:Z,'Classification result'!$A27)</f>
        <v>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IF(OR(ISNUMBER(SEARCH("[]",_xlfn.TEXTJOIN("; ", TRUE, _xlfn._xlws.FILTER('Model output'!H:H, 'Model output'!Z:Z=A27)),1)),ISNUMBER(SEARCH("lymph",_xlfn.TEXTJOIN(";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1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2"/>
        <v>negative</v>
      </c>
      <c r="AE27" s="17" t="str">
        <f t="shared" si="13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1"/>
        <v>low</v>
      </c>
      <c r="AJ27" s="36" t="str">
        <f t="shared" si="2"/>
        <v>1a</v>
      </c>
      <c r="AK27" s="36" t="str">
        <f t="shared" si="14"/>
        <v>x</v>
      </c>
      <c r="AL27" s="36">
        <f t="shared" si="15"/>
        <v>0</v>
      </c>
      <c r="AM27" s="36" t="str">
        <f t="shared" si="16"/>
        <v>I</v>
      </c>
      <c r="AN27" s="37" t="s">
        <v>170</v>
      </c>
      <c r="AO27" s="38" t="s">
        <v>188</v>
      </c>
      <c r="AP27" s="38" t="s">
        <v>189</v>
      </c>
      <c r="AQ27" s="38">
        <v>0</v>
      </c>
      <c r="AR27" s="38" t="s">
        <v>31</v>
      </c>
      <c r="AS27" s="37">
        <f t="shared" si="6"/>
        <v>1</v>
      </c>
      <c r="AT27" s="38">
        <f t="shared" si="7"/>
        <v>0</v>
      </c>
      <c r="AU27" s="38">
        <f t="shared" si="8"/>
        <v>1</v>
      </c>
      <c r="AV27" s="38">
        <f t="shared" si="9"/>
        <v>1</v>
      </c>
      <c r="AW27" s="39">
        <f t="shared" si="10"/>
        <v>1</v>
      </c>
    </row>
    <row r="28" spans="1:49">
      <c r="A28" s="13">
        <v>26</v>
      </c>
      <c r="B28" s="16">
        <f>_xlfn.MAXIFS('Model output'!B:B,'Model output'!Z:Z,'Classification result'!$A28)</f>
        <v>0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IF(OR(ISNUMBER(SEARCH("[]",_xlfn.TEXTJOIN("; ", TRUE, _xlfn._xlws.FILTER('Model output'!H:H, 'Model output'!Z:Z=A28)),1)),ISNUMBER(SEARCH("lymph",_xlfn.TEXTJOIN(";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1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positive</v>
      </c>
      <c r="AA28" s="17" t="str">
        <f t="shared" si="12"/>
        <v>positive</v>
      </c>
      <c r="AE28" s="17" t="str">
        <f t="shared" si="13"/>
        <v>negative</v>
      </c>
      <c r="AF28" t="str" cm="1">
        <f t="array" ref="AF28">_xlfn.TEXTJOIN("; ",TRUE,_xlfn._xlws.FILTER('Model output'!S:S,'Model output'!Z:Z=A28))</f>
        <v>Present; Present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1"/>
        <v>intermediate</v>
      </c>
      <c r="AJ28" s="36" t="str">
        <f t="shared" si="2"/>
        <v>1b</v>
      </c>
      <c r="AK28" s="36" t="str">
        <f t="shared" si="14"/>
        <v>x</v>
      </c>
      <c r="AL28" s="36">
        <f t="shared" si="15"/>
        <v>0</v>
      </c>
      <c r="AM28" s="36" t="str">
        <f t="shared" si="16"/>
        <v>I</v>
      </c>
      <c r="AN28" s="37" t="s">
        <v>169</v>
      </c>
      <c r="AO28" s="38" t="s">
        <v>191</v>
      </c>
      <c r="AP28" s="38" t="s">
        <v>189</v>
      </c>
      <c r="AQ28" s="38">
        <v>0</v>
      </c>
      <c r="AR28" s="38" t="s">
        <v>43</v>
      </c>
      <c r="AS28" s="37">
        <f t="shared" si="6"/>
        <v>0</v>
      </c>
      <c r="AT28" s="38">
        <f t="shared" si="7"/>
        <v>0</v>
      </c>
      <c r="AU28" s="38">
        <f t="shared" si="8"/>
        <v>1</v>
      </c>
      <c r="AV28" s="38">
        <f t="shared" si="9"/>
        <v>1</v>
      </c>
      <c r="AW28" s="39">
        <f t="shared" si="10"/>
        <v>0</v>
      </c>
    </row>
    <row r="29" spans="1:49">
      <c r="A29" s="13">
        <v>27</v>
      </c>
      <c r="B29" s="16">
        <f>_xlfn.MAXIFS('Model output'!B:B,'Model output'!Z:Z,'Classification result'!$A29)</f>
        <v>0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IF(OR(ISNUMBER(SEARCH("[]",_xlfn.TEXTJOIN("; ", TRUE, _xlfn._xlws.FILTER('Model output'!H:H, 'Model output'!Z:Z=A29)),1)),ISNUMBER(SEARCH("lymph",_xlfn.TEXTJOIN(";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>classic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1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2"/>
        <v>negative</v>
      </c>
      <c r="AE29" s="17" t="str">
        <f t="shared" si="13"/>
        <v>negative</v>
      </c>
      <c r="AF29" t="str" cm="1">
        <f t="array" ref="AF29">_xlfn.TEXTJOIN("; ",TRUE,_xlfn._xlws.FILTER('Model output'!S:S,'Model output'!Z:Z=A29))</f>
        <v>Not identified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1"/>
        <v>low</v>
      </c>
      <c r="AJ29" s="36" t="str">
        <f t="shared" si="2"/>
        <v>1a</v>
      </c>
      <c r="AK29" s="36" t="str">
        <f t="shared" si="14"/>
        <v>1a</v>
      </c>
      <c r="AL29" s="36">
        <f t="shared" si="15"/>
        <v>0</v>
      </c>
      <c r="AM29" s="36" t="str">
        <f t="shared" si="16"/>
        <v>I</v>
      </c>
      <c r="AN29" s="37" t="s">
        <v>170</v>
      </c>
      <c r="AO29" s="38" t="s">
        <v>190</v>
      </c>
      <c r="AP29" s="38" t="s">
        <v>190</v>
      </c>
      <c r="AQ29" s="38">
        <v>0</v>
      </c>
      <c r="AR29" s="38" t="s">
        <v>31</v>
      </c>
      <c r="AS29" s="37">
        <f t="shared" si="6"/>
        <v>1</v>
      </c>
      <c r="AT29" s="38">
        <f t="shared" si="7"/>
        <v>1</v>
      </c>
      <c r="AU29" s="38">
        <f t="shared" si="8"/>
        <v>1</v>
      </c>
      <c r="AV29" s="38">
        <f t="shared" si="9"/>
        <v>1</v>
      </c>
      <c r="AW29" s="39">
        <f t="shared" si="10"/>
        <v>1</v>
      </c>
    </row>
    <row r="30" spans="1:49">
      <c r="A30" s="13">
        <v>28</v>
      </c>
      <c r="B30" s="16">
        <f>_xlfn.MAXIFS('Model output'!B:B,'Model output'!Z:Z,'Classification result'!$A30)</f>
        <v>0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IF(OR(ISNUMBER(SEARCH("[]",_xlfn.TEXTJOIN("; ", TRUE, _xlfn._xlws.FILTER('Model output'!H:H, 'Model output'!Z:Z=A30)),1)),ISNUMBER(SEARCH("lymph",_xlfn.TEXTJOIN(";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0.8cm</v>
      </c>
      <c r="U30" cm="1">
        <f t="array" ref="U30">IF(MaxSize((SplitDimensions(T30)))=0, "", MaxSize((SplitDimensions(T30))))</f>
        <v>0.8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1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2"/>
        <v>negative</v>
      </c>
      <c r="AE30" s="17" t="str">
        <f t="shared" si="13"/>
        <v>negative</v>
      </c>
      <c r="AF30" t="str" cm="1">
        <f t="array" ref="AF30">_xlfn.TEXTJOIN("; ",TRUE,_xlfn._xlws.FILTER('Model output'!S:S,'Model output'!Z:Z=A30))</f>
        <v>Not identified</v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1"/>
        <v>low</v>
      </c>
      <c r="AJ30" s="36" t="str">
        <f t="shared" si="2"/>
        <v>1a</v>
      </c>
      <c r="AK30" s="36" t="str">
        <f t="shared" si="14"/>
        <v>1a</v>
      </c>
      <c r="AL30" s="36">
        <f t="shared" si="15"/>
        <v>0</v>
      </c>
      <c r="AM30" s="36" t="str">
        <f t="shared" si="16"/>
        <v>II</v>
      </c>
      <c r="AN30" s="37" t="s">
        <v>170</v>
      </c>
      <c r="AO30" s="38" t="s">
        <v>190</v>
      </c>
      <c r="AP30" s="38" t="s">
        <v>190</v>
      </c>
      <c r="AQ30" s="38">
        <v>0</v>
      </c>
      <c r="AR30" s="38" t="s">
        <v>43</v>
      </c>
      <c r="AS30" s="37">
        <f t="shared" si="6"/>
        <v>1</v>
      </c>
      <c r="AT30" s="38">
        <f t="shared" si="7"/>
        <v>1</v>
      </c>
      <c r="AU30" s="38">
        <f t="shared" si="8"/>
        <v>1</v>
      </c>
      <c r="AV30" s="38">
        <f t="shared" si="9"/>
        <v>1</v>
      </c>
      <c r="AW30" s="39">
        <f t="shared" si="10"/>
        <v>1</v>
      </c>
    </row>
    <row r="31" spans="1:49">
      <c r="A31" s="13">
        <v>29</v>
      </c>
      <c r="B31" s="16">
        <f>_xlfn.MAXIFS('Model output'!B:B,'Model output'!Z:Z,'Classification result'!$A31)</f>
        <v>45242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IF(OR(ISNUMBER(SEARCH("[]",_xlfn.TEXTJOIN("; ", TRUE, _xlfn._xlws.FILTER('Model output'!H:H, 'Model output'!Z:Z=A31)),1)),ISNUMBER(SEARCH("lymph",_xlfn.TEXTJOIN(";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1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2"/>
        <v>negative</v>
      </c>
      <c r="AE31" s="17" t="str">
        <f t="shared" si="13"/>
        <v>negative</v>
      </c>
      <c r="AF31" t="str" cm="1">
        <f t="array" ref="AF31">_xlfn.TEXTJOIN("; ",TRUE,_xlfn._xlws.FILTER('Model output'!S:S,'Model output'!Z:Z=A31))</f>
        <v>Not identified</v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1"/>
        <v>low</v>
      </c>
      <c r="AJ31" s="36" t="str">
        <f t="shared" si="2"/>
        <v>1a</v>
      </c>
      <c r="AK31" s="36" t="str">
        <f t="shared" si="14"/>
        <v>x</v>
      </c>
      <c r="AL31" s="36">
        <f t="shared" si="15"/>
        <v>0</v>
      </c>
      <c r="AM31" s="36" t="str">
        <f t="shared" si="16"/>
        <v>I</v>
      </c>
      <c r="AN31" s="37" t="s">
        <v>170</v>
      </c>
      <c r="AO31" s="38" t="s">
        <v>190</v>
      </c>
      <c r="AP31" s="38" t="s">
        <v>189</v>
      </c>
      <c r="AQ31" s="38">
        <v>0</v>
      </c>
      <c r="AR31" s="38" t="s">
        <v>31</v>
      </c>
      <c r="AS31" s="37">
        <f t="shared" si="6"/>
        <v>1</v>
      </c>
      <c r="AT31" s="38">
        <f t="shared" si="7"/>
        <v>1</v>
      </c>
      <c r="AU31" s="38">
        <f t="shared" si="8"/>
        <v>1</v>
      </c>
      <c r="AV31" s="38">
        <f t="shared" si="9"/>
        <v>1</v>
      </c>
      <c r="AW31" s="39">
        <f t="shared" si="10"/>
        <v>1</v>
      </c>
    </row>
    <row r="32" spans="1:49">
      <c r="A32" s="13">
        <v>30</v>
      </c>
      <c r="B32" s="16">
        <f>_xlfn.MAXIFS('Model output'!B:B,'Model output'!Z:Z,'Classification result'!$A32)</f>
        <v>0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IF(OR(ISNUMBER(SEARCH("[]",_xlfn.TEXTJOIN("; ", TRUE, _xlfn._xlws.FILTER('Model output'!H:H, 'Model output'!Z:Z=A32)),1)),ISNUMBER(SEARCH("lymph",_xlfn.TEXTJOIN(";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positive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1"/>
        <v>minimal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positive</v>
      </c>
      <c r="AA32" s="17" t="str">
        <f t="shared" si="12"/>
        <v>negative</v>
      </c>
      <c r="AE32" s="17" t="str">
        <f t="shared" si="13"/>
        <v>negative</v>
      </c>
      <c r="AF32" t="str" cm="1">
        <f t="array" ref="AF32">_xlfn.TEXTJOIN("; ",TRUE,_xlfn._xlws.FILTER('Model output'!S:S,'Model output'!Z:Z=A32))</f>
        <v>Not identified; Not identified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1"/>
        <v>intermediate</v>
      </c>
      <c r="AJ32" s="36" t="str">
        <f t="shared" ref="AJ32:AJ37" si="17"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4"/>
        <v>1b</v>
      </c>
      <c r="AL32" s="36">
        <f t="shared" si="15"/>
        <v>0</v>
      </c>
      <c r="AM32" s="36" t="str">
        <f t="shared" si="16"/>
        <v>I</v>
      </c>
      <c r="AN32" s="37" t="s">
        <v>168</v>
      </c>
      <c r="AO32" s="38" t="s">
        <v>188</v>
      </c>
      <c r="AP32" s="38" t="s">
        <v>188</v>
      </c>
      <c r="AQ32" s="38">
        <v>0</v>
      </c>
      <c r="AR32" s="38" t="s">
        <v>31</v>
      </c>
      <c r="AS32" s="37">
        <f t="shared" si="6"/>
        <v>1</v>
      </c>
      <c r="AT32" s="38">
        <f t="shared" si="7"/>
        <v>1</v>
      </c>
      <c r="AU32" s="38">
        <f t="shared" si="8"/>
        <v>1</v>
      </c>
      <c r="AV32" s="38">
        <f t="shared" si="9"/>
        <v>1</v>
      </c>
      <c r="AW32" s="39">
        <f t="shared" si="10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/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IF(OR(ISNUMBER(SEARCH("[]",_xlfn.TEXTJOIN("; ", TRUE, _xlfn._xlws.FILTER('Model output'!H:H, 'Model output'!Z:Z=A33)),1)),ISNUMBER(SEARCH("lymph",_xlfn.TEXTJOIN(";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1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2"/>
        <v>positive</v>
      </c>
      <c r="AE33" s="17" t="str">
        <f t="shared" si="13"/>
        <v>negative</v>
      </c>
      <c r="AF33" t="str" cm="1">
        <f t="array" ref="AF33">_xlfn.TEXTJOIN("; ",TRUE,_xlfn._xlws.FILTER('Model output'!S:S,'Model output'!Z:Z=A33))</f>
        <v>Present; Present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1"/>
        <v>intermediate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3a</v>
      </c>
      <c r="AK33" s="36" t="str">
        <f t="shared" si="14"/>
        <v>1a</v>
      </c>
      <c r="AL33" s="36">
        <f t="shared" si="15"/>
        <v>0</v>
      </c>
      <c r="AM33" s="36" t="str">
        <f t="shared" si="16"/>
        <v>II</v>
      </c>
      <c r="AN33" s="37" t="s">
        <v>169</v>
      </c>
      <c r="AO33" s="38" t="s">
        <v>194</v>
      </c>
      <c r="AP33" s="38" t="s">
        <v>190</v>
      </c>
      <c r="AQ33" s="38">
        <v>0</v>
      </c>
      <c r="AR33" s="38" t="s">
        <v>357</v>
      </c>
      <c r="AS33" s="37">
        <f t="shared" si="6"/>
        <v>0</v>
      </c>
      <c r="AT33" s="38">
        <f t="shared" si="7"/>
        <v>0</v>
      </c>
      <c r="AU33" s="38">
        <f t="shared" si="8"/>
        <v>1</v>
      </c>
      <c r="AV33" s="38">
        <f t="shared" si="9"/>
        <v>1</v>
      </c>
      <c r="AW33" s="39">
        <f t="shared" si="10"/>
        <v>0</v>
      </c>
    </row>
    <row r="34" spans="1:50">
      <c r="A34" s="13">
        <v>32</v>
      </c>
      <c r="B34" s="16">
        <f>_xlfn.MAXIFS('Model output'!B:B,'Model output'!Z:Z,'Classification result'!$A34)</f>
        <v>44837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IF(OR(ISNUMBER(SEARCH("[]",_xlfn.TEXTJOIN("; ", TRUE, _xlfn._xlws.FILTER('Model output'!H:H, 'Model output'!Z:Z=A34)),1)),ISNUMBER(SEARCH("lymph",_xlfn.TEXTJOIN(";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3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&gt;4</v>
      </c>
      <c r="Y34" t="str">
        <f t="shared" si="11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2"/>
        <v>positive</v>
      </c>
      <c r="AE34" s="17" t="str">
        <f t="shared" si="13"/>
        <v>negative</v>
      </c>
      <c r="AF34" t="str" cm="1">
        <f t="array" ref="AF34">_xlfn.TEXTJOIN("; ",TRUE,_xlfn._xlws.FILTER('Model output'!S:S,'Model output'!Z:Z=A34))</f>
        <v>Present, focally into adjacent fibroadipose tissue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1"/>
        <v>high</v>
      </c>
      <c r="AJ34" s="36" t="str">
        <f t="shared" si="17"/>
        <v>4b</v>
      </c>
      <c r="AK34" s="36" t="str">
        <f t="shared" si="14"/>
        <v>1a</v>
      </c>
      <c r="AL34" s="36">
        <f t="shared" si="15"/>
        <v>0</v>
      </c>
      <c r="AM34" s="36" t="str">
        <f t="shared" si="16"/>
        <v>IVA</v>
      </c>
      <c r="AN34" s="37" t="s">
        <v>169</v>
      </c>
      <c r="AO34" s="38" t="s">
        <v>192</v>
      </c>
      <c r="AP34" s="38">
        <v>0</v>
      </c>
      <c r="AQ34" s="38">
        <v>0</v>
      </c>
      <c r="AR34" s="38" t="s">
        <v>43</v>
      </c>
      <c r="AS34" s="37">
        <f t="shared" si="6"/>
        <v>1</v>
      </c>
      <c r="AT34" s="38">
        <f t="shared" si="7"/>
        <v>0</v>
      </c>
      <c r="AU34" s="38">
        <f t="shared" si="8"/>
        <v>0</v>
      </c>
      <c r="AV34" s="38">
        <f t="shared" si="9"/>
        <v>1</v>
      </c>
      <c r="AW34" s="39">
        <f t="shared" si="10"/>
        <v>0</v>
      </c>
    </row>
    <row r="35" spans="1:50">
      <c r="A35" s="13">
        <v>33</v>
      </c>
      <c r="B35" s="16">
        <f>_xlfn.MAXIFS('Model output'!B:B,'Model output'!Z:Z,'Classification result'!$A35)</f>
        <v>44517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/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IF(OR(ISNUMBER(SEARCH("[]",_xlfn.TEXTJOIN("; ", TRUE, _xlfn._xlws.FILTER('Model output'!H:H, 'Model output'!Z:Z=A35)),1)),ISNUMBER(SEARCH("lymph",_xlfn.TEXTJOIN(";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 xml:space="preserve"> 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1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positive</v>
      </c>
      <c r="AA35" s="17" t="str">
        <f t="shared" si="12"/>
        <v>positive</v>
      </c>
      <c r="AE35" s="17" t="str">
        <f t="shared" si="13"/>
        <v>negative</v>
      </c>
      <c r="AF35" t="str" cm="1">
        <f t="array" ref="AF35">_xlfn.TEXTJOIN("; ",TRUE,_xlfn._xlws.FILTER('Model output'!S:S,'Model output'!Z:Z=A35))</f>
        <v>Present</v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1"/>
        <v>high</v>
      </c>
      <c r="AJ35" s="36" t="str">
        <f t="shared" si="17"/>
        <v>1a</v>
      </c>
      <c r="AK35" s="36" t="str">
        <f t="shared" si="14"/>
        <v>x</v>
      </c>
      <c r="AL35" s="36">
        <f t="shared" si="15"/>
        <v>1</v>
      </c>
      <c r="AM35" s="36" t="str">
        <f t="shared" si="16"/>
        <v>II</v>
      </c>
      <c r="AN35" s="37" t="s">
        <v>169</v>
      </c>
      <c r="AO35" s="38" t="s">
        <v>190</v>
      </c>
      <c r="AP35" s="38" t="s">
        <v>189</v>
      </c>
      <c r="AQ35" s="38">
        <v>1</v>
      </c>
      <c r="AR35" s="38" t="s">
        <v>43</v>
      </c>
      <c r="AS35" s="37">
        <f t="shared" si="6"/>
        <v>1</v>
      </c>
      <c r="AT35" s="38">
        <f t="shared" si="7"/>
        <v>1</v>
      </c>
      <c r="AU35" s="38">
        <f t="shared" si="8"/>
        <v>1</v>
      </c>
      <c r="AV35" s="38">
        <f t="shared" si="9"/>
        <v>1</v>
      </c>
      <c r="AW35" s="39">
        <f t="shared" si="10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>positive</v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>central</v>
      </c>
      <c r="K36" s="17" t="str" cm="1">
        <f t="array" ref="K36">IF(OR(ISNUMBER(SEARCH("[]",_xlfn.TEXTJOIN("; ", TRUE, _xlfn._xlws.FILTER('Model output'!H:H, 'Model output'!Z:Z=A36)),1)),ISNUMBER(SEARCH("lymph",_xlfn.TEXTJOIN(";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1</v>
      </c>
      <c r="M36" s="17">
        <f>IFERROR(INDEX('Model output'!J:J, MATCH(A36, 'Model output'!Z:Z, 0)), "")</f>
        <v>1</v>
      </c>
      <c r="N36" s="18" t="str" cm="1">
        <f t="array" ref="N36">ReplaceTo(ReplaceAnd(SUBSTITUTE(SUBSTITUTE(_xlfn.TEXTJOIN("; ", TRUE, _xlfn._xlws.FILTER('Model output'!K:K, 'Model output'!Z:Z=A36)), " ", ""), ",", ";")))</f>
        <v>24.5mm</v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>24.5mm</v>
      </c>
      <c r="P36" cm="1">
        <f t="array" ref="P36">IF(MaxSize((SplitDimensions(O36)))=0, "", MaxSize((SplitDimensions(O36))))</f>
        <v>2.4500000000000002</v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Extensive (= or &gt;4 vessels)&gt;4</v>
      </c>
      <c r="Y36" t="str">
        <f t="shared" si="11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positive</v>
      </c>
      <c r="AA36" s="17" t="str">
        <f t="shared" si="12"/>
        <v>positive</v>
      </c>
      <c r="AE36" s="17" t="str">
        <f t="shared" si="13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Present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1"/>
        <v>high</v>
      </c>
      <c r="AJ36" s="36" t="str">
        <f t="shared" si="17"/>
        <v>4a</v>
      </c>
      <c r="AK36" s="36" t="str">
        <f t="shared" si="14"/>
        <v>1a</v>
      </c>
      <c r="AL36" s="36">
        <f t="shared" si="15"/>
        <v>0</v>
      </c>
      <c r="AM36" s="36" t="str">
        <f t="shared" si="16"/>
        <v>III</v>
      </c>
      <c r="AN36" s="37" t="s">
        <v>169</v>
      </c>
      <c r="AO36" s="38" t="s">
        <v>193</v>
      </c>
      <c r="AP36" s="38">
        <v>0</v>
      </c>
      <c r="AQ36" s="38">
        <v>0</v>
      </c>
      <c r="AR36" s="38" t="s">
        <v>68</v>
      </c>
      <c r="AS36" s="37">
        <f t="shared" si="6"/>
        <v>1</v>
      </c>
      <c r="AT36" s="38">
        <f t="shared" si="7"/>
        <v>1</v>
      </c>
      <c r="AU36" s="38">
        <f t="shared" si="8"/>
        <v>0</v>
      </c>
      <c r="AV36" s="38">
        <f t="shared" si="9"/>
        <v>1</v>
      </c>
      <c r="AW36" s="39">
        <f t="shared" si="10"/>
        <v>1</v>
      </c>
    </row>
    <row r="37" spans="1:50">
      <c r="A37" s="26">
        <v>35</v>
      </c>
      <c r="B37" s="27">
        <f>_xlfn.MAXIFS('Model output'!B:B,'Model output'!Z:Z,'Classification result'!$A37)</f>
        <v>44508</v>
      </c>
      <c r="C37" s="27"/>
      <c r="D37" s="27"/>
      <c r="E37" s="28">
        <f>_xlfn.MAXIFS('Model output'!C:C,'Model output'!Z:Z,'Classification result'!$A37)</f>
        <v>62</v>
      </c>
      <c r="F37" s="28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28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28" cm="1">
        <f t="array" ref="H37">IF(AND(SUBSTITUTE(_xlfn.TEXTJOIN("/", TRUE, _xlfn._xlws.FILTER('Model output'!F:F, 'Model output'!Z:Z=A37)),"M", "")="", K37="negative"),0,IF(K37="positive",1,0))</f>
        <v>1</v>
      </c>
      <c r="I37" s="29" t="str">
        <f t="shared" si="0"/>
        <v>positive</v>
      </c>
      <c r="J37" s="29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28" t="str" cm="1">
        <f t="array" ref="K37">IF(OR(ISNUMBER(SEARCH("[]",_xlfn.TEXTJOIN("; ", TRUE, _xlfn._xlws.FILTER('Model output'!H:H, 'Model output'!Z:Z=A37)),1)),ISNUMBER(SEARCH("lymph",_xlfn.TEXTJOIN(";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positive</v>
      </c>
      <c r="L37" s="28">
        <f>IF(IFERROR(INDEX('Model output'!I:I, MATCH(A37, 'Model output'!Z:Z, 0)), "") &lt; M37, "", IFERROR(INDEX('Model output'!I:I, MATCH(A37, 'Model output'!Z:Z, 0)), ""))</f>
        <v>35</v>
      </c>
      <c r="M37" s="28">
        <f>IFERROR(INDEX('Model output'!J:J, MATCH(A37, 'Model output'!Z:Z, 0)), "")</f>
        <v>7</v>
      </c>
      <c r="N37" s="30" t="str" cm="1">
        <f t="array" ref="N37">ReplaceTo(ReplaceAnd(SUBSTITUTE(SUBSTITUTE(_xlfn.TEXTJOIN("; ", TRUE, _xlfn._xlws.FILTER('Model output'!K:K, 'Model output'!Z:Z=A37)), " ", ""), ",", ";")))</f>
        <v>1.2cm</v>
      </c>
      <c r="O37" s="29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>1.2cm</v>
      </c>
      <c r="P37" s="29" cm="1">
        <f t="array" ref="P37">IF(MaxSize((SplitDimensions(O37)))=0, "", MaxSize((SplitDimensions(O37))))</f>
        <v>1.2</v>
      </c>
      <c r="Q37" s="29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</v>
      </c>
      <c r="R37" s="29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</v>
      </c>
      <c r="S37" s="29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5.5cm</v>
      </c>
      <c r="T37" s="29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5.5cm</v>
      </c>
      <c r="U37" s="29" cm="1">
        <f t="array" ref="U37">IF(MaxSize((SplitDimensions(T37)))=0, "", MaxSize((SplitDimensions(T37))))</f>
        <v>5.5</v>
      </c>
      <c r="V37" s="28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28"/>
      <c r="X37" s="29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/>
      </c>
      <c r="Y37" s="29" t="str">
        <f t="shared" si="11"/>
        <v>minimal</v>
      </c>
      <c r="Z37" s="29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28" t="str">
        <f t="shared" si="12"/>
        <v>positive</v>
      </c>
      <c r="AB37" s="28"/>
      <c r="AC37" s="28"/>
      <c r="AD37" s="28"/>
      <c r="AE37" s="28" t="str">
        <f t="shared" si="13"/>
        <v>negative</v>
      </c>
      <c r="AF37" s="29" t="str" cm="1">
        <f t="array" ref="AF37">_xlfn.TEXTJOIN("; ",TRUE,_xlfn._xlws.FILTER('Model output'!S:S,'Model output'!Z:Z=A37))</f>
        <v>Present; Present</v>
      </c>
      <c r="AG37" s="28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28"/>
      <c r="AI37" s="46" t="str">
        <f t="shared" si="1"/>
        <v>high</v>
      </c>
      <c r="AJ37" s="40" t="str">
        <f t="shared" si="17"/>
        <v>3a</v>
      </c>
      <c r="AK37" s="40" t="str">
        <f t="shared" si="14"/>
        <v>1b</v>
      </c>
      <c r="AL37" s="40">
        <f t="shared" si="15"/>
        <v>1</v>
      </c>
      <c r="AM37" s="40" t="str">
        <f t="shared" si="16"/>
        <v>IVB</v>
      </c>
      <c r="AN37" s="41" t="s">
        <v>169</v>
      </c>
      <c r="AO37" s="42" t="s">
        <v>356</v>
      </c>
      <c r="AP37" s="42" t="s">
        <v>188</v>
      </c>
      <c r="AQ37" s="42">
        <v>1</v>
      </c>
      <c r="AR37" s="42" t="s">
        <v>358</v>
      </c>
      <c r="AS37" s="41">
        <f t="shared" si="6"/>
        <v>1</v>
      </c>
      <c r="AT37" s="42">
        <f t="shared" si="7"/>
        <v>0</v>
      </c>
      <c r="AU37" s="42">
        <f t="shared" si="8"/>
        <v>1</v>
      </c>
      <c r="AV37" s="42">
        <f t="shared" si="9"/>
        <v>1</v>
      </c>
      <c r="AW37" s="43">
        <f t="shared" si="10"/>
        <v>1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O3:AU3 AS4:AU37" formula="1"/>
    <ignoredError sqref="AO4:AR37" numberStoredAsText="1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26.5976562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214</v>
      </c>
      <c r="B1" t="s">
        <v>215</v>
      </c>
      <c r="C1" t="s">
        <v>216</v>
      </c>
      <c r="D1" t="s">
        <v>217</v>
      </c>
      <c r="E1" t="s">
        <v>218</v>
      </c>
      <c r="F1" t="s">
        <v>219</v>
      </c>
      <c r="G1" t="s">
        <v>220</v>
      </c>
      <c r="H1" t="s">
        <v>221</v>
      </c>
      <c r="I1" t="s">
        <v>222</v>
      </c>
      <c r="J1" t="s">
        <v>223</v>
      </c>
      <c r="K1" t="s">
        <v>224</v>
      </c>
      <c r="L1" t="s">
        <v>225</v>
      </c>
      <c r="M1" t="s">
        <v>226</v>
      </c>
      <c r="N1" t="s">
        <v>227</v>
      </c>
      <c r="O1" t="s">
        <v>228</v>
      </c>
      <c r="P1" t="s">
        <v>229</v>
      </c>
      <c r="Q1" t="s">
        <v>230</v>
      </c>
      <c r="R1" t="s">
        <v>231</v>
      </c>
      <c r="S1" t="s">
        <v>243</v>
      </c>
      <c r="T1" t="s">
        <v>232</v>
      </c>
      <c r="U1" t="s">
        <v>233</v>
      </c>
      <c r="V1" t="s">
        <v>234</v>
      </c>
      <c r="W1" t="s">
        <v>235</v>
      </c>
      <c r="X1" t="s">
        <v>236</v>
      </c>
      <c r="Z1" s="14" t="s">
        <v>242</v>
      </c>
    </row>
    <row r="2" spans="1:26">
      <c r="A2" t="s">
        <v>30</v>
      </c>
      <c r="B2" t="s">
        <v>244</v>
      </c>
      <c r="C2">
        <v>67</v>
      </c>
      <c r="D2" t="s">
        <v>157</v>
      </c>
      <c r="L2" t="s">
        <v>32</v>
      </c>
      <c r="M2" t="s">
        <v>292</v>
      </c>
      <c r="N2" t="s">
        <v>197</v>
      </c>
      <c r="O2">
        <v>1</v>
      </c>
      <c r="P2" t="s">
        <v>173</v>
      </c>
      <c r="R2" t="s">
        <v>175</v>
      </c>
      <c r="S2" t="s">
        <v>173</v>
      </c>
      <c r="V2" t="s">
        <v>296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34</v>
      </c>
      <c r="C3">
        <v>67</v>
      </c>
      <c r="E3" t="s">
        <v>274</v>
      </c>
      <c r="G3" t="s">
        <v>297</v>
      </c>
      <c r="H3" t="s">
        <v>298</v>
      </c>
      <c r="L3" t="s">
        <v>299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36</v>
      </c>
      <c r="B4" t="s">
        <v>247</v>
      </c>
      <c r="C4">
        <v>39</v>
      </c>
      <c r="D4" t="s">
        <v>158</v>
      </c>
      <c r="L4" t="s">
        <v>32</v>
      </c>
      <c r="M4" t="s">
        <v>300</v>
      </c>
      <c r="N4" t="s">
        <v>37</v>
      </c>
      <c r="P4" t="s">
        <v>173</v>
      </c>
      <c r="R4" t="s">
        <v>175</v>
      </c>
      <c r="S4" t="s">
        <v>173</v>
      </c>
      <c r="V4" t="s">
        <v>301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38</v>
      </c>
      <c r="C5">
        <v>39</v>
      </c>
      <c r="D5" t="s">
        <v>276</v>
      </c>
      <c r="E5" t="s">
        <v>245</v>
      </c>
      <c r="F5" t="s">
        <v>246</v>
      </c>
      <c r="L5" t="s">
        <v>32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39</v>
      </c>
      <c r="B6" t="s">
        <v>205</v>
      </c>
      <c r="D6" t="s">
        <v>156</v>
      </c>
      <c r="E6" t="s">
        <v>163</v>
      </c>
      <c r="F6" t="s">
        <v>165</v>
      </c>
      <c r="I6">
        <v>5</v>
      </c>
      <c r="J6">
        <v>1</v>
      </c>
      <c r="K6" t="s">
        <v>40</v>
      </c>
      <c r="L6" t="s">
        <v>201</v>
      </c>
      <c r="M6" t="s">
        <v>33</v>
      </c>
      <c r="N6" t="s">
        <v>268</v>
      </c>
      <c r="S6" t="s">
        <v>302</v>
      </c>
      <c r="V6" t="s">
        <v>303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41</v>
      </c>
      <c r="C7">
        <v>52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42</v>
      </c>
      <c r="B8" t="s">
        <v>207</v>
      </c>
      <c r="D8" t="s">
        <v>155</v>
      </c>
      <c r="E8" t="s">
        <v>163</v>
      </c>
      <c r="G8" t="s">
        <v>237</v>
      </c>
      <c r="I8">
        <v>6</v>
      </c>
      <c r="J8">
        <v>4</v>
      </c>
      <c r="K8" t="s">
        <v>44</v>
      </c>
      <c r="L8" t="s">
        <v>172</v>
      </c>
      <c r="M8" t="s">
        <v>275</v>
      </c>
      <c r="N8" t="s">
        <v>45</v>
      </c>
      <c r="R8" t="s">
        <v>175</v>
      </c>
      <c r="S8" t="s">
        <v>175</v>
      </c>
      <c r="V8" t="s">
        <v>277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46</v>
      </c>
      <c r="C9">
        <v>61</v>
      </c>
      <c r="D9" t="s">
        <v>276</v>
      </c>
      <c r="E9" t="s">
        <v>245</v>
      </c>
      <c r="F9" t="s">
        <v>246</v>
      </c>
      <c r="G9" t="s">
        <v>237</v>
      </c>
      <c r="L9" t="s">
        <v>201</v>
      </c>
      <c r="R9" t="s">
        <v>175</v>
      </c>
      <c r="S9" t="s">
        <v>175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47</v>
      </c>
      <c r="B10" t="s">
        <v>249</v>
      </c>
      <c r="C10">
        <v>34</v>
      </c>
      <c r="D10" t="s">
        <v>208</v>
      </c>
      <c r="E10" t="s">
        <v>206</v>
      </c>
      <c r="I10">
        <v>5</v>
      </c>
      <c r="J10">
        <v>1</v>
      </c>
      <c r="K10" t="s">
        <v>48</v>
      </c>
      <c r="L10" t="s">
        <v>172</v>
      </c>
      <c r="M10" t="s">
        <v>278</v>
      </c>
      <c r="N10" t="s">
        <v>199</v>
      </c>
      <c r="P10" t="s">
        <v>304</v>
      </c>
      <c r="R10" t="s">
        <v>175</v>
      </c>
      <c r="S10" t="s">
        <v>261</v>
      </c>
      <c r="V10" t="s">
        <v>305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49</v>
      </c>
      <c r="B11" t="s">
        <v>249</v>
      </c>
      <c r="C11">
        <v>34</v>
      </c>
      <c r="G11" t="s">
        <v>176</v>
      </c>
      <c r="I11">
        <v>2</v>
      </c>
      <c r="J11">
        <v>1</v>
      </c>
      <c r="K11" t="s">
        <v>48</v>
      </c>
      <c r="L11" t="s">
        <v>201</v>
      </c>
      <c r="N11" t="s">
        <v>48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50</v>
      </c>
      <c r="C12">
        <v>34</v>
      </c>
      <c r="D12" t="s">
        <v>276</v>
      </c>
      <c r="E12" t="s">
        <v>245</v>
      </c>
      <c r="F12" t="s">
        <v>246</v>
      </c>
      <c r="G12" t="s">
        <v>176</v>
      </c>
      <c r="L12" t="s">
        <v>201</v>
      </c>
      <c r="N12" t="s">
        <v>177</v>
      </c>
      <c r="O12">
        <v>1</v>
      </c>
      <c r="R12" t="s">
        <v>175</v>
      </c>
      <c r="S12" t="s">
        <v>175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51</v>
      </c>
      <c r="B13" s="22">
        <v>45416</v>
      </c>
      <c r="C13">
        <v>66</v>
      </c>
      <c r="L13" t="s">
        <v>113</v>
      </c>
      <c r="M13" t="s">
        <v>63</v>
      </c>
      <c r="N13" t="s">
        <v>265</v>
      </c>
      <c r="O13">
        <v>1</v>
      </c>
      <c r="P13" t="s">
        <v>306</v>
      </c>
      <c r="R13" t="s">
        <v>175</v>
      </c>
      <c r="S13" t="s">
        <v>175</v>
      </c>
      <c r="V13" t="s">
        <v>307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52</v>
      </c>
      <c r="C14">
        <v>66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53</v>
      </c>
      <c r="B15" t="s">
        <v>250</v>
      </c>
      <c r="C15">
        <v>67</v>
      </c>
      <c r="D15" t="s">
        <v>156</v>
      </c>
      <c r="L15" t="s">
        <v>32</v>
      </c>
      <c r="M15" t="s">
        <v>292</v>
      </c>
      <c r="N15" t="s">
        <v>262</v>
      </c>
      <c r="O15">
        <v>2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54</v>
      </c>
      <c r="C16">
        <v>67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55</v>
      </c>
      <c r="B17" t="s">
        <v>209</v>
      </c>
      <c r="C17">
        <v>78</v>
      </c>
      <c r="D17" t="s">
        <v>157</v>
      </c>
      <c r="L17" t="s">
        <v>32</v>
      </c>
      <c r="M17" t="s">
        <v>300</v>
      </c>
      <c r="N17" t="s">
        <v>56</v>
      </c>
      <c r="P17" t="s">
        <v>173</v>
      </c>
      <c r="R17" t="s">
        <v>175</v>
      </c>
      <c r="S17" t="s">
        <v>173</v>
      </c>
      <c r="V17" t="s">
        <v>308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57</v>
      </c>
      <c r="C18">
        <v>78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58</v>
      </c>
      <c r="B19" s="22">
        <v>45537</v>
      </c>
      <c r="C19">
        <v>55</v>
      </c>
      <c r="D19" t="s">
        <v>158</v>
      </c>
      <c r="E19" t="s">
        <v>162</v>
      </c>
      <c r="G19" t="s">
        <v>309</v>
      </c>
      <c r="I19">
        <v>7</v>
      </c>
      <c r="J19">
        <v>4</v>
      </c>
      <c r="L19" t="s">
        <v>32</v>
      </c>
      <c r="M19" t="s">
        <v>300</v>
      </c>
      <c r="N19" t="s">
        <v>263</v>
      </c>
      <c r="O19">
        <v>3</v>
      </c>
      <c r="P19" t="s">
        <v>173</v>
      </c>
      <c r="R19" t="s">
        <v>310</v>
      </c>
      <c r="S19" t="s">
        <v>173</v>
      </c>
      <c r="V19" t="s">
        <v>252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59</v>
      </c>
      <c r="C20">
        <v>55</v>
      </c>
      <c r="G20" t="s">
        <v>311</v>
      </c>
      <c r="L20" t="s">
        <v>299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60</v>
      </c>
      <c r="B21" t="s">
        <v>210</v>
      </c>
      <c r="C21">
        <v>24</v>
      </c>
      <c r="D21" t="s">
        <v>157</v>
      </c>
      <c r="I21">
        <v>1</v>
      </c>
      <c r="J21">
        <v>1</v>
      </c>
      <c r="L21" t="s">
        <v>201</v>
      </c>
      <c r="M21" t="s">
        <v>198</v>
      </c>
      <c r="N21" t="s">
        <v>264</v>
      </c>
      <c r="O21">
        <v>1</v>
      </c>
      <c r="P21" t="s">
        <v>173</v>
      </c>
      <c r="R21" t="s">
        <v>175</v>
      </c>
      <c r="S21" t="s">
        <v>173</v>
      </c>
      <c r="V21" t="s">
        <v>305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61</v>
      </c>
      <c r="C22">
        <v>24</v>
      </c>
      <c r="G22" t="s">
        <v>312</v>
      </c>
      <c r="L22" t="s">
        <v>299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62</v>
      </c>
      <c r="B23" t="s">
        <v>209</v>
      </c>
      <c r="C23">
        <v>70</v>
      </c>
      <c r="D23" t="s">
        <v>153</v>
      </c>
      <c r="L23" t="s">
        <v>113</v>
      </c>
      <c r="M23" t="s">
        <v>63</v>
      </c>
      <c r="N23" t="s">
        <v>178</v>
      </c>
      <c r="O23">
        <v>2</v>
      </c>
      <c r="P23" t="s">
        <v>173</v>
      </c>
      <c r="R23" t="s">
        <v>175</v>
      </c>
      <c r="S23" t="s">
        <v>173</v>
      </c>
      <c r="V23" t="s">
        <v>248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64</v>
      </c>
      <c r="B24" s="23">
        <v>45443</v>
      </c>
      <c r="C24">
        <v>70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65</v>
      </c>
      <c r="B25" s="22">
        <v>45356</v>
      </c>
      <c r="C25">
        <v>67</v>
      </c>
      <c r="D25" t="s">
        <v>153</v>
      </c>
      <c r="E25" t="s">
        <v>245</v>
      </c>
      <c r="L25" t="s">
        <v>113</v>
      </c>
      <c r="M25" t="s">
        <v>63</v>
      </c>
      <c r="N25" t="s">
        <v>313</v>
      </c>
      <c r="O25">
        <v>1</v>
      </c>
      <c r="P25" t="s">
        <v>175</v>
      </c>
      <c r="Q25" t="s">
        <v>314</v>
      </c>
      <c r="R25" t="s">
        <v>175</v>
      </c>
      <c r="S25" t="s">
        <v>315</v>
      </c>
      <c r="V25" t="s">
        <v>303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66</v>
      </c>
      <c r="C26">
        <v>67</v>
      </c>
      <c r="L26" t="s">
        <v>241</v>
      </c>
      <c r="N26" t="s">
        <v>179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67</v>
      </c>
      <c r="B27" s="22">
        <v>45509</v>
      </c>
      <c r="C27">
        <v>66</v>
      </c>
      <c r="E27" t="s">
        <v>282</v>
      </c>
      <c r="G27" t="s">
        <v>316</v>
      </c>
      <c r="I27">
        <v>19</v>
      </c>
      <c r="J27">
        <v>2</v>
      </c>
      <c r="L27" t="s">
        <v>201</v>
      </c>
      <c r="M27" t="s">
        <v>198</v>
      </c>
      <c r="N27" t="s">
        <v>200</v>
      </c>
      <c r="O27">
        <v>1</v>
      </c>
      <c r="P27" t="s">
        <v>175</v>
      </c>
      <c r="R27" t="s">
        <v>175</v>
      </c>
      <c r="S27" t="s">
        <v>175</v>
      </c>
      <c r="V27" t="s">
        <v>303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69</v>
      </c>
      <c r="C28">
        <v>66</v>
      </c>
      <c r="E28" t="s">
        <v>162</v>
      </c>
      <c r="F28" t="s">
        <v>165</v>
      </c>
      <c r="G28" t="s">
        <v>317</v>
      </c>
      <c r="I28">
        <v>7</v>
      </c>
      <c r="J28">
        <v>1</v>
      </c>
      <c r="K28" t="s">
        <v>180</v>
      </c>
      <c r="L28" t="s">
        <v>201</v>
      </c>
      <c r="N28" t="s">
        <v>318</v>
      </c>
      <c r="O28">
        <v>1</v>
      </c>
      <c r="P28" t="s">
        <v>175</v>
      </c>
      <c r="R28" t="s">
        <v>175</v>
      </c>
      <c r="S28" t="s">
        <v>175</v>
      </c>
      <c r="V28" t="s">
        <v>305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70</v>
      </c>
      <c r="B29" s="22">
        <v>45630</v>
      </c>
      <c r="C29">
        <v>51</v>
      </c>
      <c r="D29" t="s">
        <v>159</v>
      </c>
      <c r="L29" t="s">
        <v>32</v>
      </c>
      <c r="M29" t="s">
        <v>319</v>
      </c>
      <c r="N29" t="s">
        <v>71</v>
      </c>
      <c r="P29" t="s">
        <v>175</v>
      </c>
      <c r="Q29" t="s">
        <v>314</v>
      </c>
      <c r="R29" t="s">
        <v>175</v>
      </c>
      <c r="S29" t="s">
        <v>251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72</v>
      </c>
      <c r="C30">
        <v>51</v>
      </c>
      <c r="D30" t="s">
        <v>276</v>
      </c>
      <c r="E30" t="s">
        <v>245</v>
      </c>
      <c r="F30" t="s">
        <v>246</v>
      </c>
      <c r="G30" t="s">
        <v>176</v>
      </c>
      <c r="L30" t="s">
        <v>201</v>
      </c>
      <c r="O30">
        <v>1</v>
      </c>
      <c r="R30" t="s">
        <v>175</v>
      </c>
      <c r="S30" t="s">
        <v>175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73</v>
      </c>
      <c r="B31" t="s">
        <v>211</v>
      </c>
      <c r="C31">
        <v>64</v>
      </c>
      <c r="E31" t="s">
        <v>245</v>
      </c>
      <c r="F31" t="s">
        <v>246</v>
      </c>
      <c r="L31" t="s">
        <v>113</v>
      </c>
      <c r="M31" t="s">
        <v>320</v>
      </c>
      <c r="N31" t="s">
        <v>266</v>
      </c>
      <c r="O31">
        <v>1</v>
      </c>
      <c r="P31" t="s">
        <v>306</v>
      </c>
      <c r="R31" t="s">
        <v>306</v>
      </c>
      <c r="S31" t="s">
        <v>306</v>
      </c>
      <c r="T31" t="s">
        <v>321</v>
      </c>
      <c r="V31" t="s">
        <v>303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75</v>
      </c>
      <c r="C32">
        <v>64</v>
      </c>
      <c r="G32" t="s">
        <v>312</v>
      </c>
      <c r="L32" t="s">
        <v>299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76</v>
      </c>
      <c r="B33" s="22">
        <v>45537</v>
      </c>
      <c r="D33" t="s">
        <v>158</v>
      </c>
      <c r="E33" t="s">
        <v>245</v>
      </c>
      <c r="F33" t="s">
        <v>246</v>
      </c>
      <c r="I33">
        <v>4</v>
      </c>
      <c r="J33">
        <v>0</v>
      </c>
      <c r="L33" t="s">
        <v>201</v>
      </c>
      <c r="M33" t="s">
        <v>198</v>
      </c>
      <c r="N33" t="s">
        <v>267</v>
      </c>
      <c r="O33">
        <v>2</v>
      </c>
      <c r="P33" t="s">
        <v>238</v>
      </c>
      <c r="R33" t="s">
        <v>175</v>
      </c>
      <c r="S33" t="s">
        <v>173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77</v>
      </c>
      <c r="C34">
        <v>43</v>
      </c>
      <c r="E34" t="s">
        <v>283</v>
      </c>
      <c r="G34" t="s">
        <v>237</v>
      </c>
      <c r="L34" t="s">
        <v>299</v>
      </c>
      <c r="R34" t="s">
        <v>322</v>
      </c>
      <c r="S34" t="s">
        <v>323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78</v>
      </c>
      <c r="B35" t="s">
        <v>253</v>
      </c>
      <c r="C35">
        <v>49</v>
      </c>
      <c r="D35" t="s">
        <v>157</v>
      </c>
      <c r="E35" t="s">
        <v>164</v>
      </c>
      <c r="G35" t="s">
        <v>239</v>
      </c>
      <c r="I35">
        <v>2</v>
      </c>
      <c r="J35">
        <v>1</v>
      </c>
      <c r="K35" t="s">
        <v>183</v>
      </c>
      <c r="L35" t="s">
        <v>172</v>
      </c>
      <c r="M35" t="s">
        <v>275</v>
      </c>
      <c r="N35" t="s">
        <v>79</v>
      </c>
      <c r="P35" t="s">
        <v>173</v>
      </c>
      <c r="R35" t="s">
        <v>324</v>
      </c>
      <c r="S35" t="s">
        <v>173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80</v>
      </c>
      <c r="C36">
        <v>49</v>
      </c>
      <c r="E36" t="s">
        <v>161</v>
      </c>
      <c r="F36" t="s">
        <v>246</v>
      </c>
      <c r="G36" t="s">
        <v>325</v>
      </c>
      <c r="I36">
        <v>2</v>
      </c>
      <c r="J36">
        <v>1</v>
      </c>
      <c r="K36" t="s">
        <v>181</v>
      </c>
      <c r="L36" t="s">
        <v>201</v>
      </c>
      <c r="N36" t="s">
        <v>181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81</v>
      </c>
      <c r="B37" s="22">
        <v>45385</v>
      </c>
      <c r="C37">
        <v>55</v>
      </c>
      <c r="D37" t="s">
        <v>154</v>
      </c>
      <c r="E37" t="s">
        <v>163</v>
      </c>
      <c r="G37" t="s">
        <v>326</v>
      </c>
      <c r="I37">
        <v>4</v>
      </c>
      <c r="J37">
        <v>4</v>
      </c>
      <c r="L37" t="s">
        <v>32</v>
      </c>
      <c r="M37" t="s">
        <v>300</v>
      </c>
      <c r="N37" t="s">
        <v>37</v>
      </c>
      <c r="O37">
        <v>1</v>
      </c>
      <c r="P37" t="s">
        <v>327</v>
      </c>
      <c r="R37" t="s">
        <v>251</v>
      </c>
      <c r="S37" t="s">
        <v>251</v>
      </c>
      <c r="V37" t="s">
        <v>328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82</v>
      </c>
      <c r="C38">
        <v>55</v>
      </c>
      <c r="D38" t="s">
        <v>276</v>
      </c>
      <c r="E38" t="s">
        <v>245</v>
      </c>
      <c r="F38" t="s">
        <v>246</v>
      </c>
      <c r="G38" t="s">
        <v>329</v>
      </c>
      <c r="L38" t="s">
        <v>201</v>
      </c>
      <c r="O38">
        <v>1</v>
      </c>
      <c r="P38" t="s">
        <v>175</v>
      </c>
      <c r="R38" t="s">
        <v>175</v>
      </c>
      <c r="S38" t="s">
        <v>175</v>
      </c>
      <c r="V38" t="s">
        <v>303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83</v>
      </c>
      <c r="B39" t="s">
        <v>253</v>
      </c>
      <c r="C39">
        <v>23</v>
      </c>
      <c r="E39" t="s">
        <v>245</v>
      </c>
      <c r="F39" t="s">
        <v>246</v>
      </c>
      <c r="I39">
        <v>1</v>
      </c>
      <c r="J39">
        <v>0</v>
      </c>
      <c r="L39" t="s">
        <v>201</v>
      </c>
      <c r="M39" t="s">
        <v>198</v>
      </c>
      <c r="N39" t="s">
        <v>182</v>
      </c>
      <c r="O39">
        <v>1</v>
      </c>
      <c r="P39" t="s">
        <v>173</v>
      </c>
      <c r="R39" t="s">
        <v>175</v>
      </c>
      <c r="S39" t="s">
        <v>173</v>
      </c>
      <c r="V39" t="s">
        <v>303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84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85</v>
      </c>
      <c r="B41" t="s">
        <v>205</v>
      </c>
      <c r="C41">
        <v>61</v>
      </c>
      <c r="E41" t="s">
        <v>163</v>
      </c>
      <c r="G41" t="s">
        <v>330</v>
      </c>
      <c r="I41">
        <v>4</v>
      </c>
      <c r="J41">
        <v>3</v>
      </c>
      <c r="L41" t="s">
        <v>201</v>
      </c>
      <c r="N41" t="s">
        <v>79</v>
      </c>
      <c r="O41">
        <v>2</v>
      </c>
      <c r="P41" t="s">
        <v>175</v>
      </c>
      <c r="R41" t="s">
        <v>175</v>
      </c>
      <c r="S41" t="s">
        <v>175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86</v>
      </c>
      <c r="C42">
        <v>61</v>
      </c>
      <c r="E42" t="s">
        <v>284</v>
      </c>
      <c r="G42" t="s">
        <v>176</v>
      </c>
      <c r="L42" t="s">
        <v>331</v>
      </c>
      <c r="S42" t="s">
        <v>175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87</v>
      </c>
      <c r="B43" s="22">
        <v>45413</v>
      </c>
      <c r="C43">
        <v>51</v>
      </c>
      <c r="G43" t="s">
        <v>332</v>
      </c>
      <c r="H43" t="s">
        <v>298</v>
      </c>
      <c r="I43">
        <v>7</v>
      </c>
      <c r="J43">
        <v>4</v>
      </c>
      <c r="K43" t="s">
        <v>88</v>
      </c>
      <c r="L43" t="s">
        <v>32</v>
      </c>
      <c r="M43" t="s">
        <v>300</v>
      </c>
      <c r="N43" t="s">
        <v>88</v>
      </c>
      <c r="P43" t="s">
        <v>175</v>
      </c>
      <c r="R43" t="s">
        <v>175</v>
      </c>
      <c r="S43" t="s">
        <v>175</v>
      </c>
      <c r="T43" t="s">
        <v>298</v>
      </c>
      <c r="U43" t="s">
        <v>298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89</v>
      </c>
      <c r="C44">
        <v>51</v>
      </c>
      <c r="E44" t="s">
        <v>245</v>
      </c>
      <c r="F44" t="s">
        <v>246</v>
      </c>
      <c r="G44" t="s">
        <v>237</v>
      </c>
      <c r="L44" t="s">
        <v>201</v>
      </c>
      <c r="R44" t="s">
        <v>175</v>
      </c>
      <c r="S44" t="s">
        <v>175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90</v>
      </c>
      <c r="B45" s="22">
        <v>45505</v>
      </c>
      <c r="C45">
        <v>50</v>
      </c>
      <c r="D45" t="s">
        <v>156</v>
      </c>
      <c r="E45" t="s">
        <v>245</v>
      </c>
      <c r="I45">
        <v>1</v>
      </c>
      <c r="J45">
        <v>0</v>
      </c>
      <c r="L45" t="s">
        <v>32</v>
      </c>
      <c r="M45" t="s">
        <v>300</v>
      </c>
      <c r="N45" t="s">
        <v>183</v>
      </c>
      <c r="O45">
        <v>1</v>
      </c>
      <c r="P45" t="s">
        <v>173</v>
      </c>
      <c r="R45" t="s">
        <v>175</v>
      </c>
      <c r="S45" t="s">
        <v>173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91</v>
      </c>
      <c r="C46">
        <v>50</v>
      </c>
      <c r="D46" t="s">
        <v>155</v>
      </c>
      <c r="E46" t="s">
        <v>161</v>
      </c>
      <c r="F46" t="s">
        <v>165</v>
      </c>
      <c r="L46" t="s">
        <v>299</v>
      </c>
      <c r="R46" t="s">
        <v>175</v>
      </c>
      <c r="S46" t="s">
        <v>175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92</v>
      </c>
      <c r="B47" s="22">
        <v>45413</v>
      </c>
      <c r="C47">
        <v>61</v>
      </c>
      <c r="E47" t="s">
        <v>245</v>
      </c>
      <c r="I47">
        <v>1</v>
      </c>
      <c r="J47">
        <v>0</v>
      </c>
      <c r="L47" t="s">
        <v>201</v>
      </c>
      <c r="M47" t="s">
        <v>33</v>
      </c>
      <c r="N47" t="s">
        <v>269</v>
      </c>
      <c r="O47">
        <v>2</v>
      </c>
      <c r="P47" t="s">
        <v>306</v>
      </c>
      <c r="R47" t="s">
        <v>175</v>
      </c>
      <c r="S47" t="s">
        <v>175</v>
      </c>
      <c r="V47" t="s">
        <v>303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93</v>
      </c>
      <c r="C48">
        <v>61</v>
      </c>
      <c r="L48" t="s">
        <v>241</v>
      </c>
      <c r="R48" t="s">
        <v>184</v>
      </c>
      <c r="S48" t="s">
        <v>173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94</v>
      </c>
      <c r="B49" s="22">
        <v>45566</v>
      </c>
      <c r="C49">
        <v>55</v>
      </c>
      <c r="D49" t="s">
        <v>154</v>
      </c>
      <c r="G49" t="s">
        <v>333</v>
      </c>
      <c r="I49">
        <v>15</v>
      </c>
      <c r="J49">
        <v>9</v>
      </c>
      <c r="K49" t="s">
        <v>286</v>
      </c>
      <c r="L49" t="s">
        <v>32</v>
      </c>
      <c r="M49" t="s">
        <v>334</v>
      </c>
      <c r="N49" t="s">
        <v>287</v>
      </c>
      <c r="R49" t="s">
        <v>240</v>
      </c>
      <c r="S49" t="s">
        <v>254</v>
      </c>
      <c r="V49" t="s">
        <v>185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95</v>
      </c>
      <c r="C50">
        <v>55</v>
      </c>
      <c r="D50" t="s">
        <v>276</v>
      </c>
      <c r="E50" t="s">
        <v>162</v>
      </c>
      <c r="F50" t="s">
        <v>246</v>
      </c>
      <c r="G50" t="s">
        <v>335</v>
      </c>
      <c r="L50" t="s">
        <v>201</v>
      </c>
      <c r="N50" t="s">
        <v>167</v>
      </c>
      <c r="O50">
        <v>1</v>
      </c>
      <c r="P50" t="s">
        <v>175</v>
      </c>
      <c r="R50" t="s">
        <v>175</v>
      </c>
      <c r="S50" t="s">
        <v>175</v>
      </c>
      <c r="V50" t="s">
        <v>305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96</v>
      </c>
      <c r="B51" t="s">
        <v>255</v>
      </c>
      <c r="C51">
        <v>42</v>
      </c>
      <c r="D51" t="s">
        <v>157</v>
      </c>
      <c r="F51" t="s">
        <v>246</v>
      </c>
      <c r="L51" t="s">
        <v>32</v>
      </c>
      <c r="M51" t="s">
        <v>334</v>
      </c>
      <c r="N51" t="s">
        <v>288</v>
      </c>
      <c r="O51">
        <v>1</v>
      </c>
      <c r="P51" t="s">
        <v>184</v>
      </c>
      <c r="R51" t="s">
        <v>184</v>
      </c>
      <c r="S51" t="s">
        <v>184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97</v>
      </c>
      <c r="C52">
        <v>42</v>
      </c>
      <c r="D52" t="s">
        <v>276</v>
      </c>
      <c r="E52" t="s">
        <v>245</v>
      </c>
      <c r="F52" t="s">
        <v>246</v>
      </c>
      <c r="L52" t="s">
        <v>32</v>
      </c>
      <c r="N52" t="s">
        <v>98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99</v>
      </c>
      <c r="B53" t="s">
        <v>256</v>
      </c>
      <c r="C53">
        <v>73</v>
      </c>
      <c r="L53" t="s">
        <v>32</v>
      </c>
      <c r="M53" t="s">
        <v>300</v>
      </c>
      <c r="N53" t="s">
        <v>79</v>
      </c>
      <c r="P53" t="s">
        <v>173</v>
      </c>
      <c r="R53" t="s">
        <v>175</v>
      </c>
      <c r="S53" t="s">
        <v>175</v>
      </c>
      <c r="V53" t="s">
        <v>336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100</v>
      </c>
      <c r="C54">
        <v>73</v>
      </c>
      <c r="D54" t="s">
        <v>155</v>
      </c>
      <c r="E54" t="s">
        <v>245</v>
      </c>
      <c r="F54" t="s">
        <v>246</v>
      </c>
      <c r="G54" t="s">
        <v>237</v>
      </c>
      <c r="L54" t="s">
        <v>201</v>
      </c>
      <c r="N54" t="s">
        <v>98</v>
      </c>
      <c r="O54">
        <v>1</v>
      </c>
      <c r="P54" t="s">
        <v>175</v>
      </c>
      <c r="R54" t="s">
        <v>175</v>
      </c>
      <c r="S54" t="s">
        <v>175</v>
      </c>
      <c r="V54" t="s">
        <v>303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101</v>
      </c>
      <c r="B55" t="s">
        <v>256</v>
      </c>
      <c r="C55">
        <v>39</v>
      </c>
      <c r="D55" t="s">
        <v>156</v>
      </c>
      <c r="E55" t="s">
        <v>161</v>
      </c>
      <c r="I55">
        <v>2</v>
      </c>
      <c r="J55">
        <v>1</v>
      </c>
      <c r="L55" t="s">
        <v>201</v>
      </c>
      <c r="M55" t="s">
        <v>198</v>
      </c>
      <c r="N55" t="s">
        <v>337</v>
      </c>
      <c r="O55">
        <v>2</v>
      </c>
      <c r="P55" t="s">
        <v>173</v>
      </c>
      <c r="R55" t="s">
        <v>338</v>
      </c>
      <c r="S55" t="s">
        <v>173</v>
      </c>
      <c r="V55" t="s">
        <v>303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102</v>
      </c>
      <c r="C56">
        <v>39</v>
      </c>
      <c r="L56" t="s">
        <v>339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103</v>
      </c>
      <c r="B57" t="s">
        <v>256</v>
      </c>
      <c r="C57">
        <v>57</v>
      </c>
      <c r="D57" t="s">
        <v>156</v>
      </c>
      <c r="E57" t="s">
        <v>161</v>
      </c>
      <c r="G57" t="s">
        <v>257</v>
      </c>
      <c r="I57">
        <v>5</v>
      </c>
      <c r="J57">
        <v>1</v>
      </c>
      <c r="K57" t="s">
        <v>104</v>
      </c>
      <c r="L57" t="s">
        <v>172</v>
      </c>
      <c r="N57" t="s">
        <v>281</v>
      </c>
      <c r="O57">
        <v>2</v>
      </c>
      <c r="P57" t="s">
        <v>173</v>
      </c>
      <c r="R57" t="s">
        <v>173</v>
      </c>
      <c r="S57" t="s">
        <v>173</v>
      </c>
      <c r="V57" t="s">
        <v>289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105</v>
      </c>
      <c r="C58">
        <v>57</v>
      </c>
      <c r="L58" t="s">
        <v>280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106</v>
      </c>
      <c r="B59" s="22">
        <v>45242</v>
      </c>
      <c r="C59">
        <v>63</v>
      </c>
      <c r="D59" t="s">
        <v>156</v>
      </c>
      <c r="L59" t="s">
        <v>32</v>
      </c>
      <c r="M59" t="s">
        <v>300</v>
      </c>
      <c r="N59" t="s">
        <v>202</v>
      </c>
      <c r="P59" t="s">
        <v>173</v>
      </c>
      <c r="R59" t="s">
        <v>173</v>
      </c>
      <c r="S59" t="s">
        <v>173</v>
      </c>
      <c r="V59" t="s">
        <v>303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107</v>
      </c>
      <c r="C60">
        <v>63</v>
      </c>
      <c r="L60" t="s">
        <v>35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108</v>
      </c>
      <c r="B61" t="s">
        <v>258</v>
      </c>
      <c r="C61">
        <v>39</v>
      </c>
      <c r="D61" t="s">
        <v>157</v>
      </c>
      <c r="G61" t="s">
        <v>340</v>
      </c>
      <c r="I61">
        <v>24</v>
      </c>
      <c r="J61">
        <v>3</v>
      </c>
      <c r="K61" t="s">
        <v>290</v>
      </c>
      <c r="L61" t="s">
        <v>172</v>
      </c>
      <c r="M61" t="s">
        <v>174</v>
      </c>
      <c r="N61" t="s">
        <v>270</v>
      </c>
      <c r="P61" t="s">
        <v>175</v>
      </c>
      <c r="R61" t="s">
        <v>173</v>
      </c>
      <c r="S61" t="s">
        <v>173</v>
      </c>
      <c r="V61" t="s">
        <v>341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109</v>
      </c>
      <c r="C62">
        <v>39</v>
      </c>
      <c r="E62" t="s">
        <v>162</v>
      </c>
      <c r="F62" t="s">
        <v>246</v>
      </c>
      <c r="G62" t="s">
        <v>291</v>
      </c>
      <c r="I62">
        <v>6</v>
      </c>
      <c r="J62">
        <v>1</v>
      </c>
      <c r="L62" t="s">
        <v>201</v>
      </c>
      <c r="O62">
        <v>1</v>
      </c>
      <c r="R62" t="s">
        <v>175</v>
      </c>
      <c r="S62" t="s">
        <v>173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110</v>
      </c>
      <c r="B63" t="s">
        <v>212</v>
      </c>
      <c r="E63" t="s">
        <v>162</v>
      </c>
      <c r="G63" t="s">
        <v>342</v>
      </c>
      <c r="I63">
        <v>1</v>
      </c>
      <c r="J63">
        <v>1</v>
      </c>
      <c r="K63" t="s">
        <v>152</v>
      </c>
      <c r="L63" t="s">
        <v>32</v>
      </c>
      <c r="M63" t="s">
        <v>292</v>
      </c>
      <c r="N63" t="s">
        <v>271</v>
      </c>
      <c r="O63">
        <v>1</v>
      </c>
      <c r="P63" t="s">
        <v>175</v>
      </c>
      <c r="R63" t="s">
        <v>175</v>
      </c>
      <c r="S63" t="s">
        <v>175</v>
      </c>
      <c r="V63" t="s">
        <v>343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111</v>
      </c>
      <c r="B64" s="23">
        <v>43304</v>
      </c>
      <c r="C64">
        <v>60</v>
      </c>
      <c r="L64" t="s">
        <v>344</v>
      </c>
      <c r="N64" t="s">
        <v>180</v>
      </c>
      <c r="R64" t="s">
        <v>175</v>
      </c>
      <c r="S64" t="s">
        <v>175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112</v>
      </c>
      <c r="B65" s="22">
        <v>44837</v>
      </c>
      <c r="D65" t="s">
        <v>160</v>
      </c>
      <c r="E65" t="s">
        <v>245</v>
      </c>
      <c r="F65" t="s">
        <v>246</v>
      </c>
      <c r="G65" t="s">
        <v>345</v>
      </c>
      <c r="I65">
        <v>3</v>
      </c>
      <c r="J65">
        <v>1</v>
      </c>
      <c r="K65" t="s">
        <v>346</v>
      </c>
      <c r="L65" t="s">
        <v>279</v>
      </c>
      <c r="N65" t="s">
        <v>293</v>
      </c>
      <c r="O65">
        <v>1</v>
      </c>
      <c r="P65" t="s">
        <v>175</v>
      </c>
      <c r="Q65" t="s">
        <v>347</v>
      </c>
      <c r="R65" t="s">
        <v>348</v>
      </c>
      <c r="S65" t="s">
        <v>349</v>
      </c>
      <c r="V65" t="s">
        <v>305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114</v>
      </c>
      <c r="B66" s="23">
        <v>44629</v>
      </c>
      <c r="C66">
        <v>72</v>
      </c>
      <c r="E66" t="s">
        <v>284</v>
      </c>
      <c r="G66" t="s">
        <v>176</v>
      </c>
      <c r="L66" t="s">
        <v>241</v>
      </c>
      <c r="N66" t="s">
        <v>272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115</v>
      </c>
      <c r="B67" t="s">
        <v>294</v>
      </c>
      <c r="D67" t="s">
        <v>156</v>
      </c>
      <c r="L67" t="s">
        <v>32</v>
      </c>
      <c r="N67" t="s">
        <v>48</v>
      </c>
      <c r="O67">
        <v>1</v>
      </c>
      <c r="P67" t="s">
        <v>306</v>
      </c>
      <c r="R67" t="s">
        <v>175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116</v>
      </c>
      <c r="B68" s="23">
        <v>44517</v>
      </c>
      <c r="C68">
        <v>41</v>
      </c>
      <c r="F68" t="s">
        <v>246</v>
      </c>
      <c r="H68" t="s">
        <v>350</v>
      </c>
      <c r="L68" t="s">
        <v>201</v>
      </c>
      <c r="R68" t="s">
        <v>175</v>
      </c>
      <c r="S68" t="s">
        <v>175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117</v>
      </c>
      <c r="B69" t="s">
        <v>213</v>
      </c>
      <c r="D69" t="s">
        <v>154</v>
      </c>
      <c r="E69" t="s">
        <v>161</v>
      </c>
      <c r="G69" t="s">
        <v>351</v>
      </c>
      <c r="I69">
        <v>1</v>
      </c>
      <c r="J69">
        <v>1</v>
      </c>
      <c r="K69" t="s">
        <v>186</v>
      </c>
      <c r="L69" t="s">
        <v>32</v>
      </c>
      <c r="M69" t="s">
        <v>295</v>
      </c>
      <c r="N69" t="s">
        <v>186</v>
      </c>
      <c r="P69" t="s">
        <v>352</v>
      </c>
      <c r="Q69" t="s">
        <v>347</v>
      </c>
      <c r="R69" t="s">
        <v>175</v>
      </c>
      <c r="S69" t="s">
        <v>259</v>
      </c>
      <c r="V69" t="s">
        <v>305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118</v>
      </c>
      <c r="B70" s="23">
        <v>44825</v>
      </c>
      <c r="C70">
        <v>63</v>
      </c>
      <c r="L70" t="s">
        <v>32</v>
      </c>
      <c r="N70" t="s">
        <v>187</v>
      </c>
      <c r="S70" t="s">
        <v>175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119</v>
      </c>
      <c r="B71" s="22">
        <v>44508</v>
      </c>
      <c r="E71" t="s">
        <v>245</v>
      </c>
      <c r="G71" t="s">
        <v>353</v>
      </c>
      <c r="I71">
        <v>35</v>
      </c>
      <c r="J71">
        <v>7</v>
      </c>
      <c r="K71" t="s">
        <v>269</v>
      </c>
      <c r="L71" t="s">
        <v>201</v>
      </c>
      <c r="M71" t="s">
        <v>203</v>
      </c>
      <c r="N71" t="s">
        <v>273</v>
      </c>
      <c r="P71" t="s">
        <v>175</v>
      </c>
      <c r="R71" t="s">
        <v>175</v>
      </c>
      <c r="S71" t="s">
        <v>175</v>
      </c>
      <c r="V71" t="s">
        <v>305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120</v>
      </c>
      <c r="B72" s="23">
        <v>44419</v>
      </c>
      <c r="C72">
        <v>62</v>
      </c>
      <c r="F72" t="s">
        <v>166</v>
      </c>
      <c r="G72" t="s">
        <v>354</v>
      </c>
      <c r="H72" t="s">
        <v>355</v>
      </c>
      <c r="L72" t="s">
        <v>285</v>
      </c>
      <c r="N72" t="s">
        <v>180</v>
      </c>
      <c r="R72" t="s">
        <v>175</v>
      </c>
      <c r="S72" t="s">
        <v>175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121</v>
      </c>
      <c r="B1" s="2" t="s">
        <v>122</v>
      </c>
    </row>
    <row r="2" spans="1:2">
      <c r="A2" s="1" t="s">
        <v>2</v>
      </c>
      <c r="B2" s="1" t="s">
        <v>123</v>
      </c>
    </row>
    <row r="3" spans="1:2">
      <c r="A3" s="1" t="s">
        <v>3</v>
      </c>
      <c r="B3" s="1" t="s">
        <v>124</v>
      </c>
    </row>
    <row r="4" spans="1:2">
      <c r="A4" s="1" t="s">
        <v>4</v>
      </c>
      <c r="B4" s="1" t="s">
        <v>125</v>
      </c>
    </row>
    <row r="5" spans="1:2">
      <c r="A5" s="1" t="s">
        <v>5</v>
      </c>
      <c r="B5" s="1" t="s">
        <v>126</v>
      </c>
    </row>
    <row r="6" spans="1:2">
      <c r="A6" s="1" t="s">
        <v>6</v>
      </c>
      <c r="B6" s="1" t="s">
        <v>127</v>
      </c>
    </row>
    <row r="7" spans="1:2">
      <c r="A7" s="1" t="s">
        <v>7</v>
      </c>
      <c r="B7" s="1" t="s">
        <v>128</v>
      </c>
    </row>
    <row r="8" spans="1:2">
      <c r="A8" s="1" t="s">
        <v>10</v>
      </c>
      <c r="B8" s="1" t="s">
        <v>129</v>
      </c>
    </row>
    <row r="9" spans="1:2">
      <c r="A9" s="1" t="s">
        <v>12</v>
      </c>
      <c r="B9" s="1" t="s">
        <v>130</v>
      </c>
    </row>
    <row r="10" spans="1:2">
      <c r="A10" s="1" t="s">
        <v>13</v>
      </c>
      <c r="B10" s="1" t="s">
        <v>131</v>
      </c>
    </row>
    <row r="11" spans="1:2">
      <c r="A11" s="1" t="s">
        <v>14</v>
      </c>
      <c r="B11" s="1" t="s">
        <v>132</v>
      </c>
    </row>
    <row r="12" spans="1:2">
      <c r="A12" s="1" t="s">
        <v>15</v>
      </c>
      <c r="B12" s="1" t="s">
        <v>133</v>
      </c>
    </row>
    <row r="13" spans="1:2">
      <c r="A13" s="1" t="s">
        <v>16</v>
      </c>
      <c r="B13" s="1" t="s">
        <v>134</v>
      </c>
    </row>
    <row r="14" spans="1:2">
      <c r="A14" s="1" t="s">
        <v>18</v>
      </c>
      <c r="B14" s="1" t="s">
        <v>135</v>
      </c>
    </row>
    <row r="15" spans="1:2">
      <c r="A15" s="1" t="s">
        <v>19</v>
      </c>
      <c r="B15" s="1" t="s">
        <v>136</v>
      </c>
    </row>
    <row r="16" spans="1:2">
      <c r="A16" s="1" t="s">
        <v>20</v>
      </c>
      <c r="B16" s="1" t="s">
        <v>137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138</v>
      </c>
    </row>
    <row r="19" spans="1:2">
      <c r="A19" s="1" t="s">
        <v>23</v>
      </c>
      <c r="B19" s="1" t="s">
        <v>139</v>
      </c>
    </row>
    <row r="20" spans="1:2">
      <c r="A20" s="1" t="s">
        <v>24</v>
      </c>
      <c r="B20" s="1" t="s">
        <v>140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141</v>
      </c>
    </row>
    <row r="23" spans="1:2">
      <c r="A23" s="1" t="s">
        <v>27</v>
      </c>
      <c r="B23" s="1" t="s">
        <v>142</v>
      </c>
    </row>
    <row r="24" spans="1:2">
      <c r="A24" s="1" t="s">
        <v>28</v>
      </c>
      <c r="B24" s="1" t="s">
        <v>143</v>
      </c>
    </row>
    <row r="25" spans="1:2">
      <c r="A25" s="2" t="s">
        <v>29</v>
      </c>
      <c r="B25" s="2" t="s">
        <v>144</v>
      </c>
    </row>
    <row r="27" spans="1:2">
      <c r="A27" s="1" t="s">
        <v>145</v>
      </c>
    </row>
    <row r="28" spans="1:2">
      <c r="A28" s="1" t="s">
        <v>146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2024-12-06T15:03:06Z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