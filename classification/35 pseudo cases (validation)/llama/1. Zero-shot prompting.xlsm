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25C2DAE3-5805-4FA5-888A-38CF5120F64F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" i="16" l="1" a="1"/>
  <c r="AE4" i="16"/>
  <c r="AE5" i="16" a="1"/>
  <c r="AE5" i="16"/>
  <c r="AE6" i="16" a="1"/>
  <c r="AE6" i="16"/>
  <c r="AE7" i="16" a="1"/>
  <c r="AE7" i="16"/>
  <c r="AE8" i="16" a="1"/>
  <c r="AE8" i="16"/>
  <c r="AE9" i="16" a="1"/>
  <c r="AE9" i="16"/>
  <c r="AE10" i="16" a="1"/>
  <c r="AE10" i="16"/>
  <c r="AE11" i="16" a="1"/>
  <c r="AE11" i="16"/>
  <c r="AE12" i="16" a="1"/>
  <c r="AE12" i="16"/>
  <c r="AE13" i="16" a="1"/>
  <c r="AE13" i="16"/>
  <c r="AE14" i="16" a="1"/>
  <c r="AE14" i="16"/>
  <c r="AE15" i="16" a="1"/>
  <c r="AE15" i="16"/>
  <c r="AE16" i="16" a="1"/>
  <c r="AE16" i="16"/>
  <c r="AE17" i="16" a="1"/>
  <c r="AE17" i="16"/>
  <c r="AE18" i="16" a="1"/>
  <c r="AE18" i="16"/>
  <c r="AE19" i="16" a="1"/>
  <c r="AE19" i="16"/>
  <c r="AE20" i="16" a="1"/>
  <c r="AE20" i="16"/>
  <c r="AE21" i="16" a="1"/>
  <c r="AE21" i="16"/>
  <c r="AE22" i="16" a="1"/>
  <c r="AE22" i="16"/>
  <c r="AE23" i="16" a="1"/>
  <c r="AE23" i="16"/>
  <c r="AE24" i="16" a="1"/>
  <c r="AE24" i="16"/>
  <c r="AE25" i="16" a="1"/>
  <c r="AE25" i="16"/>
  <c r="AE26" i="16" a="1"/>
  <c r="AE26" i="16"/>
  <c r="AE27" i="16" a="1"/>
  <c r="AE27" i="16"/>
  <c r="AE28" i="16" a="1"/>
  <c r="AE28" i="16"/>
  <c r="AE29" i="16" a="1"/>
  <c r="AE29" i="16"/>
  <c r="AE30" i="16" a="1"/>
  <c r="AE30" i="16"/>
  <c r="AE31" i="16" a="1"/>
  <c r="AE31" i="16"/>
  <c r="AE32" i="16" a="1"/>
  <c r="AE32" i="16"/>
  <c r="AE33" i="16" a="1"/>
  <c r="AE33" i="16"/>
  <c r="AE34" i="16" a="1"/>
  <c r="AE34" i="16"/>
  <c r="AE35" i="16" a="1"/>
  <c r="AE35" i="16"/>
  <c r="AE36" i="16" a="1"/>
  <c r="AE36" i="16"/>
  <c r="AE37" i="16" a="1"/>
  <c r="AE37" i="16" s="1"/>
  <c r="AE3" i="16" a="1"/>
  <c r="AE3" i="16" s="1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T21" i="16" a="1"/>
  <c r="T21" i="16" s="1"/>
  <c r="W21" i="16" s="1"/>
  <c r="T22" i="16" a="1"/>
  <c r="T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W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D7" i="16" l="1" a="1"/>
  <c r="D7" i="16" s="1"/>
  <c r="D8" i="16" a="1"/>
  <c r="D8" i="16" s="1"/>
  <c r="D9" i="16" a="1"/>
  <c r="D9" i="16" s="1"/>
  <c r="D10" i="16" a="1"/>
  <c r="D10" i="16" s="1"/>
  <c r="D11" i="16" a="1"/>
  <c r="D11" i="16" s="1"/>
  <c r="D12" i="16" a="1"/>
  <c r="D12" i="16" s="1"/>
  <c r="D13" i="16" a="1"/>
  <c r="D13" i="16" s="1"/>
  <c r="D14" i="16" a="1"/>
  <c r="D14" i="16" s="1"/>
  <c r="D15" i="16" a="1"/>
  <c r="D15" i="16" s="1"/>
  <c r="D16" i="16" a="1"/>
  <c r="D16" i="16" s="1"/>
  <c r="D17" i="16" a="1"/>
  <c r="D1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24" i="16" a="1"/>
  <c r="D24" i="16" s="1"/>
  <c r="D25" i="16" a="1"/>
  <c r="D25" i="16" s="1"/>
  <c r="D26" i="16" a="1"/>
  <c r="D26" i="16" s="1"/>
  <c r="D27" i="16" a="1"/>
  <c r="D27" i="16" s="1"/>
  <c r="D28" i="16" a="1"/>
  <c r="D28" i="16" s="1"/>
  <c r="D29" i="16" a="1"/>
  <c r="D29" i="16" s="1"/>
  <c r="D30" i="16" a="1"/>
  <c r="D30" i="16" s="1"/>
  <c r="D31" i="16" a="1"/>
  <c r="D31" i="16" s="1"/>
  <c r="D32" i="16" a="1"/>
  <c r="D32" i="16" s="1"/>
  <c r="D33" i="16" a="1"/>
  <c r="D33" i="16" s="1"/>
  <c r="D34" i="16" a="1"/>
  <c r="D34" i="16" s="1"/>
  <c r="D35" i="16" a="1"/>
  <c r="D35" i="16" s="1"/>
  <c r="D36" i="16" a="1"/>
  <c r="D36" i="16" s="1"/>
  <c r="D37" i="16" a="1"/>
  <c r="D37" i="16" s="1"/>
  <c r="D3" i="16" a="1"/>
  <c r="D3" i="16" s="1"/>
  <c r="D4" i="16" a="1"/>
  <c r="D4" i="16" s="1"/>
  <c r="D5" i="16" a="1"/>
  <c r="D5" i="16" s="1"/>
  <c r="D6" i="16" a="1"/>
  <c r="D6" i="16" s="1"/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D4" i="16" a="1"/>
  <c r="AD4" i="16" s="1"/>
  <c r="AD5" i="16" a="1"/>
  <c r="AD5" i="16" s="1"/>
  <c r="AD6" i="16" a="1"/>
  <c r="AD6" i="16" s="1"/>
  <c r="AD7" i="16" a="1"/>
  <c r="AD7" i="16" s="1"/>
  <c r="AD8" i="16" a="1"/>
  <c r="AD8" i="16" s="1"/>
  <c r="AD9" i="16" a="1"/>
  <c r="AD9" i="16" s="1"/>
  <c r="AD10" i="16" a="1"/>
  <c r="AD10" i="16" s="1"/>
  <c r="AD11" i="16" a="1"/>
  <c r="AD11" i="16" s="1"/>
  <c r="AD12" i="16" a="1"/>
  <c r="AD12" i="16" s="1"/>
  <c r="AD13" i="16" a="1"/>
  <c r="AD13" i="16" s="1"/>
  <c r="AD14" i="16" a="1"/>
  <c r="AD14" i="16" s="1"/>
  <c r="AD15" i="16" a="1"/>
  <c r="AD15" i="16" s="1"/>
  <c r="AD16" i="16" a="1"/>
  <c r="AD16" i="16" s="1"/>
  <c r="AD17" i="16" a="1"/>
  <c r="AD1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24" i="16" a="1"/>
  <c r="AD24" i="16" s="1"/>
  <c r="AD25" i="16" a="1"/>
  <c r="AD25" i="16" s="1"/>
  <c r="AD26" i="16" a="1"/>
  <c r="AD26" i="16" s="1"/>
  <c r="AD27" i="16" a="1"/>
  <c r="AD27" i="16" s="1"/>
  <c r="AD28" i="16" a="1"/>
  <c r="AD28" i="16" s="1"/>
  <c r="AD29" i="16" a="1"/>
  <c r="AD29" i="16" s="1"/>
  <c r="AD30" i="16" a="1"/>
  <c r="AD30" i="16" s="1"/>
  <c r="AD31" i="16" a="1"/>
  <c r="AD31" i="16" s="1"/>
  <c r="AD32" i="16" a="1"/>
  <c r="AD32" i="16" s="1"/>
  <c r="AD33" i="16" a="1"/>
  <c r="AD33" i="16" s="1"/>
  <c r="AD34" i="16" a="1"/>
  <c r="AD34" i="16" s="1"/>
  <c r="AD35" i="16" a="1"/>
  <c r="AD35" i="16" s="1"/>
  <c r="AD36" i="16" a="1"/>
  <c r="AD36" i="16" s="1"/>
  <c r="AD37" i="16" a="1"/>
  <c r="AD37" i="16" s="1"/>
  <c r="AD3" i="16" a="1"/>
  <c r="AD3" i="16" s="1"/>
  <c r="AC23" i="16" l="1"/>
  <c r="Y23" i="16"/>
  <c r="AC22" i="16"/>
  <c r="Y22" i="16"/>
  <c r="AC21" i="16"/>
  <c r="Y21" i="16"/>
  <c r="AC20" i="16"/>
  <c r="Y20" i="16"/>
  <c r="AC19" i="16"/>
  <c r="Y19" i="16"/>
  <c r="AC3" i="16"/>
  <c r="Y3" i="16"/>
  <c r="AC18" i="16"/>
  <c r="Y18" i="16"/>
  <c r="AC37" i="16"/>
  <c r="Y37" i="16"/>
  <c r="AC17" i="16"/>
  <c r="Y17" i="16"/>
  <c r="AC35" i="16"/>
  <c r="Y35" i="16"/>
  <c r="AC15" i="16"/>
  <c r="Y15" i="16"/>
  <c r="AC34" i="16"/>
  <c r="Y34" i="16"/>
  <c r="AC14" i="16"/>
  <c r="Y14" i="16"/>
  <c r="AC33" i="16"/>
  <c r="Y33" i="16"/>
  <c r="AC13" i="16"/>
  <c r="Y13" i="16"/>
  <c r="AC29" i="16"/>
  <c r="Y29" i="16"/>
  <c r="AC28" i="16"/>
  <c r="Y28" i="16"/>
  <c r="AC8" i="16"/>
  <c r="Y8" i="16"/>
  <c r="AC32" i="16"/>
  <c r="Y32" i="16"/>
  <c r="AC27" i="16"/>
  <c r="Y27" i="16"/>
  <c r="AC7" i="16"/>
  <c r="Y7" i="16"/>
  <c r="AC36" i="16"/>
  <c r="Y36" i="16"/>
  <c r="AC26" i="16"/>
  <c r="Y26" i="16"/>
  <c r="AC6" i="16"/>
  <c r="Y6" i="16"/>
  <c r="AC16" i="16"/>
  <c r="Y16" i="16"/>
  <c r="AC25" i="16"/>
  <c r="Y25" i="16"/>
  <c r="AC5" i="16"/>
  <c r="Y5" i="16"/>
  <c r="AC12" i="16"/>
  <c r="Y12" i="16"/>
  <c r="AC31" i="16"/>
  <c r="Y31" i="16"/>
  <c r="AC11" i="16"/>
  <c r="Y11" i="16"/>
  <c r="AC30" i="16"/>
  <c r="Y30" i="16"/>
  <c r="AC10" i="16"/>
  <c r="Y10" i="16"/>
  <c r="AC9" i="16"/>
  <c r="Y9" i="16"/>
  <c r="AC24" i="16"/>
  <c r="Y24" i="16"/>
  <c r="AC4" i="16"/>
  <c r="Y4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C19" i="16" l="1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AJ6" i="16" s="1"/>
  <c r="P26" i="16" a="1"/>
  <c r="P26" i="16" s="1"/>
  <c r="E14" i="16" a="1"/>
  <c r="E14" i="16" s="1"/>
  <c r="Q23" i="16" a="1"/>
  <c r="Q23" i="16" s="1"/>
  <c r="P7" i="16" a="1"/>
  <c r="P7" i="16" s="1"/>
  <c r="AJ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AJ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W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W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W20" i="16" s="1"/>
  <c r="V21" i="16" a="1"/>
  <c r="V21" i="16" s="1"/>
  <c r="V22" i="16" a="1"/>
  <c r="V22" i="16" s="1"/>
  <c r="W22" i="16" s="1"/>
  <c r="V23" i="16" a="1"/>
  <c r="V23" i="16" s="1"/>
  <c r="W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AJ32" i="16"/>
  <c r="AJ27" i="16"/>
  <c r="R14" i="16" a="1"/>
  <c r="R20" i="16" a="1"/>
  <c r="L24" i="16" a="1"/>
  <c r="L32" i="16" a="1"/>
  <c r="L35" i="16" a="1"/>
  <c r="L16" i="16" a="1"/>
  <c r="R36" i="16" a="1"/>
  <c r="L34" i="16" a="1"/>
  <c r="L23" i="16" a="1"/>
  <c r="R8" i="16" a="1"/>
  <c r="L10" i="16" a="1"/>
  <c r="R28" i="16" a="1"/>
  <c r="R19" i="16" a="1"/>
  <c r="L14" i="16" a="1"/>
  <c r="L15" i="16" a="1"/>
  <c r="R31" i="16" a="1"/>
  <c r="L29" i="16" a="1"/>
  <c r="L18" i="16" a="1"/>
  <c r="R29" i="16" a="1"/>
  <c r="R5" i="16" a="1"/>
  <c r="L26" i="16" a="1"/>
  <c r="R11" i="16" a="1"/>
  <c r="L20" i="16" a="1"/>
  <c r="R23" i="16" a="1"/>
  <c r="R3" i="16" a="1"/>
  <c r="L13" i="16" a="1"/>
  <c r="R32" i="16" a="1"/>
  <c r="L11" i="16" a="1"/>
  <c r="R30" i="16" a="1"/>
  <c r="L36" i="16" a="1"/>
  <c r="L8" i="16" a="1"/>
  <c r="R18" i="16" a="1"/>
  <c r="R24" i="16" a="1"/>
  <c r="L27" i="16" a="1"/>
  <c r="R16" i="16" a="1"/>
  <c r="L22" i="16" a="1"/>
  <c r="R25" i="16" a="1"/>
  <c r="R4" i="16" a="1"/>
  <c r="L3" i="16" a="1"/>
  <c r="L30" i="16" a="1"/>
  <c r="R27" i="16" a="1"/>
  <c r="R37" i="16" a="1"/>
  <c r="L37" i="16" a="1"/>
  <c r="R13" i="16" a="1"/>
  <c r="L6" i="16" a="1"/>
  <c r="L4" i="16" a="1"/>
  <c r="R15" i="16" a="1"/>
  <c r="L28" i="16" a="1"/>
  <c r="L19" i="16" a="1"/>
  <c r="R21" i="16" a="1"/>
  <c r="R9" i="16" a="1"/>
  <c r="L7" i="16" a="1"/>
  <c r="R22" i="16" a="1"/>
  <c r="R12" i="16" a="1"/>
  <c r="L21" i="16" a="1"/>
  <c r="R34" i="16" a="1"/>
  <c r="L17" i="16" a="1"/>
  <c r="R35" i="16" a="1"/>
  <c r="R7" i="16" a="1"/>
  <c r="L31" i="16" a="1"/>
  <c r="R33" i="16" a="1"/>
  <c r="L33" i="16" a="1"/>
  <c r="R10" i="16" a="1"/>
  <c r="L9" i="16" a="1"/>
  <c r="L25" i="16" a="1"/>
  <c r="L12" i="16" a="1"/>
  <c r="L5" i="16" a="1"/>
  <c r="R17" i="16" a="1"/>
  <c r="R26" i="16" a="1"/>
  <c r="R6" i="16" a="1"/>
  <c r="AJ26" i="16" l="1"/>
  <c r="AH36" i="16"/>
  <c r="AJ24" i="16"/>
  <c r="AH20" i="16"/>
  <c r="AH34" i="16"/>
  <c r="AH26" i="16"/>
  <c r="AK26" i="16" s="1"/>
  <c r="AH7" i="16"/>
  <c r="AH16" i="16"/>
  <c r="AK32" i="16"/>
  <c r="AK7" i="16"/>
  <c r="AK27" i="16"/>
  <c r="AK24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AK34" i="16" s="1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16" i="16" a="1"/>
  <c r="S31" i="16" a="1"/>
  <c r="M34" i="16" a="1"/>
  <c r="S30" i="16" a="1"/>
  <c r="S22" i="16" a="1"/>
  <c r="S4" i="16" a="1"/>
  <c r="M25" i="16" a="1"/>
  <c r="M26" i="16" a="1"/>
  <c r="S10" i="16" a="1"/>
  <c r="S26" i="16" a="1"/>
  <c r="S15" i="16" a="1"/>
  <c r="M18" i="16" a="1"/>
  <c r="M17" i="16" a="1"/>
  <c r="M35" i="16" a="1"/>
  <c r="S7" i="16" a="1"/>
  <c r="S21" i="16" a="1"/>
  <c r="M6" i="16" a="1"/>
  <c r="S19" i="16" a="1"/>
  <c r="M19" i="16" a="1"/>
  <c r="S17" i="16" a="1"/>
  <c r="S24" i="16" a="1"/>
  <c r="S32" i="16" a="1"/>
  <c r="M24" i="16" a="1"/>
  <c r="M30" i="16" a="1"/>
  <c r="S27" i="16" a="1"/>
  <c r="S12" i="16" a="1"/>
  <c r="S8" i="16" a="1"/>
  <c r="M33" i="16" a="1"/>
  <c r="M36" i="16" a="1"/>
  <c r="M9" i="16" a="1"/>
  <c r="M11" i="16" a="1"/>
  <c r="M8" i="16" a="1"/>
  <c r="S13" i="16" a="1"/>
  <c r="M31" i="16" a="1"/>
  <c r="M13" i="16" a="1"/>
  <c r="M14" i="16" a="1"/>
  <c r="S11" i="16" a="1"/>
  <c r="M27" i="16" a="1"/>
  <c r="M4" i="16" a="1"/>
  <c r="S18" i="16" a="1"/>
  <c r="S37" i="16" a="1"/>
  <c r="M3" i="16" a="1"/>
  <c r="S25" i="16" a="1"/>
  <c r="S23" i="16" a="1"/>
  <c r="M28" i="16" a="1"/>
  <c r="M12" i="16" a="1"/>
  <c r="S20" i="16" a="1"/>
  <c r="S34" i="16" a="1"/>
  <c r="S33" i="16" a="1"/>
  <c r="M10" i="16" a="1"/>
  <c r="M32" i="16" a="1"/>
  <c r="M22" i="16" a="1"/>
  <c r="M20" i="16" a="1"/>
  <c r="M7" i="16" a="1"/>
  <c r="M21" i="16" a="1"/>
  <c r="M5" i="16" a="1"/>
  <c r="S14" i="16" a="1"/>
  <c r="S36" i="16" a="1"/>
  <c r="S5" i="16" a="1"/>
  <c r="S3" i="16" a="1"/>
  <c r="S16" i="16" a="1"/>
  <c r="M37" i="16" a="1"/>
  <c r="S28" i="16" a="1"/>
  <c r="S29" i="16" a="1"/>
  <c r="S6" i="16" a="1"/>
  <c r="M29" i="16" a="1"/>
  <c r="S35" i="16" a="1"/>
  <c r="M15" i="16" a="1"/>
  <c r="M23" i="16" a="1"/>
  <c r="S9" i="16" a="1"/>
  <c r="AK20" i="16" l="1"/>
  <c r="AI35" i="16"/>
  <c r="AI18" i="16"/>
  <c r="AK36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K9" i="16" s="1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AH33" i="16" s="1"/>
  <c r="AK33" i="16" s="1"/>
  <c r="S31" i="16"/>
  <c r="AH31" i="16" s="1"/>
  <c r="S19" i="16"/>
  <c r="AH19" i="16" s="1"/>
  <c r="S22" i="16"/>
  <c r="AH22" i="16" s="1"/>
  <c r="S15" i="16"/>
  <c r="AH15" i="16" s="1"/>
  <c r="S37" i="16"/>
  <c r="AH37" i="16" s="1"/>
  <c r="S11" i="16"/>
  <c r="AH11" i="16" s="1"/>
  <c r="AK11" i="16" s="1"/>
  <c r="S13" i="16"/>
  <c r="AH13" i="16" s="1"/>
  <c r="AK13" i="16" s="1"/>
  <c r="S24" i="16"/>
  <c r="AH24" i="16" s="1"/>
  <c r="S29" i="16"/>
  <c r="AH29" i="16" s="1"/>
  <c r="S30" i="16"/>
  <c r="AH30" i="16" s="1"/>
  <c r="AK30" i="16" s="1"/>
  <c r="S17" i="16"/>
  <c r="S20" i="16"/>
  <c r="S14" i="16"/>
  <c r="AH14" i="16" s="1"/>
  <c r="AK14" i="16" s="1"/>
  <c r="S35" i="16"/>
  <c r="AH35" i="16" s="1"/>
  <c r="S21" i="16"/>
  <c r="AH21" i="16" s="1"/>
  <c r="S5" i="16"/>
  <c r="AH5" i="16" s="1"/>
  <c r="S16" i="16"/>
  <c r="S3" i="16"/>
  <c r="AH3" i="16" s="1"/>
  <c r="S36" i="16"/>
  <c r="S28" i="16"/>
  <c r="AH28" i="16" s="1"/>
  <c r="S32" i="16"/>
  <c r="AH32" i="16" s="1"/>
  <c r="S27" i="16"/>
  <c r="AH27" i="16" s="1"/>
  <c r="S7" i="16"/>
  <c r="S6" i="16"/>
  <c r="AH6" i="16" s="1"/>
  <c r="S12" i="16"/>
  <c r="AH12" i="16" s="1"/>
  <c r="S18" i="16"/>
  <c r="AH18" i="16" s="1"/>
  <c r="S10" i="16"/>
  <c r="AH10" i="16" s="1"/>
  <c r="S23" i="16"/>
  <c r="AH23" i="16" s="1"/>
  <c r="S26" i="16"/>
  <c r="S4" i="16"/>
  <c r="AH4" i="16" s="1"/>
  <c r="S9" i="16"/>
  <c r="AH9" i="16" s="1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36" i="16" a="1"/>
  <c r="N20" i="16" a="1"/>
  <c r="N30" i="16" a="1"/>
  <c r="N35" i="16" a="1"/>
  <c r="N15" i="16" a="1"/>
  <c r="N14" i="16" a="1"/>
  <c r="N17" i="16" a="1"/>
  <c r="N5" i="16" a="1"/>
  <c r="N25" i="16" a="1"/>
  <c r="N13" i="16" a="1"/>
  <c r="N6" i="16" a="1"/>
  <c r="N12" i="16" a="1"/>
  <c r="N11" i="16" a="1"/>
  <c r="N19" i="16" a="1"/>
  <c r="N21" i="16" a="1"/>
  <c r="N8" i="16" a="1"/>
  <c r="N7" i="16" a="1"/>
  <c r="N34" i="16" a="1"/>
  <c r="N16" i="16" a="1"/>
  <c r="N33" i="16" a="1"/>
  <c r="N4" i="16" a="1"/>
  <c r="N10" i="16" a="1"/>
  <c r="N27" i="16" a="1"/>
  <c r="N31" i="16" a="1"/>
  <c r="N28" i="16" a="1"/>
  <c r="N9" i="16" a="1"/>
  <c r="N22" i="16" a="1"/>
  <c r="N24" i="16" a="1"/>
  <c r="N18" i="16" a="1"/>
  <c r="N26" i="16" a="1"/>
  <c r="N32" i="16" a="1"/>
  <c r="N37" i="16" a="1"/>
  <c r="N23" i="16" a="1"/>
  <c r="N29" i="16" a="1"/>
  <c r="N3" i="16" a="1"/>
  <c r="AK10" i="16" l="1"/>
  <c r="AK31" i="16"/>
  <c r="AS31" i="16"/>
  <c r="AK3" i="16"/>
  <c r="AK6" i="16"/>
  <c r="AS28" i="16"/>
  <c r="AS24" i="16"/>
  <c r="AK15" i="16"/>
  <c r="AK22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<sst xmlns="http://schemas.openxmlformats.org/spreadsheetml/2006/main" count="766" uniqueCount="364">
  <si>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</si>
  <si>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</si>
  <si>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</si>
  <si>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</si>
  <si>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</si>
  <si>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</si>
  <si>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</si>
  <si>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</si>
  <si>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</si>
  <si>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</si>
  <si>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</si>
  <si>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</si>
  <si>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</si>
  <si>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</si>
  <si>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</si>
  <si>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</si>
  <si>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</si>
  <si>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</si>
  <si>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</si>
  <si>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</si>
  <si>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</si>
  <si>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</si>
  <si>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</si>
  <si>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</si>
  <si>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</si>
  <si>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</si>
  <si>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</si>
  <si>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</si>
  <si>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</si>
  <si>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</si>
  <si>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</si>
  <si>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</si>
  <si>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</si>
  <si>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</si>
  <si>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</si>
  <si>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</si>
  <si>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</si>
  <si>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</si>
  <si>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</si>
  <si>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</si>
  <si>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</si>
  <si>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</si>
  <si>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</si>
  <si>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</si>
  <si>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</si>
  <si>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</si>
  <si>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</si>
  <si>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</si>
  <si>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</si>
  <si>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</si>
  <si>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</si>
  <si>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</si>
  <si>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</si>
  <si>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</si>
  <si>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</si>
  <si>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</si>
  <si>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</si>
  <si>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</si>
  <si>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</si>
  <si>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</si>
  <si>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</si>
  <si>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</si>
  <si>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</si>
  <si>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</si>
  <si>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</si>
  <si>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</si>
  <si>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</si>
  <si>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</si>
  <si>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</si>
  <si>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</si>
  <si>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</si>
  <si>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</si>
  <si>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</si>
  <si>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</si>
  <si>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</si>
  <si>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</si>
  <si>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</si>
  <si>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</si>
  <si>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</si>
  <si>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</si>
  <si>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</si>
  <si>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</si>
  <si>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</si>
  <si>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</si>
  <si>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</si>
  <si>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</si>
  <si>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</si>
  <si>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</si>
  <si>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</si>
  <si>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</si>
  <si>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</si>
  <si>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</si>
  <si>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10mm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</si>
  <si>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</si>
  <si>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</si>
  <si>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</si>
  <si>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</si>
  <si>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</si>
  <si>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</si>
  <si>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</si>
  <si>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</si>
  <si>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</si>
  <si>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</si>
  <si>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</si>
  <si>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</si>
  <si>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</si>
  <si>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</si>
  <si>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</si>
  <si>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</si>
  <si>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</si>
  <si>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</si>
  <si>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</si>
  <si>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</si>
  <si>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</si>
  <si>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</si>
  <si>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</si>
  <si>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</si>
  <si>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</si>
  <si>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</si>
  <si>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</si>
  <si>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</si>
  <si>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</si>
  <si>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</si>
  <si>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</si>
  <si>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</si>
  <si>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</si>
  <si>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</si>
  <si>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</si>
  <si>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</si>
  <si>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</si>
  <si>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</si>
  <si>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</si>
  <si>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</si>
  <si>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</si>
  <si>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</si>
  <si>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</si>
  <si>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</si>
  <si>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</si>
  <si>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</si>
  <si>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</si>
  <si>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</si>
  <si>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</si>
  <si>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</si>
  <si>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</si>
  <si>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</si>
  <si>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</si>
  <si>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</si>
  <si>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</si>
  <si>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</si>
  <si>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</si>
  <si>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</si>
  <si>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</si>
  <si>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</si>
  <si>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</si>
  <si>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</si>
  <si>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</si>
  <si>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</si>
  <si>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</si>
  <si>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</si>
  <si>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</si>
  <si>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</si>
  <si>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</si>
  <si>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</si>
  <si>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</si>
  <si>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</si>
  <si>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</si>
  <si>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</si>
  <si>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</si>
  <si>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</si>
  <si>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</si>
  <si>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</si>
  <si>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</si>
  <si>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</si>
  <si>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</si>
  <si>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</si>
  <si>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</si>
  <si>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</si>
  <si>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</si>
  <si>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</si>
  <si>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</si>
  <si>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</si>
  <si>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Nontoxic uninodular goitre</t>
  </si>
  <si>
    <t>Left central compartment</t>
  </si>
  <si>
    <t>11g</t>
  </si>
  <si>
    <t>2cm</t>
  </si>
  <si>
    <t>classic subtype</t>
  </si>
  <si>
    <t>Minimally invasive follicular carcinoma</t>
  </si>
  <si>
    <t>50 mm</t>
  </si>
  <si>
    <t>6.5cm</t>
  </si>
  <si>
    <t>4cm</t>
  </si>
  <si>
    <t>1.3cm</t>
  </si>
  <si>
    <t>2mm</t>
  </si>
  <si>
    <t>10 mm</t>
  </si>
  <si>
    <t>16g</t>
  </si>
  <si>
    <t>6g</t>
  </si>
  <si>
    <t>Absent</t>
  </si>
  <si>
    <t>Focal involvement by invasive carcinoma at posterior surface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</si>
  <si>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</si>
  <si>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</si>
  <si>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</si>
  <si>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</si>
  <si>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</si>
  <si>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</si>
  <si>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</si>
  <si>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</si>
  <si>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</si>
  <si>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</si>
  <si>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</si>
  <si>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</si>
  <si>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</si>
  <si>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</si>
  <si>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20 mm</t>
  </si>
  <si>
    <t>63 mm</t>
  </si>
  <si>
    <t>No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</si>
  <si>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</si>
  <si>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</si>
  <si>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</si>
  <si>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</si>
  <si>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</si>
  <si>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pT4a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</si>
  <si>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</si>
  <si>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</si>
  <si>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</si>
  <si>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</si>
  <si>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</si>
  <si>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</si>
  <si>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</si>
  <si>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</si>
  <si>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</si>
  <si>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</si>
  <si>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</si>
  <si>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</si>
  <si>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</si>
  <si>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</si>
  <si>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</si>
  <si>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</si>
  <si>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</si>
  <si>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</si>
  <si>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</si>
  <si>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</si>
  <si>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</si>
  <si>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</si>
  <si>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</si>
  <si>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</si>
  <si>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</si>
  <si>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central compartment LNs bilaterally</t>
  </si>
  <si>
    <t>Focal (&lt; 4 vessels)</t>
  </si>
  <si>
    <t>Suspicious foci</t>
  </si>
  <si>
    <t>Right level III</t>
  </si>
  <si>
    <t>Present (focal)</t>
  </si>
  <si>
    <t>follicular</t>
  </si>
  <si>
    <t>lung, bone</t>
  </si>
  <si>
    <t>left lateral level II, III, IV</t>
  </si>
  <si>
    <t>PATIENT ID</t>
  </si>
  <si>
    <t>Site of extrathyroidal extension</t>
  </si>
  <si>
    <t>NX</t>
  </si>
  <si>
    <t>MX</t>
  </si>
  <si>
    <t>Uninvolved by carcinoma</t>
  </si>
  <si>
    <t>fatty soft tissue at isthmus</t>
  </si>
  <si>
    <t>Invading only strap muscles</t>
  </si>
  <si>
    <t>Clear</t>
  </si>
  <si>
    <t>Right central neck</t>
  </si>
  <si>
    <t>19g</t>
  </si>
  <si>
    <t>Present (minimal)</t>
  </si>
  <si>
    <t>Cancer</t>
  </si>
  <si>
    <t>Isthmus</t>
  </si>
  <si>
    <t>Invading subcutaneous soft tissues, larynx, trachea, esophagus or recurrent laryngeal nerve</t>
  </si>
  <si>
    <t>Margin</t>
  </si>
  <si>
    <t>7g</t>
  </si>
  <si>
    <t>Invading soft tissue and strap muscles</t>
  </si>
  <si>
    <t>4 mm</t>
  </si>
  <si>
    <t>27 x 22 x 17 mm</t>
  </si>
  <si>
    <t>16 mm</t>
  </si>
  <si>
    <t>4 cm</t>
  </si>
  <si>
    <t>25 x 15 x 15 mm</t>
  </si>
  <si>
    <t>36 x 32 x 26 mm</t>
  </si>
  <si>
    <t>8 mm</t>
  </si>
  <si>
    <t>12g</t>
  </si>
  <si>
    <t>1.2 cm</t>
  </si>
  <si>
    <t>Microscopic extrathyroidal extension to skeletal muscle anterior to the thyroid gland is present</t>
  </si>
  <si>
    <t>0.5 cm</t>
  </si>
  <si>
    <t>12 mm</t>
  </si>
  <si>
    <t>no ETE</t>
  </si>
  <si>
    <t>4.5 x 3 x 2cm</t>
  </si>
  <si>
    <t>rich vascular anastomosis identified</t>
  </si>
  <si>
    <t>Extensive</t>
  </si>
  <si>
    <t>Focal</t>
  </si>
  <si>
    <t>28g</t>
  </si>
  <si>
    <t>5.5 cm</t>
  </si>
  <si>
    <t>Infiltrative follicular subtype</t>
  </si>
  <si>
    <t>Left central compartment LN excised</t>
  </si>
  <si>
    <t>Classic subtype</t>
  </si>
  <si>
    <t>Focally</t>
  </si>
  <si>
    <t>TX</t>
  </si>
  <si>
    <t>Microscopic invasive of the surrounding fat at the 2 mm tumor nodule.</t>
  </si>
  <si>
    <t>Touched posterior and lateral margins</t>
  </si>
  <si>
    <t>Right central compartment LNs</t>
  </si>
  <si>
    <t>14g</t>
  </si>
  <si>
    <t>Oncocytic classic subtype</t>
  </si>
  <si>
    <t>Papillary thyroid carcinoma</t>
  </si>
  <si>
    <t>Gross extrathyroidal extension to overlying strap muscle</t>
  </si>
  <si>
    <t>Follicular carcinoma</t>
  </si>
  <si>
    <t>Left rln branch</t>
  </si>
  <si>
    <t>thyroid</t>
  </si>
  <si>
    <t>0.8 cm</t>
  </si>
  <si>
    <t>Anterior margin</t>
  </si>
  <si>
    <t>40g</t>
  </si>
  <si>
    <t>Papillary carcinoma, classic subtype</t>
  </si>
  <si>
    <t>Anterior margin: Uninvolved by carcinoma, 0.3 mm from anterior margin; Posterior margin(B2): Involved by carcinoma</t>
  </si>
  <si>
    <t>pN1b</t>
  </si>
  <si>
    <t>Left RLN, Left IJV / phrenic nerve / CNX</t>
  </si>
  <si>
    <t>Thyroid cancer</t>
  </si>
  <si>
    <t>Encapsulated classic subtype</t>
  </si>
  <si>
    <t>entire left lobe</t>
  </si>
  <si>
    <t>BRAF, KRAS or NRAS hot spot mutation: No</t>
  </si>
  <si>
    <t>Right central compartment LN excised</t>
  </si>
  <si>
    <t xml:space="preserve">Gross extrathyroidal extension with invasion to overlying strap muscles </t>
  </si>
  <si>
    <t>Right central compartment LN, Right level III LNs</t>
  </si>
  <si>
    <t>Posterior margin</t>
  </si>
  <si>
    <t>Gross extrathyroidal extension</t>
  </si>
  <si>
    <t>6 mm</t>
  </si>
  <si>
    <t>Left central compartment LN dissection</t>
  </si>
  <si>
    <t>Cancer of thyroid</t>
  </si>
  <si>
    <t>15g, 9g</t>
  </si>
  <si>
    <t>Bilateral no branch</t>
  </si>
  <si>
    <t>Classic type</t>
  </si>
  <si>
    <t>Anterior and posterior margins</t>
  </si>
  <si>
    <t>CA</t>
  </si>
  <si>
    <t>Right level 2, 3, 4 lymph node</t>
  </si>
  <si>
    <t>~9mm</t>
  </si>
  <si>
    <t>Papillary carcinoma: Classic (usual, conventional)</t>
  </si>
  <si>
    <t>~2.7cm</t>
  </si>
  <si>
    <t>Right lateral neck LNs</t>
  </si>
  <si>
    <t>Complete encasement</t>
  </si>
  <si>
    <t>1 cm</t>
  </si>
  <si>
    <t>2.3mm</t>
  </si>
  <si>
    <t>5mm</t>
  </si>
  <si>
    <t>Hurthle cell neoplasm</t>
  </si>
  <si>
    <t>Close to resection margins</t>
  </si>
  <si>
    <t>5.7 mm</t>
  </si>
  <si>
    <t>Left level III LN</t>
  </si>
  <si>
    <t>Central compartment</t>
  </si>
  <si>
    <t>Infiltrative follicular</t>
  </si>
  <si>
    <t>Anterior and posterior</t>
  </si>
  <si>
    <t>Thyroid gland</t>
  </si>
  <si>
    <t>6 cm</t>
  </si>
  <si>
    <t>6.5 cm</t>
  </si>
  <si>
    <t>&gt; 4 vessels</t>
  </si>
  <si>
    <t>Papillary microcarcinoma</t>
  </si>
  <si>
    <t>16g, 1g</t>
  </si>
  <si>
    <t>Tall cell variant</t>
  </si>
  <si>
    <t>&gt;4 vessels</t>
  </si>
  <si>
    <t>7/NX</t>
  </si>
  <si>
    <t>left lateral neck LNs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</si>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</sst>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4">
    <xf numFmtId="0" fontId="0" fillId="0" borderId="0"/>
    <xf numFmtId="9" fontId="11" fillId="0" borderId="0" applyFont="0" applyFill="0" applyBorder="0" applyAlignment="0" applyProtection="0"/>
    <xf numFmtId="0" fontId="6" fillId="0" borderId="0"/>
    <xf numFmtId="0" fontId="5" fillId="0" borderId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8" applyNumberFormat="0" applyAlignment="0" applyProtection="0"/>
    <xf numFmtId="0" fontId="21" fillId="8" borderId="9" applyNumberFormat="0" applyAlignment="0" applyProtection="0"/>
    <xf numFmtId="0" fontId="22" fillId="8" borderId="8" applyNumberFormat="0" applyAlignment="0" applyProtection="0"/>
    <xf numFmtId="0" fontId="23" fillId="0" borderId="10" applyNumberFormat="0" applyFill="0" applyAlignment="0" applyProtection="0"/>
    <xf numFmtId="0" fontId="24" fillId="9" borderId="11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6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6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6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6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6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27" fillId="6" borderId="0" applyNumberFormat="0" applyBorder="0" applyAlignment="0" applyProtection="0"/>
    <xf numFmtId="0" fontId="4" fillId="10" borderId="12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3" fillId="0" borderId="0"/>
    <xf numFmtId="0" fontId="3" fillId="10" borderId="12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12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50">
    <xf numFmtId="0" fontId="0" fillId="0" borderId="0" xfId="0"/>
    <xf numFmtId="0" fontId="7" fillId="0" borderId="0" xfId="0" applyFont="1"/>
    <xf numFmtId="0" fontId="7" fillId="0" borderId="1" xfId="0" applyFont="1" applyBorder="1"/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4" xfId="0" applyNumberFormat="1" applyFont="1" applyBorder="1" applyAlignment="1">
      <alignment horizontal="center" vertical="center" wrapText="1"/>
    </xf>
    <xf numFmtId="10" fontId="10" fillId="0" borderId="0" xfId="1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5" fillId="0" borderId="0" xfId="1" applyNumberFormat="1" applyFont="1" applyFill="1" applyBorder="1"/>
    <xf numFmtId="0" fontId="2" fillId="0" borderId="0" xfId="60"/>
    <xf numFmtId="15" fontId="2" fillId="0" borderId="0" xfId="60" applyNumberFormat="1"/>
    <xf numFmtId="14" fontId="2" fillId="0" borderId="0" xfId="60" applyNumberFormat="1"/>
    <xf numFmtId="1" fontId="12" fillId="0" borderId="4" xfId="0" applyNumberFormat="1" applyFont="1" applyBorder="1" applyAlignment="1">
      <alignment horizontal="center" vertical="center"/>
    </xf>
    <xf numFmtId="1" fontId="12" fillId="0" borderId="15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10" fillId="0" borderId="0" xfId="0" applyFont="1" applyAlignment="1">
      <alignment horizontal="center"/>
    </xf>
    <xf numFmtId="1" fontId="10" fillId="0" borderId="3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" fontId="10" fillId="0" borderId="14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" fontId="10" fillId="0" borderId="15" xfId="0" applyNumberFormat="1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  <xf numFmtId="0" fontId="1" fillId="0" borderId="0" xfId="0" applyFont="1"/>
    <xf numFmtId="0" fontId="12" fillId="2" borderId="0" xfId="0" applyFont="1" applyFill="1" applyAlignment="1">
      <alignment horizontal="center"/>
    </xf>
    <xf numFmtId="1" fontId="12" fillId="3" borderId="3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4" xfId="0" applyNumberFormat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activeCell="B65" sqref="B65:B66"/>
      <selection pane="topRight" activeCell="B65" sqref="B65:B66"/>
      <selection pane="bottomLeft" activeCell="B65" sqref="B65:B66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12.46484375" bestFit="1" customWidth="1"/>
    <col min="5" max="5" width="11.796875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customWidth="1"/>
    <col min="23" max="23" width="11.9296875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4" t="s">
        <v>360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18"/>
      <c r="AG1" s="45" t="s">
        <v>363</v>
      </c>
      <c r="AH1" s="46"/>
      <c r="AI1" s="46"/>
      <c r="AJ1" s="46"/>
      <c r="AK1" s="46"/>
      <c r="AL1" s="45" t="s">
        <v>208</v>
      </c>
      <c r="AM1" s="46"/>
      <c r="AN1" s="46"/>
      <c r="AO1" s="46"/>
      <c r="AP1" s="46"/>
      <c r="AQ1" s="45" t="s">
        <v>209</v>
      </c>
      <c r="AR1" s="46"/>
      <c r="AS1" s="46"/>
      <c r="AT1" s="46"/>
      <c r="AU1" s="47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175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361</v>
      </c>
      <c r="N2" s="42" t="s">
        <v>362</v>
      </c>
      <c r="O2" s="5" t="s">
        <v>13</v>
      </c>
      <c r="P2" s="5" t="s">
        <v>14</v>
      </c>
      <c r="Q2" s="5" t="s">
        <v>15</v>
      </c>
      <c r="R2" s="6" t="s">
        <v>358</v>
      </c>
      <c r="S2" s="42" t="s">
        <v>359</v>
      </c>
      <c r="T2" s="5" t="s">
        <v>16</v>
      </c>
      <c r="U2" s="5" t="s">
        <v>17</v>
      </c>
      <c r="V2" s="5" t="s">
        <v>18</v>
      </c>
      <c r="W2" s="6" t="s">
        <v>216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357</v>
      </c>
      <c r="AE2" s="5" t="s">
        <v>267</v>
      </c>
      <c r="AF2" s="7"/>
      <c r="AG2" s="24" t="s">
        <v>150</v>
      </c>
      <c r="AH2" s="8" t="s">
        <v>151</v>
      </c>
      <c r="AI2" s="8" t="s">
        <v>152</v>
      </c>
      <c r="AJ2" s="8" t="s">
        <v>153</v>
      </c>
      <c r="AK2" s="8" t="s">
        <v>154</v>
      </c>
      <c r="AL2" s="9" t="s">
        <v>150</v>
      </c>
      <c r="AM2" s="8" t="s">
        <v>151</v>
      </c>
      <c r="AN2" s="8" t="s">
        <v>152</v>
      </c>
      <c r="AO2" s="8" t="s">
        <v>153</v>
      </c>
      <c r="AP2" s="8" t="s">
        <v>154</v>
      </c>
      <c r="AQ2" s="9" t="s">
        <v>150</v>
      </c>
      <c r="AR2" s="8" t="s">
        <v>151</v>
      </c>
      <c r="AS2" s="8" t="s">
        <v>152</v>
      </c>
      <c r="AT2" s="8" t="s">
        <v>153</v>
      </c>
      <c r="AU2" s="25" t="s">
        <v>154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6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6" t="str">
        <f>IF(OR(ISNUMBER(SEARCH("soft tissue", AD3)), ISNUMBER(SEARCH("adipose tissue", AD3)),ISNUMBER(SEARCH("muscles",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6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48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40" t="str">
        <f t="shared" ref="AG3:AG16" si="1">IF(OR(ISNUMBER(SEARCH("non-invasive follicular",O3,1)),ISNUMBER(SEARCH("non-invasive follicular",P3,1))),"NIFTP",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1" t="str">
        <f t="shared" ref="AH3:AH31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1" t="str">
        <f t="shared" ref="AI3:AI16" si="3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1">
        <f t="shared" ref="AJ3:AJ16" si="4">IF(OR(ISNUMBER(SEARCH("non-invasive follicular",O3,1)),ISNUMBER(SEARCH("non-invasive follicular",P3,1))),"NIFTP",IF(I3="unknown","x",IF(I3="negative",0,1)))</f>
        <v>0</v>
      </c>
      <c r="AK3" s="31" t="str">
        <f t="shared" ref="AK3:AK16" si="5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2" t="s">
        <v>174</v>
      </c>
      <c r="AM3" s="33" t="s">
        <v>201</v>
      </c>
      <c r="AN3" s="33" t="s">
        <v>202</v>
      </c>
      <c r="AO3" s="33">
        <v>0</v>
      </c>
      <c r="AP3" s="33" t="s">
        <v>31</v>
      </c>
      <c r="AQ3" s="32">
        <f t="shared" ref="AQ3:AQ37" si="6">IF(AL3=AG3,1,0)</f>
        <v>1</v>
      </c>
      <c r="AR3" s="33">
        <f t="shared" ref="AR3:AR37" si="7">IF(AM3=AH3,1,0)</f>
        <v>1</v>
      </c>
      <c r="AS3" s="33">
        <f t="shared" ref="AS3:AS37" si="8">IF(AI3=AN3,1,IF(OR(AND(AN3="x",AI3=0),AND(AI3="x",AN3=0)),1,0))</f>
        <v>1</v>
      </c>
      <c r="AT3" s="33">
        <f t="shared" ref="AT3:AT37" si="9">IF(AO3=AJ3,1,0)</f>
        <v>1</v>
      </c>
      <c r="AU3" s="34">
        <f t="shared" ref="AU3:AU37" si="10"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1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6" t="str">
        <f t="shared" ref="Y4:Y37" si="12">IF(OR(ISNUMBER(SEARCH("soft tissue", AD4)), ISNUMBER(SEARCH("adipose tissue", AD4)),ISNUMBER(SEARCH("muscles",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6" t="str">
        <f t="shared" ref="AC4:AC37" si="13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49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35" t="str">
        <f t="shared" si="1"/>
        <v>low</v>
      </c>
      <c r="AH4" s="31" t="str">
        <f t="shared" si="2"/>
        <v>2</v>
      </c>
      <c r="AI4" s="31" t="str">
        <f t="shared" si="3"/>
        <v>x</v>
      </c>
      <c r="AJ4" s="31">
        <f t="shared" si="4"/>
        <v>0</v>
      </c>
      <c r="AK4" s="31" t="str">
        <f t="shared" si="5"/>
        <v>I</v>
      </c>
      <c r="AL4" s="32" t="s">
        <v>174</v>
      </c>
      <c r="AM4" s="33" t="s">
        <v>354</v>
      </c>
      <c r="AN4" s="33" t="s">
        <v>202</v>
      </c>
      <c r="AO4" s="33">
        <v>0</v>
      </c>
      <c r="AP4" s="33" t="s">
        <v>31</v>
      </c>
      <c r="AQ4" s="32">
        <f t="shared" si="6"/>
        <v>1</v>
      </c>
      <c r="AR4" s="33">
        <f t="shared" si="7"/>
        <v>1</v>
      </c>
      <c r="AS4" s="33">
        <f t="shared" si="8"/>
        <v>1</v>
      </c>
      <c r="AT4" s="33">
        <f t="shared" si="9"/>
        <v>1</v>
      </c>
      <c r="AU4" s="34">
        <f t="shared" si="10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1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6" t="str">
        <f t="shared" si="12"/>
        <v>positive</v>
      </c>
      <c r="AC5" s="16" t="str">
        <f t="shared" si="13"/>
        <v>negative</v>
      </c>
      <c r="AD5" t="str" cm="1">
        <f t="array" ref="AD5">_xlfn.TEXTJOIN("; ",TRUE,_xlfn._xlws.FILTER('Model output'!S:S,'Model output'!Z:Z=A5))</f>
        <v>Microscopic invasive of the surrounding fat at the 2 mm tumor nodule.</v>
      </c>
      <c r="AE5" s="49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35" t="str">
        <f t="shared" si="1"/>
        <v>intermediate</v>
      </c>
      <c r="AH5" s="31" t="str">
        <f t="shared" si="2"/>
        <v>1a</v>
      </c>
      <c r="AI5" s="31" t="str">
        <f t="shared" si="3"/>
        <v>1a</v>
      </c>
      <c r="AJ5" s="31">
        <f t="shared" si="4"/>
        <v>0</v>
      </c>
      <c r="AK5" s="31" t="str">
        <f t="shared" si="5"/>
        <v>I</v>
      </c>
      <c r="AL5" s="32" t="s">
        <v>172</v>
      </c>
      <c r="AM5" s="33" t="s">
        <v>203</v>
      </c>
      <c r="AN5" s="33" t="s">
        <v>203</v>
      </c>
      <c r="AO5" s="33">
        <v>0</v>
      </c>
      <c r="AP5" s="33" t="s">
        <v>31</v>
      </c>
      <c r="AQ5" s="32">
        <f t="shared" si="6"/>
        <v>1</v>
      </c>
      <c r="AR5" s="33">
        <f t="shared" si="7"/>
        <v>1</v>
      </c>
      <c r="AS5" s="33">
        <f t="shared" si="8"/>
        <v>1</v>
      </c>
      <c r="AT5" s="33">
        <f t="shared" si="9"/>
        <v>1</v>
      </c>
      <c r="AU5" s="34">
        <f t="shared" si="10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3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1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6" t="str">
        <f t="shared" si="12"/>
        <v>positive</v>
      </c>
      <c r="AC6" s="16" t="str">
        <f t="shared" si="13"/>
        <v>negative</v>
      </c>
      <c r="AD6" t="str" cm="1">
        <f t="array" ref="AD6">_xlfn.TEXTJOIN("; ",TRUE,_xlfn._xlws.FILTER('Model output'!S:S,'Model output'!Z:Z=A6))</f>
        <v>fatty soft tissue at isthmus</v>
      </c>
      <c r="AE6" s="49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35" t="str">
        <f t="shared" si="1"/>
        <v>intermediate</v>
      </c>
      <c r="AH6" s="31" t="str">
        <f t="shared" si="2"/>
        <v>1b</v>
      </c>
      <c r="AI6" s="31" t="str">
        <f t="shared" si="3"/>
        <v>1a</v>
      </c>
      <c r="AJ6" s="31">
        <f t="shared" si="4"/>
        <v>0</v>
      </c>
      <c r="AK6" s="31" t="str">
        <f t="shared" si="5"/>
        <v>II</v>
      </c>
      <c r="AL6" s="32" t="s">
        <v>172</v>
      </c>
      <c r="AM6" s="31" t="s">
        <v>201</v>
      </c>
      <c r="AN6" s="33" t="s">
        <v>203</v>
      </c>
      <c r="AO6" s="33">
        <v>0</v>
      </c>
      <c r="AP6" s="33" t="s">
        <v>44</v>
      </c>
      <c r="AQ6" s="32">
        <f t="shared" si="6"/>
        <v>1</v>
      </c>
      <c r="AR6" s="33">
        <f t="shared" si="7"/>
        <v>1</v>
      </c>
      <c r="AS6" s="33">
        <f t="shared" si="8"/>
        <v>1</v>
      </c>
      <c r="AT6" s="33">
        <f t="shared" si="9"/>
        <v>1</v>
      </c>
      <c r="AU6" s="34">
        <f t="shared" si="10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>
        <f>IF(IFERROR(INDEX('Model output'!I:I, MATCH(A7, 'Model output'!Z:Z, 0)), "") &lt; K7, "", IFERROR(INDEX('Model output'!I:I, MATCH(A7, 'Model output'!Z:Z, 0)), ""))</f>
        <v>5</v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1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6" t="str">
        <f t="shared" si="12"/>
        <v>positive</v>
      </c>
      <c r="AC7" s="16" t="str">
        <f t="shared" si="13"/>
        <v>positive</v>
      </c>
      <c r="AD7" t="str" cm="1">
        <f t="array" ref="AD7">_xlfn.TEXTJOIN("; ",TRUE,_xlfn._xlws.FILTER('Model output'!S:S,'Model output'!Z:Z=A7))</f>
        <v>Invading soft tissue and strap muscles; Yes</v>
      </c>
      <c r="AE7" s="49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35" t="str">
        <f t="shared" si="1"/>
        <v>high</v>
      </c>
      <c r="AH7" s="31" t="str">
        <f t="shared" si="2"/>
        <v>4a</v>
      </c>
      <c r="AI7" s="31" t="str">
        <f t="shared" si="3"/>
        <v>1a</v>
      </c>
      <c r="AJ7" s="31">
        <f t="shared" si="4"/>
        <v>0</v>
      </c>
      <c r="AK7" s="31" t="str">
        <f t="shared" si="5"/>
        <v>I</v>
      </c>
      <c r="AL7" s="32" t="s">
        <v>173</v>
      </c>
      <c r="AM7" s="33" t="s">
        <v>204</v>
      </c>
      <c r="AN7" s="33" t="s">
        <v>203</v>
      </c>
      <c r="AO7" s="33">
        <v>0</v>
      </c>
      <c r="AP7" s="33" t="s">
        <v>31</v>
      </c>
      <c r="AQ7" s="32">
        <f t="shared" si="6"/>
        <v>1</v>
      </c>
      <c r="AR7" s="33">
        <f t="shared" si="7"/>
        <v>0</v>
      </c>
      <c r="AS7" s="33">
        <f t="shared" si="8"/>
        <v>1</v>
      </c>
      <c r="AT7" s="33">
        <f t="shared" si="9"/>
        <v>1</v>
      </c>
      <c r="AU7" s="34">
        <f t="shared" si="10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1b</v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>X</v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>positive</v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>central</v>
      </c>
      <c r="I8" s="16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 xml:space="preserve"> 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4cm</v>
      </c>
      <c r="S8" cm="1">
        <f t="array" ref="S8">IF(MaxSize((SplitDimensions(R8)))=0, "", MaxSize((SplitDimensions(R8))))</f>
        <v>4</v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1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12"/>
        <v>negative</v>
      </c>
      <c r="AC8" s="16" t="str">
        <f t="shared" si="13"/>
        <v>negative</v>
      </c>
      <c r="AD8" t="str" cm="1">
        <f t="array" ref="AD8">_xlfn.TEXTJOIN("; ",TRUE,_xlfn._xlws.FILTER('Model output'!S:S,'Model output'!Z:Z=A8))</f>
        <v/>
      </c>
      <c r="AE8" s="49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35" t="str">
        <f t="shared" si="1"/>
        <v>low</v>
      </c>
      <c r="AH8" s="31" t="str">
        <f t="shared" si="2"/>
        <v>2</v>
      </c>
      <c r="AI8" s="31" t="str">
        <f t="shared" si="3"/>
        <v>x</v>
      </c>
      <c r="AJ8" s="31">
        <f t="shared" si="4"/>
        <v>0</v>
      </c>
      <c r="AK8" s="31" t="str">
        <f t="shared" si="5"/>
        <v>I</v>
      </c>
      <c r="AL8" s="32" t="s">
        <v>174</v>
      </c>
      <c r="AM8" s="31" t="s">
        <v>202</v>
      </c>
      <c r="AN8" s="33" t="s">
        <v>202</v>
      </c>
      <c r="AO8" s="33">
        <v>0</v>
      </c>
      <c r="AP8" s="33" t="s">
        <v>31</v>
      </c>
      <c r="AQ8" s="32">
        <f t="shared" si="6"/>
        <v>1</v>
      </c>
      <c r="AR8" s="33">
        <f t="shared" si="7"/>
        <v>0</v>
      </c>
      <c r="AS8" s="33">
        <f t="shared" si="8"/>
        <v>1</v>
      </c>
      <c r="AT8" s="33">
        <f t="shared" si="9"/>
        <v>1</v>
      </c>
      <c r="AU8" s="34">
        <f t="shared" si="10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0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1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6" t="str">
        <f t="shared" si="12"/>
        <v>negative</v>
      </c>
      <c r="AC9" s="16" t="str">
        <f t="shared" si="13"/>
        <v>negative</v>
      </c>
      <c r="AD9" t="str" cm="1">
        <f t="array" ref="AD9">_xlfn.TEXTJOIN("; ",TRUE,_xlfn._xlws.FILTER('Model output'!S:S,'Model output'!Z:Z=A9))</f>
        <v>Not identified</v>
      </c>
      <c r="AE9" s="49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35" t="str">
        <f t="shared" si="1"/>
        <v>low</v>
      </c>
      <c r="AH9" s="31" t="str">
        <f t="shared" si="2"/>
        <v>1a</v>
      </c>
      <c r="AI9" s="31" t="str">
        <f t="shared" si="3"/>
        <v>x</v>
      </c>
      <c r="AJ9" s="31">
        <f t="shared" si="4"/>
        <v>0</v>
      </c>
      <c r="AK9" s="31" t="str">
        <f t="shared" si="5"/>
        <v>I</v>
      </c>
      <c r="AL9" s="32" t="s">
        <v>174</v>
      </c>
      <c r="AM9" s="33" t="s">
        <v>203</v>
      </c>
      <c r="AN9" s="33" t="s">
        <v>202</v>
      </c>
      <c r="AO9" s="33">
        <v>0</v>
      </c>
      <c r="AP9" s="33" t="s">
        <v>31</v>
      </c>
      <c r="AQ9" s="32">
        <f t="shared" si="6"/>
        <v>1</v>
      </c>
      <c r="AR9" s="33">
        <f t="shared" si="7"/>
        <v>1</v>
      </c>
      <c r="AS9" s="33">
        <f t="shared" si="8"/>
        <v>1</v>
      </c>
      <c r="AT9" s="33">
        <f t="shared" si="9"/>
        <v>1</v>
      </c>
      <c r="AU9" s="34">
        <f t="shared" si="10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1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6" t="str">
        <f t="shared" si="12"/>
        <v>negative</v>
      </c>
      <c r="AC10" s="16" t="str">
        <f t="shared" si="13"/>
        <v>negative</v>
      </c>
      <c r="AD10" t="str" cm="1">
        <f t="array" ref="AD10">_xlfn.TEXTJOIN("; ",TRUE,_xlfn._xlws.FILTER('Model output'!S:S,'Model output'!Z:Z=A10))</f>
        <v>Not identified</v>
      </c>
      <c r="AE10" s="49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35" t="str">
        <f t="shared" si="1"/>
        <v>low</v>
      </c>
      <c r="AH10" s="31" t="str">
        <f t="shared" si="2"/>
        <v>1b</v>
      </c>
      <c r="AI10" s="31" t="str">
        <f t="shared" si="3"/>
        <v>x</v>
      </c>
      <c r="AJ10" s="31">
        <f t="shared" si="4"/>
        <v>0</v>
      </c>
      <c r="AK10" s="31" t="str">
        <f t="shared" si="5"/>
        <v>I</v>
      </c>
      <c r="AL10" s="32" t="s">
        <v>174</v>
      </c>
      <c r="AM10" s="33" t="s">
        <v>201</v>
      </c>
      <c r="AN10" s="33" t="s">
        <v>202</v>
      </c>
      <c r="AO10" s="33">
        <v>0</v>
      </c>
      <c r="AP10" s="33" t="s">
        <v>31</v>
      </c>
      <c r="AQ10" s="32">
        <f t="shared" si="6"/>
        <v>1</v>
      </c>
      <c r="AR10" s="33">
        <f t="shared" si="7"/>
        <v>1</v>
      </c>
      <c r="AS10" s="33">
        <f t="shared" si="8"/>
        <v>1</v>
      </c>
      <c r="AT10" s="33">
        <f t="shared" si="9"/>
        <v>1</v>
      </c>
      <c r="AU10" s="34">
        <f t="shared" si="10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7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/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/>
      </c>
      <c r="N11" t="str" cm="1">
        <f t="array" ref="N11">IF(MaxSize((SplitDimensions(M11)))=0, "", MaxSize((SplitDimensions(M11))))</f>
        <v/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 subtype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1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12"/>
        <v>negative</v>
      </c>
      <c r="AC11" s="16" t="str">
        <f t="shared" si="13"/>
        <v>negative</v>
      </c>
      <c r="AD11" t="str" cm="1">
        <f t="array" ref="AD11">_xlfn.TEXTJOIN("; ",TRUE,_xlfn._xlws.FILTER('Model output'!S:S,'Model output'!Z:Z=A11))</f>
        <v>No</v>
      </c>
      <c r="AE11" s="49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35" t="str">
        <f t="shared" si="1"/>
        <v>low</v>
      </c>
      <c r="AH11" s="31" t="str">
        <f t="shared" si="2"/>
        <v>2</v>
      </c>
      <c r="AI11" s="31" t="str">
        <f t="shared" si="3"/>
        <v>1a</v>
      </c>
      <c r="AJ11" s="31">
        <f t="shared" si="4"/>
        <v>0</v>
      </c>
      <c r="AK11" s="31" t="str">
        <f t="shared" si="5"/>
        <v>II</v>
      </c>
      <c r="AL11" s="32" t="s">
        <v>172</v>
      </c>
      <c r="AM11" s="33" t="s">
        <v>354</v>
      </c>
      <c r="AN11" s="33" t="s">
        <v>203</v>
      </c>
      <c r="AO11" s="33">
        <v>0</v>
      </c>
      <c r="AP11" s="33" t="s">
        <v>44</v>
      </c>
      <c r="AQ11" s="32">
        <f t="shared" si="6"/>
        <v>0</v>
      </c>
      <c r="AR11" s="33">
        <f t="shared" si="7"/>
        <v>1</v>
      </c>
      <c r="AS11" s="33">
        <f t="shared" si="8"/>
        <v>1</v>
      </c>
      <c r="AT11" s="33">
        <f t="shared" si="9"/>
        <v>1</v>
      </c>
      <c r="AU11" s="34">
        <f t="shared" si="10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6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1</v>
      </c>
      <c r="L12" s="17" t="str" cm="1">
        <f t="array" ref="L12">ReplaceTo(ReplaceAnd(SUBSTITUTE(SUBSTITUTE(_xlfn.TEXTJOIN("; ", TRUE, _xlfn._xlws.FILTER('Model output'!K:K, 'Model output'!Z:Z=A12)), " ", ""), ",", ";")))</f>
        <v>0.8cm</v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>0.8cm</v>
      </c>
      <c r="N12" cm="1">
        <f t="array" ref="N12">IF(MaxSize((SplitDimensions(M12)))=0, "", MaxSize((SplitDimensions(M12))))</f>
        <v>0.8</v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 subtype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1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6" t="str">
        <f t="shared" si="12"/>
        <v>negative</v>
      </c>
      <c r="AC12" s="16" t="str">
        <f t="shared" si="13"/>
        <v>negative</v>
      </c>
      <c r="AD12" t="str" cm="1">
        <f t="array" ref="AD12">_xlfn.TEXTJOIN("; ",TRUE,_xlfn._xlws.FILTER('Model output'!S:S,'Model output'!Z:Z=A12))</f>
        <v>Not identified</v>
      </c>
      <c r="AE12" s="49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35" t="str">
        <f t="shared" si="1"/>
        <v>low</v>
      </c>
      <c r="AH12" s="31" t="str">
        <f t="shared" si="2"/>
        <v>1b</v>
      </c>
      <c r="AI12" s="31" t="str">
        <f t="shared" si="3"/>
        <v>1a</v>
      </c>
      <c r="AJ12" s="31">
        <f t="shared" si="4"/>
        <v>0</v>
      </c>
      <c r="AK12" s="31" t="str">
        <f t="shared" si="5"/>
        <v>I</v>
      </c>
      <c r="AL12" s="32" t="s">
        <v>174</v>
      </c>
      <c r="AM12" s="33" t="s">
        <v>201</v>
      </c>
      <c r="AN12" s="33" t="s">
        <v>203</v>
      </c>
      <c r="AO12" s="33">
        <v>0</v>
      </c>
      <c r="AP12" s="33" t="s">
        <v>31</v>
      </c>
      <c r="AQ12" s="32">
        <f t="shared" si="6"/>
        <v>1</v>
      </c>
      <c r="AR12" s="33">
        <f t="shared" si="7"/>
        <v>1</v>
      </c>
      <c r="AS12" s="33">
        <f t="shared" si="8"/>
        <v>1</v>
      </c>
      <c r="AT12" s="33">
        <f t="shared" si="9"/>
        <v>1</v>
      </c>
      <c r="AU12" s="34">
        <f t="shared" si="10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6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1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6" t="str">
        <f t="shared" si="12"/>
        <v>negative</v>
      </c>
      <c r="AC13" s="16" t="str">
        <f t="shared" si="13"/>
        <v>negative</v>
      </c>
      <c r="AD13" t="str" cm="1">
        <f t="array" ref="AD13">_xlfn.TEXTJOIN("; ",TRUE,_xlfn._xlws.FILTER('Model output'!S:S,'Model output'!Z:Z=A13))</f>
        <v>Not identified</v>
      </c>
      <c r="AE13" s="49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35" t="str">
        <f t="shared" si="1"/>
        <v>low</v>
      </c>
      <c r="AH13" s="31" t="str">
        <f t="shared" si="2"/>
        <v>3a</v>
      </c>
      <c r="AI13" s="31" t="str">
        <f t="shared" si="3"/>
        <v>x</v>
      </c>
      <c r="AJ13" s="31">
        <f t="shared" si="4"/>
        <v>0</v>
      </c>
      <c r="AK13" s="31" t="str">
        <f t="shared" si="5"/>
        <v>II</v>
      </c>
      <c r="AL13" s="32" t="s">
        <v>174</v>
      </c>
      <c r="AM13" s="33" t="s">
        <v>205</v>
      </c>
      <c r="AN13" s="33" t="s">
        <v>202</v>
      </c>
      <c r="AO13" s="33">
        <v>0</v>
      </c>
      <c r="AP13" s="33" t="s">
        <v>44</v>
      </c>
      <c r="AQ13" s="32">
        <f t="shared" si="6"/>
        <v>1</v>
      </c>
      <c r="AR13" s="33">
        <f t="shared" si="7"/>
        <v>1</v>
      </c>
      <c r="AS13" s="33">
        <f t="shared" si="8"/>
        <v>1</v>
      </c>
      <c r="AT13" s="33">
        <f t="shared" si="9"/>
        <v>1</v>
      </c>
      <c r="AU13" s="34">
        <f t="shared" si="10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papillary carcinoma, classic subtype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11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6" t="str">
        <f t="shared" si="12"/>
        <v>negative</v>
      </c>
      <c r="AC14" s="16" t="str">
        <f t="shared" si="13"/>
        <v>negative</v>
      </c>
      <c r="AD14" t="str" cm="1">
        <f t="array" ref="AD14">_xlfn.TEXTJOIN("; ",TRUE,_xlfn._xlws.FILTER('Model output'!S:S,'Model output'!Z:Z=A14))</f>
        <v>No</v>
      </c>
      <c r="AE14" s="49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35" t="str">
        <f t="shared" si="1"/>
        <v>low</v>
      </c>
      <c r="AH14" s="31" t="str">
        <f t="shared" si="2"/>
        <v>3a</v>
      </c>
      <c r="AI14" s="31" t="str">
        <f t="shared" si="3"/>
        <v>x</v>
      </c>
      <c r="AJ14" s="31">
        <f t="shared" si="4"/>
        <v>0</v>
      </c>
      <c r="AK14" s="31" t="str">
        <f t="shared" si="5"/>
        <v>II</v>
      </c>
      <c r="AL14" s="32" t="s">
        <v>172</v>
      </c>
      <c r="AM14" s="33" t="s">
        <v>205</v>
      </c>
      <c r="AN14" s="33" t="s">
        <v>202</v>
      </c>
      <c r="AO14" s="33">
        <v>0</v>
      </c>
      <c r="AP14" s="33" t="s">
        <v>44</v>
      </c>
      <c r="AQ14" s="32">
        <f t="shared" si="6"/>
        <v>0</v>
      </c>
      <c r="AR14" s="33">
        <f t="shared" si="7"/>
        <v>1</v>
      </c>
      <c r="AS14" s="33">
        <f t="shared" si="8"/>
        <v>1</v>
      </c>
      <c r="AT14" s="33">
        <f t="shared" si="9"/>
        <v>1</v>
      </c>
      <c r="AU14" s="34">
        <f t="shared" si="10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central</v>
      </c>
      <c r="I15" s="16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/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/>
      </c>
      <c r="N15" t="str" cm="1">
        <f t="array" ref="N15">IF(MaxSize((SplitDimensions(M15)))=0, "", MaxSize((SplitDimensions(M15))))</f>
        <v/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 subtype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11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Y15" s="16" t="str">
        <f t="shared" si="12"/>
        <v>positive</v>
      </c>
      <c r="AC15" s="16" t="str">
        <f t="shared" si="13"/>
        <v>negative</v>
      </c>
      <c r="AD15" t="str" cm="1">
        <f t="array" ref="AD15">_xlfn.TEXTJOIN("; ",TRUE,_xlfn._xlws.FILTER('Model output'!S:S,'Model output'!Z:Z=A15))</f>
        <v>Yes; Yes</v>
      </c>
      <c r="AE15" s="49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35" t="str">
        <f t="shared" si="1"/>
        <v>intermediate</v>
      </c>
      <c r="AH15" s="31" t="str">
        <f t="shared" si="2"/>
        <v>3a</v>
      </c>
      <c r="AI15" s="31" t="str">
        <f t="shared" si="3"/>
        <v>1a</v>
      </c>
      <c r="AJ15" s="31">
        <f t="shared" si="4"/>
        <v>0</v>
      </c>
      <c r="AK15" s="31" t="str">
        <f t="shared" si="5"/>
        <v>II</v>
      </c>
      <c r="AL15" s="32" t="s">
        <v>173</v>
      </c>
      <c r="AM15" s="33" t="s">
        <v>206</v>
      </c>
      <c r="AN15" s="33" t="s">
        <v>201</v>
      </c>
      <c r="AO15" s="33">
        <v>0</v>
      </c>
      <c r="AP15" s="33" t="s">
        <v>68</v>
      </c>
      <c r="AQ15" s="32">
        <f t="shared" si="6"/>
        <v>0</v>
      </c>
      <c r="AR15" s="33">
        <f t="shared" si="7"/>
        <v>0</v>
      </c>
      <c r="AS15" s="33">
        <f t="shared" si="8"/>
        <v>0</v>
      </c>
      <c r="AT15" s="33">
        <f t="shared" si="9"/>
        <v>1</v>
      </c>
      <c r="AU15" s="34">
        <f t="shared" si="10"/>
        <v>0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6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 subtype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11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12"/>
        <v>positive</v>
      </c>
      <c r="AC16" s="16" t="str">
        <f t="shared" si="13"/>
        <v>positive</v>
      </c>
      <c r="AD16" t="str" cm="1">
        <f t="array" ref="AD16">_xlfn.TEXTJOIN("; ",TRUE,_xlfn._xlws.FILTER('Model output'!S:S,'Model output'!Z:Z=A16))</f>
        <v>Invading only strap muscles; yes</v>
      </c>
      <c r="AE16" s="49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35" t="str">
        <f t="shared" si="1"/>
        <v>high</v>
      </c>
      <c r="AH16" s="31" t="str">
        <f t="shared" si="2"/>
        <v>3b</v>
      </c>
      <c r="AI16" s="31" t="str">
        <f t="shared" si="3"/>
        <v>x</v>
      </c>
      <c r="AJ16" s="31">
        <f t="shared" si="4"/>
        <v>0</v>
      </c>
      <c r="AK16" s="31" t="str">
        <f t="shared" si="5"/>
        <v>I</v>
      </c>
      <c r="AL16" s="32" t="s">
        <v>173</v>
      </c>
      <c r="AM16" s="33" t="s">
        <v>204</v>
      </c>
      <c r="AN16" s="33" t="s">
        <v>202</v>
      </c>
      <c r="AO16" s="33">
        <v>0</v>
      </c>
      <c r="AP16" s="33" t="s">
        <v>31</v>
      </c>
      <c r="AQ16" s="32">
        <f t="shared" si="6"/>
        <v>1</v>
      </c>
      <c r="AR16" s="33">
        <f t="shared" si="7"/>
        <v>1</v>
      </c>
      <c r="AS16" s="33">
        <f t="shared" si="8"/>
        <v>1</v>
      </c>
      <c r="AT16" s="33">
        <f t="shared" si="9"/>
        <v>1</v>
      </c>
      <c r="AU16" s="34">
        <f t="shared" si="10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6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 xml:space="preserve"> 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1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6" t="str">
        <f t="shared" si="12"/>
        <v>negative</v>
      </c>
      <c r="AC17" s="16" t="str">
        <f t="shared" si="13"/>
        <v>negative</v>
      </c>
      <c r="AD17" t="str" cm="1">
        <f t="array" ref="AD17">_xlfn.TEXTJOIN("; ",TRUE,_xlfn._xlws.FILTER('Model output'!S:S,'Model output'!Z:Z=A17))</f>
        <v/>
      </c>
      <c r="AE17" s="49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35" t="s">
        <v>75</v>
      </c>
      <c r="AH17" s="31" t="s">
        <v>75</v>
      </c>
      <c r="AI17" s="31" t="s">
        <v>75</v>
      </c>
      <c r="AJ17" s="31" t="s">
        <v>75</v>
      </c>
      <c r="AK17" s="31" t="s">
        <v>75</v>
      </c>
      <c r="AL17" s="32" t="s">
        <v>75</v>
      </c>
      <c r="AM17" s="33" t="s">
        <v>75</v>
      </c>
      <c r="AN17" s="33" t="s">
        <v>75</v>
      </c>
      <c r="AO17" s="33" t="s">
        <v>75</v>
      </c>
      <c r="AP17" s="33" t="s">
        <v>75</v>
      </c>
      <c r="AQ17" s="32">
        <f t="shared" si="6"/>
        <v>1</v>
      </c>
      <c r="AR17" s="33">
        <f t="shared" si="7"/>
        <v>1</v>
      </c>
      <c r="AS17" s="33">
        <f t="shared" si="8"/>
        <v>1</v>
      </c>
      <c r="AT17" s="33">
        <f t="shared" si="9"/>
        <v>1</v>
      </c>
      <c r="AU17" s="34">
        <f t="shared" si="10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6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0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 carcinoma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 subtype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1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12"/>
        <v>positive</v>
      </c>
      <c r="AC18" s="16" t="str">
        <f t="shared" si="13"/>
        <v>negative</v>
      </c>
      <c r="AD18" t="str" cm="1">
        <f t="array" ref="AD18">_xlfn.TEXTJOIN("; ",TRUE,_xlfn._xlws.FILTER('Model output'!S:S,'Model output'!Z:Z=A18))</f>
        <v>No; Yes</v>
      </c>
      <c r="AE18" s="49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35" t="str">
        <f t="shared" ref="AG18:AG37" si="14">IF(OR(ISNUMBER(SEARCH("non-invasive follicular",O18,1)),ISNUMBER(SEARCH("non-invasive follicular",P18,1))),"NIFTP", IF(OR(I18="positive",AC18="positive",AND(OR(ISNUMBER(SEARCH("follicular", O18)),ISNUMBER(SEARCH("FTC", O18))),W18="extensive"),AND(G18="positive",ISNUMBER(N18),N18&gt;3),AI18=1),"high",IF(OR(ISNUMBER(SEARCH("positive",Y18,1)),ISNUMBER(SEARCH("tall",P18,1)),ISNUMBER(SEARCH("hobnail",P18,1)),ISNUMBER(SEARCH("cribriform",P18,1)),ISNUMBER(SEARCH("diffuse",P18,1)),ISNUMBER(SEARCH("columnar",P18,1)),ISNUMBER(SEARCH("solid",P18,1)),ISNUMBER(SEARCH("tall",O18,1)),ISNUMBER(SEARCH("hobnail",O18,1)),ISNUMBER(SEARCH("cribriform",O18,1)),ISNUMBER(SEARCH("diffuse",O18,1)),ISNUMBER(SEARCH("columnar",O18,1)),ISNUMBER(SEARCH("solid",O18,1)),AND(OR(ISNUMBER(SEARCH("papillary carcinoma",O18,1)),ISNUMBER(SEARCH("papillary microcarcinoma",O18,1))),T18="positive"),,AND(AND(ISNUMBER(K18),K18&gt;=5),N18=""),AND(AND(ISNUMBER(K18),K18&gt;=5),AND(ISNUMBER(N18),N18&gt;=1)),H18="lateral"),"intermediate","low")))</f>
        <v>intermediate</v>
      </c>
      <c r="AH18" s="31" t="str">
        <f t="shared" si="2"/>
        <v>2</v>
      </c>
      <c r="AI18" s="31" t="str">
        <f t="shared" ref="AI18:AI37" si="15">IF(OR(ISNUMBER(SEARCH("non-invasive follicular",O18,1)),ISNUMBER(SEARCH("non-invasive follicular",P18,1))),"NIFTP",IF(AND(K18&gt;0,G18="positive",H18="central"),"1a",IF(AND(K18&gt;0,G18="positive",H18="lateral"),"1b",IF(AND(K18=0,J18=0),"x",0))))</f>
        <v>x</v>
      </c>
      <c r="AJ18" s="31">
        <f t="shared" ref="AJ18:AJ37" si="16">IF(OR(ISNUMBER(SEARCH("non-invasive follicular",O18,1)),ISNUMBER(SEARCH("non-invasive follicular",P18,1))),"NIFTP",IF(I18="unknown","x",IF(I18="negative",0,1)))</f>
        <v>0</v>
      </c>
      <c r="AK18" s="31" t="str">
        <f t="shared" ref="AK18:AK37" si="17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2" t="s">
        <v>172</v>
      </c>
      <c r="AM18" s="33" t="s">
        <v>354</v>
      </c>
      <c r="AN18" s="33">
        <v>0</v>
      </c>
      <c r="AO18" s="33">
        <v>0</v>
      </c>
      <c r="AP18" s="33" t="s">
        <v>31</v>
      </c>
      <c r="AQ18" s="32">
        <f t="shared" si="6"/>
        <v>1</v>
      </c>
      <c r="AR18" s="33">
        <f t="shared" si="7"/>
        <v>1</v>
      </c>
      <c r="AS18" s="33">
        <f t="shared" si="8"/>
        <v>1</v>
      </c>
      <c r="AT18" s="33">
        <f t="shared" si="9"/>
        <v>1</v>
      </c>
      <c r="AU18" s="34">
        <f t="shared" si="10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</v>
      </c>
      <c r="K19" s="16">
        <f>IFERROR(INDEX('Model output'!J:J, MATCH(A19, 'Model output'!Z:Z, 0)), "")</f>
        <v>1</v>
      </c>
      <c r="L19" s="17" t="str" cm="1">
        <f t="array" ref="L19">ReplaceTo(ReplaceAnd(SUBSTITUTE(SUBSTITUTE(_xlfn.TEXTJOIN("; ", TRUE, _xlfn._xlws.FILTER('Model output'!K:K, 'Model output'!Z:Z=A19)), " ", ""), ",", ";")))</f>
        <v>10mm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10mm</v>
      </c>
      <c r="N19" cm="1">
        <f t="array" ref="N19">IF(MaxSize((SplitDimensions(M19)))=0, "", MaxSize((SplitDimensions(M19))))</f>
        <v>1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1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6" t="str">
        <f t="shared" si="12"/>
        <v>negative</v>
      </c>
      <c r="AC19" s="16" t="str">
        <f t="shared" si="13"/>
        <v>negative</v>
      </c>
      <c r="AD19" t="str" cm="1">
        <f t="array" ref="AD19">_xlfn.TEXTJOIN("; ",TRUE,_xlfn._xlws.FILTER('Model output'!S:S,'Model output'!Z:Z=A19))</f>
        <v/>
      </c>
      <c r="AE19" s="49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35" t="str">
        <f t="shared" si="14"/>
        <v>intermediate</v>
      </c>
      <c r="AH19" s="31" t="str">
        <f t="shared" si="2"/>
        <v>1b</v>
      </c>
      <c r="AI19" s="31" t="str">
        <f t="shared" si="15"/>
        <v>1b</v>
      </c>
      <c r="AJ19" s="31">
        <f t="shared" si="16"/>
        <v>0</v>
      </c>
      <c r="AK19" s="31" t="str">
        <f t="shared" si="17"/>
        <v>I</v>
      </c>
      <c r="AL19" s="32" t="s">
        <v>172</v>
      </c>
      <c r="AM19" s="33" t="s">
        <v>201</v>
      </c>
      <c r="AN19" s="33" t="s">
        <v>201</v>
      </c>
      <c r="AO19" s="33">
        <v>0</v>
      </c>
      <c r="AP19" s="33" t="s">
        <v>31</v>
      </c>
      <c r="AQ19" s="32">
        <f t="shared" si="6"/>
        <v>1</v>
      </c>
      <c r="AR19" s="33">
        <f t="shared" si="7"/>
        <v>1</v>
      </c>
      <c r="AS19" s="33">
        <f t="shared" si="8"/>
        <v>1</v>
      </c>
      <c r="AT19" s="33">
        <f t="shared" si="9"/>
        <v>1</v>
      </c>
      <c r="AU19" s="34">
        <f t="shared" si="10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>0.5cm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>0.5cm</v>
      </c>
      <c r="N20" cm="1">
        <f t="array" ref="N20">IF(MaxSize((SplitDimensions(M20)))=0, "", MaxSize((SplitDimensions(M20))))</f>
        <v>0.5</v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 xml:space="preserve"> 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3cm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1"/>
        <v>minimal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6" t="str">
        <f t="shared" si="12"/>
        <v>positive</v>
      </c>
      <c r="AC20" s="16" t="str">
        <f t="shared" si="13"/>
        <v>positive</v>
      </c>
      <c r="AD20" t="str" cm="1">
        <f t="array" ref="AD20">_xlfn.TEXTJOIN("; ",TRUE,_xlfn._xlws.FILTER('Model output'!S:S,'Model output'!Z:Z=A20))</f>
        <v>Invading only strap muscles; Yes</v>
      </c>
      <c r="AE20" s="49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35" t="str">
        <f t="shared" si="14"/>
        <v>high</v>
      </c>
      <c r="AH20" s="31" t="str">
        <f t="shared" si="2"/>
        <v>4a</v>
      </c>
      <c r="AI20" s="31" t="str">
        <f t="shared" si="15"/>
        <v>1a</v>
      </c>
      <c r="AJ20" s="31">
        <f t="shared" si="16"/>
        <v>0</v>
      </c>
      <c r="AK20" s="31" t="str">
        <f t="shared" si="17"/>
        <v>III</v>
      </c>
      <c r="AL20" s="32" t="s">
        <v>173</v>
      </c>
      <c r="AM20" s="33" t="s">
        <v>206</v>
      </c>
      <c r="AN20" s="33" t="s">
        <v>203</v>
      </c>
      <c r="AO20" s="33">
        <v>0</v>
      </c>
      <c r="AP20" s="33" t="s">
        <v>68</v>
      </c>
      <c r="AQ20" s="32">
        <f t="shared" si="6"/>
        <v>1</v>
      </c>
      <c r="AR20" s="33">
        <f t="shared" si="7"/>
        <v>1</v>
      </c>
      <c r="AS20" s="33">
        <f t="shared" si="8"/>
        <v>1</v>
      </c>
      <c r="AT20" s="33">
        <f t="shared" si="9"/>
        <v>1</v>
      </c>
      <c r="AU20" s="34">
        <f t="shared" si="10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1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1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6" t="str">
        <f t="shared" si="12"/>
        <v>negative</v>
      </c>
      <c r="AC21" s="16" t="str">
        <f t="shared" si="13"/>
        <v>negative</v>
      </c>
      <c r="AD21" t="str" cm="1">
        <f t="array" ref="AD21">_xlfn.TEXTJOIN("; ",TRUE,_xlfn._xlws.FILTER('Model output'!S:S,'Model output'!Z:Z=A21))</f>
        <v>Not identified</v>
      </c>
      <c r="AE21" s="49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35" t="str">
        <f t="shared" si="14"/>
        <v>low</v>
      </c>
      <c r="AH21" s="31" t="str">
        <f t="shared" si="2"/>
        <v>1a</v>
      </c>
      <c r="AI21" s="31">
        <f t="shared" si="15"/>
        <v>0</v>
      </c>
      <c r="AJ21" s="31">
        <f t="shared" si="16"/>
        <v>0</v>
      </c>
      <c r="AK21" s="31" t="str">
        <f t="shared" si="17"/>
        <v>I</v>
      </c>
      <c r="AL21" s="32" t="s">
        <v>174</v>
      </c>
      <c r="AM21" s="33" t="s">
        <v>203</v>
      </c>
      <c r="AN21" s="33">
        <v>0</v>
      </c>
      <c r="AO21" s="33">
        <v>0</v>
      </c>
      <c r="AP21" s="33" t="s">
        <v>31</v>
      </c>
      <c r="AQ21" s="32">
        <f t="shared" si="6"/>
        <v>1</v>
      </c>
      <c r="AR21" s="33">
        <f t="shared" si="7"/>
        <v>1</v>
      </c>
      <c r="AS21" s="33">
        <f t="shared" si="8"/>
        <v>1</v>
      </c>
      <c r="AT21" s="33">
        <f t="shared" si="9"/>
        <v>1</v>
      </c>
      <c r="AU21" s="34">
        <f t="shared" si="10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61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</v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>
        <f>IF(IFERROR(INDEX('Model output'!I:I, MATCH(A22, 'Model output'!Z:Z, 0)), "") &lt; K22, "", IFERROR(INDEX('Model output'!I:I, MATCH(A22, 'Model output'!Z:Z, 0)), ""))</f>
        <v>4</v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>6mm</v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>6mm</v>
      </c>
      <c r="N22" cm="1">
        <f t="array" ref="N22">IF(MaxSize((SplitDimensions(M22)))=0, "", MaxSize((SplitDimensions(M22))))</f>
        <v>0.6</v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1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6" t="str">
        <f t="shared" si="12"/>
        <v>positive</v>
      </c>
      <c r="AC22" s="16" t="str">
        <f t="shared" si="13"/>
        <v>negative</v>
      </c>
      <c r="AD22" t="str" cm="1">
        <f t="array" ref="AD22">_xlfn.TEXTJOIN("; ",TRUE,_xlfn._xlws.FILTER('Model output'!S:S,'Model output'!Z:Z=A22))</f>
        <v>Yes</v>
      </c>
      <c r="AE22" s="49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35" t="str">
        <f t="shared" si="14"/>
        <v>intermediate</v>
      </c>
      <c r="AH22" s="31" t="str">
        <f t="shared" si="2"/>
        <v>1b</v>
      </c>
      <c r="AI22" s="31" t="str">
        <f t="shared" si="15"/>
        <v>1a</v>
      </c>
      <c r="AJ22" s="31">
        <f t="shared" si="16"/>
        <v>0</v>
      </c>
      <c r="AK22" s="31" t="str">
        <f t="shared" si="17"/>
        <v>II</v>
      </c>
      <c r="AL22" s="32" t="s">
        <v>172</v>
      </c>
      <c r="AM22" s="33" t="s">
        <v>201</v>
      </c>
      <c r="AN22" s="33" t="s">
        <v>203</v>
      </c>
      <c r="AO22" s="33">
        <v>0</v>
      </c>
      <c r="AP22" s="33" t="s">
        <v>44</v>
      </c>
      <c r="AQ22" s="32">
        <f t="shared" si="6"/>
        <v>1</v>
      </c>
      <c r="AR22" s="33">
        <f t="shared" si="7"/>
        <v>1</v>
      </c>
      <c r="AS22" s="33">
        <f t="shared" si="8"/>
        <v>1</v>
      </c>
      <c r="AT22" s="33">
        <f t="shared" si="9"/>
        <v>1</v>
      </c>
      <c r="AU22" s="34">
        <f t="shared" si="10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1b</v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>1.8cm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1.8cm</v>
      </c>
      <c r="N23" cm="1">
        <f t="array" ref="N23">IF(MaxSize((SplitDimensions(M23)))=0, "", MaxSize((SplitDimensions(M23))))</f>
        <v>1.8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 type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1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Y23" s="16" t="str">
        <f t="shared" si="12"/>
        <v>positive</v>
      </c>
      <c r="AC23" s="16" t="str">
        <f t="shared" si="13"/>
        <v>negative</v>
      </c>
      <c r="AD23" t="str" cm="1">
        <f t="array" ref="AD23">_xlfn.TEXTJOIN("; ",TRUE,_xlfn._xlws.FILTER('Model output'!S:S,'Model output'!Z:Z=A23))</f>
        <v>Yes</v>
      </c>
      <c r="AE23" s="49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35" t="str">
        <f t="shared" si="14"/>
        <v>intermediate</v>
      </c>
      <c r="AH23" s="31" t="str">
        <f t="shared" si="2"/>
        <v>1b</v>
      </c>
      <c r="AI23" s="31" t="str">
        <f t="shared" si="15"/>
        <v>1a</v>
      </c>
      <c r="AJ23" s="31">
        <f t="shared" si="16"/>
        <v>0</v>
      </c>
      <c r="AK23" s="31" t="str">
        <f t="shared" si="17"/>
        <v>I</v>
      </c>
      <c r="AL23" s="32" t="s">
        <v>172</v>
      </c>
      <c r="AM23" s="33" t="s">
        <v>201</v>
      </c>
      <c r="AN23" s="33" t="s">
        <v>203</v>
      </c>
      <c r="AO23" s="33">
        <v>0</v>
      </c>
      <c r="AP23" s="33" t="s">
        <v>31</v>
      </c>
      <c r="AQ23" s="32">
        <f t="shared" si="6"/>
        <v>1</v>
      </c>
      <c r="AR23" s="33">
        <f t="shared" si="7"/>
        <v>1</v>
      </c>
      <c r="AS23" s="33">
        <f t="shared" si="8"/>
        <v>1</v>
      </c>
      <c r="AT23" s="33">
        <f t="shared" si="9"/>
        <v>1</v>
      </c>
      <c r="AU23" s="34">
        <f t="shared" si="10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1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6" t="str">
        <f t="shared" si="12"/>
        <v>negative</v>
      </c>
      <c r="AC24" s="16" t="str">
        <f t="shared" si="13"/>
        <v>negative</v>
      </c>
      <c r="AD24" t="str" cm="1">
        <f t="array" ref="AD24">_xlfn.TEXTJOIN("; ",TRUE,_xlfn._xlws.FILTER('Model output'!S:S,'Model output'!Z:Z=A24))</f>
        <v>Not identified</v>
      </c>
      <c r="AE24" s="49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35" t="str">
        <f t="shared" si="14"/>
        <v>low</v>
      </c>
      <c r="AH24" s="31" t="str">
        <f t="shared" si="2"/>
        <v>1a</v>
      </c>
      <c r="AI24" s="31">
        <f t="shared" si="15"/>
        <v>0</v>
      </c>
      <c r="AJ24" s="31">
        <f t="shared" si="16"/>
        <v>0</v>
      </c>
      <c r="AK24" s="31" t="str">
        <f t="shared" si="17"/>
        <v>I</v>
      </c>
      <c r="AL24" s="32" t="s">
        <v>174</v>
      </c>
      <c r="AM24" s="33" t="s">
        <v>203</v>
      </c>
      <c r="AN24" s="33">
        <v>0</v>
      </c>
      <c r="AO24" s="33">
        <v>0</v>
      </c>
      <c r="AP24" s="33" t="s">
        <v>31</v>
      </c>
      <c r="AQ24" s="32">
        <f t="shared" si="6"/>
        <v>1</v>
      </c>
      <c r="AR24" s="33">
        <f t="shared" si="7"/>
        <v>1</v>
      </c>
      <c r="AS24" s="33">
        <f t="shared" si="8"/>
        <v>1</v>
      </c>
      <c r="AT24" s="33">
        <f t="shared" si="9"/>
        <v>1</v>
      </c>
      <c r="AU24" s="34">
        <f t="shared" si="10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6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1</v>
      </c>
      <c r="K25" s="16">
        <f>IFERROR(INDEX('Model output'!J:J, MATCH(A25, 'Model output'!Z:Z, 0)), "")</f>
        <v>0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1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6" t="str">
        <f t="shared" si="12"/>
        <v>positive</v>
      </c>
      <c r="AC25" s="16" t="str">
        <f t="shared" si="13"/>
        <v>negative</v>
      </c>
      <c r="AD25" t="str" cm="1">
        <f t="array" ref="AD25">_xlfn.TEXTJOIN("; ",TRUE,_xlfn._xlws.FILTER('Model output'!S:S,'Model output'!Z:Z=A25))</f>
        <v>yes</v>
      </c>
      <c r="AE25" s="49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35" t="str">
        <f t="shared" si="14"/>
        <v>intermediate</v>
      </c>
      <c r="AH25" s="31" t="str">
        <f t="shared" si="2"/>
        <v>1b</v>
      </c>
      <c r="AI25" s="31">
        <f t="shared" si="15"/>
        <v>0</v>
      </c>
      <c r="AJ25" s="31">
        <f t="shared" si="16"/>
        <v>0</v>
      </c>
      <c r="AK25" s="31" t="str">
        <f t="shared" si="17"/>
        <v>I</v>
      </c>
      <c r="AL25" s="32" t="s">
        <v>172</v>
      </c>
      <c r="AM25" s="33" t="s">
        <v>201</v>
      </c>
      <c r="AN25" s="33">
        <v>0</v>
      </c>
      <c r="AO25" s="33">
        <v>0</v>
      </c>
      <c r="AP25" s="33" t="s">
        <v>31</v>
      </c>
      <c r="AQ25" s="32">
        <f t="shared" si="6"/>
        <v>1</v>
      </c>
      <c r="AR25" s="33">
        <f t="shared" si="7"/>
        <v>1</v>
      </c>
      <c r="AS25" s="33">
        <f t="shared" si="8"/>
        <v>1</v>
      </c>
      <c r="AT25" s="33">
        <f t="shared" si="9"/>
        <v>1</v>
      </c>
      <c r="AU25" s="34">
        <f t="shared" si="10"/>
        <v>1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17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~9mm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carcinoma: classic (usual, conventional)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 xml:space="preserve"> 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Complete encasement</v>
      </c>
      <c r="W26" t="str">
        <f t="shared" si="11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12"/>
        <v>positive</v>
      </c>
      <c r="AC26" s="16" t="str">
        <f t="shared" si="13"/>
        <v>negative</v>
      </c>
      <c r="AD26" t="str" cm="1">
        <f t="array" ref="AD26">_xlfn.TEXTJOIN("; ",TRUE,_xlfn._xlws.FILTER('Model output'!S:S,'Model output'!Z:Z=A26))</f>
        <v>Present (minimal)</v>
      </c>
      <c r="AE26" s="49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35" t="str">
        <f t="shared" si="14"/>
        <v>intermediate</v>
      </c>
      <c r="AH26" s="31" t="str">
        <f t="shared" si="2"/>
        <v>4a</v>
      </c>
      <c r="AI26" s="31" t="str">
        <f t="shared" si="15"/>
        <v>1b</v>
      </c>
      <c r="AJ26" s="31">
        <f t="shared" si="16"/>
        <v>0</v>
      </c>
      <c r="AK26" s="31" t="str">
        <f t="shared" si="17"/>
        <v>III</v>
      </c>
      <c r="AL26" s="32" t="s">
        <v>173</v>
      </c>
      <c r="AM26" s="33" t="s">
        <v>206</v>
      </c>
      <c r="AN26" s="33" t="s">
        <v>201</v>
      </c>
      <c r="AO26" s="33">
        <v>0</v>
      </c>
      <c r="AP26" s="33" t="s">
        <v>68</v>
      </c>
      <c r="AQ26" s="32">
        <f t="shared" si="6"/>
        <v>0</v>
      </c>
      <c r="AR26" s="33">
        <f t="shared" si="7"/>
        <v>1</v>
      </c>
      <c r="AS26" s="33">
        <f t="shared" si="8"/>
        <v>1</v>
      </c>
      <c r="AT26" s="33">
        <f t="shared" si="9"/>
        <v>1</v>
      </c>
      <c r="AU26" s="34">
        <f t="shared" si="10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 xml:space="preserve"> 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1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6" t="str">
        <f t="shared" si="12"/>
        <v>negative</v>
      </c>
      <c r="AC27" s="16" t="str">
        <f t="shared" si="13"/>
        <v>negative</v>
      </c>
      <c r="AD27" t="str" cm="1">
        <f t="array" ref="AD27">_xlfn.TEXTJOIN("; ",TRUE,_xlfn._xlws.FILTER('Model output'!S:S,'Model output'!Z:Z=A27))</f>
        <v>Absent</v>
      </c>
      <c r="AE27" s="49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35" t="str">
        <f t="shared" si="14"/>
        <v>low</v>
      </c>
      <c r="AH27" s="31" t="str">
        <f t="shared" si="2"/>
        <v>1a</v>
      </c>
      <c r="AI27" s="31" t="str">
        <f t="shared" si="15"/>
        <v>x</v>
      </c>
      <c r="AJ27" s="31">
        <f t="shared" si="16"/>
        <v>0</v>
      </c>
      <c r="AK27" s="31" t="str">
        <f t="shared" si="17"/>
        <v>I</v>
      </c>
      <c r="AL27" s="32" t="s">
        <v>174</v>
      </c>
      <c r="AM27" s="33" t="s">
        <v>201</v>
      </c>
      <c r="AN27" s="33" t="s">
        <v>202</v>
      </c>
      <c r="AO27" s="33">
        <v>0</v>
      </c>
      <c r="AP27" s="33" t="s">
        <v>31</v>
      </c>
      <c r="AQ27" s="32">
        <f t="shared" si="6"/>
        <v>1</v>
      </c>
      <c r="AR27" s="33">
        <f t="shared" si="7"/>
        <v>0</v>
      </c>
      <c r="AS27" s="33">
        <f t="shared" si="8"/>
        <v>1</v>
      </c>
      <c r="AT27" s="33">
        <f t="shared" si="9"/>
        <v>1</v>
      </c>
      <c r="AU27" s="34">
        <f t="shared" si="10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6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 xml:space="preserve"> 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11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6" t="str">
        <f t="shared" si="12"/>
        <v>positive</v>
      </c>
      <c r="AC28" s="16" t="str">
        <f t="shared" si="13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Yes</v>
      </c>
      <c r="AE28" s="49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35" t="str">
        <f t="shared" si="14"/>
        <v>intermediate</v>
      </c>
      <c r="AH28" s="31" t="str">
        <f t="shared" si="2"/>
        <v>1b</v>
      </c>
      <c r="AI28" s="31" t="str">
        <f t="shared" si="15"/>
        <v>x</v>
      </c>
      <c r="AJ28" s="31">
        <f t="shared" si="16"/>
        <v>0</v>
      </c>
      <c r="AK28" s="31" t="str">
        <f t="shared" si="17"/>
        <v>I</v>
      </c>
      <c r="AL28" s="32" t="s">
        <v>173</v>
      </c>
      <c r="AM28" s="33" t="s">
        <v>204</v>
      </c>
      <c r="AN28" s="33" t="s">
        <v>202</v>
      </c>
      <c r="AO28" s="33">
        <v>0</v>
      </c>
      <c r="AP28" s="33" t="s">
        <v>44</v>
      </c>
      <c r="AQ28" s="32">
        <f t="shared" si="6"/>
        <v>0</v>
      </c>
      <c r="AR28" s="33">
        <f t="shared" si="7"/>
        <v>0</v>
      </c>
      <c r="AS28" s="33">
        <f t="shared" si="8"/>
        <v>1</v>
      </c>
      <c r="AT28" s="33">
        <f t="shared" si="9"/>
        <v>1</v>
      </c>
      <c r="AU28" s="34">
        <f t="shared" si="10"/>
        <v>0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>2.3mm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2.3mm</v>
      </c>
      <c r="N29" cm="1">
        <f t="array" ref="N29">IF(MaxSize((SplitDimensions(M29)))=0, "", MaxSize((SplitDimensions(M29))))</f>
        <v>0.22999999999999998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1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12"/>
        <v>negative</v>
      </c>
      <c r="AC29" s="16" t="str">
        <f t="shared" si="13"/>
        <v>negative</v>
      </c>
      <c r="AD29" t="str" cm="1">
        <f t="array" ref="AD29">_xlfn.TEXTJOIN("; ",TRUE,_xlfn._xlws.FILTER('Model output'!S:S,'Model output'!Z:Z=A29))</f>
        <v>Not identified</v>
      </c>
      <c r="AE29" s="49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35" t="str">
        <f t="shared" si="14"/>
        <v>low</v>
      </c>
      <c r="AH29" s="31" t="str">
        <f t="shared" si="2"/>
        <v>1a</v>
      </c>
      <c r="AI29" s="31" t="str">
        <f t="shared" si="15"/>
        <v>1a</v>
      </c>
      <c r="AJ29" s="31">
        <f t="shared" si="16"/>
        <v>0</v>
      </c>
      <c r="AK29" s="31" t="str">
        <f t="shared" si="17"/>
        <v>I</v>
      </c>
      <c r="AL29" s="32" t="s">
        <v>174</v>
      </c>
      <c r="AM29" s="33" t="s">
        <v>203</v>
      </c>
      <c r="AN29" s="33" t="s">
        <v>203</v>
      </c>
      <c r="AO29" s="33">
        <v>0</v>
      </c>
      <c r="AP29" s="33" t="s">
        <v>31</v>
      </c>
      <c r="AQ29" s="32">
        <f t="shared" si="6"/>
        <v>1</v>
      </c>
      <c r="AR29" s="33">
        <f t="shared" si="7"/>
        <v>1</v>
      </c>
      <c r="AS29" s="33">
        <f t="shared" si="8"/>
        <v>1</v>
      </c>
      <c r="AT29" s="33">
        <f t="shared" si="9"/>
        <v>1</v>
      </c>
      <c r="AU29" s="34">
        <f t="shared" si="10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5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1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6" t="str">
        <f t="shared" si="12"/>
        <v>negative</v>
      </c>
      <c r="AC30" s="16" t="str">
        <f t="shared" si="13"/>
        <v>negative</v>
      </c>
      <c r="AD30" t="str" cm="1">
        <f t="array" ref="AD30">_xlfn.TEXTJOIN("; ",TRUE,_xlfn._xlws.FILTER('Model output'!S:S,'Model output'!Z:Z=A30))</f>
        <v>Not identified</v>
      </c>
      <c r="AE30" s="49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35" t="str">
        <f t="shared" si="14"/>
        <v>low</v>
      </c>
      <c r="AH30" s="31" t="str">
        <f t="shared" si="2"/>
        <v>1a</v>
      </c>
      <c r="AI30" s="31" t="str">
        <f t="shared" si="15"/>
        <v>1a</v>
      </c>
      <c r="AJ30" s="31">
        <f t="shared" si="16"/>
        <v>0</v>
      </c>
      <c r="AK30" s="31" t="str">
        <f t="shared" si="17"/>
        <v>II</v>
      </c>
      <c r="AL30" s="32" t="s">
        <v>174</v>
      </c>
      <c r="AM30" s="33" t="s">
        <v>203</v>
      </c>
      <c r="AN30" s="33" t="s">
        <v>203</v>
      </c>
      <c r="AO30" s="33">
        <v>0</v>
      </c>
      <c r="AP30" s="33" t="s">
        <v>44</v>
      </c>
      <c r="AQ30" s="32">
        <f t="shared" si="6"/>
        <v>1</v>
      </c>
      <c r="AR30" s="33">
        <f t="shared" si="7"/>
        <v>1</v>
      </c>
      <c r="AS30" s="33">
        <f t="shared" si="8"/>
        <v>1</v>
      </c>
      <c r="AT30" s="33">
        <f t="shared" si="9"/>
        <v>1</v>
      </c>
      <c r="AU30" s="34">
        <f t="shared" si="10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 subtype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1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12"/>
        <v>negative</v>
      </c>
      <c r="AC31" s="16" t="str">
        <f t="shared" si="13"/>
        <v>negative</v>
      </c>
      <c r="AD31" t="str" cm="1">
        <f t="array" ref="AD31">_xlfn.TEXTJOIN("; ",TRUE,_xlfn._xlws.FILTER('Model output'!S:S,'Model output'!Z:Z=A31))</f>
        <v>Not identified</v>
      </c>
      <c r="AE31" s="49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35" t="str">
        <f t="shared" si="14"/>
        <v>low</v>
      </c>
      <c r="AH31" s="31" t="str">
        <f t="shared" si="2"/>
        <v>1a</v>
      </c>
      <c r="AI31" s="31" t="str">
        <f t="shared" si="15"/>
        <v>x</v>
      </c>
      <c r="AJ31" s="31">
        <f t="shared" si="16"/>
        <v>0</v>
      </c>
      <c r="AK31" s="31" t="str">
        <f t="shared" si="17"/>
        <v>I</v>
      </c>
      <c r="AL31" s="32" t="s">
        <v>174</v>
      </c>
      <c r="AM31" s="33" t="s">
        <v>203</v>
      </c>
      <c r="AN31" s="33" t="s">
        <v>202</v>
      </c>
      <c r="AO31" s="33">
        <v>0</v>
      </c>
      <c r="AP31" s="33" t="s">
        <v>31</v>
      </c>
      <c r="AQ31" s="32">
        <f t="shared" si="6"/>
        <v>1</v>
      </c>
      <c r="AR31" s="33">
        <f t="shared" si="7"/>
        <v>1</v>
      </c>
      <c r="AS31" s="33">
        <f t="shared" si="8"/>
        <v>1</v>
      </c>
      <c r="AT31" s="33">
        <f t="shared" si="9"/>
        <v>1</v>
      </c>
      <c r="AU31" s="34">
        <f t="shared" si="10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24</v>
      </c>
      <c r="K32" s="16">
        <f>IFERROR(INDEX('Model output'!J:J, MATCH(A32, 'Model output'!Z:Z, 0)), "")</f>
        <v>3</v>
      </c>
      <c r="L32" s="17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1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6" t="str">
        <f t="shared" si="12"/>
        <v>negative</v>
      </c>
      <c r="AC32" s="16" t="str">
        <f t="shared" si="13"/>
        <v>negative</v>
      </c>
      <c r="AD32" t="str" cm="1">
        <f t="array" ref="AD32">_xlfn.TEXTJOIN("; ",TRUE,_xlfn._xlws.FILTER('Model output'!S:S,'Model output'!Z:Z=A32))</f>
        <v>no ETE</v>
      </c>
      <c r="AE32" s="49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35" t="str">
        <f t="shared" si="14"/>
        <v>intermediate</v>
      </c>
      <c r="AH32" s="31" t="str">
        <f t="shared" ref="AH32:AH37" si="18"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1" t="str">
        <f t="shared" si="15"/>
        <v>1b</v>
      </c>
      <c r="AJ32" s="31">
        <f t="shared" si="16"/>
        <v>0</v>
      </c>
      <c r="AK32" s="31" t="str">
        <f t="shared" si="17"/>
        <v>I</v>
      </c>
      <c r="AL32" s="32" t="s">
        <v>172</v>
      </c>
      <c r="AM32" s="33" t="s">
        <v>201</v>
      </c>
      <c r="AN32" s="33" t="s">
        <v>201</v>
      </c>
      <c r="AO32" s="33">
        <v>0</v>
      </c>
      <c r="AP32" s="33" t="s">
        <v>31</v>
      </c>
      <c r="AQ32" s="32">
        <f t="shared" si="6"/>
        <v>1</v>
      </c>
      <c r="AR32" s="33">
        <f t="shared" si="7"/>
        <v>1</v>
      </c>
      <c r="AS32" s="33">
        <f t="shared" si="8"/>
        <v>1</v>
      </c>
      <c r="AT32" s="33">
        <f t="shared" si="9"/>
        <v>1</v>
      </c>
      <c r="AU32" s="34">
        <f t="shared" si="10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</v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>
        <f>IF(IFERROR(INDEX('Model output'!I:I, MATCH(A33, 'Model output'!Z:Z, 0)), "") &lt; K33, "", IFERROR(INDEX('Model output'!I:I, MATCH(A33, 'Model output'!Z:Z, 0)), ""))</f>
        <v>1</v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1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12"/>
        <v>positive</v>
      </c>
      <c r="AC33" s="16" t="str">
        <f t="shared" si="13"/>
        <v>negative</v>
      </c>
      <c r="AD33" t="str" cm="1">
        <f t="array" ref="AD33">_xlfn.TEXTJOIN("; ",TRUE,_xlfn._xlws.FILTER('Model output'!S:S,'Model output'!Z:Z=A33))</f>
        <v>No; yes</v>
      </c>
      <c r="AE33" s="49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35" t="str">
        <f t="shared" si="14"/>
        <v>intermediate</v>
      </c>
      <c r="AH33" s="31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1" t="str">
        <f t="shared" si="15"/>
        <v>1a</v>
      </c>
      <c r="AJ33" s="31">
        <f t="shared" si="16"/>
        <v>0</v>
      </c>
      <c r="AK33" s="31" t="str">
        <f t="shared" si="17"/>
        <v>II</v>
      </c>
      <c r="AL33" s="32" t="s">
        <v>173</v>
      </c>
      <c r="AM33" s="33" t="s">
        <v>207</v>
      </c>
      <c r="AN33" s="33" t="s">
        <v>203</v>
      </c>
      <c r="AO33" s="33">
        <v>0</v>
      </c>
      <c r="AP33" s="33" t="s">
        <v>355</v>
      </c>
      <c r="AQ33" s="32">
        <f t="shared" si="6"/>
        <v>0</v>
      </c>
      <c r="AR33" s="33">
        <f t="shared" si="7"/>
        <v>0</v>
      </c>
      <c r="AS33" s="33">
        <f t="shared" si="8"/>
        <v>1</v>
      </c>
      <c r="AT33" s="33">
        <f t="shared" si="9"/>
        <v>1</v>
      </c>
      <c r="AU33" s="34">
        <f t="shared" si="10"/>
        <v>0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1a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>
        <f>IF(IFERROR(INDEX('Model output'!I:I, MATCH(A34, 'Model output'!Z:Z, 0)), "") &lt; K34, "", IFERROR(INDEX('Model output'!I:I, MATCH(A34, 'Model output'!Z:Z, 0)), ""))</f>
        <v>13</v>
      </c>
      <c r="K34" s="16">
        <f>IFERROR(INDEX('Model output'!J:J, MATCH(A34, 'Model output'!Z:Z, 0)), "")</f>
        <v>1</v>
      </c>
      <c r="L34" s="17" t="str" cm="1">
        <f t="array" ref="L34">ReplaceTo(ReplaceAnd(SUBSTITUTE(SUBSTITUTE(_xlfn.TEXTJOIN("; ", TRUE, _xlfn._xlws.FILTER('Model output'!K:K, 'Model output'!Z:Z=A34)), " ", ""), ",", ";")))</f>
        <v>6cm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>6cm</v>
      </c>
      <c r="N34" cm="1">
        <f t="array" ref="N34">IF(MaxSize((SplitDimensions(M34)))=0, "", MaxSize((SplitDimensions(M34))))</f>
        <v>6</v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6.5cm</v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>6.5cm</v>
      </c>
      <c r="S34" cm="1">
        <f t="array" ref="S34">IF(MaxSize((SplitDimensions(R34)))=0, "", MaxSize((SplitDimensions(R34))))</f>
        <v>6.5</v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 4 vessels</v>
      </c>
      <c r="W34" t="str">
        <f t="shared" si="11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12"/>
        <v>positive</v>
      </c>
      <c r="AC34" s="16" t="str">
        <f t="shared" si="13"/>
        <v>negative</v>
      </c>
      <c r="AD34" t="str" cm="1">
        <f t="array" ref="AD34">_xlfn.TEXTJOIN("; ",TRUE,_xlfn._xlws.FILTER('Model output'!S:S,'Model output'!Z:Z=A34))</f>
        <v>Yes</v>
      </c>
      <c r="AE34" s="49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35" t="str">
        <f t="shared" si="14"/>
        <v>high</v>
      </c>
      <c r="AH34" s="31" t="str">
        <f t="shared" si="18"/>
        <v>4b</v>
      </c>
      <c r="AI34" s="31" t="str">
        <f t="shared" si="15"/>
        <v>1a</v>
      </c>
      <c r="AJ34" s="31">
        <f t="shared" si="16"/>
        <v>0</v>
      </c>
      <c r="AK34" s="31" t="str">
        <f t="shared" si="17"/>
        <v>IVA</v>
      </c>
      <c r="AL34" s="32" t="s">
        <v>173</v>
      </c>
      <c r="AM34" s="33" t="s">
        <v>205</v>
      </c>
      <c r="AN34" s="33">
        <v>0</v>
      </c>
      <c r="AO34" s="33">
        <v>0</v>
      </c>
      <c r="AP34" s="33" t="s">
        <v>44</v>
      </c>
      <c r="AQ34" s="32">
        <f t="shared" si="6"/>
        <v>1</v>
      </c>
      <c r="AR34" s="33">
        <f t="shared" si="7"/>
        <v>0</v>
      </c>
      <c r="AS34" s="33">
        <f t="shared" si="8"/>
        <v>0</v>
      </c>
      <c r="AT34" s="33">
        <f t="shared" si="9"/>
        <v>1</v>
      </c>
      <c r="AU34" s="34">
        <f t="shared" si="10"/>
        <v>0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 microcarcinoma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1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6" t="str">
        <f t="shared" si="12"/>
        <v>negative</v>
      </c>
      <c r="AC35" s="16" t="str">
        <f t="shared" si="13"/>
        <v>negative</v>
      </c>
      <c r="AD35" t="str" cm="1">
        <f t="array" ref="AD35">_xlfn.TEXTJOIN("; ",TRUE,_xlfn._xlws.FILTER('Model output'!S:S,'Model output'!Z:Z=A35))</f>
        <v>No</v>
      </c>
      <c r="AE35" s="49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35" t="str">
        <f t="shared" si="14"/>
        <v>high</v>
      </c>
      <c r="AH35" s="31" t="str">
        <f t="shared" si="18"/>
        <v>1a</v>
      </c>
      <c r="AI35" s="31" t="str">
        <f t="shared" si="15"/>
        <v>x</v>
      </c>
      <c r="AJ35" s="31">
        <f t="shared" si="16"/>
        <v>1</v>
      </c>
      <c r="AK35" s="31" t="str">
        <f t="shared" si="17"/>
        <v>II</v>
      </c>
      <c r="AL35" s="32" t="s">
        <v>173</v>
      </c>
      <c r="AM35" s="33" t="s">
        <v>203</v>
      </c>
      <c r="AN35" s="33" t="s">
        <v>202</v>
      </c>
      <c r="AO35" s="33">
        <v>1</v>
      </c>
      <c r="AP35" s="33" t="s">
        <v>44</v>
      </c>
      <c r="AQ35" s="32">
        <f t="shared" si="6"/>
        <v>1</v>
      </c>
      <c r="AR35" s="33">
        <f t="shared" si="7"/>
        <v>1</v>
      </c>
      <c r="AS35" s="33">
        <f t="shared" si="8"/>
        <v>1</v>
      </c>
      <c r="AT35" s="33">
        <f t="shared" si="9"/>
        <v>1</v>
      </c>
      <c r="AU35" s="34">
        <f t="shared" si="10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6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>
        <f>IF(IFERROR(INDEX('Model output'!I:I, MATCH(A36, 'Model output'!Z:Z, 0)), "") &lt; K36, "", IFERROR(INDEX('Model output'!I:I, MATCH(A36, 'Model output'!Z:Z, 0)), ""))</f>
        <v>0</v>
      </c>
      <c r="K36" s="16">
        <f>IFERROR(INDEX('Model output'!J:J, MATCH(A36, 'Model output'!Z:Z, 0)), "")</f>
        <v>0</v>
      </c>
      <c r="L36" s="17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 vessels</v>
      </c>
      <c r="W36" t="str">
        <f t="shared" si="11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Y36" s="16" t="str">
        <f t="shared" si="12"/>
        <v>positive</v>
      </c>
      <c r="AC36" s="16" t="str">
        <f t="shared" si="13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Yes</v>
      </c>
      <c r="AE36" s="49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35" t="str">
        <f t="shared" si="14"/>
        <v>high</v>
      </c>
      <c r="AH36" s="31" t="str">
        <f t="shared" si="18"/>
        <v>4a</v>
      </c>
      <c r="AI36" s="31" t="str">
        <f t="shared" si="15"/>
        <v>x</v>
      </c>
      <c r="AJ36" s="31">
        <f t="shared" si="16"/>
        <v>0</v>
      </c>
      <c r="AK36" s="31" t="str">
        <f t="shared" si="17"/>
        <v>III</v>
      </c>
      <c r="AL36" s="32" t="s">
        <v>173</v>
      </c>
      <c r="AM36" s="33" t="s">
        <v>206</v>
      </c>
      <c r="AN36" s="33">
        <v>0</v>
      </c>
      <c r="AO36" s="33">
        <v>0</v>
      </c>
      <c r="AP36" s="33" t="s">
        <v>68</v>
      </c>
      <c r="AQ36" s="32">
        <f t="shared" si="6"/>
        <v>1</v>
      </c>
      <c r="AR36" s="33">
        <f t="shared" si="7"/>
        <v>1</v>
      </c>
      <c r="AS36" s="33">
        <f t="shared" si="8"/>
        <v>1</v>
      </c>
      <c r="AT36" s="33">
        <f t="shared" si="9"/>
        <v>1</v>
      </c>
      <c r="AU36" s="34">
        <f t="shared" si="10"/>
        <v>1</v>
      </c>
    </row>
    <row r="37" spans="1:48">
      <c r="A37" s="26">
        <v>35</v>
      </c>
      <c r="B37" s="27"/>
      <c r="C37" s="28">
        <f>_xlfn.MAXIFS('Model output'!C:C,'Model output'!Z:Z,'Classification result'!$A37)</f>
        <v>62</v>
      </c>
      <c r="D37" s="28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28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F37" s="28" cm="1">
        <f t="array" ref="F37">IF(AND(SUBSTITUTE(_xlfn.TEXTJOIN("/", TRUE, _xlfn._xlws.FILTER('Model output'!F:F, 'Model output'!Z:Z=A37)),"M", "")="", I37="negative"),0,IF(I37="positive",1,0))</f>
        <v>1</v>
      </c>
      <c r="G37" s="29" t="str">
        <f t="shared" si="0"/>
        <v>positive</v>
      </c>
      <c r="H37" s="29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8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8">
        <f>IF(IFERROR(INDEX('Model output'!I:I, MATCH(A37, 'Model output'!Z:Z, 0)), "") &lt; K37, "", IFERROR(INDEX('Model output'!I:I, MATCH(A37, 'Model output'!Z:Z, 0)), ""))</f>
        <v>35</v>
      </c>
      <c r="K37" s="28">
        <f>IFERROR(INDEX('Model output'!J:J, MATCH(A37, 'Model output'!Z:Z, 0)), "")</f>
        <v>7</v>
      </c>
      <c r="L37" s="30" t="str" cm="1">
        <f t="array" ref="L37">ReplaceTo(ReplaceAnd(SUBSTITUTE(SUBSTITUTE(_xlfn.TEXTJOIN("; ", TRUE, _xlfn._xlws.FILTER('Model output'!K:K, 'Model output'!Z:Z=A37)), " ", ""), ",", ";")))</f>
        <v>1.2cm</v>
      </c>
      <c r="M37" s="29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1.2cm</v>
      </c>
      <c r="N37" s="29" cm="1">
        <f t="array" ref="N37">IF(MaxSize((SplitDimensions(M37)))=0, "", MaxSize((SplitDimensions(M37))))</f>
        <v>1.2</v>
      </c>
      <c r="O37" s="29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P37" s="29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29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R37" s="29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29" cm="1">
        <f t="array" ref="S37">IF(MaxSize((SplitDimensions(R37)))=0, "", MaxSize((SplitDimensions(R37))))</f>
        <v>5.5</v>
      </c>
      <c r="T37" s="28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8"/>
      <c r="V37" s="29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29" t="str">
        <f t="shared" si="11"/>
        <v>minimal</v>
      </c>
      <c r="X37" s="29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8" t="str">
        <f t="shared" si="12"/>
        <v>positive</v>
      </c>
      <c r="Z37" s="28"/>
      <c r="AA37" s="28"/>
      <c r="AB37" s="28"/>
      <c r="AC37" s="28" t="str">
        <f t="shared" si="13"/>
        <v>negative</v>
      </c>
      <c r="AD37" s="29" t="str" cm="1">
        <f t="array" ref="AD37">_xlfn.TEXTJOIN("; ",TRUE,_xlfn._xlws.FILTER('Model output'!S:S,'Model output'!Z:Z=A37))</f>
        <v>Yes</v>
      </c>
      <c r="AE37" s="28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28"/>
      <c r="AG37" s="41" t="str">
        <f t="shared" si="14"/>
        <v>high</v>
      </c>
      <c r="AH37" s="36" t="str">
        <f t="shared" si="18"/>
        <v>3a</v>
      </c>
      <c r="AI37" s="36" t="str">
        <f t="shared" si="15"/>
        <v>1b</v>
      </c>
      <c r="AJ37" s="36">
        <f t="shared" si="16"/>
        <v>1</v>
      </c>
      <c r="AK37" s="36" t="str">
        <f t="shared" si="17"/>
        <v>IVB</v>
      </c>
      <c r="AL37" s="37" t="s">
        <v>173</v>
      </c>
      <c r="AM37" s="38" t="s">
        <v>354</v>
      </c>
      <c r="AN37" s="38" t="s">
        <v>201</v>
      </c>
      <c r="AO37" s="38">
        <v>1</v>
      </c>
      <c r="AP37" s="38" t="s">
        <v>356</v>
      </c>
      <c r="AQ37" s="37">
        <f t="shared" si="6"/>
        <v>1</v>
      </c>
      <c r="AR37" s="38">
        <f t="shared" si="7"/>
        <v>0</v>
      </c>
      <c r="AS37" s="38">
        <f t="shared" si="8"/>
        <v>1</v>
      </c>
      <c r="AT37" s="38">
        <f t="shared" si="9"/>
        <v>1</v>
      </c>
      <c r="AU37" s="39">
        <f t="shared" si="10"/>
        <v>1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AI2" sqref="AI2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26">
      <c r="A1" s="43" t="s">
        <v>220</v>
      </c>
      <c r="B1" t="s">
        <v>221</v>
      </c>
      <c r="C1" t="s">
        <v>222</v>
      </c>
      <c r="D1" t="s">
        <v>223</v>
      </c>
      <c r="E1" t="s">
        <v>224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K1" t="s">
        <v>230</v>
      </c>
      <c r="L1" t="s">
        <v>231</v>
      </c>
      <c r="M1" t="s">
        <v>232</v>
      </c>
      <c r="N1" t="s">
        <v>233</v>
      </c>
      <c r="O1" t="s">
        <v>234</v>
      </c>
      <c r="P1" t="s">
        <v>235</v>
      </c>
      <c r="Q1" t="s">
        <v>236</v>
      </c>
      <c r="R1" t="s">
        <v>237</v>
      </c>
      <c r="S1" t="s">
        <v>254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Z1" s="13" t="s">
        <v>253</v>
      </c>
    </row>
    <row r="2" spans="1:26">
      <c r="A2" t="s">
        <v>30</v>
      </c>
      <c r="B2" s="21"/>
      <c r="C2" s="21">
        <v>67</v>
      </c>
      <c r="D2" s="21" t="s">
        <v>160</v>
      </c>
      <c r="E2" s="21"/>
      <c r="F2" s="21"/>
      <c r="G2" s="21"/>
      <c r="H2" s="21"/>
      <c r="I2" s="21"/>
      <c r="J2" s="21"/>
      <c r="K2" s="21"/>
      <c r="L2" s="21" t="s">
        <v>176</v>
      </c>
      <c r="M2" s="21" t="s">
        <v>289</v>
      </c>
      <c r="N2" s="21" t="s">
        <v>210</v>
      </c>
      <c r="O2" s="21"/>
      <c r="P2" s="21"/>
      <c r="Q2" s="21"/>
      <c r="R2" s="21"/>
      <c r="S2" s="21"/>
      <c r="T2" s="21"/>
      <c r="U2" s="21"/>
      <c r="V2" s="21"/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26">
      <c r="A3" t="s">
        <v>35</v>
      </c>
      <c r="B3" s="21"/>
      <c r="C3" s="21">
        <v>67</v>
      </c>
      <c r="D3" s="21"/>
      <c r="E3" s="21" t="s">
        <v>255</v>
      </c>
      <c r="F3" s="21" t="s">
        <v>256</v>
      </c>
      <c r="G3" s="21" t="s">
        <v>290</v>
      </c>
      <c r="H3" s="21"/>
      <c r="I3" s="21"/>
      <c r="J3" s="21"/>
      <c r="K3" s="21"/>
      <c r="L3" s="21" t="s">
        <v>36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26">
      <c r="A4" t="s">
        <v>37</v>
      </c>
      <c r="B4" s="21"/>
      <c r="C4" s="21">
        <v>39</v>
      </c>
      <c r="D4" s="21" t="s">
        <v>161</v>
      </c>
      <c r="E4" s="21"/>
      <c r="F4" s="21"/>
      <c r="G4" s="21"/>
      <c r="H4" s="21"/>
      <c r="I4" s="21"/>
      <c r="J4" s="21"/>
      <c r="K4" s="21"/>
      <c r="L4" s="21" t="s">
        <v>176</v>
      </c>
      <c r="M4" s="21" t="s">
        <v>291</v>
      </c>
      <c r="N4" s="21" t="s">
        <v>38</v>
      </c>
      <c r="O4" s="21"/>
      <c r="P4" s="21"/>
      <c r="Q4" s="21"/>
      <c r="R4" s="21"/>
      <c r="S4" s="21" t="s">
        <v>177</v>
      </c>
      <c r="T4" s="21"/>
      <c r="U4" s="21"/>
      <c r="V4" s="21" t="s">
        <v>292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26">
      <c r="A5" t="s">
        <v>39</v>
      </c>
      <c r="B5" s="21"/>
      <c r="C5" s="21">
        <v>39</v>
      </c>
      <c r="D5" s="21" t="s">
        <v>293</v>
      </c>
      <c r="E5" s="21" t="s">
        <v>255</v>
      </c>
      <c r="F5" s="21" t="s">
        <v>256</v>
      </c>
      <c r="G5" s="21"/>
      <c r="H5" s="21"/>
      <c r="I5" s="21"/>
      <c r="J5" s="21"/>
      <c r="K5" s="21"/>
      <c r="L5" s="21" t="s">
        <v>176</v>
      </c>
      <c r="M5" s="21"/>
      <c r="N5" s="21"/>
      <c r="O5" s="21"/>
      <c r="P5" s="21"/>
      <c r="Q5" s="21"/>
      <c r="R5" s="21"/>
      <c r="S5" s="21"/>
      <c r="T5" s="21"/>
      <c r="U5" s="21"/>
      <c r="V5" s="21"/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26">
      <c r="A6" t="s">
        <v>40</v>
      </c>
      <c r="B6" s="21"/>
      <c r="C6" s="21"/>
      <c r="D6" s="21" t="s">
        <v>159</v>
      </c>
      <c r="E6" s="21" t="s">
        <v>167</v>
      </c>
      <c r="F6" s="21" t="s">
        <v>256</v>
      </c>
      <c r="G6" s="21"/>
      <c r="H6" s="21"/>
      <c r="I6" s="21">
        <v>5</v>
      </c>
      <c r="J6" s="21">
        <v>1</v>
      </c>
      <c r="K6" s="21" t="s">
        <v>41</v>
      </c>
      <c r="L6" s="21" t="s">
        <v>176</v>
      </c>
      <c r="M6" s="21" t="s">
        <v>179</v>
      </c>
      <c r="N6" s="21" t="s">
        <v>276</v>
      </c>
      <c r="O6" s="21"/>
      <c r="P6" s="21"/>
      <c r="Q6" s="21"/>
      <c r="R6" s="21"/>
      <c r="S6" s="21" t="s">
        <v>294</v>
      </c>
      <c r="T6" s="21"/>
      <c r="U6" s="21"/>
      <c r="V6" s="21"/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26">
      <c r="A7" t="s">
        <v>42</v>
      </c>
      <c r="B7" s="21"/>
      <c r="C7" s="21">
        <v>52</v>
      </c>
      <c r="D7" s="21"/>
      <c r="E7" s="21"/>
      <c r="F7" s="21"/>
      <c r="G7" s="21"/>
      <c r="H7" s="21"/>
      <c r="I7" s="21"/>
      <c r="J7" s="21"/>
      <c r="K7" s="21"/>
      <c r="L7" s="21" t="s">
        <v>181</v>
      </c>
      <c r="M7" s="21"/>
      <c r="N7" s="21" t="s">
        <v>268</v>
      </c>
      <c r="O7" s="21"/>
      <c r="P7" s="21"/>
      <c r="Q7" s="21"/>
      <c r="R7" s="21"/>
      <c r="S7" s="21"/>
      <c r="T7" s="21"/>
      <c r="U7" s="21"/>
      <c r="V7" s="21"/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26">
      <c r="A8" t="s">
        <v>43</v>
      </c>
      <c r="B8" s="21"/>
      <c r="C8" s="21"/>
      <c r="D8" s="21" t="s">
        <v>158</v>
      </c>
      <c r="E8" s="21" t="s">
        <v>167</v>
      </c>
      <c r="F8" s="21"/>
      <c r="G8" s="21"/>
      <c r="H8" s="21"/>
      <c r="I8" s="21">
        <v>6</v>
      </c>
      <c r="J8" s="21">
        <v>3</v>
      </c>
      <c r="K8" s="21" t="s">
        <v>45</v>
      </c>
      <c r="L8" s="21" t="s">
        <v>176</v>
      </c>
      <c r="M8" s="21" t="s">
        <v>291</v>
      </c>
      <c r="N8" s="21" t="s">
        <v>46</v>
      </c>
      <c r="O8" s="21"/>
      <c r="P8" s="21"/>
      <c r="Q8" s="21"/>
      <c r="R8" s="21"/>
      <c r="S8" s="21" t="s">
        <v>258</v>
      </c>
      <c r="T8" s="21"/>
      <c r="U8" s="21"/>
      <c r="V8" s="21" t="s">
        <v>295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26">
      <c r="A9" t="s">
        <v>47</v>
      </c>
      <c r="B9" s="21"/>
      <c r="C9" s="21">
        <v>61</v>
      </c>
      <c r="D9" s="21" t="s">
        <v>293</v>
      </c>
      <c r="E9" s="21" t="s">
        <v>255</v>
      </c>
      <c r="F9" s="21" t="s">
        <v>256</v>
      </c>
      <c r="G9" s="21" t="s">
        <v>296</v>
      </c>
      <c r="H9" s="21"/>
      <c r="I9" s="21"/>
      <c r="J9" s="21"/>
      <c r="K9" s="21"/>
      <c r="L9" s="21" t="s">
        <v>36</v>
      </c>
      <c r="M9" s="21"/>
      <c r="N9" s="21" t="s">
        <v>297</v>
      </c>
      <c r="O9" s="21">
        <v>2</v>
      </c>
      <c r="P9" s="21"/>
      <c r="Q9" s="21"/>
      <c r="R9" s="21"/>
      <c r="S9" s="21"/>
      <c r="T9" s="21"/>
      <c r="U9" s="21"/>
      <c r="V9" s="21"/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26">
      <c r="A10" t="s">
        <v>48</v>
      </c>
      <c r="B10" s="21"/>
      <c r="C10" s="21">
        <v>34</v>
      </c>
      <c r="D10" s="21" t="s">
        <v>218</v>
      </c>
      <c r="E10" s="21" t="s">
        <v>217</v>
      </c>
      <c r="F10" s="21"/>
      <c r="G10" s="21"/>
      <c r="H10" s="21"/>
      <c r="I10" s="21">
        <v>5</v>
      </c>
      <c r="J10" s="21">
        <v>1</v>
      </c>
      <c r="K10" s="21" t="s">
        <v>49</v>
      </c>
      <c r="L10" s="21" t="s">
        <v>176</v>
      </c>
      <c r="M10" s="21" t="s">
        <v>298</v>
      </c>
      <c r="N10" s="21" t="s">
        <v>211</v>
      </c>
      <c r="O10" s="21"/>
      <c r="P10" s="21" t="s">
        <v>244</v>
      </c>
      <c r="Q10" s="21"/>
      <c r="R10" s="21"/>
      <c r="S10" s="21" t="s">
        <v>269</v>
      </c>
      <c r="T10" s="21"/>
      <c r="U10" s="21"/>
      <c r="V10" s="21" t="s">
        <v>33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26">
      <c r="A11" t="s">
        <v>50</v>
      </c>
      <c r="B11" s="21"/>
      <c r="C11" s="21">
        <v>34</v>
      </c>
      <c r="D11" s="21"/>
      <c r="E11" s="21" t="s">
        <v>255</v>
      </c>
      <c r="F11" s="21" t="s">
        <v>256</v>
      </c>
      <c r="G11" s="21" t="s">
        <v>182</v>
      </c>
      <c r="H11" s="21"/>
      <c r="I11" s="21">
        <v>2</v>
      </c>
      <c r="J11" s="21">
        <v>1</v>
      </c>
      <c r="K11" s="21" t="s">
        <v>49</v>
      </c>
      <c r="L11" s="21" t="s">
        <v>299</v>
      </c>
      <c r="M11" s="21"/>
      <c r="N11" s="21" t="s">
        <v>49</v>
      </c>
      <c r="O11" s="21">
        <v>1</v>
      </c>
      <c r="P11" s="21"/>
      <c r="Q11" s="21"/>
      <c r="R11" s="21"/>
      <c r="S11" s="21"/>
      <c r="T11" s="21"/>
      <c r="U11" s="21"/>
      <c r="V11" s="21"/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26">
      <c r="A12" t="s">
        <v>51</v>
      </c>
      <c r="B12" s="21"/>
      <c r="C12" s="21">
        <v>34</v>
      </c>
      <c r="D12" s="21" t="s">
        <v>293</v>
      </c>
      <c r="E12" s="21" t="s">
        <v>255</v>
      </c>
      <c r="F12" s="21" t="s">
        <v>256</v>
      </c>
      <c r="G12" s="21" t="s">
        <v>290</v>
      </c>
      <c r="H12" s="21"/>
      <c r="I12" s="21">
        <v>1</v>
      </c>
      <c r="J12" s="21">
        <v>0</v>
      </c>
      <c r="K12" s="21"/>
      <c r="L12" s="21" t="s">
        <v>36</v>
      </c>
      <c r="M12" s="21"/>
      <c r="N12" s="21" t="s">
        <v>183</v>
      </c>
      <c r="O12" s="21">
        <v>1</v>
      </c>
      <c r="P12" s="21" t="s">
        <v>300</v>
      </c>
      <c r="Q12" s="21"/>
      <c r="R12" s="21"/>
      <c r="S12" s="21" t="s">
        <v>33</v>
      </c>
      <c r="T12" s="21"/>
      <c r="U12" s="21"/>
      <c r="V12" s="21"/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26">
      <c r="A13" t="s">
        <v>52</v>
      </c>
      <c r="B13" s="23"/>
      <c r="C13" s="21">
        <v>66</v>
      </c>
      <c r="D13" s="21" t="s">
        <v>160</v>
      </c>
      <c r="E13" s="21" t="s">
        <v>255</v>
      </c>
      <c r="F13" s="21" t="s">
        <v>256</v>
      </c>
      <c r="G13" s="21"/>
      <c r="H13" s="21"/>
      <c r="I13" s="21"/>
      <c r="J13" s="21"/>
      <c r="K13" s="21"/>
      <c r="L13" s="21" t="s">
        <v>301</v>
      </c>
      <c r="M13" s="21"/>
      <c r="N13" s="21" t="s">
        <v>273</v>
      </c>
      <c r="O13" s="21">
        <v>1</v>
      </c>
      <c r="P13" s="21" t="s">
        <v>213</v>
      </c>
      <c r="Q13" s="21"/>
      <c r="R13" s="21" t="s">
        <v>33</v>
      </c>
      <c r="S13" s="21"/>
      <c r="T13" s="21"/>
      <c r="U13" s="21"/>
      <c r="V13" s="21" t="s">
        <v>33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26">
      <c r="A14" t="s">
        <v>53</v>
      </c>
      <c r="B14" s="21"/>
      <c r="C14" s="21">
        <v>66</v>
      </c>
      <c r="D14" s="21"/>
      <c r="E14" s="21" t="s">
        <v>255</v>
      </c>
      <c r="F14" s="21" t="s">
        <v>256</v>
      </c>
      <c r="G14" s="21" t="s">
        <v>302</v>
      </c>
      <c r="H14" s="21"/>
      <c r="I14" s="21"/>
      <c r="J14" s="21"/>
      <c r="K14" s="21"/>
      <c r="L14" s="21" t="s">
        <v>181</v>
      </c>
      <c r="M14" s="21"/>
      <c r="N14" s="21" t="s">
        <v>184</v>
      </c>
      <c r="O14" s="21">
        <v>1</v>
      </c>
      <c r="P14" s="21"/>
      <c r="Q14" s="21"/>
      <c r="R14" s="21"/>
      <c r="S14" s="21"/>
      <c r="T14" s="21"/>
      <c r="U14" s="21"/>
      <c r="V14" s="21"/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26">
      <c r="A15" t="s">
        <v>54</v>
      </c>
      <c r="B15" s="21"/>
      <c r="C15" s="21">
        <v>67</v>
      </c>
      <c r="D15" s="21" t="s">
        <v>159</v>
      </c>
      <c r="E15" s="21" t="s">
        <v>255</v>
      </c>
      <c r="F15" s="21" t="s">
        <v>256</v>
      </c>
      <c r="G15" s="21"/>
      <c r="H15" s="21"/>
      <c r="I15" s="21"/>
      <c r="J15" s="21"/>
      <c r="K15" s="21"/>
      <c r="L15" s="21" t="s">
        <v>176</v>
      </c>
      <c r="M15" s="21" t="s">
        <v>179</v>
      </c>
      <c r="N15" s="21" t="s">
        <v>270</v>
      </c>
      <c r="O15" s="21">
        <v>2</v>
      </c>
      <c r="P15" s="21" t="s">
        <v>177</v>
      </c>
      <c r="Q15" s="21"/>
      <c r="R15" s="21"/>
      <c r="S15" s="21" t="s">
        <v>177</v>
      </c>
      <c r="T15" s="21"/>
      <c r="U15" s="21"/>
      <c r="V15" s="21" t="s">
        <v>257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26">
      <c r="A16" t="s">
        <v>55</v>
      </c>
      <c r="B16" s="21"/>
      <c r="C16" s="21">
        <v>67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t="s">
        <v>56</v>
      </c>
      <c r="B17" s="21"/>
      <c r="C17" s="21">
        <v>78</v>
      </c>
      <c r="D17" s="21" t="s">
        <v>160</v>
      </c>
      <c r="E17" s="21"/>
      <c r="F17" s="21"/>
      <c r="G17" s="21"/>
      <c r="H17" s="21"/>
      <c r="I17" s="21"/>
      <c r="J17" s="21"/>
      <c r="K17" s="21"/>
      <c r="L17" s="21" t="s">
        <v>176</v>
      </c>
      <c r="M17" s="21" t="s">
        <v>291</v>
      </c>
      <c r="N17" s="21" t="s">
        <v>57</v>
      </c>
      <c r="O17" s="21"/>
      <c r="P17" s="21"/>
      <c r="Q17" s="21"/>
      <c r="R17" s="21"/>
      <c r="S17" s="21" t="s">
        <v>177</v>
      </c>
      <c r="T17" s="21"/>
      <c r="U17" s="21"/>
      <c r="V17" s="21"/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t="s">
        <v>58</v>
      </c>
      <c r="B18" s="21"/>
      <c r="C18" s="21">
        <v>78</v>
      </c>
      <c r="D18" s="21" t="s">
        <v>293</v>
      </c>
      <c r="E18" s="21" t="s">
        <v>255</v>
      </c>
      <c r="F18" s="21" t="s">
        <v>256</v>
      </c>
      <c r="G18" s="21"/>
      <c r="H18" s="21"/>
      <c r="I18" s="21"/>
      <c r="J18" s="21"/>
      <c r="K18" s="21"/>
      <c r="L18" s="21" t="s">
        <v>303</v>
      </c>
      <c r="M18" s="21"/>
      <c r="N18" s="21" t="s">
        <v>100</v>
      </c>
      <c r="O18" s="21"/>
      <c r="P18" s="21"/>
      <c r="Q18" s="21"/>
      <c r="R18" s="21"/>
      <c r="S18" s="21"/>
      <c r="T18" s="21"/>
      <c r="U18" s="21"/>
      <c r="V18" s="21"/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t="s">
        <v>59</v>
      </c>
      <c r="B19" s="23"/>
      <c r="C19" s="21">
        <v>55</v>
      </c>
      <c r="D19" s="21" t="s">
        <v>161</v>
      </c>
      <c r="E19" s="21" t="s">
        <v>166</v>
      </c>
      <c r="F19" s="21"/>
      <c r="G19" s="21"/>
      <c r="H19" s="21"/>
      <c r="I19" s="21">
        <v>7</v>
      </c>
      <c r="J19" s="21">
        <v>4</v>
      </c>
      <c r="K19" s="21"/>
      <c r="L19" s="21" t="s">
        <v>176</v>
      </c>
      <c r="M19" s="21" t="s">
        <v>291</v>
      </c>
      <c r="N19" s="21" t="s">
        <v>271</v>
      </c>
      <c r="O19" s="21">
        <v>3</v>
      </c>
      <c r="P19" s="21"/>
      <c r="Q19" s="21"/>
      <c r="R19" s="21" t="s">
        <v>33</v>
      </c>
      <c r="S19" s="21" t="s">
        <v>213</v>
      </c>
      <c r="T19" s="21"/>
      <c r="U19" s="21"/>
      <c r="V19" s="21"/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t="s">
        <v>60</v>
      </c>
      <c r="B20" s="21"/>
      <c r="C20" s="21">
        <v>55</v>
      </c>
      <c r="D20" s="21" t="s">
        <v>293</v>
      </c>
      <c r="E20" s="21" t="s">
        <v>255</v>
      </c>
      <c r="F20" s="21" t="s">
        <v>256</v>
      </c>
      <c r="G20" s="21" t="s">
        <v>245</v>
      </c>
      <c r="H20" s="21"/>
      <c r="I20" s="21"/>
      <c r="J20" s="21"/>
      <c r="K20" s="21"/>
      <c r="L20" s="21" t="s">
        <v>36</v>
      </c>
      <c r="M20" s="21"/>
      <c r="N20" s="21" t="s">
        <v>111</v>
      </c>
      <c r="O20" s="21"/>
      <c r="P20" s="21"/>
      <c r="Q20" s="21"/>
      <c r="R20" s="21"/>
      <c r="S20" s="21"/>
      <c r="T20" s="21"/>
      <c r="U20" s="21"/>
      <c r="V20" s="21"/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t="s">
        <v>61</v>
      </c>
      <c r="B21" s="21"/>
      <c r="C21" s="21">
        <v>24</v>
      </c>
      <c r="D21" s="21" t="s">
        <v>160</v>
      </c>
      <c r="E21" s="21" t="s">
        <v>255</v>
      </c>
      <c r="F21" s="21" t="s">
        <v>256</v>
      </c>
      <c r="G21" s="21"/>
      <c r="H21" s="21"/>
      <c r="I21" s="21">
        <v>1</v>
      </c>
      <c r="J21" s="21">
        <v>1</v>
      </c>
      <c r="K21" s="21" t="s">
        <v>304</v>
      </c>
      <c r="L21" s="21" t="s">
        <v>176</v>
      </c>
      <c r="M21" s="21" t="s">
        <v>291</v>
      </c>
      <c r="N21" s="21" t="s">
        <v>272</v>
      </c>
      <c r="O21" s="21"/>
      <c r="P21" s="21"/>
      <c r="Q21" s="21"/>
      <c r="R21" s="21"/>
      <c r="S21" s="21" t="s">
        <v>177</v>
      </c>
      <c r="T21" s="21"/>
      <c r="U21" s="21"/>
      <c r="V21" s="21" t="s">
        <v>305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t="s">
        <v>62</v>
      </c>
      <c r="B22" s="21"/>
      <c r="C22" s="21">
        <v>24</v>
      </c>
      <c r="D22" s="21" t="s">
        <v>293</v>
      </c>
      <c r="E22" s="21" t="s">
        <v>255</v>
      </c>
      <c r="F22" s="21" t="s">
        <v>256</v>
      </c>
      <c r="G22" s="21"/>
      <c r="H22" s="21"/>
      <c r="I22" s="21"/>
      <c r="J22" s="21"/>
      <c r="K22" s="21"/>
      <c r="L22" s="21" t="s">
        <v>36</v>
      </c>
      <c r="M22" s="21"/>
      <c r="N22" s="21" t="s">
        <v>178</v>
      </c>
      <c r="O22" s="21"/>
      <c r="P22" s="21"/>
      <c r="Q22" s="21"/>
      <c r="R22" s="21"/>
      <c r="S22" s="21"/>
      <c r="T22" s="21"/>
      <c r="U22" s="21"/>
      <c r="V22" s="21"/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t="s">
        <v>63</v>
      </c>
      <c r="B23" s="21"/>
      <c r="C23" s="21">
        <v>70</v>
      </c>
      <c r="D23" s="21" t="s">
        <v>156</v>
      </c>
      <c r="E23" s="21"/>
      <c r="F23" s="21"/>
      <c r="G23" s="21"/>
      <c r="H23" s="21"/>
      <c r="I23" s="21"/>
      <c r="J23" s="21"/>
      <c r="K23" s="21"/>
      <c r="L23" s="21" t="s">
        <v>301</v>
      </c>
      <c r="M23" s="21"/>
      <c r="N23" s="21" t="s">
        <v>187</v>
      </c>
      <c r="O23" s="21">
        <v>2</v>
      </c>
      <c r="P23" s="21" t="s">
        <v>177</v>
      </c>
      <c r="Q23" s="21"/>
      <c r="R23" s="21" t="s">
        <v>33</v>
      </c>
      <c r="S23" s="21" t="s">
        <v>177</v>
      </c>
      <c r="T23" s="21"/>
      <c r="U23" s="21"/>
      <c r="V23" s="21" t="s">
        <v>257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t="s">
        <v>64</v>
      </c>
      <c r="B24" s="22"/>
      <c r="C24" s="21">
        <v>70</v>
      </c>
      <c r="D24" s="21"/>
      <c r="E24" s="21"/>
      <c r="F24" s="21"/>
      <c r="G24" s="21"/>
      <c r="H24" s="21"/>
      <c r="I24" s="21"/>
      <c r="J24" s="21"/>
      <c r="K24" s="21"/>
      <c r="L24" s="21" t="s">
        <v>181</v>
      </c>
      <c r="M24" s="21"/>
      <c r="N24" s="21" t="s">
        <v>306</v>
      </c>
      <c r="O24" s="21"/>
      <c r="P24" s="21"/>
      <c r="Q24" s="21"/>
      <c r="R24" s="21"/>
      <c r="S24" s="21"/>
      <c r="T24" s="21"/>
      <c r="U24" s="21"/>
      <c r="V24" s="21"/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t="s">
        <v>65</v>
      </c>
      <c r="B25" s="23"/>
      <c r="C25" s="21">
        <v>67</v>
      </c>
      <c r="D25" s="21" t="s">
        <v>156</v>
      </c>
      <c r="E25" s="21" t="s">
        <v>255</v>
      </c>
      <c r="F25" s="21"/>
      <c r="G25" s="21"/>
      <c r="H25" s="21"/>
      <c r="I25" s="21"/>
      <c r="J25" s="21"/>
      <c r="K25" s="21"/>
      <c r="L25" s="21" t="s">
        <v>186</v>
      </c>
      <c r="M25" s="21" t="s">
        <v>307</v>
      </c>
      <c r="N25" s="21" t="s">
        <v>187</v>
      </c>
      <c r="O25" s="21"/>
      <c r="P25" s="21" t="s">
        <v>246</v>
      </c>
      <c r="Q25" s="21"/>
      <c r="R25" s="21" t="s">
        <v>33</v>
      </c>
      <c r="S25" s="21" t="s">
        <v>213</v>
      </c>
      <c r="T25" s="21"/>
      <c r="U25" s="21"/>
      <c r="V25" s="21" t="s">
        <v>308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t="s">
        <v>66</v>
      </c>
      <c r="B26" s="21"/>
      <c r="C26" s="21">
        <v>67</v>
      </c>
      <c r="D26" s="21"/>
      <c r="E26" s="21"/>
      <c r="F26" s="21"/>
      <c r="G26" s="21"/>
      <c r="H26" s="21"/>
      <c r="I26" s="21"/>
      <c r="J26" s="21"/>
      <c r="K26" s="21"/>
      <c r="L26" s="21" t="s">
        <v>116</v>
      </c>
      <c r="M26" s="21"/>
      <c r="N26" s="21" t="s">
        <v>188</v>
      </c>
      <c r="O26" s="21"/>
      <c r="P26" s="21"/>
      <c r="Q26" s="21"/>
      <c r="R26" s="21"/>
      <c r="S26" s="21"/>
      <c r="T26" s="21"/>
      <c r="U26" s="21"/>
      <c r="V26" s="21"/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t="s">
        <v>67</v>
      </c>
      <c r="B27" s="23"/>
      <c r="C27" s="21">
        <v>66</v>
      </c>
      <c r="D27" s="21"/>
      <c r="E27" s="21" t="s">
        <v>309</v>
      </c>
      <c r="F27" s="21"/>
      <c r="G27" s="21"/>
      <c r="H27" s="21"/>
      <c r="I27" s="21">
        <v>19</v>
      </c>
      <c r="J27" s="21">
        <v>2</v>
      </c>
      <c r="K27" s="21"/>
      <c r="L27" s="21" t="s">
        <v>176</v>
      </c>
      <c r="M27" s="21" t="s">
        <v>291</v>
      </c>
      <c r="N27" s="21" t="s">
        <v>212</v>
      </c>
      <c r="O27" s="21"/>
      <c r="P27" s="21"/>
      <c r="Q27" s="21"/>
      <c r="R27" s="21"/>
      <c r="S27" s="21" t="s">
        <v>33</v>
      </c>
      <c r="T27" s="21"/>
      <c r="U27" s="21"/>
      <c r="V27" s="21"/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t="s">
        <v>70</v>
      </c>
      <c r="B28" s="21"/>
      <c r="C28" s="21">
        <v>66</v>
      </c>
      <c r="D28" s="21"/>
      <c r="E28" s="21" t="s">
        <v>166</v>
      </c>
      <c r="F28" s="21"/>
      <c r="G28" s="21" t="s">
        <v>310</v>
      </c>
      <c r="H28" s="21"/>
      <c r="I28" s="21"/>
      <c r="J28" s="21"/>
      <c r="K28" s="21"/>
      <c r="L28" s="21" t="s">
        <v>311</v>
      </c>
      <c r="M28" s="21"/>
      <c r="N28" s="21" t="s">
        <v>189</v>
      </c>
      <c r="O28" s="21">
        <v>1</v>
      </c>
      <c r="P28" s="21" t="s">
        <v>33</v>
      </c>
      <c r="Q28" s="21"/>
      <c r="R28" s="21"/>
      <c r="S28" s="21" t="s">
        <v>33</v>
      </c>
      <c r="T28" s="21"/>
      <c r="U28" s="21"/>
      <c r="V28" s="21"/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t="s">
        <v>71</v>
      </c>
      <c r="B29" s="23"/>
      <c r="C29" s="21">
        <v>51</v>
      </c>
      <c r="D29" s="21" t="s">
        <v>162</v>
      </c>
      <c r="E29" s="21"/>
      <c r="F29" s="21"/>
      <c r="G29" s="21"/>
      <c r="H29" s="21"/>
      <c r="I29" s="21"/>
      <c r="J29" s="21"/>
      <c r="K29" s="21"/>
      <c r="L29" s="21" t="s">
        <v>176</v>
      </c>
      <c r="M29" s="21" t="s">
        <v>312</v>
      </c>
      <c r="N29" s="21" t="s">
        <v>72</v>
      </c>
      <c r="O29" s="21"/>
      <c r="P29" s="21" t="s">
        <v>246</v>
      </c>
      <c r="Q29" s="21"/>
      <c r="R29" s="21" t="s">
        <v>33</v>
      </c>
      <c r="S29" s="21" t="s">
        <v>259</v>
      </c>
      <c r="T29" s="21"/>
      <c r="U29" s="21"/>
      <c r="V29" s="21"/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t="s">
        <v>73</v>
      </c>
      <c r="B30" s="21"/>
      <c r="C30" s="21">
        <v>51</v>
      </c>
      <c r="D30" s="21" t="s">
        <v>293</v>
      </c>
      <c r="E30" s="21" t="s">
        <v>255</v>
      </c>
      <c r="F30" s="21" t="s">
        <v>256</v>
      </c>
      <c r="G30" s="21"/>
      <c r="H30" s="21"/>
      <c r="I30" s="21"/>
      <c r="J30" s="21"/>
      <c r="K30" s="21"/>
      <c r="L30" s="21" t="s">
        <v>36</v>
      </c>
      <c r="M30" s="21"/>
      <c r="N30" s="21" t="s">
        <v>313</v>
      </c>
      <c r="O30" s="21">
        <v>1</v>
      </c>
      <c r="P30" s="21"/>
      <c r="Q30" s="21"/>
      <c r="R30" s="21"/>
      <c r="S30" s="21" t="s">
        <v>34</v>
      </c>
      <c r="T30" s="21"/>
      <c r="U30" s="21"/>
      <c r="V30" s="21"/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t="s">
        <v>74</v>
      </c>
      <c r="B31" s="21"/>
      <c r="C31" s="21">
        <v>64</v>
      </c>
      <c r="D31" s="21"/>
      <c r="E31" s="21" t="s">
        <v>255</v>
      </c>
      <c r="F31" s="21" t="s">
        <v>256</v>
      </c>
      <c r="G31" s="21"/>
      <c r="H31" s="21"/>
      <c r="I31" s="21"/>
      <c r="J31" s="21"/>
      <c r="K31" s="21"/>
      <c r="L31" s="21" t="s">
        <v>116</v>
      </c>
      <c r="M31" s="21"/>
      <c r="N31" s="21" t="s">
        <v>274</v>
      </c>
      <c r="O31" s="21">
        <v>1</v>
      </c>
      <c r="P31" s="21" t="s">
        <v>213</v>
      </c>
      <c r="Q31" s="21"/>
      <c r="R31" s="21" t="s">
        <v>213</v>
      </c>
      <c r="S31" s="21"/>
      <c r="T31" s="21" t="s">
        <v>33</v>
      </c>
      <c r="U31" s="21" t="s">
        <v>314</v>
      </c>
      <c r="V31" s="21" t="s">
        <v>260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t="s">
        <v>76</v>
      </c>
      <c r="B32" s="21"/>
      <c r="C32" s="21">
        <v>64</v>
      </c>
      <c r="D32" s="21" t="s">
        <v>293</v>
      </c>
      <c r="E32" s="21" t="s">
        <v>255</v>
      </c>
      <c r="F32" s="21" t="s">
        <v>256</v>
      </c>
      <c r="G32" s="21"/>
      <c r="H32" s="21"/>
      <c r="I32" s="21"/>
      <c r="J32" s="21"/>
      <c r="K32" s="21"/>
      <c r="L32" s="21" t="s">
        <v>36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t="s">
        <v>77</v>
      </c>
      <c r="B33" s="23"/>
      <c r="C33" s="21"/>
      <c r="D33" s="21" t="s">
        <v>161</v>
      </c>
      <c r="E33" s="21" t="s">
        <v>255</v>
      </c>
      <c r="F33" s="21" t="s">
        <v>256</v>
      </c>
      <c r="G33" s="21"/>
      <c r="H33" s="21"/>
      <c r="I33" s="21"/>
      <c r="J33" s="21"/>
      <c r="K33" s="21"/>
      <c r="L33" s="21" t="s">
        <v>176</v>
      </c>
      <c r="M33" s="21" t="s">
        <v>291</v>
      </c>
      <c r="N33" s="21" t="s">
        <v>275</v>
      </c>
      <c r="O33" s="21"/>
      <c r="P33" s="21" t="s">
        <v>247</v>
      </c>
      <c r="Q33" s="21"/>
      <c r="R33" s="21" t="s">
        <v>33</v>
      </c>
      <c r="S33" s="21" t="s">
        <v>213</v>
      </c>
      <c r="T33" s="21"/>
      <c r="U33" s="21"/>
      <c r="V33" s="21"/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t="s">
        <v>78</v>
      </c>
      <c r="B34" s="21"/>
      <c r="C34" s="21">
        <v>43</v>
      </c>
      <c r="D34" s="21" t="s">
        <v>293</v>
      </c>
      <c r="E34" s="21" t="s">
        <v>255</v>
      </c>
      <c r="F34" s="21" t="s">
        <v>256</v>
      </c>
      <c r="G34" s="21" t="s">
        <v>315</v>
      </c>
      <c r="H34" s="21"/>
      <c r="I34" s="21"/>
      <c r="J34" s="21"/>
      <c r="K34" s="21"/>
      <c r="L34" s="21" t="s">
        <v>36</v>
      </c>
      <c r="M34" s="21"/>
      <c r="N34" s="21"/>
      <c r="O34" s="21"/>
      <c r="P34" s="21" t="s">
        <v>316</v>
      </c>
      <c r="Q34" s="21"/>
      <c r="R34" s="21"/>
      <c r="S34" s="21" t="s">
        <v>33</v>
      </c>
      <c r="T34" s="21"/>
      <c r="U34" s="21"/>
      <c r="V34" s="21"/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t="s">
        <v>79</v>
      </c>
      <c r="B35" s="21"/>
      <c r="C35" s="21">
        <v>49</v>
      </c>
      <c r="D35" s="21" t="s">
        <v>160</v>
      </c>
      <c r="E35" s="21" t="s">
        <v>168</v>
      </c>
      <c r="F35" s="21"/>
      <c r="G35" s="21" t="s">
        <v>248</v>
      </c>
      <c r="H35" s="21"/>
      <c r="I35" s="21">
        <v>2</v>
      </c>
      <c r="J35" s="21">
        <v>1</v>
      </c>
      <c r="K35" s="21" t="s">
        <v>92</v>
      </c>
      <c r="L35" s="21" t="s">
        <v>176</v>
      </c>
      <c r="M35" s="21" t="s">
        <v>291</v>
      </c>
      <c r="N35" s="21" t="s">
        <v>69</v>
      </c>
      <c r="O35" s="21"/>
      <c r="P35" s="21"/>
      <c r="Q35" s="21"/>
      <c r="R35" s="21"/>
      <c r="S35" s="21"/>
      <c r="T35" s="21"/>
      <c r="U35" s="21"/>
      <c r="V35" s="21"/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t="s">
        <v>81</v>
      </c>
      <c r="B36" s="21"/>
      <c r="C36" s="21">
        <v>49</v>
      </c>
      <c r="D36" s="21" t="s">
        <v>293</v>
      </c>
      <c r="E36" s="21" t="s">
        <v>255</v>
      </c>
      <c r="F36" s="21" t="s">
        <v>256</v>
      </c>
      <c r="G36" s="21" t="s">
        <v>317</v>
      </c>
      <c r="H36" s="21"/>
      <c r="I36" s="21">
        <v>2</v>
      </c>
      <c r="J36" s="21">
        <v>0</v>
      </c>
      <c r="K36" s="21"/>
      <c r="L36" s="21" t="s">
        <v>311</v>
      </c>
      <c r="M36" s="21"/>
      <c r="N36" s="21" t="s">
        <v>190</v>
      </c>
      <c r="O36" s="21">
        <v>1</v>
      </c>
      <c r="P36" s="21"/>
      <c r="Q36" s="21"/>
      <c r="R36" s="21"/>
      <c r="S36" s="21"/>
      <c r="T36" s="21"/>
      <c r="U36" s="21"/>
      <c r="V36" s="21"/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t="s">
        <v>82</v>
      </c>
      <c r="B37" s="23"/>
      <c r="C37" s="21">
        <v>55</v>
      </c>
      <c r="D37" s="21" t="s">
        <v>157</v>
      </c>
      <c r="E37" s="21" t="s">
        <v>167</v>
      </c>
      <c r="F37" s="21"/>
      <c r="G37" s="21" t="s">
        <v>243</v>
      </c>
      <c r="H37" s="21"/>
      <c r="I37" s="21">
        <v>4</v>
      </c>
      <c r="J37" s="21">
        <v>4</v>
      </c>
      <c r="K37" s="21" t="s">
        <v>280</v>
      </c>
      <c r="L37" s="21" t="s">
        <v>176</v>
      </c>
      <c r="M37" s="21"/>
      <c r="N37" s="21" t="s">
        <v>215</v>
      </c>
      <c r="O37" s="21">
        <v>1</v>
      </c>
      <c r="P37" s="21" t="s">
        <v>180</v>
      </c>
      <c r="Q37" s="21"/>
      <c r="R37" s="21"/>
      <c r="S37" s="21" t="s">
        <v>259</v>
      </c>
      <c r="T37" s="21"/>
      <c r="U37" s="21"/>
      <c r="V37" s="21" t="s">
        <v>318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t="s">
        <v>83</v>
      </c>
      <c r="B38" s="21"/>
      <c r="C38" s="21">
        <v>55</v>
      </c>
      <c r="D38" s="21" t="s">
        <v>293</v>
      </c>
      <c r="E38" s="21" t="s">
        <v>255</v>
      </c>
      <c r="F38" s="21" t="s">
        <v>256</v>
      </c>
      <c r="G38" s="21" t="s">
        <v>261</v>
      </c>
      <c r="H38" s="21"/>
      <c r="I38" s="21"/>
      <c r="J38" s="21"/>
      <c r="K38" s="21"/>
      <c r="L38" s="21" t="s">
        <v>36</v>
      </c>
      <c r="M38" s="21"/>
      <c r="N38" s="21" t="s">
        <v>277</v>
      </c>
      <c r="O38" s="21">
        <v>1</v>
      </c>
      <c r="P38" s="21" t="s">
        <v>319</v>
      </c>
      <c r="Q38" s="21"/>
      <c r="R38" s="21"/>
      <c r="S38" s="21" t="s">
        <v>33</v>
      </c>
      <c r="T38" s="21"/>
      <c r="U38" s="21"/>
      <c r="V38" s="21"/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t="s">
        <v>84</v>
      </c>
      <c r="B39" s="21"/>
      <c r="C39" s="21">
        <v>23</v>
      </c>
      <c r="D39" s="21"/>
      <c r="E39" s="21" t="s">
        <v>255</v>
      </c>
      <c r="F39" s="21" t="s">
        <v>256</v>
      </c>
      <c r="G39" s="21"/>
      <c r="H39" s="21"/>
      <c r="I39" s="21">
        <v>1</v>
      </c>
      <c r="J39" s="21">
        <v>0</v>
      </c>
      <c r="K39" s="21"/>
      <c r="L39" s="21" t="s">
        <v>176</v>
      </c>
      <c r="M39" s="21" t="s">
        <v>291</v>
      </c>
      <c r="N39" s="21" t="s">
        <v>191</v>
      </c>
      <c r="O39" s="21"/>
      <c r="P39" s="21" t="s">
        <v>177</v>
      </c>
      <c r="Q39" s="21"/>
      <c r="R39" s="21"/>
      <c r="S39" s="21" t="s">
        <v>177</v>
      </c>
      <c r="T39" s="21"/>
      <c r="U39" s="21"/>
      <c r="V39" s="21"/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t="s">
        <v>85</v>
      </c>
      <c r="B40" s="21"/>
      <c r="C40" s="21">
        <v>23</v>
      </c>
      <c r="D40" s="21"/>
      <c r="E40" s="21"/>
      <c r="F40" s="21"/>
      <c r="G40" s="21"/>
      <c r="H40" s="21"/>
      <c r="I40" s="21"/>
      <c r="J40" s="21"/>
      <c r="K40" s="21"/>
      <c r="L40" s="21" t="s">
        <v>181</v>
      </c>
      <c r="M40" s="21"/>
      <c r="N40" s="21" t="s">
        <v>262</v>
      </c>
      <c r="O40" s="21"/>
      <c r="P40" s="21"/>
      <c r="Q40" s="21"/>
      <c r="R40" s="21"/>
      <c r="S40" s="21"/>
      <c r="T40" s="21"/>
      <c r="U40" s="21"/>
      <c r="V40" s="21"/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t="s">
        <v>86</v>
      </c>
      <c r="B41" s="21"/>
      <c r="C41" s="21">
        <v>61</v>
      </c>
      <c r="D41" s="21"/>
      <c r="E41" s="21" t="s">
        <v>166</v>
      </c>
      <c r="F41" s="21"/>
      <c r="G41" s="21"/>
      <c r="H41" s="21"/>
      <c r="I41" s="21">
        <v>4</v>
      </c>
      <c r="J41" s="21">
        <v>3</v>
      </c>
      <c r="K41" s="21" t="s">
        <v>320</v>
      </c>
      <c r="L41" s="21" t="s">
        <v>176</v>
      </c>
      <c r="M41" s="21"/>
      <c r="N41" s="21" t="s">
        <v>80</v>
      </c>
      <c r="O41" s="21">
        <v>2</v>
      </c>
      <c r="P41" s="21" t="s">
        <v>33</v>
      </c>
      <c r="Q41" s="21"/>
      <c r="R41" s="21"/>
      <c r="S41" s="21" t="s">
        <v>33</v>
      </c>
      <c r="T41" s="21"/>
      <c r="U41" s="21"/>
      <c r="V41" s="21"/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t="s">
        <v>87</v>
      </c>
      <c r="B42" s="21"/>
      <c r="C42" s="21">
        <v>61</v>
      </c>
      <c r="D42" s="21"/>
      <c r="E42" s="21" t="s">
        <v>321</v>
      </c>
      <c r="F42" s="21"/>
      <c r="G42" s="21" t="s">
        <v>182</v>
      </c>
      <c r="H42" s="21"/>
      <c r="I42" s="21"/>
      <c r="J42" s="21"/>
      <c r="K42" s="21"/>
      <c r="L42" s="21" t="s">
        <v>322</v>
      </c>
      <c r="M42" s="21"/>
      <c r="N42" s="21" t="s">
        <v>323</v>
      </c>
      <c r="O42" s="21">
        <v>2</v>
      </c>
      <c r="P42" s="21" t="s">
        <v>324</v>
      </c>
      <c r="Q42" s="21"/>
      <c r="R42" s="21"/>
      <c r="S42" s="21"/>
      <c r="T42" s="21"/>
      <c r="U42" s="21"/>
      <c r="V42" s="21"/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t="s">
        <v>88</v>
      </c>
      <c r="B43" s="23"/>
      <c r="C43" s="21">
        <v>51</v>
      </c>
      <c r="D43" s="21" t="s">
        <v>160</v>
      </c>
      <c r="E43" s="21" t="s">
        <v>167</v>
      </c>
      <c r="F43" s="21"/>
      <c r="G43" s="21" t="s">
        <v>243</v>
      </c>
      <c r="H43" s="21"/>
      <c r="I43" s="21">
        <v>7</v>
      </c>
      <c r="J43" s="21">
        <v>4</v>
      </c>
      <c r="K43" s="21" t="s">
        <v>89</v>
      </c>
      <c r="L43" s="21" t="s">
        <v>32</v>
      </c>
      <c r="M43" s="21" t="s">
        <v>325</v>
      </c>
      <c r="N43" s="21" t="s">
        <v>89</v>
      </c>
      <c r="O43" s="21"/>
      <c r="P43" s="21" t="s">
        <v>33</v>
      </c>
      <c r="Q43" s="21"/>
      <c r="R43" s="21"/>
      <c r="S43" s="21" t="s">
        <v>33</v>
      </c>
      <c r="T43" s="21"/>
      <c r="U43" s="21"/>
      <c r="V43" s="21" t="s">
        <v>326</v>
      </c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t="s">
        <v>90</v>
      </c>
      <c r="B44" s="21"/>
      <c r="C44" s="21">
        <v>51</v>
      </c>
      <c r="D44" s="21"/>
      <c r="E44" s="21"/>
      <c r="F44" s="21"/>
      <c r="G44" s="21"/>
      <c r="H44" s="21"/>
      <c r="I44" s="21"/>
      <c r="J44" s="21"/>
      <c r="K44" s="21"/>
      <c r="L44" s="21" t="s">
        <v>327</v>
      </c>
      <c r="M44" s="21"/>
      <c r="N44" s="21"/>
      <c r="O44" s="21"/>
      <c r="P44" s="21"/>
      <c r="Q44" s="21"/>
      <c r="R44" s="21"/>
      <c r="S44" s="21"/>
      <c r="T44" s="21"/>
      <c r="U44" s="21"/>
      <c r="V44" s="21"/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t="s">
        <v>91</v>
      </c>
      <c r="B45" s="23"/>
      <c r="C45" s="21">
        <v>50</v>
      </c>
      <c r="D45" s="21" t="s">
        <v>159</v>
      </c>
      <c r="E45" s="21" t="s">
        <v>255</v>
      </c>
      <c r="F45" s="21" t="s">
        <v>256</v>
      </c>
      <c r="G45" s="21"/>
      <c r="H45" s="21"/>
      <c r="I45" s="21">
        <v>1</v>
      </c>
      <c r="J45" s="21">
        <v>0</v>
      </c>
      <c r="K45" s="21"/>
      <c r="L45" s="21" t="s">
        <v>176</v>
      </c>
      <c r="M45" s="21" t="s">
        <v>185</v>
      </c>
      <c r="N45" s="21" t="s">
        <v>192</v>
      </c>
      <c r="O45" s="21">
        <v>1</v>
      </c>
      <c r="P45" s="21" t="s">
        <v>177</v>
      </c>
      <c r="Q45" s="21"/>
      <c r="R45" s="21"/>
      <c r="S45" s="21" t="s">
        <v>177</v>
      </c>
      <c r="T45" s="21"/>
      <c r="U45" s="21"/>
      <c r="V45" s="21"/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t="s">
        <v>93</v>
      </c>
      <c r="B46" s="21"/>
      <c r="C46" s="21">
        <v>50</v>
      </c>
      <c r="D46" s="21" t="s">
        <v>158</v>
      </c>
      <c r="E46" s="21" t="s">
        <v>165</v>
      </c>
      <c r="F46" s="21" t="s">
        <v>169</v>
      </c>
      <c r="G46" s="21"/>
      <c r="H46" s="21"/>
      <c r="I46" s="21"/>
      <c r="J46" s="21"/>
      <c r="K46" s="21"/>
      <c r="L46" s="21" t="s">
        <v>36</v>
      </c>
      <c r="M46" s="21"/>
      <c r="N46" s="21" t="s">
        <v>193</v>
      </c>
      <c r="O46" s="21"/>
      <c r="P46" s="21"/>
      <c r="Q46" s="21"/>
      <c r="R46" s="21"/>
      <c r="S46" s="21"/>
      <c r="T46" s="21"/>
      <c r="U46" s="21"/>
      <c r="V46" s="21"/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t="s">
        <v>94</v>
      </c>
      <c r="B47" s="23"/>
      <c r="C47" s="21">
        <v>61</v>
      </c>
      <c r="D47" s="21"/>
      <c r="E47" s="21" t="s">
        <v>255</v>
      </c>
      <c r="F47" s="21"/>
      <c r="G47" s="21"/>
      <c r="H47" s="21"/>
      <c r="I47" s="21">
        <v>1</v>
      </c>
      <c r="J47" s="21">
        <v>0</v>
      </c>
      <c r="K47" s="21"/>
      <c r="L47" s="21" t="s">
        <v>176</v>
      </c>
      <c r="M47" s="21" t="s">
        <v>179</v>
      </c>
      <c r="N47" s="21" t="s">
        <v>278</v>
      </c>
      <c r="O47" s="21">
        <v>2</v>
      </c>
      <c r="P47" s="21"/>
      <c r="Q47" s="21"/>
      <c r="R47" s="21"/>
      <c r="S47" s="21" t="s">
        <v>34</v>
      </c>
      <c r="T47" s="21"/>
      <c r="U47" s="21"/>
      <c r="V47" s="21"/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t="s">
        <v>95</v>
      </c>
      <c r="B48" s="21"/>
      <c r="C48" s="21">
        <v>61</v>
      </c>
      <c r="D48" s="21"/>
      <c r="E48" s="21"/>
      <c r="F48" s="21"/>
      <c r="G48" s="21"/>
      <c r="H48" s="21"/>
      <c r="I48" s="21"/>
      <c r="J48" s="21"/>
      <c r="K48" s="21"/>
      <c r="L48" s="21" t="s">
        <v>250</v>
      </c>
      <c r="M48" s="21"/>
      <c r="N48" s="21" t="s">
        <v>194</v>
      </c>
      <c r="O48" s="21"/>
      <c r="P48" s="21"/>
      <c r="Q48" s="21"/>
      <c r="R48" s="21"/>
      <c r="S48" s="21"/>
      <c r="T48" s="21"/>
      <c r="U48" s="21"/>
      <c r="V48" s="21"/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t="s">
        <v>96</v>
      </c>
      <c r="B49" s="23"/>
      <c r="C49" s="21">
        <v>55</v>
      </c>
      <c r="D49" s="21" t="s">
        <v>219</v>
      </c>
      <c r="E49" s="21" t="s">
        <v>168</v>
      </c>
      <c r="F49" s="21"/>
      <c r="G49" s="21" t="s">
        <v>328</v>
      </c>
      <c r="H49" s="21"/>
      <c r="I49" s="21">
        <v>17</v>
      </c>
      <c r="J49" s="21">
        <v>9</v>
      </c>
      <c r="K49" s="21" t="s">
        <v>329</v>
      </c>
      <c r="L49" s="21" t="s">
        <v>330</v>
      </c>
      <c r="M49" s="21"/>
      <c r="N49" s="21" t="s">
        <v>331</v>
      </c>
      <c r="O49" s="21">
        <v>3</v>
      </c>
      <c r="P49" s="21" t="s">
        <v>195</v>
      </c>
      <c r="Q49" s="21"/>
      <c r="R49" s="21" t="s">
        <v>249</v>
      </c>
      <c r="S49" s="21" t="s">
        <v>263</v>
      </c>
      <c r="T49" s="21"/>
      <c r="U49" s="21"/>
      <c r="V49" s="21" t="s">
        <v>196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t="s">
        <v>97</v>
      </c>
      <c r="B50" s="21"/>
      <c r="C50" s="21">
        <v>55</v>
      </c>
      <c r="D50" s="21" t="s">
        <v>293</v>
      </c>
      <c r="E50" s="21" t="s">
        <v>166</v>
      </c>
      <c r="F50" s="21" t="s">
        <v>256</v>
      </c>
      <c r="G50" s="21" t="s">
        <v>332</v>
      </c>
      <c r="H50" s="21"/>
      <c r="I50" s="21"/>
      <c r="J50" s="21"/>
      <c r="K50" s="21"/>
      <c r="L50" s="21" t="s">
        <v>322</v>
      </c>
      <c r="M50" s="21"/>
      <c r="N50" s="21" t="s">
        <v>171</v>
      </c>
      <c r="O50" s="21">
        <v>2</v>
      </c>
      <c r="P50" s="21" t="s">
        <v>33</v>
      </c>
      <c r="Q50" s="21" t="s">
        <v>333</v>
      </c>
      <c r="R50" s="21"/>
      <c r="S50" s="21"/>
      <c r="T50" s="21"/>
      <c r="U50" s="21"/>
      <c r="V50" s="21"/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t="s">
        <v>98</v>
      </c>
      <c r="B51" s="21"/>
      <c r="C51" s="21">
        <v>42</v>
      </c>
      <c r="D51" s="21" t="s">
        <v>160</v>
      </c>
      <c r="E51" s="21"/>
      <c r="F51" s="21"/>
      <c r="G51" s="21"/>
      <c r="H51" s="21"/>
      <c r="I51" s="21"/>
      <c r="J51" s="21"/>
      <c r="K51" s="21"/>
      <c r="L51" s="21" t="s">
        <v>176</v>
      </c>
      <c r="M51" s="21"/>
      <c r="N51" s="21" t="s">
        <v>334</v>
      </c>
      <c r="O51" s="21"/>
      <c r="P51" s="21" t="s">
        <v>195</v>
      </c>
      <c r="Q51" s="21"/>
      <c r="R51" s="21" t="s">
        <v>195</v>
      </c>
      <c r="S51" s="21" t="s">
        <v>195</v>
      </c>
      <c r="T51" s="21"/>
      <c r="U51" s="21"/>
      <c r="V51" s="21"/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t="s">
        <v>99</v>
      </c>
      <c r="B52" s="21"/>
      <c r="C52" s="21">
        <v>42</v>
      </c>
      <c r="D52" s="21" t="s">
        <v>293</v>
      </c>
      <c r="E52" s="21" t="s">
        <v>255</v>
      </c>
      <c r="F52" s="21" t="s">
        <v>256</v>
      </c>
      <c r="G52" s="21"/>
      <c r="H52" s="21"/>
      <c r="I52" s="21"/>
      <c r="J52" s="21"/>
      <c r="K52" s="21"/>
      <c r="L52" s="21" t="s">
        <v>176</v>
      </c>
      <c r="M52" s="21"/>
      <c r="N52" s="21" t="s">
        <v>100</v>
      </c>
      <c r="O52" s="21">
        <v>1</v>
      </c>
      <c r="P52" s="21"/>
      <c r="Q52" s="21"/>
      <c r="R52" s="21"/>
      <c r="S52" s="21"/>
      <c r="T52" s="21"/>
      <c r="U52" s="21"/>
      <c r="V52" s="21"/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t="s">
        <v>101</v>
      </c>
      <c r="B53" s="21"/>
      <c r="C53" s="21">
        <v>73</v>
      </c>
      <c r="D53" s="21" t="s">
        <v>158</v>
      </c>
      <c r="E53" s="21" t="s">
        <v>255</v>
      </c>
      <c r="F53" s="21"/>
      <c r="G53" s="21"/>
      <c r="H53" s="21"/>
      <c r="I53" s="21"/>
      <c r="J53" s="21"/>
      <c r="K53" s="21"/>
      <c r="L53" s="21" t="s">
        <v>176</v>
      </c>
      <c r="M53" s="21"/>
      <c r="N53" s="21" t="s">
        <v>80</v>
      </c>
      <c r="O53" s="21"/>
      <c r="P53" s="21"/>
      <c r="Q53" s="21"/>
      <c r="R53" s="21"/>
      <c r="S53" s="21" t="s">
        <v>279</v>
      </c>
      <c r="T53" s="21"/>
      <c r="U53" s="21"/>
      <c r="V53" s="21"/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t="s">
        <v>102</v>
      </c>
      <c r="B54" s="21"/>
      <c r="C54" s="21">
        <v>73</v>
      </c>
      <c r="D54" s="21" t="s">
        <v>158</v>
      </c>
      <c r="E54" s="21" t="s">
        <v>255</v>
      </c>
      <c r="F54" s="21" t="s">
        <v>256</v>
      </c>
      <c r="G54" s="21" t="s">
        <v>243</v>
      </c>
      <c r="H54" s="21"/>
      <c r="I54" s="21"/>
      <c r="J54" s="21"/>
      <c r="K54" s="21"/>
      <c r="L54" s="21" t="s">
        <v>322</v>
      </c>
      <c r="M54" s="21"/>
      <c r="N54" s="21" t="s">
        <v>100</v>
      </c>
      <c r="O54" s="21">
        <v>2</v>
      </c>
      <c r="P54" s="21"/>
      <c r="Q54" s="21"/>
      <c r="R54" s="21"/>
      <c r="S54" s="21" t="s">
        <v>33</v>
      </c>
      <c r="T54" s="21"/>
      <c r="U54" s="21"/>
      <c r="V54" s="21"/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t="s">
        <v>103</v>
      </c>
      <c r="B55" s="21"/>
      <c r="C55" s="21">
        <v>39</v>
      </c>
      <c r="D55" s="21" t="s">
        <v>159</v>
      </c>
      <c r="E55" s="21" t="s">
        <v>165</v>
      </c>
      <c r="F55" s="21"/>
      <c r="G55" s="21"/>
      <c r="H55" s="21"/>
      <c r="I55" s="21">
        <v>2</v>
      </c>
      <c r="J55" s="21">
        <v>1</v>
      </c>
      <c r="K55" s="21" t="s">
        <v>335</v>
      </c>
      <c r="L55" s="21" t="s">
        <v>176</v>
      </c>
      <c r="M55" s="21"/>
      <c r="N55" s="21" t="s">
        <v>336</v>
      </c>
      <c r="O55" s="21">
        <v>2</v>
      </c>
      <c r="P55" s="21"/>
      <c r="Q55" s="21"/>
      <c r="R55" s="21" t="s">
        <v>213</v>
      </c>
      <c r="S55" s="21" t="s">
        <v>177</v>
      </c>
      <c r="T55" s="21"/>
      <c r="U55" s="21"/>
      <c r="V55" s="21"/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t="s">
        <v>104</v>
      </c>
      <c r="B56" s="21"/>
      <c r="C56" s="21">
        <v>39</v>
      </c>
      <c r="D56" s="21"/>
      <c r="E56" s="21"/>
      <c r="F56" s="21"/>
      <c r="G56" s="21"/>
      <c r="H56" s="21"/>
      <c r="I56" s="21"/>
      <c r="J56" s="21"/>
      <c r="K56" s="21"/>
      <c r="L56" s="21" t="s">
        <v>337</v>
      </c>
      <c r="M56" s="21"/>
      <c r="N56" s="21" t="s">
        <v>184</v>
      </c>
      <c r="O56" s="21"/>
      <c r="P56" s="21"/>
      <c r="Q56" s="21"/>
      <c r="R56" s="21"/>
      <c r="S56" s="21"/>
      <c r="T56" s="21"/>
      <c r="U56" s="21"/>
      <c r="V56" s="21"/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t="s">
        <v>105</v>
      </c>
      <c r="B57" s="21"/>
      <c r="C57" s="21">
        <v>57</v>
      </c>
      <c r="D57" s="21" t="s">
        <v>159</v>
      </c>
      <c r="E57" s="21" t="s">
        <v>165</v>
      </c>
      <c r="F57" s="21"/>
      <c r="G57" s="21" t="s">
        <v>265</v>
      </c>
      <c r="H57" s="21"/>
      <c r="I57" s="21">
        <v>5</v>
      </c>
      <c r="J57" s="21">
        <v>1</v>
      </c>
      <c r="K57" s="21" t="s">
        <v>106</v>
      </c>
      <c r="L57" s="21" t="s">
        <v>176</v>
      </c>
      <c r="M57" s="21"/>
      <c r="N57" s="21" t="s">
        <v>280</v>
      </c>
      <c r="O57" s="21">
        <v>2</v>
      </c>
      <c r="P57" s="21"/>
      <c r="Q57" s="21"/>
      <c r="R57" s="21"/>
      <c r="S57" s="21" t="s">
        <v>177</v>
      </c>
      <c r="T57" s="21"/>
      <c r="U57" s="21"/>
      <c r="V57" s="21" t="s">
        <v>338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t="s">
        <v>107</v>
      </c>
      <c r="B58" s="21"/>
      <c r="C58" s="21">
        <v>57</v>
      </c>
      <c r="D58" s="21"/>
      <c r="E58" s="21"/>
      <c r="F58" s="21"/>
      <c r="G58" s="21"/>
      <c r="H58" s="21"/>
      <c r="I58" s="21"/>
      <c r="J58" s="21"/>
      <c r="K58" s="21"/>
      <c r="L58" s="21" t="s">
        <v>264</v>
      </c>
      <c r="M58" s="21"/>
      <c r="N58" s="21"/>
      <c r="O58" s="21"/>
      <c r="P58" s="21"/>
      <c r="Q58" s="21"/>
      <c r="R58" s="21"/>
      <c r="S58" s="21"/>
      <c r="T58" s="21"/>
      <c r="U58" s="21"/>
      <c r="V58" s="21"/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t="s">
        <v>108</v>
      </c>
      <c r="B59" s="23"/>
      <c r="C59" s="21">
        <v>63</v>
      </c>
      <c r="D59" s="21" t="s">
        <v>159</v>
      </c>
      <c r="E59" s="21"/>
      <c r="F59" s="21"/>
      <c r="G59" s="21"/>
      <c r="H59" s="21"/>
      <c r="I59" s="21"/>
      <c r="J59" s="21"/>
      <c r="K59" s="21"/>
      <c r="L59" s="21" t="s">
        <v>176</v>
      </c>
      <c r="M59" s="21" t="s">
        <v>291</v>
      </c>
      <c r="N59" s="21" t="s">
        <v>214</v>
      </c>
      <c r="O59" s="21"/>
      <c r="P59" s="21" t="s">
        <v>177</v>
      </c>
      <c r="Q59" s="21"/>
      <c r="R59" s="21"/>
      <c r="S59" s="21" t="s">
        <v>177</v>
      </c>
      <c r="T59" s="21"/>
      <c r="U59" s="21"/>
      <c r="V59" s="21"/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t="s">
        <v>109</v>
      </c>
      <c r="B60" s="21"/>
      <c r="C60" s="21">
        <v>63</v>
      </c>
      <c r="D60" s="21"/>
      <c r="E60" s="21"/>
      <c r="F60" s="21"/>
      <c r="G60" s="21"/>
      <c r="H60" s="21"/>
      <c r="I60" s="21"/>
      <c r="J60" s="21"/>
      <c r="K60" s="21"/>
      <c r="L60" s="21" t="s">
        <v>36</v>
      </c>
      <c r="M60" s="21"/>
      <c r="N60" s="21"/>
      <c r="O60" s="21"/>
      <c r="P60" s="21"/>
      <c r="Q60" s="21"/>
      <c r="R60" s="21"/>
      <c r="S60" s="21"/>
      <c r="T60" s="21"/>
      <c r="U60" s="21"/>
      <c r="V60" s="21"/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t="s">
        <v>110</v>
      </c>
      <c r="B61" s="21"/>
      <c r="C61" s="21">
        <v>39</v>
      </c>
      <c r="D61" s="21" t="s">
        <v>160</v>
      </c>
      <c r="E61" s="21"/>
      <c r="F61" s="21"/>
      <c r="G61" s="21"/>
      <c r="H61" s="21"/>
      <c r="I61" s="21">
        <v>24</v>
      </c>
      <c r="J61" s="21">
        <v>3</v>
      </c>
      <c r="K61" s="21" t="s">
        <v>339</v>
      </c>
      <c r="L61" s="21" t="s">
        <v>176</v>
      </c>
      <c r="M61" s="21" t="s">
        <v>179</v>
      </c>
      <c r="N61" s="21" t="s">
        <v>281</v>
      </c>
      <c r="O61" s="21"/>
      <c r="P61" s="21"/>
      <c r="Q61" s="21"/>
      <c r="R61" s="21"/>
      <c r="S61" s="21"/>
      <c r="T61" s="21"/>
      <c r="U61" s="21"/>
      <c r="V61" s="21"/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t="s">
        <v>112</v>
      </c>
      <c r="B62" s="21"/>
      <c r="C62" s="21">
        <v>39</v>
      </c>
      <c r="D62" s="21" t="s">
        <v>293</v>
      </c>
      <c r="E62" s="21" t="s">
        <v>166</v>
      </c>
      <c r="F62" s="21" t="s">
        <v>256</v>
      </c>
      <c r="G62" s="21" t="s">
        <v>340</v>
      </c>
      <c r="H62" s="21"/>
      <c r="I62" s="21"/>
      <c r="J62" s="21"/>
      <c r="K62" s="21"/>
      <c r="L62" s="21" t="s">
        <v>322</v>
      </c>
      <c r="M62" s="21"/>
      <c r="N62" s="21"/>
      <c r="O62" s="21"/>
      <c r="P62" s="21"/>
      <c r="Q62" s="21"/>
      <c r="R62" s="21"/>
      <c r="S62" s="21" t="s">
        <v>282</v>
      </c>
      <c r="T62" s="21"/>
      <c r="U62" s="21"/>
      <c r="V62" s="21"/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t="s">
        <v>113</v>
      </c>
      <c r="B63" s="21"/>
      <c r="C63" s="21"/>
      <c r="D63" s="21" t="s">
        <v>163</v>
      </c>
      <c r="E63" s="21" t="s">
        <v>166</v>
      </c>
      <c r="F63" s="21" t="s">
        <v>256</v>
      </c>
      <c r="G63" s="21" t="s">
        <v>341</v>
      </c>
      <c r="H63" s="21"/>
      <c r="I63" s="21">
        <v>1</v>
      </c>
      <c r="J63" s="21">
        <v>1</v>
      </c>
      <c r="K63" s="21" t="s">
        <v>155</v>
      </c>
      <c r="L63" s="21" t="s">
        <v>32</v>
      </c>
      <c r="M63" s="21" t="s">
        <v>342</v>
      </c>
      <c r="N63" s="21" t="s">
        <v>283</v>
      </c>
      <c r="O63" s="21"/>
      <c r="P63" s="21" t="s">
        <v>33</v>
      </c>
      <c r="Q63" s="21"/>
      <c r="R63" s="21" t="s">
        <v>33</v>
      </c>
      <c r="S63" s="21" t="s">
        <v>213</v>
      </c>
      <c r="T63" s="21"/>
      <c r="U63" s="21"/>
      <c r="V63" s="21" t="s">
        <v>343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t="s">
        <v>114</v>
      </c>
      <c r="B64" s="22"/>
      <c r="C64" s="21">
        <v>60</v>
      </c>
      <c r="D64" s="21" t="s">
        <v>163</v>
      </c>
      <c r="E64" s="21"/>
      <c r="F64" s="21"/>
      <c r="G64" s="21"/>
      <c r="H64" s="21"/>
      <c r="I64" s="21"/>
      <c r="J64" s="21"/>
      <c r="K64" s="21"/>
      <c r="L64" s="21" t="s">
        <v>344</v>
      </c>
      <c r="M64" s="21"/>
      <c r="N64" s="21" t="s">
        <v>189</v>
      </c>
      <c r="O64" s="21"/>
      <c r="P64" s="21" t="s">
        <v>284</v>
      </c>
      <c r="Q64" s="21"/>
      <c r="R64" s="21"/>
      <c r="S64" s="21" t="s">
        <v>34</v>
      </c>
      <c r="T64" s="21"/>
      <c r="U64" s="21"/>
      <c r="V64" s="21"/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t="s">
        <v>115</v>
      </c>
      <c r="B65" s="23"/>
      <c r="C65" s="21"/>
      <c r="D65" s="21" t="s">
        <v>164</v>
      </c>
      <c r="E65" s="21" t="s">
        <v>167</v>
      </c>
      <c r="F65" s="21" t="s">
        <v>256</v>
      </c>
      <c r="G65" s="21" t="s">
        <v>182</v>
      </c>
      <c r="H65" s="21"/>
      <c r="I65" s="21">
        <v>13</v>
      </c>
      <c r="J65" s="21">
        <v>1</v>
      </c>
      <c r="K65" s="21" t="s">
        <v>345</v>
      </c>
      <c r="L65" s="21" t="s">
        <v>301</v>
      </c>
      <c r="M65" s="21"/>
      <c r="N65" s="21" t="s">
        <v>346</v>
      </c>
      <c r="O65" s="21">
        <v>1</v>
      </c>
      <c r="P65" s="21" t="s">
        <v>285</v>
      </c>
      <c r="Q65" s="21" t="s">
        <v>347</v>
      </c>
      <c r="R65" s="21" t="s">
        <v>286</v>
      </c>
      <c r="S65" s="21" t="s">
        <v>33</v>
      </c>
      <c r="T65" s="21"/>
      <c r="U65" s="21"/>
      <c r="V65" s="21" t="s">
        <v>33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t="s">
        <v>117</v>
      </c>
      <c r="B66" s="22"/>
      <c r="C66" s="21">
        <v>72</v>
      </c>
      <c r="D66" s="21"/>
      <c r="E66" s="21" t="s">
        <v>255</v>
      </c>
      <c r="F66" s="21" t="s">
        <v>256</v>
      </c>
      <c r="G66" s="21"/>
      <c r="H66" s="21"/>
      <c r="I66" s="21"/>
      <c r="J66" s="21"/>
      <c r="K66" s="21"/>
      <c r="L66" s="21" t="s">
        <v>116</v>
      </c>
      <c r="M66" s="21"/>
      <c r="N66" s="21" t="s">
        <v>287</v>
      </c>
      <c r="O66" s="21"/>
      <c r="P66" s="21"/>
      <c r="Q66" s="21"/>
      <c r="R66" s="21"/>
      <c r="S66" s="21"/>
      <c r="T66" s="21"/>
      <c r="U66" s="21"/>
      <c r="V66" s="21"/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t="s">
        <v>118</v>
      </c>
      <c r="B67" s="21"/>
      <c r="C67" s="21"/>
      <c r="D67" s="21" t="s">
        <v>159</v>
      </c>
      <c r="E67" s="21" t="s">
        <v>255</v>
      </c>
      <c r="F67" s="21" t="s">
        <v>256</v>
      </c>
      <c r="G67" s="21"/>
      <c r="H67" s="21"/>
      <c r="I67" s="21"/>
      <c r="J67" s="21"/>
      <c r="K67" s="21"/>
      <c r="L67" s="21" t="s">
        <v>348</v>
      </c>
      <c r="M67" s="21"/>
      <c r="N67" s="21" t="s">
        <v>49</v>
      </c>
      <c r="O67" s="21">
        <v>1</v>
      </c>
      <c r="P67" s="21" t="s">
        <v>213</v>
      </c>
      <c r="Q67" s="21"/>
      <c r="R67" s="21" t="s">
        <v>213</v>
      </c>
      <c r="S67" s="21" t="s">
        <v>213</v>
      </c>
      <c r="T67" s="21"/>
      <c r="U67" s="21"/>
      <c r="V67" s="21"/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t="s">
        <v>119</v>
      </c>
      <c r="B68" s="22"/>
      <c r="C68" s="21">
        <v>41</v>
      </c>
      <c r="D68" s="21"/>
      <c r="E68" s="21"/>
      <c r="F68" s="21" t="s">
        <v>256</v>
      </c>
      <c r="G68" s="21"/>
      <c r="H68" s="21" t="s">
        <v>251</v>
      </c>
      <c r="I68" s="21"/>
      <c r="J68" s="21"/>
      <c r="K68" s="21"/>
      <c r="L68" s="21" t="s">
        <v>197</v>
      </c>
      <c r="M68" s="21"/>
      <c r="N68" s="21" t="s">
        <v>349</v>
      </c>
      <c r="O68" s="21"/>
      <c r="P68" s="21"/>
      <c r="Q68" s="21"/>
      <c r="R68" s="21"/>
      <c r="S68" s="21"/>
      <c r="T68" s="21"/>
      <c r="U68" s="21"/>
      <c r="V68" s="21"/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t="s">
        <v>120</v>
      </c>
      <c r="B69" s="21"/>
      <c r="C69" s="21"/>
      <c r="D69" s="21" t="s">
        <v>157</v>
      </c>
      <c r="E69" s="21" t="s">
        <v>165</v>
      </c>
      <c r="F69" s="21"/>
      <c r="G69" s="21"/>
      <c r="H69" s="21"/>
      <c r="I69" s="21"/>
      <c r="J69" s="21"/>
      <c r="K69" s="21"/>
      <c r="L69" s="21" t="s">
        <v>176</v>
      </c>
      <c r="M69" s="21" t="s">
        <v>350</v>
      </c>
      <c r="N69" s="21" t="s">
        <v>198</v>
      </c>
      <c r="O69" s="21"/>
      <c r="P69" s="21" t="s">
        <v>285</v>
      </c>
      <c r="Q69" s="21" t="s">
        <v>351</v>
      </c>
      <c r="R69" s="21"/>
      <c r="S69" s="21" t="s">
        <v>266</v>
      </c>
      <c r="T69" s="21"/>
      <c r="U69" s="21"/>
      <c r="V69" s="21" t="s">
        <v>33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t="s">
        <v>121</v>
      </c>
      <c r="B70" s="22"/>
      <c r="C70" s="21">
        <v>63</v>
      </c>
      <c r="D70" s="21"/>
      <c r="E70" s="21"/>
      <c r="F70" s="21"/>
      <c r="G70" s="21"/>
      <c r="H70" s="21"/>
      <c r="I70" s="21"/>
      <c r="J70" s="21"/>
      <c r="K70" s="21"/>
      <c r="L70" s="21" t="s">
        <v>32</v>
      </c>
      <c r="M70" s="21"/>
      <c r="N70" s="21" t="s">
        <v>199</v>
      </c>
      <c r="O70" s="21"/>
      <c r="P70" s="21"/>
      <c r="Q70" s="21"/>
      <c r="R70" s="21"/>
      <c r="S70" s="21" t="s">
        <v>33</v>
      </c>
      <c r="T70" s="21"/>
      <c r="U70" s="21"/>
      <c r="V70" s="21"/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t="s">
        <v>122</v>
      </c>
      <c r="B71" s="23"/>
      <c r="C71" s="21"/>
      <c r="D71" s="21"/>
      <c r="E71" s="21" t="s">
        <v>352</v>
      </c>
      <c r="F71" s="21"/>
      <c r="G71" s="21" t="s">
        <v>252</v>
      </c>
      <c r="H71" s="21"/>
      <c r="I71" s="21">
        <v>35</v>
      </c>
      <c r="J71" s="21">
        <v>7</v>
      </c>
      <c r="K71" s="21" t="s">
        <v>278</v>
      </c>
      <c r="L71" s="21" t="s">
        <v>176</v>
      </c>
      <c r="M71" s="21" t="s">
        <v>350</v>
      </c>
      <c r="N71" s="21" t="s">
        <v>288</v>
      </c>
      <c r="O71" s="21"/>
      <c r="P71" s="21" t="s">
        <v>180</v>
      </c>
      <c r="Q71" s="21"/>
      <c r="R71" s="21" t="s">
        <v>33</v>
      </c>
      <c r="S71" s="21" t="s">
        <v>33</v>
      </c>
      <c r="T71" s="21"/>
      <c r="U71" s="21"/>
      <c r="V71" s="21" t="s">
        <v>33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t="s">
        <v>123</v>
      </c>
      <c r="B72" s="22"/>
      <c r="C72" s="21">
        <v>62</v>
      </c>
      <c r="D72" s="21"/>
      <c r="E72" s="21" t="s">
        <v>165</v>
      </c>
      <c r="F72" s="21" t="s">
        <v>170</v>
      </c>
      <c r="G72" s="21" t="s">
        <v>353</v>
      </c>
      <c r="H72" s="21" t="s">
        <v>200</v>
      </c>
      <c r="I72" s="21"/>
      <c r="J72" s="21"/>
      <c r="K72" s="21"/>
      <c r="L72" s="21" t="s">
        <v>322</v>
      </c>
      <c r="M72" s="21"/>
      <c r="N72" s="21" t="s">
        <v>189</v>
      </c>
      <c r="O72" s="21">
        <v>1</v>
      </c>
      <c r="P72" s="21"/>
      <c r="Q72" s="21"/>
      <c r="R72" s="21"/>
      <c r="S72" s="21"/>
      <c r="T72" s="21"/>
      <c r="U72" s="21"/>
      <c r="V72" s="21"/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124</v>
      </c>
      <c r="B1" s="2" t="s">
        <v>125</v>
      </c>
    </row>
    <row r="2" spans="1:2">
      <c r="A2" s="1" t="s">
        <v>2</v>
      </c>
      <c r="B2" s="1" t="s">
        <v>126</v>
      </c>
    </row>
    <row r="3" spans="1:2">
      <c r="A3" s="1" t="s">
        <v>3</v>
      </c>
      <c r="B3" s="1" t="s">
        <v>127</v>
      </c>
    </row>
    <row r="4" spans="1:2">
      <c r="A4" s="1" t="s">
        <v>4</v>
      </c>
      <c r="B4" s="1" t="s">
        <v>128</v>
      </c>
    </row>
    <row r="5" spans="1:2">
      <c r="A5" s="1" t="s">
        <v>5</v>
      </c>
      <c r="B5" s="1" t="s">
        <v>129</v>
      </c>
    </row>
    <row r="6" spans="1:2">
      <c r="A6" s="1" t="s">
        <v>6</v>
      </c>
      <c r="B6" s="1" t="s">
        <v>130</v>
      </c>
    </row>
    <row r="7" spans="1:2">
      <c r="A7" s="1" t="s">
        <v>7</v>
      </c>
      <c r="B7" s="1" t="s">
        <v>131</v>
      </c>
    </row>
    <row r="8" spans="1:2">
      <c r="A8" s="1" t="s">
        <v>10</v>
      </c>
      <c r="B8" s="1" t="s">
        <v>132</v>
      </c>
    </row>
    <row r="9" spans="1:2">
      <c r="A9" s="1" t="s">
        <v>12</v>
      </c>
      <c r="B9" s="1" t="s">
        <v>133</v>
      </c>
    </row>
    <row r="10" spans="1:2">
      <c r="A10" s="1" t="s">
        <v>13</v>
      </c>
      <c r="B10" s="1" t="s">
        <v>134</v>
      </c>
    </row>
    <row r="11" spans="1:2">
      <c r="A11" s="1" t="s">
        <v>14</v>
      </c>
      <c r="B11" s="1" t="s">
        <v>135</v>
      </c>
    </row>
    <row r="12" spans="1:2">
      <c r="A12" s="1" t="s">
        <v>15</v>
      </c>
      <c r="B12" s="1" t="s">
        <v>136</v>
      </c>
    </row>
    <row r="13" spans="1:2">
      <c r="A13" s="1" t="s">
        <v>16</v>
      </c>
      <c r="B13" s="1" t="s">
        <v>137</v>
      </c>
    </row>
    <row r="14" spans="1:2">
      <c r="A14" s="1" t="s">
        <v>18</v>
      </c>
      <c r="B14" s="1" t="s">
        <v>138</v>
      </c>
    </row>
    <row r="15" spans="1:2">
      <c r="A15" s="1" t="s">
        <v>19</v>
      </c>
      <c r="B15" s="1" t="s">
        <v>139</v>
      </c>
    </row>
    <row r="16" spans="1:2">
      <c r="A16" s="1" t="s">
        <v>20</v>
      </c>
      <c r="B16" s="1" t="s">
        <v>140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141</v>
      </c>
    </row>
    <row r="19" spans="1:2">
      <c r="A19" s="1" t="s">
        <v>23</v>
      </c>
      <c r="B19" s="1" t="s">
        <v>142</v>
      </c>
    </row>
    <row r="20" spans="1:2">
      <c r="A20" s="1" t="s">
        <v>24</v>
      </c>
      <c r="B20" s="1" t="s">
        <v>143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144</v>
      </c>
    </row>
    <row r="23" spans="1:2">
      <c r="A23" s="1" t="s">
        <v>27</v>
      </c>
      <c r="B23" s="1" t="s">
        <v>145</v>
      </c>
    </row>
    <row r="24" spans="1:2">
      <c r="A24" s="1" t="s">
        <v>28</v>
      </c>
      <c r="B24" s="1" t="s">
        <v>146</v>
      </c>
    </row>
    <row r="25" spans="1:2">
      <c r="A25" s="2" t="s">
        <v>29</v>
      </c>
      <c r="B25" s="2" t="s">
        <v>147</v>
      </c>
    </row>
    <row r="27" spans="1:2">
      <c r="A27" s="1" t="s">
        <v>148</v>
      </c>
    </row>
    <row r="28" spans="1:2">
      <c r="A28" s="1" t="s">
        <v>149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