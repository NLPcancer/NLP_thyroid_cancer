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llama\"/>
    </mc:Choice>
  </mc:AlternateContent>
  <xr:revisionPtr revIDLastSave="0" documentId="13_ncr:1_{59778E6F-4E1B-430A-8961-41C3192998F7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result'!$A$2:$AW$37</definedName>
    <definedName name="_xleta.ISERRO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8" i="16" l="1" a="1"/>
  <c r="S18" i="16" s="1"/>
  <c r="S19" i="16" a="1"/>
  <c r="S19" i="16" s="1"/>
  <c r="S20" i="16" a="1"/>
  <c r="S20" i="16" s="1"/>
  <c r="S21" i="16" a="1"/>
  <c r="S21" i="16" s="1"/>
  <c r="S22" i="16" a="1"/>
  <c r="S22" i="16" s="1"/>
  <c r="S23" i="16" a="1"/>
  <c r="S23" i="16" s="1"/>
  <c r="S24" i="16" a="1"/>
  <c r="S24" i="16" s="1"/>
  <c r="S25" i="16" a="1"/>
  <c r="S25" i="16" s="1"/>
  <c r="S26" i="16" a="1"/>
  <c r="S26" i="16" s="1"/>
  <c r="S27" i="16" a="1"/>
  <c r="S27" i="16" s="1"/>
  <c r="S28" i="16" a="1"/>
  <c r="S28" i="16" s="1"/>
  <c r="S29" i="16" a="1"/>
  <c r="S29" i="16" s="1"/>
  <c r="S30" i="16" a="1"/>
  <c r="S30" i="16" s="1"/>
  <c r="S31" i="16" a="1"/>
  <c r="S31" i="16" s="1"/>
  <c r="S32" i="16" a="1"/>
  <c r="S32" i="16" s="1"/>
  <c r="S33" i="16" a="1"/>
  <c r="S33" i="16" s="1"/>
  <c r="S34" i="16" a="1"/>
  <c r="S34" i="16" s="1"/>
  <c r="S35" i="16" a="1"/>
  <c r="S35" i="16" s="1"/>
  <c r="S36" i="16" a="1"/>
  <c r="S36" i="16" s="1"/>
  <c r="S37" i="16" a="1"/>
  <c r="S37" i="16" s="1"/>
  <c r="S3" i="16" a="1"/>
  <c r="S3" i="16" s="1"/>
  <c r="S4" i="16" a="1"/>
  <c r="S4" i="16" s="1"/>
  <c r="S5" i="16" a="1"/>
  <c r="S5" i="16" s="1"/>
  <c r="S6" i="16" a="1"/>
  <c r="S6" i="16" s="1"/>
  <c r="S7" i="16" a="1"/>
  <c r="S7" i="16" s="1"/>
  <c r="S8" i="16" a="1"/>
  <c r="S8" i="16" s="1"/>
  <c r="S9" i="16" a="1"/>
  <c r="S9" i="16" s="1"/>
  <c r="S10" i="16" a="1"/>
  <c r="S10" i="16" s="1"/>
  <c r="S11" i="16" a="1"/>
  <c r="S11" i="16" s="1"/>
  <c r="S12" i="16" a="1"/>
  <c r="S12" i="16" s="1"/>
  <c r="S13" i="16" a="1"/>
  <c r="S13" i="16" s="1"/>
  <c r="S14" i="16" a="1"/>
  <c r="S14" i="16" s="1"/>
  <c r="S15" i="16" a="1"/>
  <c r="S15" i="16" s="1"/>
  <c r="S16" i="16" a="1"/>
  <c r="S16" i="16" s="1"/>
  <c r="S17" i="16" a="1"/>
  <c r="S17" i="16" s="1"/>
  <c r="K3" i="16" a="1"/>
  <c r="K3" i="16" s="1"/>
  <c r="K4" i="16" a="1"/>
  <c r="K4" i="16" s="1"/>
  <c r="K5" i="16" a="1"/>
  <c r="K5" i="16" s="1"/>
  <c r="K6" i="16" a="1"/>
  <c r="K6" i="16" s="1"/>
  <c r="K7" i="16" a="1"/>
  <c r="K7" i="16" s="1"/>
  <c r="K8" i="16" a="1"/>
  <c r="K8" i="16" s="1"/>
  <c r="K9" i="16" a="1"/>
  <c r="K9" i="16" s="1"/>
  <c r="K10" i="16" a="1"/>
  <c r="K10" i="16" s="1"/>
  <c r="K11" i="16" a="1"/>
  <c r="K11" i="16" s="1"/>
  <c r="K12" i="16" a="1"/>
  <c r="K12" i="16" s="1"/>
  <c r="K13" i="16" a="1"/>
  <c r="K13" i="16" s="1"/>
  <c r="K14" i="16" a="1"/>
  <c r="K14" i="16" s="1"/>
  <c r="K15" i="16" a="1"/>
  <c r="K15" i="16" s="1"/>
  <c r="K16" i="16" a="1"/>
  <c r="K16" i="16" s="1"/>
  <c r="K17" i="16" a="1"/>
  <c r="K17" i="16" s="1"/>
  <c r="K18" i="16" a="1"/>
  <c r="K18" i="16" s="1"/>
  <c r="K19" i="16" a="1"/>
  <c r="K19" i="16" s="1"/>
  <c r="K20" i="16" a="1"/>
  <c r="K20" i="16" s="1"/>
  <c r="K21" i="16" a="1"/>
  <c r="K21" i="16" s="1"/>
  <c r="K22" i="16" a="1"/>
  <c r="K22" i="16" s="1"/>
  <c r="K23" i="16" a="1"/>
  <c r="K23" i="16" s="1"/>
  <c r="K24" i="16" a="1"/>
  <c r="K24" i="16" s="1"/>
  <c r="K25" i="16" a="1"/>
  <c r="K25" i="16" s="1"/>
  <c r="K27" i="16" a="1"/>
  <c r="K27" i="16" s="1"/>
  <c r="K28" i="16" a="1"/>
  <c r="K28" i="16" s="1"/>
  <c r="K29" i="16" a="1"/>
  <c r="K29" i="16" s="1"/>
  <c r="K30" i="16" a="1"/>
  <c r="K30" i="16" s="1"/>
  <c r="K31" i="16" a="1"/>
  <c r="K31" i="16" s="1"/>
  <c r="K32" i="16" a="1"/>
  <c r="K32" i="16" s="1"/>
  <c r="K33" i="16" a="1"/>
  <c r="K33" i="16" s="1"/>
  <c r="K34" i="16" a="1"/>
  <c r="K34" i="16" s="1"/>
  <c r="K35" i="16" a="1"/>
  <c r="K35" i="16" s="1"/>
  <c r="K36" i="16" a="1"/>
  <c r="K36" i="16" s="1"/>
  <c r="K37" i="16" a="1"/>
  <c r="K37" i="16" s="1"/>
  <c r="K26" i="16" a="1"/>
  <c r="K26" i="16" s="1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 s="1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 s="1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 s="1"/>
  <c r="Z71" i="15" a="1"/>
  <c r="Z71" i="15" s="1"/>
  <c r="Z72" i="15" a="1"/>
  <c r="Z72" i="15" s="1"/>
  <c r="Z2" i="15" a="1"/>
  <c r="Z2" i="15" s="1"/>
  <c r="V14" i="16" l="1" a="1"/>
  <c r="V14" i="16" s="1"/>
  <c r="V34" i="16" a="1"/>
  <c r="V34" i="16" s="1"/>
  <c r="V15" i="16" a="1"/>
  <c r="V15" i="16" s="1"/>
  <c r="V35" i="16" a="1"/>
  <c r="V35" i="16" s="1"/>
  <c r="V16" i="16" a="1"/>
  <c r="V16" i="16" s="1"/>
  <c r="V36" i="16" a="1"/>
  <c r="V36" i="16" s="1"/>
  <c r="V17" i="16" a="1"/>
  <c r="V17" i="16" s="1"/>
  <c r="Y17" i="16" s="1"/>
  <c r="V37" i="16" a="1"/>
  <c r="V37" i="16" s="1"/>
  <c r="V18" i="16" a="1"/>
  <c r="V18" i="16" s="1"/>
  <c r="V3" i="16" a="1"/>
  <c r="V3" i="16" s="1"/>
  <c r="Y3" i="16" s="1"/>
  <c r="V19" i="16" a="1"/>
  <c r="V19" i="16" s="1"/>
  <c r="Y19" i="16" s="1"/>
  <c r="V33" i="16" a="1"/>
  <c r="V33" i="16" s="1"/>
  <c r="V20" i="16" a="1"/>
  <c r="V20" i="16" s="1"/>
  <c r="V32" i="16" a="1"/>
  <c r="V32" i="16" s="1"/>
  <c r="V21" i="16" a="1"/>
  <c r="V21" i="16" s="1"/>
  <c r="Y21" i="16" s="1"/>
  <c r="V22" i="16" a="1"/>
  <c r="V22" i="16" s="1"/>
  <c r="V30" i="16" a="1"/>
  <c r="V30" i="16" s="1"/>
  <c r="Y30" i="16" s="1"/>
  <c r="V23" i="16" a="1"/>
  <c r="V23" i="16" s="1"/>
  <c r="V24" i="16" a="1"/>
  <c r="V24" i="16" s="1"/>
  <c r="Y24" i="16" s="1"/>
  <c r="V4" i="16" a="1"/>
  <c r="V4" i="16" s="1"/>
  <c r="Y4" i="16" s="1"/>
  <c r="V5" i="16" a="1"/>
  <c r="V5" i="16" s="1"/>
  <c r="Y5" i="16" s="1"/>
  <c r="V25" i="16" a="1"/>
  <c r="V25" i="16" s="1"/>
  <c r="Y25" i="16" s="1"/>
  <c r="V6" i="16" a="1"/>
  <c r="V6" i="16" s="1"/>
  <c r="V26" i="16" a="1"/>
  <c r="V26" i="16" s="1"/>
  <c r="Y26" i="16" s="1"/>
  <c r="V7" i="16" a="1"/>
  <c r="V7" i="16" s="1"/>
  <c r="V27" i="16" a="1"/>
  <c r="V27" i="16" s="1"/>
  <c r="Y27" i="16" s="1"/>
  <c r="V8" i="16" a="1"/>
  <c r="V8" i="16" s="1"/>
  <c r="Y8" i="16" s="1"/>
  <c r="V28" i="16" a="1"/>
  <c r="V28" i="16" s="1"/>
  <c r="V9" i="16" a="1"/>
  <c r="V9" i="16" s="1"/>
  <c r="Y9" i="16" s="1"/>
  <c r="V29" i="16" a="1"/>
  <c r="V29" i="16" s="1"/>
  <c r="Y29" i="16" s="1"/>
  <c r="V10" i="16" a="1"/>
  <c r="V10" i="16" s="1"/>
  <c r="Y10" i="16" s="1"/>
  <c r="V11" i="16" a="1"/>
  <c r="V11" i="16" s="1"/>
  <c r="Y11" i="16" s="1"/>
  <c r="V31" i="16" a="1"/>
  <c r="V31" i="16" s="1"/>
  <c r="Y31" i="16" s="1"/>
  <c r="V12" i="16" a="1"/>
  <c r="V12" i="16" s="1"/>
  <c r="Y12" i="16" s="1"/>
  <c r="V13" i="16" a="1"/>
  <c r="V13" i="16" s="1"/>
  <c r="Y13" i="16" s="1"/>
  <c r="F12" i="16" a="1"/>
  <c r="F12" i="16" s="1"/>
  <c r="F4" i="16" a="1"/>
  <c r="F4" i="16" s="1"/>
  <c r="F13" i="16" a="1"/>
  <c r="F13" i="16" s="1"/>
  <c r="F33" i="16" a="1"/>
  <c r="F33" i="16" s="1"/>
  <c r="F14" i="16" a="1"/>
  <c r="F14" i="16" s="1"/>
  <c r="F34" i="16" a="1"/>
  <c r="F34" i="16" s="1"/>
  <c r="F15" i="16" a="1"/>
  <c r="F15" i="16" s="1"/>
  <c r="F36" i="16" a="1"/>
  <c r="F36" i="16" s="1"/>
  <c r="F16" i="16" a="1"/>
  <c r="F16" i="16" s="1"/>
  <c r="F17" i="16" a="1"/>
  <c r="F17" i="16" s="1"/>
  <c r="F37" i="16" a="1"/>
  <c r="F37" i="16" s="1"/>
  <c r="F18" i="16" a="1"/>
  <c r="F18" i="16" s="1"/>
  <c r="F3" i="16" a="1"/>
  <c r="F3" i="16" s="1"/>
  <c r="F19" i="16" a="1"/>
  <c r="F19" i="16" s="1"/>
  <c r="F20" i="16" a="1"/>
  <c r="F20" i="16" s="1"/>
  <c r="F21" i="16" a="1"/>
  <c r="F21" i="16" s="1"/>
  <c r="F6" i="16" a="1"/>
  <c r="F6" i="16" s="1"/>
  <c r="F22" i="16" a="1"/>
  <c r="F22" i="16" s="1"/>
  <c r="F30" i="16" a="1"/>
  <c r="F30" i="16" s="1"/>
  <c r="F23" i="16" a="1"/>
  <c r="F23" i="16" s="1"/>
  <c r="F27" i="16" a="1"/>
  <c r="F27" i="16" s="1"/>
  <c r="F24" i="16" a="1"/>
  <c r="F24" i="16" s="1"/>
  <c r="F29" i="16" a="1"/>
  <c r="F29" i="16" s="1"/>
  <c r="F25" i="16" a="1"/>
  <c r="F25" i="16" s="1"/>
  <c r="F32" i="16" a="1"/>
  <c r="F32" i="16" s="1"/>
  <c r="F26" i="16" a="1"/>
  <c r="F26" i="16" s="1"/>
  <c r="F28" i="16" a="1"/>
  <c r="F28" i="16" s="1"/>
  <c r="F5" i="16" a="1"/>
  <c r="F5" i="16" s="1"/>
  <c r="F7" i="16" a="1"/>
  <c r="F7" i="16" s="1"/>
  <c r="F35" i="16" a="1"/>
  <c r="F35" i="16" s="1"/>
  <c r="F8" i="16" a="1"/>
  <c r="F8" i="16" s="1"/>
  <c r="F9" i="16" a="1"/>
  <c r="F9" i="16" s="1"/>
  <c r="F31" i="16" a="1"/>
  <c r="F31" i="16" s="1"/>
  <c r="F10" i="16" a="1"/>
  <c r="F10" i="16" s="1"/>
  <c r="F11" i="16" a="1"/>
  <c r="F11" i="16" s="1"/>
  <c r="H24" i="16" a="1"/>
  <c r="H24" i="16" s="1"/>
  <c r="AF9" i="16" a="1"/>
  <c r="AF9" i="16" s="1"/>
  <c r="AF29" i="16" a="1"/>
  <c r="AF29" i="16" s="1"/>
  <c r="AG13" i="16" a="1"/>
  <c r="AG13" i="16" s="1"/>
  <c r="AF10" i="16" a="1"/>
  <c r="AF10" i="16" s="1"/>
  <c r="AF30" i="16" a="1"/>
  <c r="AF30" i="16" s="1"/>
  <c r="H26" i="16" a="1"/>
  <c r="H26" i="16" s="1"/>
  <c r="AF11" i="16" a="1"/>
  <c r="AF11" i="16" s="1"/>
  <c r="AF31" i="16" a="1"/>
  <c r="AF31" i="16" s="1"/>
  <c r="AG15" i="16" a="1"/>
  <c r="AG15" i="16" s="1"/>
  <c r="AG35" i="16" a="1"/>
  <c r="AG35" i="16" s="1"/>
  <c r="H7" i="16" a="1"/>
  <c r="H7" i="16" s="1"/>
  <c r="AF12" i="16" a="1"/>
  <c r="AF12" i="16" s="1"/>
  <c r="AF32" i="16" a="1"/>
  <c r="AF32" i="16" s="1"/>
  <c r="AG16" i="16" a="1"/>
  <c r="AG16" i="16" s="1"/>
  <c r="H28" i="16" a="1"/>
  <c r="H28" i="16" s="1"/>
  <c r="AF13" i="16" a="1"/>
  <c r="AF13" i="16" s="1"/>
  <c r="AF33" i="16" a="1"/>
  <c r="AF33" i="16" s="1"/>
  <c r="AG17" i="16" a="1"/>
  <c r="AG17" i="16" s="1"/>
  <c r="AG37" i="16" a="1"/>
  <c r="AG37" i="16" s="1"/>
  <c r="AF14" i="16" a="1"/>
  <c r="AF14" i="16" s="1"/>
  <c r="AF34" i="16" a="1"/>
  <c r="AF34" i="16" s="1"/>
  <c r="AG18" i="16" a="1"/>
  <c r="AG18" i="16" s="1"/>
  <c r="AF36" i="16" a="1"/>
  <c r="AF36" i="16" s="1"/>
  <c r="AG34" i="16" a="1"/>
  <c r="AG34" i="16" s="1"/>
  <c r="AF15" i="16" a="1"/>
  <c r="AF15" i="16" s="1"/>
  <c r="AF35" i="16" a="1"/>
  <c r="AF35" i="16" s="1"/>
  <c r="AG19" i="16" a="1"/>
  <c r="AG19" i="16" s="1"/>
  <c r="AG20" i="16" a="1"/>
  <c r="AG20" i="16" s="1"/>
  <c r="AF16" i="16" a="1"/>
  <c r="AF16" i="16" s="1"/>
  <c r="AF3" i="16" a="1"/>
  <c r="AF3" i="16" s="1"/>
  <c r="AF17" i="16" a="1"/>
  <c r="AF17" i="16" s="1"/>
  <c r="AF37" i="16" a="1"/>
  <c r="AF37" i="16" s="1"/>
  <c r="AG21" i="16" a="1"/>
  <c r="AG21" i="16" s="1"/>
  <c r="AF18" i="16" a="1"/>
  <c r="AF18" i="16" s="1"/>
  <c r="AG22" i="16" a="1"/>
  <c r="AG22" i="16" s="1"/>
  <c r="AF19" i="16" a="1"/>
  <c r="AF19" i="16" s="1"/>
  <c r="AG3" i="16" a="1"/>
  <c r="AG3" i="16" s="1"/>
  <c r="AG23" i="16" a="1"/>
  <c r="AG23" i="16" s="1"/>
  <c r="AG5" i="16" a="1"/>
  <c r="AG5" i="16" s="1"/>
  <c r="AG36" i="16" a="1"/>
  <c r="AG36" i="16" s="1"/>
  <c r="AF20" i="16" a="1"/>
  <c r="AF20" i="16" s="1"/>
  <c r="AG4" i="16" a="1"/>
  <c r="AG4" i="16" s="1"/>
  <c r="AG24" i="16" a="1"/>
  <c r="AG24" i="16" s="1"/>
  <c r="AG14" i="16" a="1"/>
  <c r="AG14" i="16" s="1"/>
  <c r="AF21" i="16" a="1"/>
  <c r="AF21" i="16" s="1"/>
  <c r="AG25" i="16" a="1"/>
  <c r="AG25" i="16" s="1"/>
  <c r="AF22" i="16" a="1"/>
  <c r="AF22" i="16" s="1"/>
  <c r="AG6" i="16" a="1"/>
  <c r="AG6" i="16" s="1"/>
  <c r="AG26" i="16" a="1"/>
  <c r="AG26" i="16" s="1"/>
  <c r="AF23" i="16" a="1"/>
  <c r="AF23" i="16" s="1"/>
  <c r="AG7" i="16" a="1"/>
  <c r="AG7" i="16" s="1"/>
  <c r="AG27" i="16" a="1"/>
  <c r="AG27" i="16" s="1"/>
  <c r="AG29" i="16" a="1"/>
  <c r="AG29" i="16" s="1"/>
  <c r="AF4" i="16" a="1"/>
  <c r="AF4" i="16" s="1"/>
  <c r="AF24" i="16" a="1"/>
  <c r="AF24" i="16" s="1"/>
  <c r="AG8" i="16" a="1"/>
  <c r="AG8" i="16" s="1"/>
  <c r="AG28" i="16" a="1"/>
  <c r="AG28" i="16" s="1"/>
  <c r="AG9" i="16" a="1"/>
  <c r="AG9" i="16" s="1"/>
  <c r="H20" i="16" a="1"/>
  <c r="H20" i="16" s="1"/>
  <c r="AF5" i="16" a="1"/>
  <c r="AF5" i="16" s="1"/>
  <c r="AF25" i="16" a="1"/>
  <c r="AF25" i="16" s="1"/>
  <c r="AG10" i="16" a="1"/>
  <c r="AG10" i="16" s="1"/>
  <c r="H21" i="16" a="1"/>
  <c r="H21" i="16" s="1"/>
  <c r="AF6" i="16" a="1"/>
  <c r="AF6" i="16" s="1"/>
  <c r="AF26" i="16" a="1"/>
  <c r="AF26" i="16" s="1"/>
  <c r="AG30" i="16" a="1"/>
  <c r="AG30" i="16" s="1"/>
  <c r="H22" i="16" a="1"/>
  <c r="H22" i="16" s="1"/>
  <c r="AF7" i="16" a="1"/>
  <c r="AF7" i="16" s="1"/>
  <c r="AF27" i="16" a="1"/>
  <c r="AF27" i="16" s="1"/>
  <c r="AG11" i="16" a="1"/>
  <c r="AG11" i="16" s="1"/>
  <c r="AG31" i="16" a="1"/>
  <c r="AG31" i="16" s="1"/>
  <c r="AG33" i="16" a="1"/>
  <c r="AG33" i="16" s="1"/>
  <c r="H23" i="16" a="1"/>
  <c r="H23" i="16" s="1"/>
  <c r="AF8" i="16" a="1"/>
  <c r="AF8" i="16" s="1"/>
  <c r="AF28" i="16" a="1"/>
  <c r="AF28" i="16" s="1"/>
  <c r="AG12" i="16" a="1"/>
  <c r="AG12" i="16" s="1"/>
  <c r="AG32" i="16" a="1"/>
  <c r="AG32" i="16" s="1"/>
  <c r="E19" i="16"/>
  <c r="Z16" i="16" a="1"/>
  <c r="Z16" i="16" s="1"/>
  <c r="Q35" i="16" a="1"/>
  <c r="Q35" i="16" s="1"/>
  <c r="Q37" i="16" a="1"/>
  <c r="Q37" i="16" s="1"/>
  <c r="E9" i="16"/>
  <c r="E29" i="16"/>
  <c r="B14" i="16"/>
  <c r="B34" i="16"/>
  <c r="E20" i="16"/>
  <c r="B5" i="16"/>
  <c r="B25" i="16"/>
  <c r="E10" i="16"/>
  <c r="E30" i="16"/>
  <c r="B15" i="16"/>
  <c r="B35" i="16"/>
  <c r="E4" i="16"/>
  <c r="E24" i="16"/>
  <c r="B9" i="16"/>
  <c r="B29" i="16"/>
  <c r="E23" i="16"/>
  <c r="B8" i="16"/>
  <c r="B28" i="16"/>
  <c r="E6" i="16"/>
  <c r="E26" i="16"/>
  <c r="B11" i="16"/>
  <c r="B31" i="16"/>
  <c r="E8" i="16"/>
  <c r="E28" i="16"/>
  <c r="B13" i="16"/>
  <c r="B33" i="16"/>
  <c r="Q33" i="16" a="1"/>
  <c r="Q33" i="16" s="1"/>
  <c r="Q13" i="16" a="1"/>
  <c r="Q13" i="16" s="1"/>
  <c r="H8" i="16" a="1"/>
  <c r="H8" i="16" s="1"/>
  <c r="Z23" i="16" a="1"/>
  <c r="Z23" i="16" s="1"/>
  <c r="B30" i="16"/>
  <c r="B10" i="16"/>
  <c r="E25" i="16"/>
  <c r="E5" i="16"/>
  <c r="Q32" i="16" a="1"/>
  <c r="Q32" i="16" s="1"/>
  <c r="Q12" i="16" a="1"/>
  <c r="Q12" i="16" s="1"/>
  <c r="H27" i="16" a="1"/>
  <c r="H27" i="16" s="1"/>
  <c r="Z22" i="16" a="1"/>
  <c r="Z22" i="16" s="1"/>
  <c r="Q31" i="16" a="1"/>
  <c r="Q31" i="16" s="1"/>
  <c r="Q11" i="16" a="1"/>
  <c r="Q11" i="16" s="1"/>
  <c r="H6" i="16" a="1"/>
  <c r="H6" i="16" s="1"/>
  <c r="Z21" i="16" a="1"/>
  <c r="Z21" i="16" s="1"/>
  <c r="Q30" i="16" a="1"/>
  <c r="Q30" i="16" s="1"/>
  <c r="Q10" i="16" a="1"/>
  <c r="Q10" i="16" s="1"/>
  <c r="H25" i="16" a="1"/>
  <c r="H25" i="16" s="1"/>
  <c r="H5" i="16" a="1"/>
  <c r="H5" i="16" s="1"/>
  <c r="Z20" i="16" a="1"/>
  <c r="Z20" i="16" s="1"/>
  <c r="B27" i="16"/>
  <c r="B7" i="16"/>
  <c r="E22" i="16"/>
  <c r="Q29" i="16" a="1"/>
  <c r="Q29" i="16" s="1"/>
  <c r="Q9" i="16" a="1"/>
  <c r="Q9" i="16" s="1"/>
  <c r="H4" i="16" a="1"/>
  <c r="H4" i="16" s="1"/>
  <c r="Z19" i="16" a="1"/>
  <c r="Z19" i="16" s="1"/>
  <c r="B26" i="16"/>
  <c r="B6" i="16"/>
  <c r="E21" i="16"/>
  <c r="Q28" i="16" a="1"/>
  <c r="Q28" i="16" s="1"/>
  <c r="Q8" i="16" a="1"/>
  <c r="Q8" i="16" s="1"/>
  <c r="Z3" i="16" a="1"/>
  <c r="Z3" i="16" s="1"/>
  <c r="Z18" i="16" a="1"/>
  <c r="Z18" i="16" s="1"/>
  <c r="Q27" i="16" a="1"/>
  <c r="Q27" i="16" s="1"/>
  <c r="AL27" i="16" s="1"/>
  <c r="Q7" i="16" a="1"/>
  <c r="Q7" i="16" s="1"/>
  <c r="Z37" i="16" a="1"/>
  <c r="Z37" i="16" s="1"/>
  <c r="Z17" i="16" a="1"/>
  <c r="Z17" i="16" s="1"/>
  <c r="Q26" i="16" a="1"/>
  <c r="Q26" i="16" s="1"/>
  <c r="Q6" i="16" a="1"/>
  <c r="Q6" i="16" s="1"/>
  <c r="Z36" i="16" a="1"/>
  <c r="Z36" i="16" s="1"/>
  <c r="G37" i="16" a="1"/>
  <c r="G37" i="16" s="1"/>
  <c r="G25" i="16" a="1"/>
  <c r="G25" i="16" s="1"/>
  <c r="G5" i="16" a="1"/>
  <c r="G5" i="16" s="1"/>
  <c r="G24" i="16" a="1"/>
  <c r="G24" i="16" s="1"/>
  <c r="G4" i="16" a="1"/>
  <c r="G4" i="16" s="1"/>
  <c r="G41" i="16" s="1"/>
  <c r="M21" i="16"/>
  <c r="J21" i="16" s="1" a="1"/>
  <c r="J21" i="16" s="1"/>
  <c r="G36" i="16" a="1"/>
  <c r="G36" i="16" s="1"/>
  <c r="G23" i="16" a="1"/>
  <c r="G23" i="16" s="1"/>
  <c r="R18" i="16" a="1"/>
  <c r="R18" i="16" s="1"/>
  <c r="M18" i="16"/>
  <c r="J18" i="16" s="1" a="1"/>
  <c r="J18" i="16" s="1"/>
  <c r="M3" i="16"/>
  <c r="J3" i="16" s="1" a="1"/>
  <c r="J3" i="16" s="1"/>
  <c r="R21" i="16" a="1"/>
  <c r="R21" i="16" s="1"/>
  <c r="G22" i="16" a="1"/>
  <c r="G22" i="16" s="1"/>
  <c r="G3" i="16" a="1"/>
  <c r="G3" i="16" s="1"/>
  <c r="G40" i="16" s="1"/>
  <c r="M17" i="16"/>
  <c r="J17" i="16" s="1" a="1"/>
  <c r="J17" i="16" s="1"/>
  <c r="M37" i="16"/>
  <c r="J37" i="16" s="1" a="1"/>
  <c r="J37" i="16" s="1"/>
  <c r="G35" i="16" a="1"/>
  <c r="G35" i="16" s="1"/>
  <c r="G21" i="16" a="1"/>
  <c r="G21" i="16" s="1"/>
  <c r="R20" i="16" a="1"/>
  <c r="R20" i="16" s="1"/>
  <c r="G20" i="16" a="1"/>
  <c r="G20" i="16" s="1"/>
  <c r="G34" i="16" a="1"/>
  <c r="G34" i="16" s="1"/>
  <c r="G19" i="16" a="1"/>
  <c r="G19" i="16" s="1"/>
  <c r="M20" i="16"/>
  <c r="J20" i="16" s="1" a="1"/>
  <c r="J20" i="16" s="1"/>
  <c r="G18" i="16" a="1"/>
  <c r="G18" i="16" s="1"/>
  <c r="M11" i="16"/>
  <c r="J11" i="16" s="1" a="1"/>
  <c r="J11" i="16" s="1"/>
  <c r="R23" i="16" a="1"/>
  <c r="R23" i="16" s="1"/>
  <c r="G33" i="16" a="1"/>
  <c r="G33" i="16" s="1"/>
  <c r="G17" i="16" a="1"/>
  <c r="G17" i="16" s="1"/>
  <c r="R4" i="16" a="1"/>
  <c r="R4" i="16" s="1"/>
  <c r="R24" i="16" a="1"/>
  <c r="R24" i="16" s="1"/>
  <c r="G16" i="16" a="1"/>
  <c r="G16" i="16" s="1"/>
  <c r="R5" i="16" a="1"/>
  <c r="R5" i="16" s="1"/>
  <c r="R25" i="16" a="1"/>
  <c r="R25" i="16" s="1"/>
  <c r="G32" i="16" a="1"/>
  <c r="G32" i="16" s="1"/>
  <c r="G15" i="16" a="1"/>
  <c r="G15" i="16" s="1"/>
  <c r="R6" i="16" a="1"/>
  <c r="R6" i="16" s="1"/>
  <c r="AL6" i="16" s="1"/>
  <c r="R26" i="16" a="1"/>
  <c r="R26" i="16" s="1"/>
  <c r="G14" i="16" a="1"/>
  <c r="G14" i="16" s="1"/>
  <c r="R7" i="16" a="1"/>
  <c r="R7" i="16" s="1"/>
  <c r="R27" i="16" a="1"/>
  <c r="R27" i="16" s="1"/>
  <c r="M5" i="16"/>
  <c r="J5" i="16" s="1" a="1"/>
  <c r="J5" i="16" s="1"/>
  <c r="M25" i="16"/>
  <c r="J25" i="16" s="1" a="1"/>
  <c r="J25" i="16" s="1"/>
  <c r="M6" i="16"/>
  <c r="J6" i="16" s="1" a="1"/>
  <c r="J6" i="16" s="1"/>
  <c r="M26" i="16"/>
  <c r="J26" i="16" s="1" a="1"/>
  <c r="J26" i="16" s="1"/>
  <c r="M7" i="16"/>
  <c r="J7" i="16" s="1" a="1"/>
  <c r="J7" i="16" s="1"/>
  <c r="M27" i="16"/>
  <c r="J27" i="16" s="1" a="1"/>
  <c r="J27" i="16" s="1"/>
  <c r="M8" i="16"/>
  <c r="J8" i="16" s="1" a="1"/>
  <c r="J8" i="16" s="1"/>
  <c r="M28" i="16"/>
  <c r="J28" i="16" s="1" a="1"/>
  <c r="J28" i="16" s="1"/>
  <c r="R11" i="16" a="1"/>
  <c r="R11" i="16" s="1"/>
  <c r="M16" i="16"/>
  <c r="J16" i="16" s="1" a="1"/>
  <c r="J16" i="16" s="1"/>
  <c r="M36" i="16"/>
  <c r="J36" i="16" s="1" a="1"/>
  <c r="J36" i="16" s="1"/>
  <c r="R19" i="16" a="1"/>
  <c r="R19" i="16" s="1"/>
  <c r="G31" i="16" a="1"/>
  <c r="G31" i="16" s="1"/>
  <c r="G13" i="16" a="1"/>
  <c r="G13" i="16" s="1"/>
  <c r="R8" i="16" a="1"/>
  <c r="R8" i="16" s="1"/>
  <c r="AL8" i="16" s="1"/>
  <c r="R28" i="16" a="1"/>
  <c r="R28" i="16" s="1"/>
  <c r="R10" i="16" a="1"/>
  <c r="R10" i="16" s="1"/>
  <c r="R31" i="16" a="1"/>
  <c r="R31" i="16" s="1"/>
  <c r="R37" i="16" a="1"/>
  <c r="R37" i="16" s="1"/>
  <c r="G12" i="16" a="1"/>
  <c r="G12" i="16" s="1"/>
  <c r="R9" i="16" a="1"/>
  <c r="R9" i="16" s="1"/>
  <c r="R29" i="16" a="1"/>
  <c r="R29" i="16" s="1"/>
  <c r="R30" i="16" a="1"/>
  <c r="R30" i="16" s="1"/>
  <c r="M31" i="16"/>
  <c r="J31" i="16" s="1" a="1"/>
  <c r="J31" i="16" s="1"/>
  <c r="G30" i="16" a="1"/>
  <c r="G30" i="16" s="1"/>
  <c r="G11" i="16" a="1"/>
  <c r="G11" i="16" s="1"/>
  <c r="M9" i="16"/>
  <c r="J9" i="16" s="1" a="1"/>
  <c r="J9" i="16" s="1"/>
  <c r="M29" i="16"/>
  <c r="J29" i="16" s="1" a="1"/>
  <c r="J29" i="16" s="1"/>
  <c r="R32" i="16" a="1"/>
  <c r="R32" i="16" s="1"/>
  <c r="G10" i="16" a="1"/>
  <c r="G10" i="16" s="1"/>
  <c r="M19" i="16"/>
  <c r="J19" i="16" s="1" a="1"/>
  <c r="J19" i="16" s="1"/>
  <c r="R22" i="16" a="1"/>
  <c r="R22" i="16" s="1"/>
  <c r="G29" i="16" a="1"/>
  <c r="G29" i="16" s="1"/>
  <c r="G9" i="16" a="1"/>
  <c r="G9" i="16" s="1"/>
  <c r="R12" i="16" a="1"/>
  <c r="R12" i="16" s="1"/>
  <c r="AL12" i="16" s="1"/>
  <c r="M10" i="16"/>
  <c r="J10" i="16" s="1" a="1"/>
  <c r="J10" i="16" s="1"/>
  <c r="M30" i="16"/>
  <c r="J30" i="16" s="1" a="1"/>
  <c r="J30" i="16" s="1"/>
  <c r="R33" i="16" a="1"/>
  <c r="R33" i="16" s="1"/>
  <c r="M4" i="16"/>
  <c r="J4" i="16" s="1" a="1"/>
  <c r="J4" i="16" s="1"/>
  <c r="M24" i="16"/>
  <c r="J24" i="16" s="1" a="1"/>
  <c r="J24" i="16" s="1"/>
  <c r="G28" i="16" a="1"/>
  <c r="G28" i="16" s="1"/>
  <c r="G8" i="16" a="1"/>
  <c r="G8" i="16" s="1"/>
  <c r="R13" i="16" a="1"/>
  <c r="R13" i="16" s="1"/>
  <c r="M23" i="16"/>
  <c r="J23" i="16" s="1" a="1"/>
  <c r="J23" i="16" s="1"/>
  <c r="G27" i="16" a="1"/>
  <c r="G27" i="16" s="1"/>
  <c r="G7" i="16" a="1"/>
  <c r="G7" i="16" s="1"/>
  <c r="R14" i="16" a="1"/>
  <c r="R14" i="16" s="1"/>
  <c r="R34" i="16" a="1"/>
  <c r="R34" i="16" s="1"/>
  <c r="M12" i="16"/>
  <c r="J12" i="16" s="1" a="1"/>
  <c r="J12" i="16" s="1"/>
  <c r="M32" i="16"/>
  <c r="J32" i="16" s="1" a="1"/>
  <c r="J32" i="16" s="1"/>
  <c r="M13" i="16"/>
  <c r="J13" i="16" s="1" a="1"/>
  <c r="J13" i="16" s="1"/>
  <c r="M33" i="16"/>
  <c r="J33" i="16" s="1" a="1"/>
  <c r="J33" i="16" s="1"/>
  <c r="R16" i="16" a="1"/>
  <c r="R16" i="16" s="1"/>
  <c r="M14" i="16"/>
  <c r="J14" i="16" s="1" a="1"/>
  <c r="J14" i="16" s="1"/>
  <c r="M34" i="16"/>
  <c r="J34" i="16" s="1" a="1"/>
  <c r="J34" i="16" s="1"/>
  <c r="R17" i="16" a="1"/>
  <c r="R17" i="16" s="1"/>
  <c r="G26" i="16" a="1"/>
  <c r="G26" i="16" s="1"/>
  <c r="G6" i="16" a="1"/>
  <c r="G6" i="16" s="1"/>
  <c r="R15" i="16" a="1"/>
  <c r="R15" i="16" s="1"/>
  <c r="R35" i="16" a="1"/>
  <c r="R35" i="16" s="1"/>
  <c r="R36" i="16" a="1"/>
  <c r="R36" i="16" s="1"/>
  <c r="M15" i="16"/>
  <c r="J15" i="16" s="1" a="1"/>
  <c r="J15" i="16" s="1"/>
  <c r="M35" i="16"/>
  <c r="J35" i="16" s="1" a="1"/>
  <c r="J35" i="16" s="1"/>
  <c r="M22" i="16"/>
  <c r="J22" i="16" s="1" a="1"/>
  <c r="J22" i="16" s="1"/>
  <c r="X4" i="16" a="1"/>
  <c r="X4" i="16" s="1"/>
  <c r="X24" i="16" a="1"/>
  <c r="X24" i="16" s="1"/>
  <c r="X5" i="16" a="1"/>
  <c r="X5" i="16" s="1"/>
  <c r="X25" i="16" a="1"/>
  <c r="X25" i="16" s="1"/>
  <c r="X6" i="16" a="1"/>
  <c r="X6" i="16" s="1"/>
  <c r="X26" i="16" a="1"/>
  <c r="X26" i="16" s="1"/>
  <c r="X7" i="16" a="1"/>
  <c r="X7" i="16" s="1"/>
  <c r="X27" i="16" a="1"/>
  <c r="X27" i="16" s="1"/>
  <c r="X8" i="16" a="1"/>
  <c r="X8" i="16" s="1"/>
  <c r="X28" i="16" a="1"/>
  <c r="X28" i="16" s="1"/>
  <c r="X9" i="16" a="1"/>
  <c r="X9" i="16" s="1"/>
  <c r="X29" i="16" a="1"/>
  <c r="X29" i="16" s="1"/>
  <c r="X10" i="16" a="1"/>
  <c r="X10" i="16" s="1"/>
  <c r="X30" i="16" a="1"/>
  <c r="X30" i="16" s="1"/>
  <c r="X11" i="16" a="1"/>
  <c r="X11" i="16" s="1"/>
  <c r="X31" i="16" a="1"/>
  <c r="X31" i="16" s="1"/>
  <c r="X12" i="16" a="1"/>
  <c r="X12" i="16" s="1"/>
  <c r="X32" i="16" a="1"/>
  <c r="X32" i="16" s="1"/>
  <c r="X13" i="16" a="1"/>
  <c r="X13" i="16" s="1"/>
  <c r="X33" i="16" a="1"/>
  <c r="X33" i="16" s="1"/>
  <c r="X14" i="16" a="1"/>
  <c r="X14" i="16" s="1"/>
  <c r="X34" i="16" a="1"/>
  <c r="X34" i="16" s="1"/>
  <c r="X15" i="16" a="1"/>
  <c r="X15" i="16" s="1"/>
  <c r="X35" i="16" a="1"/>
  <c r="X35" i="16" s="1"/>
  <c r="X16" i="16" a="1"/>
  <c r="X16" i="16" s="1"/>
  <c r="X36" i="16" a="1"/>
  <c r="X36" i="16" s="1"/>
  <c r="X17" i="16" a="1"/>
  <c r="X17" i="16" s="1"/>
  <c r="X37" i="16" a="1"/>
  <c r="X37" i="16" s="1"/>
  <c r="X18" i="16" a="1"/>
  <c r="X18" i="16" s="1"/>
  <c r="X3" i="16" a="1"/>
  <c r="X3" i="16" s="1"/>
  <c r="X19" i="16" a="1"/>
  <c r="X19" i="16" s="1"/>
  <c r="X20" i="16" a="1"/>
  <c r="X20" i="16" s="1"/>
  <c r="X21" i="16" a="1"/>
  <c r="X21" i="16" s="1"/>
  <c r="X22" i="16" a="1"/>
  <c r="X22" i="16" s="1"/>
  <c r="X23" i="16" a="1"/>
  <c r="X23" i="16" s="1"/>
  <c r="B23" i="16"/>
  <c r="E3" i="16"/>
  <c r="E18" i="16"/>
  <c r="Q5" i="16" a="1"/>
  <c r="Q5" i="16" s="1"/>
  <c r="Z35" i="16" a="1"/>
  <c r="Z35" i="16" s="1"/>
  <c r="Z15" i="16" a="1"/>
  <c r="Z15" i="16" s="1"/>
  <c r="Q25" i="16" a="1"/>
  <c r="Q25" i="16" s="1"/>
  <c r="B22" i="16"/>
  <c r="E37" i="16"/>
  <c r="E17" i="16"/>
  <c r="Q24" i="16" a="1"/>
  <c r="Q24" i="16" s="1"/>
  <c r="Q4" i="16" a="1"/>
  <c r="Q4" i="16" s="1"/>
  <c r="H19" i="16" a="1"/>
  <c r="H19" i="16" s="1"/>
  <c r="Z34" i="16" a="1"/>
  <c r="Z34" i="16" s="1"/>
  <c r="Z14" i="16" a="1"/>
  <c r="Z14" i="16" s="1"/>
  <c r="Q23" i="16" a="1"/>
  <c r="Q23" i="16" s="1"/>
  <c r="H3" i="16" a="1"/>
  <c r="H3" i="16" s="1"/>
  <c r="H18" i="16" a="1"/>
  <c r="H18" i="16" s="1"/>
  <c r="Z33" i="16" a="1"/>
  <c r="Z33" i="16" s="1"/>
  <c r="Z13" i="16" a="1"/>
  <c r="Z13" i="16" s="1"/>
  <c r="Q22" i="16" a="1"/>
  <c r="Q22" i="16" s="1"/>
  <c r="H37" i="16" a="1"/>
  <c r="H37" i="16" s="1"/>
  <c r="H17" i="16" a="1"/>
  <c r="H17" i="16" s="1"/>
  <c r="Z32" i="16" a="1"/>
  <c r="Z32" i="16" s="1"/>
  <c r="Z12" i="16" a="1"/>
  <c r="Z12" i="16" s="1"/>
  <c r="B21" i="16"/>
  <c r="E36" i="16"/>
  <c r="E16" i="16"/>
  <c r="B19" i="16"/>
  <c r="E34" i="16"/>
  <c r="E14" i="16"/>
  <c r="Q21" i="16" a="1"/>
  <c r="Q21" i="16" s="1"/>
  <c r="H36" i="16" a="1"/>
  <c r="H36" i="16" s="1"/>
  <c r="H16" i="16" a="1"/>
  <c r="H16" i="16" s="1"/>
  <c r="Z31" i="16" a="1"/>
  <c r="Z31" i="16" s="1"/>
  <c r="Z11" i="16" a="1"/>
  <c r="Z11" i="16" s="1"/>
  <c r="B20" i="16"/>
  <c r="E35" i="16"/>
  <c r="E15" i="16"/>
  <c r="B3" i="16"/>
  <c r="B18" i="16"/>
  <c r="E33" i="16"/>
  <c r="E13" i="16"/>
  <c r="Q20" i="16" a="1"/>
  <c r="Q20" i="16" s="1"/>
  <c r="H35" i="16" a="1"/>
  <c r="H35" i="16" s="1"/>
  <c r="H15" i="16" a="1"/>
  <c r="H15" i="16" s="1"/>
  <c r="Z30" i="16" a="1"/>
  <c r="Z30" i="16" s="1"/>
  <c r="Z10" i="16" a="1"/>
  <c r="Z10" i="16" s="1"/>
  <c r="B24" i="16"/>
  <c r="B4" i="16"/>
  <c r="B37" i="16"/>
  <c r="B17" i="16"/>
  <c r="E32" i="16"/>
  <c r="E12" i="16"/>
  <c r="Q19" i="16" a="1"/>
  <c r="Q19" i="16" s="1"/>
  <c r="H34" i="16" a="1"/>
  <c r="H34" i="16" s="1"/>
  <c r="H14" i="16" a="1"/>
  <c r="H14" i="16" s="1"/>
  <c r="Z29" i="16" a="1"/>
  <c r="Z29" i="16" s="1"/>
  <c r="Z9" i="16" a="1"/>
  <c r="Z9" i="16" s="1"/>
  <c r="B36" i="16"/>
  <c r="B16" i="16"/>
  <c r="E31" i="16"/>
  <c r="E11" i="16"/>
  <c r="Q3" i="16" a="1"/>
  <c r="Q3" i="16" s="1"/>
  <c r="Q18" i="16" a="1"/>
  <c r="Q18" i="16" s="1"/>
  <c r="H33" i="16" a="1"/>
  <c r="H33" i="16" s="1"/>
  <c r="H13" i="16" a="1"/>
  <c r="H13" i="16" s="1"/>
  <c r="Z28" i="16" a="1"/>
  <c r="Z28" i="16" s="1"/>
  <c r="Z8" i="16" a="1"/>
  <c r="Z8" i="16" s="1"/>
  <c r="Q17" i="16" a="1"/>
  <c r="Q17" i="16" s="1"/>
  <c r="H32" i="16" a="1"/>
  <c r="H32" i="16" s="1"/>
  <c r="H12" i="16" a="1"/>
  <c r="H12" i="16" s="1"/>
  <c r="Z27" i="16" a="1"/>
  <c r="Z27" i="16" s="1"/>
  <c r="Z7" i="16" a="1"/>
  <c r="Z7" i="16" s="1"/>
  <c r="Q36" i="16" a="1"/>
  <c r="Q36" i="16" s="1"/>
  <c r="Q16" i="16" a="1"/>
  <c r="Q16" i="16" s="1"/>
  <c r="H31" i="16" a="1"/>
  <c r="H31" i="16" s="1"/>
  <c r="H11" i="16" a="1"/>
  <c r="H11" i="16" s="1"/>
  <c r="Z26" i="16" a="1"/>
  <c r="Z26" i="16" s="1"/>
  <c r="Z6" i="16" a="1"/>
  <c r="Z6" i="16" s="1"/>
  <c r="Q15" i="16" a="1"/>
  <c r="Q15" i="16" s="1"/>
  <c r="H30" i="16" a="1"/>
  <c r="H30" i="16" s="1"/>
  <c r="H10" i="16" a="1"/>
  <c r="H10" i="16" s="1"/>
  <c r="Z25" i="16" a="1"/>
  <c r="Z25" i="16" s="1"/>
  <c r="Z5" i="16" a="1"/>
  <c r="Z5" i="16" s="1"/>
  <c r="B32" i="16"/>
  <c r="B12" i="16"/>
  <c r="E27" i="16"/>
  <c r="E7" i="16"/>
  <c r="Q34" i="16" a="1"/>
  <c r="Q34" i="16" s="1"/>
  <c r="Q14" i="16" a="1"/>
  <c r="Q14" i="16" s="1"/>
  <c r="H29" i="16" a="1"/>
  <c r="H29" i="16" s="1"/>
  <c r="H9" i="16" a="1"/>
  <c r="H9" i="16" s="1"/>
  <c r="Z24" i="16" a="1"/>
  <c r="Z24" i="16" s="1"/>
  <c r="Z4" i="16" a="1"/>
  <c r="Z4" i="16" s="1"/>
  <c r="AL32" i="16"/>
  <c r="N27" i="16" a="1"/>
  <c r="N15" i="16" a="1"/>
  <c r="N28" i="16" a="1"/>
  <c r="N37" i="16" a="1"/>
  <c r="N5" i="16" a="1"/>
  <c r="T20" i="16" a="1"/>
  <c r="N25" i="16" a="1"/>
  <c r="N22" i="16" a="1"/>
  <c r="N14" i="16" a="1"/>
  <c r="N26" i="16" a="1"/>
  <c r="N36" i="16" a="1"/>
  <c r="T15" i="16" a="1"/>
  <c r="N13" i="16" a="1"/>
  <c r="T3" i="16" a="1"/>
  <c r="T28" i="16" a="1"/>
  <c r="N17" i="16" a="1"/>
  <c r="N20" i="16" a="1"/>
  <c r="T23" i="16" a="1"/>
  <c r="N18" i="16" a="1"/>
  <c r="N35" i="16" a="1"/>
  <c r="T13" i="16" a="1"/>
  <c r="N10" i="16" a="1"/>
  <c r="T26" i="16" a="1"/>
  <c r="T30" i="16" a="1"/>
  <c r="N4" i="16" a="1"/>
  <c r="N16" i="16" a="1"/>
  <c r="T11" i="16" a="1"/>
  <c r="T35" i="16" a="1"/>
  <c r="T37" i="16" a="1"/>
  <c r="T22" i="16" a="1"/>
  <c r="N9" i="16" a="1"/>
  <c r="N6" i="16" a="1"/>
  <c r="T7" i="16" a="1"/>
  <c r="T5" i="16" a="1"/>
  <c r="N12" i="16" a="1"/>
  <c r="T10" i="16" a="1"/>
  <c r="T6" i="16" a="1"/>
  <c r="T25" i="16" a="1"/>
  <c r="T32" i="16" a="1"/>
  <c r="N21" i="16" a="1"/>
  <c r="T12" i="16" a="1"/>
  <c r="N33" i="16" a="1"/>
  <c r="T24" i="16" a="1"/>
  <c r="T18" i="16" a="1"/>
  <c r="T21" i="16" a="1"/>
  <c r="T34" i="16" a="1"/>
  <c r="N32" i="16" a="1"/>
  <c r="N30" i="16" a="1"/>
  <c r="T36" i="16" a="1"/>
  <c r="T14" i="16" a="1"/>
  <c r="T8" i="16" a="1"/>
  <c r="T31" i="16" a="1"/>
  <c r="N8" i="16" a="1"/>
  <c r="T27" i="16" a="1"/>
  <c r="N24" i="16" a="1"/>
  <c r="N19" i="16" a="1"/>
  <c r="N7" i="16" a="1"/>
  <c r="T29" i="16" a="1"/>
  <c r="N29" i="16" a="1"/>
  <c r="N31" i="16" a="1"/>
  <c r="N3" i="16" a="1"/>
  <c r="T16" i="16" a="1"/>
  <c r="N11" i="16" a="1"/>
  <c r="T19" i="16" a="1"/>
  <c r="T33" i="16" a="1"/>
  <c r="T4" i="16" a="1"/>
  <c r="T9" i="16" a="1"/>
  <c r="T17" i="16" a="1"/>
  <c r="N23" i="16" a="1"/>
  <c r="N34" i="16" a="1"/>
  <c r="AL7" i="16" l="1"/>
  <c r="AL24" i="16"/>
  <c r="AE34" i="16"/>
  <c r="AA34" i="16"/>
  <c r="AE25" i="16"/>
  <c r="AA25" i="16"/>
  <c r="AE14" i="16"/>
  <c r="AA14" i="16"/>
  <c r="AE30" i="16"/>
  <c r="AA30" i="16"/>
  <c r="AE5" i="16"/>
  <c r="AA5" i="16"/>
  <c r="AE21" i="16"/>
  <c r="AA21" i="16"/>
  <c r="AE10" i="16"/>
  <c r="AA10" i="16"/>
  <c r="Y23" i="16"/>
  <c r="AE37" i="16"/>
  <c r="AA37" i="16"/>
  <c r="AE17" i="16"/>
  <c r="AA17" i="16"/>
  <c r="Y22" i="16"/>
  <c r="AE33" i="16"/>
  <c r="AA33" i="16"/>
  <c r="AE29" i="16"/>
  <c r="AA29" i="16"/>
  <c r="Y32" i="16"/>
  <c r="AE28" i="16"/>
  <c r="AA28" i="16"/>
  <c r="AE24" i="16"/>
  <c r="AA24" i="16"/>
  <c r="AE3" i="16"/>
  <c r="AA3" i="16"/>
  <c r="AE13" i="16"/>
  <c r="AA13" i="16"/>
  <c r="AE9" i="16"/>
  <c r="AA9" i="16"/>
  <c r="Y20" i="16"/>
  <c r="AL28" i="16"/>
  <c r="AE8" i="16"/>
  <c r="AA8" i="16"/>
  <c r="AE4" i="16"/>
  <c r="AA4" i="16"/>
  <c r="AE20" i="16"/>
  <c r="AJ20" i="16" s="1"/>
  <c r="AA20" i="16"/>
  <c r="AE16" i="16"/>
  <c r="AJ16" i="16" s="1"/>
  <c r="AA16" i="16"/>
  <c r="Y33" i="16"/>
  <c r="AL26" i="16"/>
  <c r="AM26" i="16" s="1"/>
  <c r="AE32" i="16"/>
  <c r="AA32" i="16"/>
  <c r="Y18" i="16"/>
  <c r="AE12" i="16"/>
  <c r="AA12" i="16"/>
  <c r="Y28" i="16"/>
  <c r="Y37" i="16"/>
  <c r="AE27" i="16"/>
  <c r="AA27" i="16"/>
  <c r="AE23" i="16"/>
  <c r="AA23" i="16"/>
  <c r="AE35" i="16"/>
  <c r="AA35" i="16"/>
  <c r="AE7" i="16"/>
  <c r="AJ7" i="16" s="1"/>
  <c r="AA7" i="16"/>
  <c r="AE15" i="16"/>
  <c r="AA15" i="16"/>
  <c r="Y36" i="16"/>
  <c r="AE19" i="16"/>
  <c r="AA19" i="16"/>
  <c r="Y7" i="16"/>
  <c r="Y16" i="16"/>
  <c r="Y35" i="16"/>
  <c r="AE26" i="16"/>
  <c r="AJ26" i="16" s="1"/>
  <c r="AA26" i="16"/>
  <c r="AE31" i="16"/>
  <c r="AA31" i="16"/>
  <c r="Y6" i="16"/>
  <c r="Y15" i="16"/>
  <c r="AE6" i="16"/>
  <c r="AA6" i="16"/>
  <c r="AE22" i="16"/>
  <c r="AA22" i="16"/>
  <c r="AE36" i="16"/>
  <c r="AJ36" i="16" s="1"/>
  <c r="AA36" i="16"/>
  <c r="AE11" i="16"/>
  <c r="AA11" i="16"/>
  <c r="Y34" i="16"/>
  <c r="AE18" i="16"/>
  <c r="AJ18" i="16" s="1"/>
  <c r="AA18" i="16"/>
  <c r="Y14" i="16"/>
  <c r="AM32" i="16"/>
  <c r="AM7" i="16"/>
  <c r="AM27" i="16"/>
  <c r="AM24" i="16"/>
  <c r="AM12" i="16"/>
  <c r="AL29" i="16"/>
  <c r="AM29" i="16" s="1"/>
  <c r="R3" i="16" a="1"/>
  <c r="R3" i="16" s="1"/>
  <c r="AL9" i="16"/>
  <c r="AL25" i="16"/>
  <c r="AL20" i="16"/>
  <c r="AL36" i="16"/>
  <c r="AL21" i="16"/>
  <c r="AM21" i="16" s="1"/>
  <c r="AL4" i="16"/>
  <c r="AM4" i="16" s="1"/>
  <c r="AL18" i="16"/>
  <c r="AM18" i="16" s="1"/>
  <c r="AL10" i="16"/>
  <c r="AL19" i="16"/>
  <c r="AM19" i="16" s="1"/>
  <c r="AL13" i="16"/>
  <c r="AL14" i="16"/>
  <c r="AL15" i="16"/>
  <c r="AL5" i="16"/>
  <c r="AM5" i="16" s="1"/>
  <c r="AL22" i="16"/>
  <c r="AL30" i="16"/>
  <c r="AL35" i="16"/>
  <c r="AM35" i="16" s="1"/>
  <c r="AL37" i="16"/>
  <c r="AM37" i="16" s="1"/>
  <c r="AL16" i="16"/>
  <c r="AM16" i="16" s="1"/>
  <c r="AL23" i="16"/>
  <c r="AM23" i="16" s="1"/>
  <c r="N15" i="16"/>
  <c r="N27" i="16"/>
  <c r="N18" i="16"/>
  <c r="N25" i="16"/>
  <c r="N24" i="16"/>
  <c r="N26" i="16"/>
  <c r="N10" i="16"/>
  <c r="N34" i="16"/>
  <c r="N4" i="16"/>
  <c r="N19" i="16"/>
  <c r="N36" i="16"/>
  <c r="N12" i="16"/>
  <c r="N3" i="16"/>
  <c r="N30" i="16"/>
  <c r="N29" i="16"/>
  <c r="N28" i="16"/>
  <c r="N33" i="16"/>
  <c r="N22" i="16"/>
  <c r="N14" i="16"/>
  <c r="N17" i="16"/>
  <c r="N6" i="16"/>
  <c r="N7" i="16"/>
  <c r="N11" i="16"/>
  <c r="N21" i="16"/>
  <c r="N13" i="16"/>
  <c r="N35" i="16"/>
  <c r="N32" i="16"/>
  <c r="N23" i="16"/>
  <c r="N5" i="16"/>
  <c r="N20" i="16"/>
  <c r="N9" i="16"/>
  <c r="N16" i="16"/>
  <c r="N31" i="16"/>
  <c r="N37" i="16"/>
  <c r="N8" i="16"/>
  <c r="I26" i="16"/>
  <c r="AK26" i="16" s="1"/>
  <c r="L26" i="16"/>
  <c r="I6" i="16"/>
  <c r="AK6" i="16" s="1"/>
  <c r="L6" i="16"/>
  <c r="I25" i="16"/>
  <c r="L25" i="16"/>
  <c r="I20" i="16"/>
  <c r="AK20" i="16" s="1"/>
  <c r="L20" i="16"/>
  <c r="L21" i="16"/>
  <c r="I21" i="16"/>
  <c r="I5" i="16"/>
  <c r="AK5" i="16" s="1"/>
  <c r="L5" i="16"/>
  <c r="L37" i="16"/>
  <c r="I37" i="16"/>
  <c r="AK37" i="16" s="1"/>
  <c r="I23" i="16"/>
  <c r="AK23" i="16" s="1"/>
  <c r="L23" i="16"/>
  <c r="I17" i="16"/>
  <c r="L17" i="16"/>
  <c r="I34" i="16"/>
  <c r="AK34" i="16" s="1"/>
  <c r="L34" i="16"/>
  <c r="AL11" i="16"/>
  <c r="I14" i="16"/>
  <c r="L14" i="16"/>
  <c r="I19" i="16"/>
  <c r="AK19" i="16" s="1"/>
  <c r="L19" i="16"/>
  <c r="L31" i="16"/>
  <c r="I31" i="16"/>
  <c r="I30" i="16"/>
  <c r="AK30" i="16" s="1"/>
  <c r="L30" i="16"/>
  <c r="L29" i="16"/>
  <c r="I29" i="16"/>
  <c r="AK29" i="16" s="1"/>
  <c r="I13" i="16"/>
  <c r="L13" i="16"/>
  <c r="L22" i="16"/>
  <c r="I22" i="16"/>
  <c r="AK22" i="16" s="1"/>
  <c r="I36" i="16"/>
  <c r="L36" i="16"/>
  <c r="I3" i="16"/>
  <c r="L3" i="16"/>
  <c r="L18" i="16"/>
  <c r="I18" i="16"/>
  <c r="L33" i="16"/>
  <c r="I33" i="16"/>
  <c r="AK33" i="16" s="1"/>
  <c r="I35" i="16"/>
  <c r="L35" i="16"/>
  <c r="I32" i="16"/>
  <c r="AK32" i="16" s="1"/>
  <c r="L32" i="16"/>
  <c r="I15" i="16"/>
  <c r="AK15" i="16" s="1"/>
  <c r="L15" i="16"/>
  <c r="I12" i="16"/>
  <c r="AK12" i="16" s="1"/>
  <c r="L12" i="16"/>
  <c r="I24" i="16"/>
  <c r="L24" i="16"/>
  <c r="I8" i="16"/>
  <c r="L8" i="16"/>
  <c r="L11" i="16"/>
  <c r="I11" i="16"/>
  <c r="AK11" i="16" s="1"/>
  <c r="I16" i="16"/>
  <c r="L16" i="16"/>
  <c r="AL31" i="16"/>
  <c r="L4" i="16"/>
  <c r="I4" i="16"/>
  <c r="I28" i="16"/>
  <c r="L28" i="16"/>
  <c r="AL33" i="16"/>
  <c r="AL34" i="16"/>
  <c r="L27" i="16"/>
  <c r="I27" i="16"/>
  <c r="I10" i="16"/>
  <c r="L10" i="16"/>
  <c r="I9" i="16"/>
  <c r="L9" i="16"/>
  <c r="I7" i="16"/>
  <c r="AK7" i="16" s="1"/>
  <c r="L7" i="16"/>
  <c r="T20" i="16"/>
  <c r="T24" i="16"/>
  <c r="T7" i="16"/>
  <c r="T28" i="16"/>
  <c r="T9" i="16"/>
  <c r="T10" i="16"/>
  <c r="T15" i="16"/>
  <c r="T31" i="16"/>
  <c r="T17" i="16"/>
  <c r="T18" i="16"/>
  <c r="T27" i="16"/>
  <c r="T36" i="16"/>
  <c r="T4" i="16"/>
  <c r="T13" i="16"/>
  <c r="T22" i="16"/>
  <c r="T8" i="16"/>
  <c r="T34" i="16"/>
  <c r="T21" i="16"/>
  <c r="T30" i="16"/>
  <c r="T12" i="16"/>
  <c r="T25" i="16"/>
  <c r="T26" i="16"/>
  <c r="T11" i="16"/>
  <c r="T32" i="16"/>
  <c r="T29" i="16"/>
  <c r="T6" i="16"/>
  <c r="T19" i="16"/>
  <c r="T33" i="16"/>
  <c r="T16" i="16"/>
  <c r="T35" i="16"/>
  <c r="T3" i="16"/>
  <c r="T5" i="16"/>
  <c r="T14" i="16"/>
  <c r="T23" i="16"/>
  <c r="T37" i="16"/>
  <c r="U8" i="16" a="1"/>
  <c r="O36" i="16" a="1"/>
  <c r="U5" i="16" a="1"/>
  <c r="O17" i="16" a="1"/>
  <c r="O18" i="16" a="1"/>
  <c r="O35" i="16" a="1"/>
  <c r="O32" i="16" a="1"/>
  <c r="U27" i="16" a="1"/>
  <c r="O12" i="16" a="1"/>
  <c r="U17" i="16" a="1"/>
  <c r="U3" i="16" a="1"/>
  <c r="O10" i="16" a="1"/>
  <c r="O29" i="16" a="1"/>
  <c r="U22" i="16" a="1"/>
  <c r="O37" i="16" a="1"/>
  <c r="O7" i="16" a="1"/>
  <c r="U4" i="16" a="1"/>
  <c r="O14" i="16" a="1"/>
  <c r="O31" i="16" a="1"/>
  <c r="U21" i="16" a="1"/>
  <c r="O6" i="16" a="1"/>
  <c r="U32" i="16" a="1"/>
  <c r="U19" i="16" a="1"/>
  <c r="O25" i="16" a="1"/>
  <c r="U13" i="16" a="1"/>
  <c r="O23" i="16" a="1"/>
  <c r="U36" i="16" a="1"/>
  <c r="O13" i="16" a="1"/>
  <c r="O19" i="16" a="1"/>
  <c r="U18" i="16" a="1"/>
  <c r="O20" i="16" a="1"/>
  <c r="U29" i="16" a="1"/>
  <c r="U28" i="16" a="1"/>
  <c r="O8" i="16" a="1"/>
  <c r="O22" i="16" a="1"/>
  <c r="O15" i="16" a="1"/>
  <c r="U24" i="16" a="1"/>
  <c r="O33" i="16" a="1"/>
  <c r="U10" i="16" a="1"/>
  <c r="U16" i="16" a="1"/>
  <c r="U37" i="16" a="1"/>
  <c r="U11" i="16" a="1"/>
  <c r="U25" i="16" a="1"/>
  <c r="U7" i="16" a="1"/>
  <c r="U30" i="16" a="1"/>
  <c r="U12" i="16" a="1"/>
  <c r="U35" i="16" a="1"/>
  <c r="O27" i="16" a="1"/>
  <c r="U34" i="16" a="1"/>
  <c r="U31" i="16" a="1"/>
  <c r="O28" i="16" a="1"/>
  <c r="O3" i="16" a="1"/>
  <c r="O24" i="16" a="1"/>
  <c r="O34" i="16" a="1"/>
  <c r="O21" i="16" a="1"/>
  <c r="O16" i="16" a="1"/>
  <c r="O11" i="16" a="1"/>
  <c r="O5" i="16" a="1"/>
  <c r="U6" i="16" a="1"/>
  <c r="U15" i="16" a="1"/>
  <c r="U9" i="16" a="1"/>
  <c r="U20" i="16" a="1"/>
  <c r="U26" i="16" a="1"/>
  <c r="U33" i="16" a="1"/>
  <c r="U23" i="16" a="1"/>
  <c r="U14" i="16" a="1"/>
  <c r="O26" i="16" a="1"/>
  <c r="O30" i="16" a="1"/>
  <c r="O4" i="16" a="1"/>
  <c r="O9" i="16" a="1"/>
  <c r="AM20" i="16" l="1"/>
  <c r="AM36" i="16"/>
  <c r="AK35" i="16"/>
  <c r="AK18" i="16"/>
  <c r="AK31" i="16"/>
  <c r="AK4" i="16"/>
  <c r="AK16" i="16"/>
  <c r="AK14" i="16"/>
  <c r="AK8" i="16"/>
  <c r="AK27" i="16"/>
  <c r="AK13" i="16"/>
  <c r="AK21" i="16"/>
  <c r="AK10" i="16"/>
  <c r="AK28" i="16"/>
  <c r="AK25" i="16"/>
  <c r="AK3" i="16"/>
  <c r="AK36" i="16"/>
  <c r="AK24" i="16"/>
  <c r="AK9" i="16"/>
  <c r="AL3" i="16"/>
  <c r="O17" i="16"/>
  <c r="O14" i="16"/>
  <c r="O22" i="16"/>
  <c r="O33" i="16"/>
  <c r="O28" i="16"/>
  <c r="O8" i="16"/>
  <c r="O29" i="16"/>
  <c r="O37" i="16"/>
  <c r="O30" i="16"/>
  <c r="O31" i="16"/>
  <c r="O3" i="16"/>
  <c r="O16" i="16"/>
  <c r="O12" i="16"/>
  <c r="O9" i="16"/>
  <c r="O36" i="16"/>
  <c r="O20" i="16"/>
  <c r="O19" i="16"/>
  <c r="O5" i="16"/>
  <c r="O4" i="16"/>
  <c r="O23" i="16"/>
  <c r="O34" i="16"/>
  <c r="O32" i="16"/>
  <c r="O10" i="16"/>
  <c r="O35" i="16"/>
  <c r="O26" i="16"/>
  <c r="O13" i="16"/>
  <c r="O24" i="16"/>
  <c r="O21" i="16"/>
  <c r="O25" i="16"/>
  <c r="O11" i="16"/>
  <c r="O18" i="16"/>
  <c r="O7" i="16"/>
  <c r="O27" i="16"/>
  <c r="O6" i="16"/>
  <c r="O15" i="16"/>
  <c r="U25" i="16"/>
  <c r="U8" i="16"/>
  <c r="U33" i="16"/>
  <c r="U31" i="16"/>
  <c r="U19" i="16"/>
  <c r="U22" i="16"/>
  <c r="U15" i="16"/>
  <c r="U37" i="16"/>
  <c r="U11" i="16"/>
  <c r="U13" i="16"/>
  <c r="U24" i="16"/>
  <c r="U29" i="16"/>
  <c r="U30" i="16"/>
  <c r="U17" i="16"/>
  <c r="U20" i="16"/>
  <c r="U14" i="16"/>
  <c r="U35" i="16"/>
  <c r="U21" i="16"/>
  <c r="U5" i="16"/>
  <c r="U16" i="16"/>
  <c r="U3" i="16"/>
  <c r="U36" i="16"/>
  <c r="U28" i="16"/>
  <c r="U32" i="16"/>
  <c r="U27" i="16"/>
  <c r="U7" i="16"/>
  <c r="U6" i="16"/>
  <c r="AJ6" i="16" s="1"/>
  <c r="U12" i="16"/>
  <c r="U18" i="16"/>
  <c r="U10" i="16"/>
  <c r="U23" i="16"/>
  <c r="U26" i="16"/>
  <c r="U4" i="16"/>
  <c r="U9" i="16"/>
  <c r="U34" i="16"/>
  <c r="AV37" i="16"/>
  <c r="AU37" i="16"/>
  <c r="AV36" i="16"/>
  <c r="AV35" i="16"/>
  <c r="AU35" i="16"/>
  <c r="AV34" i="16"/>
  <c r="AU34" i="16"/>
  <c r="AV33" i="16"/>
  <c r="AU33" i="16"/>
  <c r="AU32" i="16"/>
  <c r="AV31" i="16"/>
  <c r="AV30" i="16"/>
  <c r="AU30" i="16"/>
  <c r="AU29" i="16"/>
  <c r="AV28" i="16"/>
  <c r="AV27" i="16"/>
  <c r="AU27" i="16"/>
  <c r="AV26" i="16"/>
  <c r="AU26" i="16"/>
  <c r="AV25" i="16"/>
  <c r="AU23" i="16"/>
  <c r="AV22" i="16"/>
  <c r="AU22" i="16"/>
  <c r="AV20" i="16"/>
  <c r="AU20" i="16"/>
  <c r="AU19" i="16"/>
  <c r="AU18" i="16"/>
  <c r="P25" i="16" a="1"/>
  <c r="P28" i="16" a="1"/>
  <c r="P30" i="16" a="1"/>
  <c r="P11" i="16" a="1"/>
  <c r="P12" i="16" a="1"/>
  <c r="P10" i="16" a="1"/>
  <c r="P20" i="16" a="1"/>
  <c r="P35" i="16" a="1"/>
  <c r="P33" i="16" a="1"/>
  <c r="P18" i="16" a="1"/>
  <c r="P26" i="16" a="1"/>
  <c r="P31" i="16" a="1"/>
  <c r="P13" i="16" a="1"/>
  <c r="P37" i="16" a="1"/>
  <c r="P21" i="16" a="1"/>
  <c r="P3" i="16" a="1"/>
  <c r="P34" i="16" a="1"/>
  <c r="P6" i="16" a="1"/>
  <c r="P9" i="16" a="1"/>
  <c r="P8" i="16" a="1"/>
  <c r="P32" i="16" a="1"/>
  <c r="P4" i="16" a="1"/>
  <c r="P15" i="16" a="1"/>
  <c r="P24" i="16" a="1"/>
  <c r="P5" i="16" a="1"/>
  <c r="P19" i="16" a="1"/>
  <c r="P29" i="16" a="1"/>
  <c r="P23" i="16" a="1"/>
  <c r="P14" i="16" a="1"/>
  <c r="P27" i="16" a="1"/>
  <c r="P16" i="16" a="1"/>
  <c r="P7" i="16" a="1"/>
  <c r="P17" i="16" a="1"/>
  <c r="P22" i="16" a="1"/>
  <c r="P36" i="16" a="1"/>
  <c r="AJ4" i="16" l="1"/>
  <c r="AJ12" i="16"/>
  <c r="AJ22" i="16"/>
  <c r="AJ23" i="16"/>
  <c r="AJ28" i="16"/>
  <c r="AM28" i="16" s="1"/>
  <c r="AJ24" i="16"/>
  <c r="AJ31" i="16"/>
  <c r="AM31" i="16" s="1"/>
  <c r="AJ25" i="16"/>
  <c r="AM25" i="16" s="1"/>
  <c r="AJ21" i="16"/>
  <c r="AJ5" i="16"/>
  <c r="AJ35" i="16"/>
  <c r="AJ3" i="16"/>
  <c r="AM3" i="16" s="1"/>
  <c r="AJ34" i="16"/>
  <c r="AM34" i="16" s="1"/>
  <c r="AJ30" i="16"/>
  <c r="AM30" i="16" s="1"/>
  <c r="AJ11" i="16"/>
  <c r="AM11" i="16" s="1"/>
  <c r="AJ29" i="16"/>
  <c r="AJ14" i="16"/>
  <c r="AM14" i="16" s="1"/>
  <c r="AJ13" i="16"/>
  <c r="AM13" i="16" s="1"/>
  <c r="AJ37" i="16"/>
  <c r="AJ10" i="16"/>
  <c r="AM10" i="16" s="1"/>
  <c r="AJ15" i="16"/>
  <c r="AM15" i="16" s="1"/>
  <c r="AJ32" i="16"/>
  <c r="AJ9" i="16"/>
  <c r="AM9" i="16" s="1"/>
  <c r="AJ33" i="16"/>
  <c r="AM33" i="16" s="1"/>
  <c r="AJ27" i="16"/>
  <c r="AJ8" i="16"/>
  <c r="AM8" i="16" s="1"/>
  <c r="AJ19" i="16"/>
  <c r="AU31" i="16"/>
  <c r="AM6" i="16"/>
  <c r="AU28" i="16"/>
  <c r="AU24" i="16"/>
  <c r="AM22" i="16"/>
  <c r="AU36" i="16"/>
  <c r="AU21" i="16"/>
  <c r="AU25" i="16"/>
  <c r="P23" i="16"/>
  <c r="AI23" i="16" s="1"/>
  <c r="P4" i="16"/>
  <c r="AI4" i="16" s="1"/>
  <c r="P5" i="16"/>
  <c r="AI5" i="16" s="1"/>
  <c r="P19" i="16"/>
  <c r="AI19" i="16" s="1"/>
  <c r="P20" i="16"/>
  <c r="AI20" i="16" s="1"/>
  <c r="P15" i="16"/>
  <c r="AI15" i="16" s="1"/>
  <c r="P36" i="16"/>
  <c r="AI36" i="16" s="1"/>
  <c r="P6" i="16"/>
  <c r="AI6" i="16" s="1"/>
  <c r="P9" i="16"/>
  <c r="AI9" i="16" s="1"/>
  <c r="P27" i="16"/>
  <c r="AI27" i="16" s="1"/>
  <c r="P12" i="16"/>
  <c r="AI12" i="16" s="1"/>
  <c r="P7" i="16"/>
  <c r="AI7" i="16" s="1"/>
  <c r="P16" i="16"/>
  <c r="AI16" i="16" s="1"/>
  <c r="P18" i="16"/>
  <c r="AI18" i="16" s="1"/>
  <c r="P3" i="16"/>
  <c r="AI3" i="16" s="1"/>
  <c r="P11" i="16"/>
  <c r="AI11" i="16" s="1"/>
  <c r="P31" i="16"/>
  <c r="AI31" i="16" s="1"/>
  <c r="P25" i="16"/>
  <c r="AI25" i="16" s="1"/>
  <c r="P30" i="16"/>
  <c r="AI30" i="16" s="1"/>
  <c r="P21" i="16"/>
  <c r="AI21" i="16" s="1"/>
  <c r="P37" i="16"/>
  <c r="AI37" i="16" s="1"/>
  <c r="P24" i="16"/>
  <c r="AI24" i="16" s="1"/>
  <c r="P29" i="16"/>
  <c r="AI29" i="16" s="1"/>
  <c r="P13" i="16"/>
  <c r="AI13" i="16" s="1"/>
  <c r="P8" i="16"/>
  <c r="AI8" i="16" s="1"/>
  <c r="P26" i="16"/>
  <c r="AI26" i="16" s="1"/>
  <c r="P28" i="16"/>
  <c r="AI28" i="16" s="1"/>
  <c r="P35" i="16"/>
  <c r="AI35" i="16" s="1"/>
  <c r="P33" i="16"/>
  <c r="AI33" i="16" s="1"/>
  <c r="P10" i="16"/>
  <c r="AI10" i="16" s="1"/>
  <c r="P22" i="16"/>
  <c r="AI22" i="16" s="1"/>
  <c r="P32" i="16"/>
  <c r="AI32" i="16" s="1"/>
  <c r="P14" i="16"/>
  <c r="AI14" i="16" s="1"/>
  <c r="P34" i="16"/>
  <c r="AI34" i="16" s="1"/>
  <c r="P17" i="16"/>
  <c r="AV18" i="16"/>
  <c r="AV19" i="16"/>
  <c r="AT20" i="16"/>
  <c r="AV21" i="16"/>
  <c r="AV23" i="16"/>
  <c r="AV24" i="16"/>
  <c r="AW27" i="16"/>
  <c r="AV29" i="16"/>
  <c r="AV32" i="16"/>
  <c r="AW35" i="16"/>
  <c r="AW37" i="16"/>
  <c r="AT33" i="16" l="1"/>
  <c r="AT26" i="16"/>
  <c r="AT36" i="16"/>
  <c r="AT30" i="16"/>
  <c r="AT15" i="16"/>
  <c r="AT28" i="16"/>
  <c r="AU4" i="16"/>
  <c r="AU13" i="16"/>
  <c r="AU9" i="16"/>
  <c r="AU7" i="16"/>
  <c r="AV9" i="16"/>
  <c r="AV12" i="16"/>
  <c r="AU15" i="16"/>
  <c r="AU12" i="16"/>
  <c r="AV17" i="16"/>
  <c r="AV6" i="16"/>
  <c r="AU11" i="16"/>
  <c r="AU17" i="16"/>
  <c r="AU5" i="16"/>
  <c r="AV11" i="16"/>
  <c r="AU8" i="16"/>
  <c r="AU3" i="16"/>
  <c r="AU6" i="16"/>
  <c r="AV3" i="16"/>
  <c r="AW12" i="16"/>
  <c r="AU14" i="16"/>
  <c r="AU16" i="16"/>
  <c r="AV14" i="16"/>
  <c r="AV16" i="16"/>
  <c r="AV13" i="16"/>
  <c r="AU10" i="16"/>
  <c r="AW16" i="16"/>
  <c r="AV8" i="16"/>
  <c r="AV10" i="16"/>
  <c r="AW31" i="16"/>
  <c r="AS18" i="16"/>
  <c r="AS17" i="16"/>
  <c r="AW17" i="16"/>
  <c r="AV7" i="16"/>
  <c r="AV5" i="16"/>
  <c r="AS4" i="16"/>
  <c r="AV4" i="16"/>
  <c r="AS13" i="16"/>
  <c r="AW22" i="16"/>
  <c r="AS16" i="16"/>
  <c r="AS28" i="16"/>
  <c r="AV15" i="16"/>
  <c r="AS15" i="16"/>
  <c r="AS34" i="16"/>
  <c r="AS26" i="16"/>
  <c r="AS31" i="16"/>
  <c r="AS23" i="16"/>
  <c r="AS20" i="16"/>
  <c r="AS12" i="16"/>
  <c r="AS9" i="16"/>
  <c r="AS36" i="16"/>
  <c r="AS6" i="16"/>
  <c r="AS14" i="16"/>
  <c r="AS33" i="16"/>
  <c r="AS25" i="16"/>
  <c r="AS22" i="16"/>
  <c r="AS30" i="16"/>
  <c r="AS19" i="16"/>
  <c r="AS11" i="16"/>
  <c r="AS8" i="16"/>
  <c r="AS5" i="16"/>
  <c r="AS35" i="16"/>
  <c r="AS27" i="16"/>
  <c r="AS32" i="16"/>
  <c r="AS24" i="16"/>
  <c r="AS21" i="16"/>
  <c r="AS10" i="16"/>
  <c r="AS37" i="16"/>
  <c r="AS29" i="16"/>
  <c r="AS7" i="16"/>
  <c r="AW28" i="16"/>
  <c r="AW26" i="16"/>
  <c r="AW20" i="16"/>
  <c r="AW36" i="16"/>
  <c r="AW33" i="16"/>
  <c r="AW32" i="16"/>
  <c r="AW29" i="16"/>
  <c r="AW24" i="16"/>
  <c r="AW23" i="16"/>
  <c r="AW21" i="16"/>
  <c r="AW19" i="16"/>
  <c r="AW18" i="16"/>
  <c r="AT31" i="16" l="1"/>
  <c r="AT21" i="16"/>
  <c r="AT32" i="16"/>
  <c r="AT22" i="16"/>
  <c r="AT23" i="16"/>
  <c r="AT13" i="16"/>
  <c r="AT24" i="16"/>
  <c r="AT12" i="16"/>
  <c r="AT16" i="16"/>
  <c r="AT5" i="16"/>
  <c r="AT25" i="16"/>
  <c r="AT34" i="16"/>
  <c r="AT4" i="16"/>
  <c r="AT3" i="16"/>
  <c r="AT8" i="16"/>
  <c r="AT14" i="16"/>
  <c r="AT18" i="16"/>
  <c r="AT27" i="16"/>
  <c r="AT35" i="16"/>
  <c r="AT9" i="16"/>
  <c r="AT29" i="16"/>
  <c r="AT19" i="16"/>
  <c r="AT7" i="16"/>
  <c r="AT37" i="16"/>
  <c r="AT17" i="16"/>
  <c r="AT10" i="16"/>
  <c r="AT11" i="16"/>
  <c r="AT6" i="16"/>
  <c r="AW11" i="16"/>
  <c r="AW9" i="16"/>
  <c r="AW13" i="16"/>
  <c r="AW10" i="16"/>
  <c r="AW8" i="16"/>
  <c r="AW30" i="16"/>
  <c r="AW6" i="16"/>
  <c r="AW14" i="16"/>
  <c r="AW34" i="16"/>
  <c r="AW25" i="16"/>
  <c r="AW15" i="16"/>
  <c r="AW4" i="16"/>
  <c r="AW5" i="16"/>
  <c r="AW7" i="16"/>
  <c r="AW3" i="16" l="1"/>
  <c r="AS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<sst xmlns="http://schemas.openxmlformats.org/spreadsheetml/2006/main" count="798" uniqueCount="358">
  <si>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</si>
  <si>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</si>
  <si>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</si>
  <si>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</si>
  <si>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</si>
  <si>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</si>
  <si>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</si>
  <si>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</si>
  <si>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</si>
  <si>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</si>
  <si>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</si>
  <si>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</si>
  <si>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</si>
  <si>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</si>
  <si>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</si>
  <si>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</si>
  <si>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</si>
  <si>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</si>
  <si>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</si>
  <si>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</si>
  <si>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</si>
  <si>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</si>
  <si>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</si>
  <si>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</si>
  <si>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</si>
  <si>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</si>
  <si>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</si>
  <si>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</si>
  <si>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</si>
  <si>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</si>
  <si>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</si>
  <si>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</si>
  <si>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</si>
  <si>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</si>
  <si>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</si>
  <si>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</si>
  <si>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</si>
  <si>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</si>
  <si>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</si>
  <si>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</si>
  <si>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</si>
  <si>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</si>
  <si>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</si>
  <si>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</si>
  <si>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</si>
  <si>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</si>
  <si>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</si>
  <si>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</si>
  <si>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</si>
  <si>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</si>
  <si>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</si>
  <si>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</si>
  <si>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</si>
  <si>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</si>
  <si>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</si>
  <si>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</si>
  <si>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</si>
  <si>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</si>
  <si>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</si>
  <si>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</si>
  <si>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</si>
  <si>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</si>
  <si>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</si>
  <si>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Minimally invasive</t>
  </si>
  <si>
    <t>11o</t>
  </si>
  <si>
    <t>12p</t>
  </si>
  <si>
    <t>12o</t>
  </si>
  <si>
    <t>13p</t>
  </si>
  <si>
    <t>III</t>
  </si>
  <si>
    <t>11mm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</si>
  <si>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</si>
  <si>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</si>
  <si>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</si>
  <si>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</si>
  <si>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</si>
  <si>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</si>
  <si>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</si>
  <si>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</si>
  <si>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</si>
  <si>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</si>
  <si>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</si>
  <si>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</si>
  <si>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</si>
  <si>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</si>
  <si>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</si>
  <si>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</si>
  <si>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</si>
  <si>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</si>
  <si>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</si>
  <si>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</si>
  <si>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</si>
  <si>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</si>
  <si>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10mm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</si>
  <si>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</si>
  <si>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</si>
  <si>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</si>
  <si>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</si>
  <si>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</si>
  <si>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</si>
  <si>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</si>
  <si>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</si>
  <si>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</si>
  <si>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</si>
  <si>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</si>
  <si>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</si>
  <si>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</si>
  <si>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</si>
  <si>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</si>
  <si>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</si>
  <si>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</si>
  <si>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</si>
  <si>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</si>
  <si>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</si>
  <si>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</si>
  <si>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</si>
  <si>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</si>
  <si>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</si>
  <si>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</si>
  <si>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</si>
  <si>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</si>
  <si>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</si>
  <si>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</si>
  <si>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</si>
  <si>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</si>
  <si>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</si>
  <si>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</si>
  <si>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</si>
  <si>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</si>
  <si>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</si>
  <si>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</si>
  <si>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</si>
  <si>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</si>
  <si>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</si>
  <si>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</si>
  <si>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</si>
  <si>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</si>
  <si>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</si>
  <si>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</si>
  <si>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</si>
  <si>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</si>
  <si>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</si>
  <si>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</si>
  <si>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</si>
  <si>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</si>
  <si>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</si>
  <si>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</si>
  <si>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</si>
  <si>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</si>
  <si>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</si>
  <si>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</si>
  <si>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</si>
  <si>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</si>
  <si>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</si>
  <si>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</si>
  <si>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</si>
  <si>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</si>
  <si>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</si>
  <si>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</si>
  <si>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</si>
  <si>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</si>
  <si>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</si>
  <si>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T3b</t>
  </si>
  <si>
    <t>T4</t>
  </si>
  <si>
    <t>N0</t>
  </si>
  <si>
    <t>N1</t>
  </si>
  <si>
    <t>N1a</t>
  </si>
  <si>
    <t>N1b</t>
  </si>
  <si>
    <t>M0</t>
  </si>
  <si>
    <t>strap muscle</t>
  </si>
  <si>
    <t>intermediate</t>
  </si>
  <si>
    <t>high</t>
  </si>
  <si>
    <t>low</t>
  </si>
  <si>
    <t>LN extent</t>
  </si>
  <si>
    <t>Papillary carcinoma</t>
  </si>
  <si>
    <t>Not identified</t>
  </si>
  <si>
    <t>infiltrative follicular subtype</t>
  </si>
  <si>
    <t>Present</t>
  </si>
  <si>
    <t>Left central compartment</t>
  </si>
  <si>
    <t>Minimally invasive follicular carcinoma</t>
  </si>
  <si>
    <t>50 mm</t>
  </si>
  <si>
    <t>6.5cm</t>
  </si>
  <si>
    <t>4cm</t>
  </si>
  <si>
    <t>1.3cm</t>
  </si>
  <si>
    <t>2mm</t>
  </si>
  <si>
    <t>10 mm</t>
  </si>
  <si>
    <t>Absent</t>
  </si>
  <si>
    <t>Focal involvement by invasive carcinoma at posterior surface</t>
  </si>
  <si>
    <t>24.5 mm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</si>
  <si>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</si>
  <si>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</si>
  <si>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</si>
  <si>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</si>
  <si>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</si>
  <si>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</si>
  <si>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</si>
  <si>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</si>
  <si>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</si>
  <si>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</si>
  <si>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</si>
  <si>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Right hemithyroidectomy</t>
  </si>
  <si>
    <t>20 mm</t>
  </si>
  <si>
    <t>minimally invasive</t>
  </si>
  <si>
    <t>63 mm</t>
  </si>
  <si>
    <t>papillary</t>
  </si>
  <si>
    <t>7 mm</t>
  </si>
  <si>
    <t>3 cm</t>
  </si>
  <si>
    <r>
      <t>NoFociVIFTC</t>
    </r>
    <r>
      <rPr>
        <b/>
        <sz val="11"/>
        <rFont val="Calibri (Body)"/>
      </rPr>
      <t xml:space="preserve"> (extensive/minimal)</t>
    </r>
  </si>
  <si>
    <t>22/03/2024</t>
  </si>
  <si>
    <t>pN1a</t>
  </si>
  <si>
    <t>30/04/2024</t>
  </si>
  <si>
    <t>pT3b</t>
  </si>
  <si>
    <t>31/05/2024</t>
  </si>
  <si>
    <t>24/05/2024</t>
  </si>
  <si>
    <t>29/05/2024</t>
  </si>
  <si>
    <t>23/07/2018</t>
  </si>
  <si>
    <t>21/09/2022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</si>
  <si>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</si>
  <si>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</si>
  <si>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</si>
  <si>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</si>
  <si>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</si>
  <si>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</si>
  <si>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</si>
  <si>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</si>
  <si>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</si>
  <si>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</si>
  <si>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</si>
  <si>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</si>
  <si>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</si>
  <si>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</si>
  <si>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</si>
  <si>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</si>
  <si>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</si>
  <si>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</si>
  <si>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</si>
  <si>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</si>
  <si>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</si>
  <si>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</si>
  <si>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</si>
  <si>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</si>
  <si>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Focal (&lt; 4 vessels)</t>
  </si>
  <si>
    <t>Suspicious foci</t>
  </si>
  <si>
    <t>Right level III</t>
  </si>
  <si>
    <t>Present (focal)</t>
  </si>
  <si>
    <t>follicular</t>
  </si>
  <si>
    <t>lung, bone</t>
  </si>
  <si>
    <t>PATIENT ID</t>
  </si>
  <si>
    <t>Site of extrathyroidal extension</t>
  </si>
  <si>
    <t>29/01/2024</t>
  </si>
  <si>
    <t>NX</t>
  </si>
  <si>
    <t>MX</t>
  </si>
  <si>
    <t>26/02/2024</t>
  </si>
  <si>
    <t>Uninvolved by carcinoma</t>
  </si>
  <si>
    <t>29/04/2024</t>
  </si>
  <si>
    <t>17/05/2024</t>
  </si>
  <si>
    <t>Invading only strap muscles</t>
  </si>
  <si>
    <t>Clear</t>
  </si>
  <si>
    <t>14/06/2024</t>
  </si>
  <si>
    <t>Present (minimal)</t>
  </si>
  <si>
    <t>19/01/2024</t>
  </si>
  <si>
    <t>21/06/2024</t>
  </si>
  <si>
    <t>27/12/2023</t>
  </si>
  <si>
    <t>Invading subcutaneous soft tissues, larynx, trachea, esophagus or recurrent laryngeal nerve</t>
  </si>
  <si>
    <t>Margin</t>
  </si>
  <si>
    <t>Invading soft tissue and strap muscles</t>
  </si>
  <si>
    <t>4 mm</t>
  </si>
  <si>
    <t>27 x 22 x 17 mm</t>
  </si>
  <si>
    <t>16 mm</t>
  </si>
  <si>
    <t>4 cm</t>
  </si>
  <si>
    <t>36 x 32 x 26 mm</t>
  </si>
  <si>
    <t>1.2 cm</t>
  </si>
  <si>
    <t>Microscopic extrathyroidal extension to skeletal muscle anterior to the thyroid gland is present</t>
  </si>
  <si>
    <t>0.5 cm</t>
  </si>
  <si>
    <t>12 mm</t>
  </si>
  <si>
    <t>4.5 x 3 x 2cm</t>
  </si>
  <si>
    <t>28g</t>
  </si>
  <si>
    <t>Infiltrative follicular subtype</t>
  </si>
  <si>
    <t>Left central compartment LN excised</t>
  </si>
  <si>
    <t>Classic subtype</t>
  </si>
  <si>
    <t>TX</t>
  </si>
  <si>
    <t>Microscopic invasive of the surrounding fat at the 2 mm tumor nodule.</t>
  </si>
  <si>
    <t>Touched posterior and lateral margins</t>
  </si>
  <si>
    <t>Right central compartment LNs</t>
  </si>
  <si>
    <t>Oncocytic classic subtype</t>
  </si>
  <si>
    <t>Gross extrathyroidal extension to overlying strap muscle</t>
  </si>
  <si>
    <t>Follicular carcinoma</t>
  </si>
  <si>
    <t>pN1b</t>
  </si>
  <si>
    <t>entire left lobe</t>
  </si>
  <si>
    <t>Right central compartment LN excised</t>
  </si>
  <si>
    <t>Left central compartment LN dissection</t>
  </si>
  <si>
    <t>Cancer of thyroid</t>
  </si>
  <si>
    <t>CA</t>
  </si>
  <si>
    <t>~9mm</t>
  </si>
  <si>
    <t>~2.7cm</t>
  </si>
  <si>
    <t>1 cm</t>
  </si>
  <si>
    <t>Close to resection margins</t>
  </si>
  <si>
    <t>5.7 mm</t>
  </si>
  <si>
    <t>Left level III LN</t>
  </si>
  <si>
    <t>Infiltrative follicular</t>
  </si>
  <si>
    <t>6 cm</t>
  </si>
  <si>
    <t>17/11/2021</t>
  </si>
  <si>
    <t>Tall cell variant</t>
  </si>
  <si>
    <t>PTC (Papillary Thyroid Carcinoma)</t>
  </si>
  <si>
    <t>Classic</t>
  </si>
  <si>
    <t>Margins involved</t>
  </si>
  <si>
    <t>8 and 2 mm</t>
  </si>
  <si>
    <t>Present (Focal Invasion)</t>
  </si>
  <si>
    <t>Left thyroid nodule, Left central compartment</t>
  </si>
  <si>
    <t>Negative</t>
  </si>
  <si>
    <t>Margins uninvolved</t>
  </si>
  <si>
    <t>&lt; 0.1 mm from carcinoma</t>
  </si>
  <si>
    <t>Left central compartment LN</t>
  </si>
  <si>
    <t>central compartment, bilateral</t>
  </si>
  <si>
    <t>Left</t>
  </si>
  <si>
    <t>unilateral, bilateral, or contralateral lateral neck lymph nodes (levels I, II, III, IV, or V) or retropharyngeal lymph nodes</t>
  </si>
  <si>
    <t>Present, into surrounding skeletal muscle bundles</t>
  </si>
  <si>
    <t>Left lobe, level II-VB, left central compartment LN</t>
  </si>
  <si>
    <t>Encapsulated classic</t>
  </si>
  <si>
    <t>&lt;4</t>
  </si>
  <si>
    <t>BRAF, KRAS or NRAS hot spot mutation</t>
  </si>
  <si>
    <t>Gross extrathyroidal extension with invasion to overlying strap muscles</t>
  </si>
  <si>
    <t>The carcinoma reaches the anterior and anterolateral capsule without breaching the capsule.</t>
  </si>
  <si>
    <t>Right central compartment, Right level III</t>
  </si>
  <si>
    <t>Level VI or VII (pretracheal, paratracheal, or prelaryngeal/Delphian, or upper mediastinal)</t>
  </si>
  <si>
    <t>Present (Block A3)</t>
  </si>
  <si>
    <t>Posterior margin: involved by carcinoma (Block A3)</t>
  </si>
  <si>
    <t>Right cricothyroid and inferior constrictor muscle</t>
  </si>
  <si>
    <t>Left superior, right superior, inferior parathyroids in usual positions</t>
  </si>
  <si>
    <t>peri-thyroidal adipose tissue</t>
  </si>
  <si>
    <t>['Right level 2, 3, 4']</t>
  </si>
  <si>
    <t>[]</t>
  </si>
  <si>
    <t>Classic (usual, conventional)</t>
  </si>
  <si>
    <t>['Right thyroid upper pole and lower pole tumours', 'Lower pole tumour completely encased right RLN', 'Multiple enlarged right lateral neck LNs']</t>
  </si>
  <si>
    <t>5 mm</t>
  </si>
  <si>
    <t>No definite capsular invasion is seen</t>
  </si>
  <si>
    <t>Hurthle cell</t>
  </si>
  <si>
    <t>Isthmus, less than 0.1 mm from the posterior margin</t>
  </si>
  <si>
    <t>Not entirely encapsulated</t>
  </si>
  <si>
    <t>Left central compartment, Left level 2, 3, 4 cervical</t>
  </si>
  <si>
    <t>Central compartment, Level not specified</t>
  </si>
  <si>
    <t>Positive</t>
  </si>
  <si>
    <t>Suspected Cancer</t>
  </si>
  <si>
    <t>2.5 cm</t>
  </si>
  <si>
    <t>&gt;4</t>
  </si>
  <si>
    <t>Focal invasion</t>
  </si>
  <si>
    <t>Left lateral level II, III, IV</t>
  </si>
  <si>
    <t>['Left lateral neck LNs']</t>
  </si>
  <si>
    <t>['lung']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</si>
  <si>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</si>
  <si>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</si>
  <si>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</si>
  <si>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</si>
  <si>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</si>
  <si>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</si>
  <si>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</si>
  <si>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</si>
  <si>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EXTRACTED INFORMATION FOR CLASSIFCATION</t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</si>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</sst>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9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88">
    <xf numFmtId="0" fontId="0" fillId="0" borderId="0"/>
    <xf numFmtId="9" fontId="12" fillId="0" borderId="0" applyFont="0" applyFill="0" applyBorder="0" applyAlignment="0" applyProtection="0"/>
    <xf numFmtId="0" fontId="6" fillId="0" borderId="0"/>
    <xf numFmtId="0" fontId="5" fillId="0" borderId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20" fillId="5" borderId="0" applyNumberFormat="0" applyBorder="0" applyAlignment="0" applyProtection="0"/>
    <xf numFmtId="0" fontId="21" fillId="7" borderId="9" applyNumberFormat="0" applyAlignment="0" applyProtection="0"/>
    <xf numFmtId="0" fontId="22" fillId="8" borderId="10" applyNumberFormat="0" applyAlignment="0" applyProtection="0"/>
    <xf numFmtId="0" fontId="23" fillId="8" borderId="9" applyNumberFormat="0" applyAlignment="0" applyProtection="0"/>
    <xf numFmtId="0" fontId="24" fillId="0" borderId="11" applyNumberFormat="0" applyFill="0" applyAlignment="0" applyProtection="0"/>
    <xf numFmtId="0" fontId="25" fillId="9" borderId="12" applyNumberFormat="0" applyAlignment="0" applyProtection="0"/>
    <xf numFmtId="0" fontId="10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14" applyNumberFormat="0" applyFill="0" applyAlignment="0" applyProtection="0"/>
    <xf numFmtId="0" fontId="27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27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27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27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27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27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0" borderId="0"/>
    <xf numFmtId="0" fontId="28" fillId="6" borderId="0" applyNumberFormat="0" applyBorder="0" applyAlignment="0" applyProtection="0"/>
    <xf numFmtId="0" fontId="4" fillId="10" borderId="13" applyNumberFormat="0" applyFont="0" applyAlignment="0" applyProtection="0"/>
    <xf numFmtId="0" fontId="27" fillId="14" borderId="0" applyNumberFormat="0" applyBorder="0" applyAlignment="0" applyProtection="0"/>
    <xf numFmtId="0" fontId="27" fillId="18" borderId="0" applyNumberFormat="0" applyBorder="0" applyAlignment="0" applyProtection="0"/>
    <xf numFmtId="0" fontId="27" fillId="22" borderId="0" applyNumberFormat="0" applyBorder="0" applyAlignment="0" applyProtection="0"/>
    <xf numFmtId="0" fontId="27" fillId="26" borderId="0" applyNumberFormat="0" applyBorder="0" applyAlignment="0" applyProtection="0"/>
    <xf numFmtId="0" fontId="27" fillId="30" borderId="0" applyNumberFormat="0" applyBorder="0" applyAlignment="0" applyProtection="0"/>
    <xf numFmtId="0" fontId="27" fillId="34" borderId="0" applyNumberFormat="0" applyBorder="0" applyAlignment="0" applyProtection="0"/>
    <xf numFmtId="0" fontId="3" fillId="0" borderId="0"/>
    <xf numFmtId="0" fontId="3" fillId="10" borderId="13" applyNumberFormat="0" applyFont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2" fillId="10" borderId="13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49">
    <xf numFmtId="0" fontId="0" fillId="0" borderId="0" xfId="0"/>
    <xf numFmtId="0" fontId="7" fillId="0" borderId="0" xfId="0" applyFont="1"/>
    <xf numFmtId="0" fontId="7" fillId="0" borderId="1" xfId="0" applyFont="1" applyBorder="1"/>
    <xf numFmtId="0" fontId="9" fillId="0" borderId="2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/>
    <xf numFmtId="0" fontId="13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" fontId="13" fillId="0" borderId="2" xfId="0" applyNumberFormat="1" applyFont="1" applyBorder="1" applyAlignment="1">
      <alignment horizontal="center" vertical="center"/>
    </xf>
    <xf numFmtId="1" fontId="13" fillId="0" borderId="5" xfId="0" applyNumberFormat="1" applyFont="1" applyBorder="1" applyAlignment="1">
      <alignment horizontal="center" vertical="center" wrapText="1"/>
    </xf>
    <xf numFmtId="10" fontId="11" fillId="0" borderId="0" xfId="1" applyNumberFormat="1" applyFont="1" applyFill="1" applyBorder="1"/>
    <xf numFmtId="0" fontId="5" fillId="0" borderId="0" xfId="0" applyFont="1"/>
    <xf numFmtId="0" fontId="5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3" fillId="0" borderId="0" xfId="0" applyFont="1" applyAlignment="1">
      <alignment horizontal="center"/>
    </xf>
    <xf numFmtId="10" fontId="0" fillId="0" borderId="0" xfId="0" applyNumberFormat="1"/>
    <xf numFmtId="10" fontId="5" fillId="0" borderId="0" xfId="1" applyNumberFormat="1" applyFont="1" applyFill="1" applyBorder="1"/>
    <xf numFmtId="0" fontId="1" fillId="0" borderId="0" xfId="74"/>
    <xf numFmtId="15" fontId="1" fillId="0" borderId="0" xfId="74" applyNumberFormat="1"/>
    <xf numFmtId="14" fontId="1" fillId="0" borderId="0" xfId="74" applyNumberFormat="1"/>
    <xf numFmtId="0" fontId="5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1" fontId="13" fillId="0" borderId="5" xfId="0" applyNumberFormat="1" applyFont="1" applyBorder="1" applyAlignment="1">
      <alignment horizontal="center" vertical="center"/>
    </xf>
    <xf numFmtId="1" fontId="13" fillId="0" borderId="16" xfId="0" applyNumberFormat="1" applyFont="1" applyBorder="1" applyAlignment="1">
      <alignment horizontal="center" vertical="center"/>
    </xf>
    <xf numFmtId="0" fontId="0" fillId="0" borderId="3" xfId="0" applyBorder="1"/>
    <xf numFmtId="0" fontId="13" fillId="2" borderId="0" xfId="0" applyFont="1" applyFill="1" applyAlignment="1">
      <alignment horizontal="center"/>
    </xf>
    <xf numFmtId="1" fontId="13" fillId="3" borderId="4" xfId="0" applyNumberFormat="1" applyFont="1" applyFill="1" applyBorder="1" applyAlignment="1">
      <alignment horizontal="center"/>
    </xf>
    <xf numFmtId="1" fontId="13" fillId="3" borderId="0" xfId="0" applyNumberFormat="1" applyFont="1" applyFill="1" applyAlignment="1">
      <alignment horizontal="center"/>
    </xf>
    <xf numFmtId="1" fontId="13" fillId="3" borderId="15" xfId="0" applyNumberFormat="1" applyFont="1" applyFill="1" applyBorder="1" applyAlignment="1">
      <alignment horizontal="center"/>
    </xf>
    <xf numFmtId="0" fontId="11" fillId="0" borderId="0" xfId="0" applyFont="1" applyFill="1" applyAlignment="1">
      <alignment horizontal="center"/>
    </xf>
    <xf numFmtId="1" fontId="11" fillId="0" borderId="4" xfId="0" applyNumberFormat="1" applyFont="1" applyFill="1" applyBorder="1" applyAlignment="1">
      <alignment horizontal="center"/>
    </xf>
    <xf numFmtId="1" fontId="11" fillId="0" borderId="0" xfId="0" applyNumberFormat="1" applyFont="1" applyFill="1" applyAlignment="1">
      <alignment horizontal="center"/>
    </xf>
    <xf numFmtId="1" fontId="11" fillId="0" borderId="15" xfId="0" applyNumberFormat="1" applyFont="1" applyFill="1" applyBorder="1" applyAlignment="1">
      <alignment horizontal="center"/>
    </xf>
    <xf numFmtId="0" fontId="11" fillId="0" borderId="2" xfId="0" applyFont="1" applyFill="1" applyBorder="1" applyAlignment="1">
      <alignment horizontal="center"/>
    </xf>
    <xf numFmtId="1" fontId="11" fillId="0" borderId="5" xfId="0" applyNumberFormat="1" applyFont="1" applyFill="1" applyBorder="1" applyAlignment="1">
      <alignment horizontal="center"/>
    </xf>
    <xf numFmtId="1" fontId="11" fillId="0" borderId="2" xfId="0" applyNumberFormat="1" applyFont="1" applyFill="1" applyBorder="1" applyAlignment="1">
      <alignment horizontal="center"/>
    </xf>
    <xf numFmtId="1" fontId="11" fillId="0" borderId="16" xfId="0" applyNumberFormat="1" applyFont="1" applyFill="1" applyBorder="1" applyAlignment="1">
      <alignment horizontal="center"/>
    </xf>
    <xf numFmtId="0" fontId="11" fillId="0" borderId="17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5" xfId="0" applyFont="1" applyFill="1" applyBorder="1" applyAlignment="1">
      <alignment horizontal="center"/>
    </xf>
    <xf numFmtId="2" fontId="13" fillId="0" borderId="2" xfId="0" applyNumberFormat="1" applyFont="1" applyBorder="1" applyAlignment="1">
      <alignment horizontal="center" vertical="center" wrapText="1"/>
    </xf>
  </cellXfs>
  <cellStyles count="88">
    <cellStyle name="20% - Accent1" xfId="20" builtinId="30" customBuiltin="1"/>
    <cellStyle name="20% - Accent1 2" xfId="48" xr:uid="{C6084956-82D1-4B85-9997-3B0BC22CAE19}"/>
    <cellStyle name="20% - Accent1 3" xfId="62" xr:uid="{7536FE0E-B2E8-4B33-8259-9EA63CBD221B}"/>
    <cellStyle name="20% - Accent1 4" xfId="76" xr:uid="{CBC1CB53-DDB2-4B9C-B62B-B5C8D0340879}"/>
    <cellStyle name="20% - Accent2" xfId="23" builtinId="34" customBuiltin="1"/>
    <cellStyle name="20% - Accent2 2" xfId="50" xr:uid="{C2F6999E-535F-4888-B8A7-7D52E3B81E6C}"/>
    <cellStyle name="20% - Accent2 3" xfId="64" xr:uid="{D08CD509-037A-42BD-9F34-8F6CE310EEC3}"/>
    <cellStyle name="20% - Accent2 4" xfId="78" xr:uid="{D01ACEE1-C145-43F3-901A-F0FAE613AC85}"/>
    <cellStyle name="20% - Accent3" xfId="26" builtinId="38" customBuiltin="1"/>
    <cellStyle name="20% - Accent3 2" xfId="52" xr:uid="{7404AF2F-FD4C-46D9-90B4-0E4410A4C58D}"/>
    <cellStyle name="20% - Accent3 3" xfId="66" xr:uid="{45C6F774-09B2-421C-AFF2-268D759D7FE6}"/>
    <cellStyle name="20% - Accent3 4" xfId="80" xr:uid="{6A04E263-32AC-4562-A07F-085C9C408C85}"/>
    <cellStyle name="20% - Accent4" xfId="29" builtinId="42" customBuiltin="1"/>
    <cellStyle name="20% - Accent4 2" xfId="54" xr:uid="{FC242126-89F6-4D2F-A9C5-21B887E05AD3}"/>
    <cellStyle name="20% - Accent4 3" xfId="68" xr:uid="{9F31E2FB-8A18-4707-9DAF-57948339F1FB}"/>
    <cellStyle name="20% - Accent4 4" xfId="82" xr:uid="{91D2C3CB-C0F7-47FF-9415-7262BF48E7E7}"/>
    <cellStyle name="20% - Accent5" xfId="32" builtinId="46" customBuiltin="1"/>
    <cellStyle name="20% - Accent5 2" xfId="56" xr:uid="{E7B82DE4-6654-4ACA-80CB-64CDA5F63B3D}"/>
    <cellStyle name="20% - Accent5 3" xfId="70" xr:uid="{5E59AE17-A143-4EB9-AB81-626370BCB358}"/>
    <cellStyle name="20% - Accent5 4" xfId="84" xr:uid="{C13EC0E3-D68F-4D71-A578-EDB848AE3E01}"/>
    <cellStyle name="20% - Accent6" xfId="35" builtinId="50" customBuiltin="1"/>
    <cellStyle name="20% - Accent6 2" xfId="58" xr:uid="{3C076D3A-743A-49B6-B001-0F36000999EB}"/>
    <cellStyle name="20% - Accent6 3" xfId="72" xr:uid="{6B7C5DBE-DBE3-4B23-8564-F3E9D2C921BD}"/>
    <cellStyle name="20% - Accent6 4" xfId="86" xr:uid="{41F9A0F0-81EB-4DEE-AC43-971BBFCD9AA3}"/>
    <cellStyle name="40% - Accent1" xfId="21" builtinId="31" customBuiltin="1"/>
    <cellStyle name="40% - Accent1 2" xfId="49" xr:uid="{437A604B-7877-4FD5-8F8B-2CA73632073A}"/>
    <cellStyle name="40% - Accent1 3" xfId="63" xr:uid="{090DF97B-158B-4223-B4AE-AC219DFDE5D0}"/>
    <cellStyle name="40% - Accent1 4" xfId="77" xr:uid="{12D4FDDC-9F96-4D26-8FFA-4D442EA64F47}"/>
    <cellStyle name="40% - Accent2" xfId="24" builtinId="35" customBuiltin="1"/>
    <cellStyle name="40% - Accent2 2" xfId="51" xr:uid="{983F6F68-2BE4-468D-A5DA-CC8BE36E9FB7}"/>
    <cellStyle name="40% - Accent2 3" xfId="65" xr:uid="{B3C6B039-44A3-4673-A52A-2BA7FEFB360B}"/>
    <cellStyle name="40% - Accent2 4" xfId="79" xr:uid="{BE0842AD-7E0D-4BA0-94C5-44D6362D81D3}"/>
    <cellStyle name="40% - Accent3" xfId="27" builtinId="39" customBuiltin="1"/>
    <cellStyle name="40% - Accent3 2" xfId="53" xr:uid="{A7FA94C8-BE9C-4C79-B744-3DC566A05A15}"/>
    <cellStyle name="40% - Accent3 3" xfId="67" xr:uid="{EB6240DD-E399-4D25-805F-4ED029D711E1}"/>
    <cellStyle name="40% - Accent3 4" xfId="81" xr:uid="{95AABCDC-7143-46A9-B639-7E6D29FA9C77}"/>
    <cellStyle name="40% - Accent4" xfId="30" builtinId="43" customBuiltin="1"/>
    <cellStyle name="40% - Accent4 2" xfId="55" xr:uid="{506DA936-E2C9-42D0-A701-27B6B38CA556}"/>
    <cellStyle name="40% - Accent4 3" xfId="69" xr:uid="{DA9A2023-1F30-4B8B-A532-29497F9FD711}"/>
    <cellStyle name="40% - Accent4 4" xfId="83" xr:uid="{E722BA5D-A52A-4D9B-B200-0A6F2A035DEF}"/>
    <cellStyle name="40% - Accent5" xfId="33" builtinId="47" customBuiltin="1"/>
    <cellStyle name="40% - Accent5 2" xfId="57" xr:uid="{558E0A5D-6872-4EF1-977B-A018FE613706}"/>
    <cellStyle name="40% - Accent5 3" xfId="71" xr:uid="{8A960A53-9C8C-44F0-90E9-615EA060BC44}"/>
    <cellStyle name="40% - Accent5 4" xfId="85" xr:uid="{742AE06D-4743-408A-B9F8-25E185F4AD87}"/>
    <cellStyle name="40% - Accent6" xfId="36" builtinId="51" customBuiltin="1"/>
    <cellStyle name="40% - Accent6 2" xfId="59" xr:uid="{4C1115E6-51C9-4D22-89FD-A9A19D8132C2}"/>
    <cellStyle name="40% - Accent6 3" xfId="73" xr:uid="{9D21272C-0C60-4A39-ACDE-7197F2B11C4F}"/>
    <cellStyle name="40% - Accent6 4" xfId="87" xr:uid="{5F3BEE5F-6A00-4033-97F3-9139238B2C80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rmal 6" xfId="60" xr:uid="{F5A147C6-ABCE-4913-81E8-5720CC534F82}"/>
    <cellStyle name="Normal 7" xfId="74" xr:uid="{0745EC1B-414A-405F-8E24-F1C7D2AA111F}"/>
    <cellStyle name="Note 2" xfId="39" xr:uid="{229BDDF4-8816-40CB-B8F6-A1B6E2DC4ADF}"/>
    <cellStyle name="Note 3" xfId="47" xr:uid="{F49FA41D-8387-400A-92A6-1328AE10848F}"/>
    <cellStyle name="Note 4" xfId="61" xr:uid="{DF8AB1B7-DCCA-40FF-8314-789277DD404C}"/>
    <cellStyle name="Note 5" xfId="75" xr:uid="{5D6E74A9-23D7-47DF-8FF7-E5077F3D9836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X64"/>
  <sheetViews>
    <sheetView tabSelected="1" zoomScale="70" zoomScaleNormal="70" workbookViewId="0">
      <pane xSplit="1" ySplit="2" topLeftCell="AF3" activePane="bottomRight" state="frozen"/>
      <selection pane="topRight"/>
      <selection pane="bottomLeft"/>
      <selection pane="bottomRight" activeCell="AI1" sqref="AI1:AM1"/>
    </sheetView>
  </sheetViews>
  <sheetFormatPr defaultColWidth="10.6640625" defaultRowHeight="14.25"/>
  <cols>
    <col min="2" max="4" width="11.33203125" hidden="1" customWidth="1"/>
    <col min="5" max="5" width="10.796875" style="17"/>
    <col min="6" max="6" width="12.46484375" bestFit="1" customWidth="1"/>
    <col min="7" max="7" width="12.53125" customWidth="1"/>
    <col min="8" max="8" width="10.796875" style="17"/>
    <col min="10" max="10" width="12.33203125" customWidth="1"/>
    <col min="11" max="11" width="11.796875" style="17" customWidth="1"/>
    <col min="12" max="12" width="12.53125" style="17" bestFit="1" customWidth="1"/>
    <col min="13" max="13" width="12.46484375" style="17" bestFit="1" customWidth="1"/>
    <col min="14" max="14" width="10.796875" hidden="1" customWidth="1"/>
    <col min="15" max="15" width="13.33203125" hidden="1" customWidth="1"/>
    <col min="16" max="16" width="9.6640625" customWidth="1"/>
    <col min="17" max="17" width="32.73046875" bestFit="1" customWidth="1"/>
    <col min="18" max="18" width="25.1328125" bestFit="1" customWidth="1"/>
    <col min="19" max="19" width="17.6640625" hidden="1" customWidth="1"/>
    <col min="20" max="20" width="0" hidden="1" customWidth="1"/>
    <col min="22" max="22" width="14.6640625" style="17" customWidth="1"/>
    <col min="23" max="23" width="14.6640625" style="17" hidden="1" customWidth="1"/>
    <col min="24" max="24" width="23.53125" hidden="1" customWidth="1"/>
    <col min="25" max="25" width="11.796875" hidden="1" customWidth="1"/>
    <col min="26" max="26" width="0" hidden="1" customWidth="1"/>
    <col min="27" max="27" width="14.1328125" style="17" customWidth="1"/>
    <col min="28" max="30" width="14.1328125" style="17" hidden="1" customWidth="1"/>
    <col min="31" max="31" width="14.33203125" customWidth="1"/>
    <col min="32" max="32" width="86.73046875" customWidth="1"/>
    <col min="34" max="34" width="10.796875" style="17"/>
    <col min="35" max="35" width="13.265625" customWidth="1"/>
    <col min="36" max="39" width="10.796875" customWidth="1"/>
    <col min="40" max="40" width="11.33203125" bestFit="1" customWidth="1"/>
    <col min="41" max="46" width="10.796875" customWidth="1"/>
    <col min="47" max="49" width="10.6640625" customWidth="1"/>
  </cols>
  <sheetData>
    <row r="1" spans="1:49" s="5" customFormat="1">
      <c r="A1" s="33" t="s">
        <v>356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19"/>
      <c r="AI1" s="34" t="s">
        <v>357</v>
      </c>
      <c r="AJ1" s="35"/>
      <c r="AK1" s="35"/>
      <c r="AL1" s="35"/>
      <c r="AM1" s="35"/>
      <c r="AN1" s="34" t="s">
        <v>195</v>
      </c>
      <c r="AO1" s="35"/>
      <c r="AP1" s="35"/>
      <c r="AQ1" s="35"/>
      <c r="AR1" s="35"/>
      <c r="AS1" s="34" t="s">
        <v>196</v>
      </c>
      <c r="AT1" s="35"/>
      <c r="AU1" s="35"/>
      <c r="AV1" s="35"/>
      <c r="AW1" s="36"/>
    </row>
    <row r="2" spans="1:49" s="4" customFormat="1" ht="42">
      <c r="A2" s="6" t="s">
        <v>0</v>
      </c>
      <c r="B2" s="6" t="s">
        <v>1</v>
      </c>
      <c r="C2" s="3" t="s">
        <v>2</v>
      </c>
      <c r="D2" s="3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172</v>
      </c>
      <c r="K2" s="6" t="s">
        <v>9</v>
      </c>
      <c r="L2" s="6" t="s">
        <v>10</v>
      </c>
      <c r="M2" s="6" t="s">
        <v>11</v>
      </c>
      <c r="N2" s="6" t="s">
        <v>12</v>
      </c>
      <c r="O2" s="6" t="s">
        <v>354</v>
      </c>
      <c r="P2" s="48" t="s">
        <v>355</v>
      </c>
      <c r="Q2" s="6" t="s">
        <v>13</v>
      </c>
      <c r="R2" s="6" t="s">
        <v>14</v>
      </c>
      <c r="S2" s="6" t="s">
        <v>15</v>
      </c>
      <c r="T2" s="7" t="s">
        <v>352</v>
      </c>
      <c r="U2" s="48" t="s">
        <v>353</v>
      </c>
      <c r="V2" s="6" t="s">
        <v>16</v>
      </c>
      <c r="W2" s="6" t="s">
        <v>17</v>
      </c>
      <c r="X2" s="6" t="s">
        <v>18</v>
      </c>
      <c r="Y2" s="7" t="s">
        <v>206</v>
      </c>
      <c r="Z2" s="6" t="s">
        <v>19</v>
      </c>
      <c r="AA2" s="6" t="s">
        <v>20</v>
      </c>
      <c r="AB2" s="6" t="s">
        <v>21</v>
      </c>
      <c r="AC2" s="6" t="s">
        <v>22</v>
      </c>
      <c r="AD2" s="7" t="s">
        <v>23</v>
      </c>
      <c r="AE2" s="6" t="s">
        <v>24</v>
      </c>
      <c r="AF2" s="7" t="s">
        <v>351</v>
      </c>
      <c r="AG2" s="6" t="s">
        <v>263</v>
      </c>
      <c r="AH2" s="8"/>
      <c r="AI2" s="30" t="s">
        <v>149</v>
      </c>
      <c r="AJ2" s="9" t="s">
        <v>150</v>
      </c>
      <c r="AK2" s="9" t="s">
        <v>151</v>
      </c>
      <c r="AL2" s="9" t="s">
        <v>152</v>
      </c>
      <c r="AM2" s="9" t="s">
        <v>153</v>
      </c>
      <c r="AN2" s="10" t="s">
        <v>149</v>
      </c>
      <c r="AO2" s="9" t="s">
        <v>150</v>
      </c>
      <c r="AP2" s="9" t="s">
        <v>151</v>
      </c>
      <c r="AQ2" s="9" t="s">
        <v>152</v>
      </c>
      <c r="AR2" s="9" t="s">
        <v>153</v>
      </c>
      <c r="AS2" s="10" t="s">
        <v>149</v>
      </c>
      <c r="AT2" s="9" t="s">
        <v>150</v>
      </c>
      <c r="AU2" s="9" t="s">
        <v>151</v>
      </c>
      <c r="AV2" s="9" t="s">
        <v>152</v>
      </c>
      <c r="AW2" s="31" t="s">
        <v>153</v>
      </c>
    </row>
    <row r="3" spans="1:49">
      <c r="A3" s="13">
        <v>1</v>
      </c>
      <c r="B3" s="16">
        <f>_xlfn.MAXIFS('Model output'!B:B,'Model output'!Z:Z,'Classification result'!$A3)</f>
        <v>0</v>
      </c>
      <c r="C3" s="16"/>
      <c r="D3" s="16"/>
      <c r="E3" s="17">
        <f>_xlfn.MAXIFS('Model output'!C:C,'Model output'!Z:Z,'Classification result'!$A3)</f>
        <v>67</v>
      </c>
      <c r="F3" s="17" t="str" cm="1">
        <f t="array" ref="F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G3" s="17" t="str" cm="1">
        <f t="array" ref="G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H3" s="17" cm="1">
        <f t="array" ref="H3">IF(AND(SUBSTITUTE(_xlfn.TEXTJOIN("/", TRUE, _xlfn._xlws.FILTER('Model output'!F:F, 'Model output'!Z:Z=A3)),"M", "")="", K3="negative"),0,IF(K3="positive",1,0))</f>
        <v>0</v>
      </c>
      <c r="I3" t="str">
        <f t="shared" ref="I3:I37" si="0">IF(OR(J3&lt;&gt;"",AND(M3&lt;&gt;"",M3&gt;0)),"positive","")</f>
        <v>positive</v>
      </c>
      <c r="J3" s="32" t="str" cm="1">
        <f t="array" ref="J3">IF(AND(M3&gt;0,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output'!Z:Z=A3)),1)))),"lateral",IF(AND(M3=0, _xlfn.TEXTJOIN("; ", TRUE, _xlfn._xlws.FILTER('Model output'!G:G, 'Model output'!Z:Z=A3))=""),"", "central"))</f>
        <v>central</v>
      </c>
      <c r="K3" s="17" t="str" cm="1">
        <f t="array" ref="K3">IF(OR(ISNUMBER(SEARCH("[]",_xlfn.TEXTJOIN("; ", TRUE, _xlfn._xlws.FILTER('Model output'!H:H, 'Model output'!Z:Z=A3)),1)), 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L3" s="17">
        <f>IF(IFERROR(INDEX('Model output'!I:I, MATCH(A3, 'Model output'!Z:Z, 0)), "") &lt; M3, "", IFERROR(INDEX('Model output'!I:I, MATCH(A3, 'Model output'!Z:Z, 0)), ""))</f>
        <v>0</v>
      </c>
      <c r="M3" s="17">
        <f>IFERROR(INDEX('Model output'!J:J, MATCH(A3, 'Model output'!Z:Z, 0)), "")</f>
        <v>0</v>
      </c>
      <c r="N3" s="18" t="str" cm="1">
        <f t="array" ref="N3">ReplaceTo(ReplaceAnd(SUBSTITUTE(SUBSTITUTE(_xlfn.TEXTJOIN("; ", TRUE, _xlfn._xlws.FILTER('Model output'!K:K, 'Model output'!Z:Z=A3)), " ", ""), ",", ";")))</f>
        <v/>
      </c>
      <c r="O3" t="str" cm="1">
        <f t="array" ref="O3">IF(LEFT(IF(RIGHT(SUBSTITUTE(FilterWithUnits(N3)&amp;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";")),1)=";",RIGHT(IF(RIGHT(SUBSTITUTE(FilterWithUnits(N3)&amp;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";")),LEN(IF(RIGHT(SUBSTITUTE(FilterWithUnits(N3)&amp;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";")))-1),IF(RIGHT(SUBSTITUTE(FilterWithUnits(N3)&amp;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</f>
        <v/>
      </c>
      <c r="P3" t="str" cm="1">
        <f t="array" ref="P3">IF(MaxSize((SplitDimensions(O3)))=0, "", MaxSize((SplitDimensions(O3))))</f>
        <v/>
      </c>
      <c r="Q3" t="str" cm="1">
        <f t="array" ref="Q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R3" t="str" cm="1">
        <f t="array" ref="R3">Q3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S3" t="str" cm="1">
        <f t="array" ref="S3">IF(OR(ISERROR(INDEX(_xlfn._xlws.FILTER('Model output'!N:N,('Model output'!Z:Z=A3)*('Model output'!N:N&lt;&gt;"")),1)),ISNUMBER(SEARCH("ly",SUBSTITUTE(INDEX(_xlfn._xlws.FILTER('Model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T3" t="str" cm="1">
        <f t="array" ref="T3">IF(LEFT(IF(RIGHT(SUBSTITUTE(FilterWithUnits(S3)&amp;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";")),1)=";",RIGHT(IF(RIGHT(SUBSTITUTE(FilterWithUnits(S3)&amp;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";")),LEN(IF(RIGHT(SUBSTITUTE(FilterWithUnits(S3)&amp;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";")))-1),IF(RIGHT(SUBSTITUTE(FilterWithUnits(S3)&amp;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</f>
        <v>13mm</v>
      </c>
      <c r="U3" cm="1">
        <f t="array" ref="U3">IF(MaxSize((SplitDimensions(T3)))=0, "", MaxSize((SplitDimensions(T3))))</f>
        <v>1.3</v>
      </c>
      <c r="V3" s="17" t="str" cm="1">
        <f t="array" ref="V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X3" t="str" cm="1">
        <f t="array" ref="X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Y3" t="str">
        <f>IF(V3="negative","no",IF(OR(ISNUMBER(SEARCH("&gt; 4",X3,1)),ISNUMBER(SEARCH("&gt;4",X3,1)),ISNUMBER(SEARCH("4 or more",X3,1)),ISNUMBER(SEARCH("extensive",X3,1))),"extensive","minimal"))</f>
        <v>no</v>
      </c>
      <c r="Z3" t="str" cm="1">
        <f t="array" ref="Z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positive</v>
      </c>
      <c r="AA3" s="17" t="str">
        <f>IF(OR(ISNUMBER(SEARCH("soft tissue", AF3)), ISNUMBER(SEARCH("adipose tissue", AF3)),ISNUMBER(SEARCH("muscles", AF3)), ISNUMBER(SEARCH("microscopic", AF3)), ISNUMBER(SEARCH("minimal", AF3)), ISNUMBER(SEARCH("surrounding fat", AF3)), ISNUMBER(SEARCH("present", AF3)), ISNUMBER(SEARCH("yes", AF3))), "positive", "negative")</f>
        <v>negative</v>
      </c>
      <c r="AE3" s="17" t="str">
        <f>IF(OR(ISNUMBER(SEARCH("subcutaneous soft tissues", AF3)),ISNUMBER(SEARCH("strap muscle", AF3)), ISNUMBER(SEARCH("larynx", AF3)),ISNUMBER(SEARCH("trachea", AF3)),ISNUMBER(SEARCH("esophagus", AF3)), ISNUMBER(SEARCH("recurrent laryngeal nerve", AF3)), ISNUMBER(SEARCH("RLN", AF3))), "positive", "negative")</f>
        <v>negative</v>
      </c>
      <c r="AF3" t="str" cm="1">
        <f t="array" ref="AF3">_xlfn.TEXTJOIN("; ",TRUE,_xlfn._xlws.FILTER('Model output'!S:S,'Model output'!Z:Z=A3))</f>
        <v>Not identified</v>
      </c>
      <c r="AG3" s="17" t="str" cm="1">
        <f t="array" ref="AG3">IF(OR(ISNUMBER(SEARCH("uninvolved",_xlfn.TEXTJOIN("; ",TRUE,_xlfn._xlws.FILTER('Model output'!V:V,'Model output'!Z:Z=A3)),1)),ISNUMBER(SEARCH("clear",_xlfn.TEXTJOIN("; ",TRUE,_xlfn._xlws.FILTER('Model output'!V:V,'Model output'!Z:Z=A3)),1)),ISNUMBER(SEARCH("not mentioned",_xlfn.TEXTJOIN("; ",TRUE,_xlfn._xlws.FILTER('Model output'!V:V,'Model output'!Z:Z=A3)),1))),"negative","positive")</f>
        <v>positive</v>
      </c>
      <c r="AI3" s="45" t="str">
        <f t="shared" ref="AI3:AI16" si="1">IF(OR(ISNUMBER(SEARCH("non-invasive follicular",Q3,1)),ISNUMBER(SEARCH("non-invasive follicular",R3,1))),"NIFTP", IF(OR(K3="positive",AE3="positive",AND(OR(ISNUMBER(SEARCH("follicular", Q3)),ISNUMBER(SEARCH("FTC", Q3))),Y3="extensive"),AND(I3="positive",ISNUMBER(P3),P3&gt;3),AK3=1),"high",IF(OR(ISNUMBER(SEARCH("positive",AA3,1)),ISNUMBER(SEARCH("tall",R3,1)),ISNUMBER(SEARCH("hobnail",R3,1)),ISNUMBER(SEARCH("cribriform",R3,1)),ISNUMBER(SEARCH("diffuse",R3,1)),ISNUMBER(SEARCH("columnar",R3,1)),ISNUMBER(SEARCH("solid",R3,1)),ISNUMBER(SEARCH("tall",Q3,1)),ISNUMBER(SEARCH("hobnail",Q3,1)),ISNUMBER(SEARCH("cribriform",Q3,1)),ISNUMBER(SEARCH("diffuse",Q3,1)),ISNUMBER(SEARCH("columnar",Q3,1)),ISNUMBER(SEARCH("solid",Q3,1)),AND(OR(ISNUMBER(SEARCH("papillary carcinoma",Q3,1)),ISNUMBER(SEARCH("papillary microcarcinoma",Q3,1))),V3="positive"),,AND(AND(ISNUMBER(M3),M3&gt;=5),P3=""),AND(AND(ISNUMBER(M3),M3&gt;=5),AND(ISNUMBER(P3),P3&gt;=1)),J3="lateral"),"intermediate","low")))</f>
        <v>low</v>
      </c>
      <c r="AJ3" s="37" t="str">
        <f t="shared" ref="AJ3:AJ31" si="2">IF(OR(ISNUMBER(SEARCH("non-invasive follicular",Q3)),ISNUMBER(SEARCH("papillary-like nuclear features",Q3)),ISNUMBER(SEARCH("non-invasive follicular",R3)),ISNUMBER(SEARCH("papillary-like nuclear features",R3))),"NIFTP", IF(OR(F3="4b",AND(AE3="positive",OR(ISNUMBER(SEARCH("prevertebral",AF3)),ISNUMBER(SEARCH("fascia",AF3)),ISNUMBER(SEARCH("carotid artery",AF3)),ISNUMBER(SEARCH("mediastinal",AF3))))),"4b",IF(OR(F3="4a",AND(AE3="positive",OR(ISNUMBER(SEARCH("soft tissue",AF3)),ISNUMBER(SEARCH("larynx",AF3)),ISNUMBER(SEARCH("trachea",AF3)),ISNUMBER(SEARCH("esophagus",AF3)),ISNUMBER(SEARCH("recurrent laryngeal nerve",AF3)),ISNUMBER(SEARCH("RLN",AF3))))),"4a", IF(OR(F3="3b", AE3="positive",ISNUMBER(SEARCH("strap",AF3)),ISNUMBER(SEARCH("sternothyroid",AF3)),ISNUMBER(SEARCH("sternohyoid",AF3)),ISNUMBER(SEARCH("thyrohyoid",AF3)),ISNUMBER(SEARCH("omohyoid",AF3))),"3b",IF(OR(F3="3a", AND(U3&lt;&gt;"",U3&gt;4)),"3a",IF(AND(U3&lt;&gt;"", U3&lt;=4,U3&gt;2),"2",IF(AND(U3&lt;&gt;"",U3&lt;=2,U3&gt;1),"1b",IF(AND(U3&lt;&gt;"",U3&lt;=1),"1a","1a"))))))))</f>
        <v>1b</v>
      </c>
      <c r="AK3" s="37" t="str">
        <f t="shared" ref="AK3:AK16" si="3">IF(OR(ISNUMBER(SEARCH("non-invasive follicular",Q3,1)),ISNUMBER(SEARCH("non-invasive follicular",R3,1))),"NIFTP",IF(AND(M3&gt;0,I3="positive",J3="central"),"1a",IF(AND(M3&gt;0,I3="positive",J3="lateral"),"1b",IF(AND(M3=0,L3=0),"x",0))))</f>
        <v>x</v>
      </c>
      <c r="AL3" s="37">
        <f t="shared" ref="AL3:AL16" si="4">IF(OR(ISNUMBER(SEARCH("non-invasive follicular",Q3,1)),ISNUMBER(SEARCH("non-invasive follicular",R3,1))),"NIFTP",IF(K3="unknown","x",IF(K3="negative",0,1)))</f>
        <v>0</v>
      </c>
      <c r="AM3" s="37" t="str">
        <f t="shared" ref="AM3:AM16" si="5">IF(OR(ISNUMBER(SEARCH("non-invasive follicular",Q3,1)),ISNUMBER(SEARCH("non-invasive follicular",R3,1))),"NIFTP",IF(AND(E3&lt;55,AL3=0),"I",IF(AND(E3&lt;55,AL3=1),"II",IF(AL3=1,"IVB",IF(AND(AJ3="4b",AL3=0),"IVA",IF(AND(AJ3="4a",AL3=0),"III",IF(AND(OR(AJ3="3a",AJ3="3b"),AL3=0),"II",IF(AND(AJ3="2",OR(AK3="1",AK3="1a",AK3="1b"),AL3=0),"II",IF(AND(OR(AJ3="1a",AJ3="1b",AJ3="1",AJ3="1 "),OR(AK3="1",AK3="1a",AK3="1b"),AL3=0),"II","I")))))))))</f>
        <v>I</v>
      </c>
      <c r="AN3" s="38" t="s">
        <v>171</v>
      </c>
      <c r="AO3" s="39" t="s">
        <v>188</v>
      </c>
      <c r="AP3" s="39" t="s">
        <v>189</v>
      </c>
      <c r="AQ3" s="39">
        <v>0</v>
      </c>
      <c r="AR3" s="39" t="s">
        <v>31</v>
      </c>
      <c r="AS3" s="38">
        <f t="shared" ref="AS3:AS37" si="6">IF(AN3=AI3,1,0)</f>
        <v>1</v>
      </c>
      <c r="AT3" s="39">
        <f t="shared" ref="AT3:AT37" si="7">IF(AO3=AJ3,1,0)</f>
        <v>1</v>
      </c>
      <c r="AU3" s="39">
        <f t="shared" ref="AU3:AU37" si="8">IF(AK3=AP3,1,IF(OR(AND(AP3="x",AK3=0),AND(AK3="x",AP3=0)),1,0))</f>
        <v>1</v>
      </c>
      <c r="AV3" s="39">
        <f t="shared" ref="AV3:AV37" si="9">IF(AQ3=AL3,1,0)</f>
        <v>1</v>
      </c>
      <c r="AW3" s="40">
        <f t="shared" ref="AW3:AW37" si="10">IF(AR3=AM3,1,0)</f>
        <v>1</v>
      </c>
    </row>
    <row r="4" spans="1:49">
      <c r="A4" s="13">
        <v>2</v>
      </c>
      <c r="B4" s="16">
        <f>_xlfn.MAXIFS('Model output'!B:B,'Model output'!Z:Z,'Classification result'!$A4)</f>
        <v>0</v>
      </c>
      <c r="C4" s="16"/>
      <c r="D4" s="16"/>
      <c r="E4" s="17">
        <f>_xlfn.MAXIFS('Model output'!C:C,'Model output'!Z:Z,'Classification result'!$A4)</f>
        <v>39</v>
      </c>
      <c r="F4" s="17" t="str" cm="1">
        <f t="array" ref="F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G4" s="17" t="str" cm="1">
        <f t="array" ref="G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H4" s="17" cm="1">
        <f t="array" ref="H4">IF(AND(SUBSTITUTE(_xlfn.TEXTJOIN("/", TRUE, _xlfn._xlws.FILTER('Model output'!F:F, 'Model output'!Z:Z=A4)),"M", "")="", K4="negative"),0,IF(K4="positive",1,0))</f>
        <v>0</v>
      </c>
      <c r="I4" t="str">
        <f t="shared" si="0"/>
        <v/>
      </c>
      <c r="J4" t="str" cm="1">
        <f t="array" ref="J4">IF(AND(M4&gt;0,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output'!Z:Z=A4)),1)))),"lateral",IF(AND(M4=0, _xlfn.TEXTJOIN("; ", TRUE, _xlfn._xlws.FILTER('Model output'!G:G, 'Model output'!Z:Z=A4))=""),"", "central"))</f>
        <v/>
      </c>
      <c r="K4" s="17" t="str" cm="1">
        <f t="array" ref="K4">IF(OR(ISNUMBER(SEARCH("[]",_xlfn.TEXTJOIN("; ", TRUE, _xlfn._xlws.FILTER('Model output'!H:H, 'Model output'!Z:Z=A4)),1)), 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L4" s="17">
        <f>IF(IFERROR(INDEX('Model output'!I:I, MATCH(A4, 'Model output'!Z:Z, 0)), "") &lt; M4, "", IFERROR(INDEX('Model output'!I:I, MATCH(A4, 'Model output'!Z:Z, 0)), ""))</f>
        <v>0</v>
      </c>
      <c r="M4" s="17">
        <f>IFERROR(INDEX('Model output'!J:J, MATCH(A4, 'Model output'!Z:Z, 0)), "")</f>
        <v>0</v>
      </c>
      <c r="N4" s="18" t="str" cm="1">
        <f t="array" ref="N4">ReplaceTo(ReplaceAnd(SUBSTITUTE(SUBSTITUTE(_xlfn.TEXTJOIN("; ", TRUE, _xlfn._xlws.FILTER('Model output'!K:K, 'Model output'!Z:Z=A4)), " ", ""), ",", ";")))</f>
        <v/>
      </c>
      <c r="O4" t="str" cm="1">
        <f t="array" ref="O4">IF(LEFT(IF(RIGHT(SUBSTITUTE(FilterWithUnits(N4)&amp;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";")),1)=";",RIGHT(IF(RIGHT(SUBSTITUTE(FilterWithUnits(N4)&amp;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";")),LEN(IF(RIGHT(SUBSTITUTE(FilterWithUnits(N4)&amp;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";")))-1),IF(RIGHT(SUBSTITUTE(FilterWithUnits(N4)&amp;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</f>
        <v/>
      </c>
      <c r="P4" t="str" cm="1">
        <f t="array" ref="P4">IF(MaxSize((SplitDimensions(O4)))=0, "", MaxSize((SplitDimensions(O4))))</f>
        <v/>
      </c>
      <c r="Q4" t="str" cm="1">
        <f t="array" ref="Q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R4" t="str" cm="1">
        <f t="array" ref="R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S4" t="str" cm="1">
        <f t="array" ref="S4">IF(OR(ISERROR(INDEX(_xlfn._xlws.FILTER('Model output'!N:N,('Model output'!Z:Z=A4)*('Model output'!N:N&lt;&gt;"")),1)),ISNUMBER(SEARCH("ly",SUBSTITUTE(INDEX(_xlfn._xlws.FILTER('Model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T4" t="str" cm="1">
        <f t="array" ref="T4">IF(LEFT(IF(RIGHT(SUBSTITUTE(FilterWithUnits(S4)&amp;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";")),1)=";",RIGHT(IF(RIGHT(SUBSTITUTE(FilterWithUnits(S4)&amp;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";")),LEN(IF(RIGHT(SUBSTITUTE(FilterWithUnits(S4)&amp;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";")))-1),IF(RIGHT(SUBSTITUTE(FilterWithUnits(S4)&amp;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</f>
        <v>30mm</v>
      </c>
      <c r="U4" cm="1">
        <f t="array" ref="U4">IF(MaxSize((SplitDimensions(T4)))=0, "", MaxSize((SplitDimensions(T4))))</f>
        <v>3</v>
      </c>
      <c r="V4" s="17" t="str" cm="1">
        <f t="array" ref="V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X4" t="str" cm="1">
        <f t="array" ref="X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Y4" t="str">
        <f t="shared" ref="Y4:Y37" si="11">IF(V4="negative","no",IF(OR(ISNUMBER(SEARCH("&gt; 4",X4,1)),ISNUMBER(SEARCH("&gt;4",X4,1)),ISNUMBER(SEARCH("4 or more",X4,1)),ISNUMBER(SEARCH("extensive",X4,1))),"extensive","minimal"))</f>
        <v>no</v>
      </c>
      <c r="Z4" t="str" cm="1">
        <f t="array" ref="Z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AA4" s="17" t="str">
        <f t="shared" ref="AA4:AA37" si="12">IF(OR(ISNUMBER(SEARCH("soft tissue", AF4)), ISNUMBER(SEARCH("adipose tissue", AF4)),ISNUMBER(SEARCH("muscles", AF4)), ISNUMBER(SEARCH("microscopic", AF4)), ISNUMBER(SEARCH("minimal", AF4)), ISNUMBER(SEARCH("surrounding fat", AF4)), ISNUMBER(SEARCH("present", AF4)), ISNUMBER(SEARCH("yes", AF4))), "positive", "negative")</f>
        <v>negative</v>
      </c>
      <c r="AE4" s="17" t="str">
        <f t="shared" ref="AE4:AE37" si="13">IF(OR(ISNUMBER(SEARCH("subcutaneous soft tissues", AF4)),ISNUMBER(SEARCH("strap muscle", AF4)), ISNUMBER(SEARCH("larynx", AF4)),ISNUMBER(SEARCH("trachea", AF4)),ISNUMBER(SEARCH("esophagus", AF4)), ISNUMBER(SEARCH("recurrent laryngeal nerve", AF4)), ISNUMBER(SEARCH("RLN", AF4))), "positive", "negative")</f>
        <v>negative</v>
      </c>
      <c r="AF4" t="str" cm="1">
        <f t="array" ref="AF4">_xlfn.TEXTJOIN("; ",TRUE,_xlfn._xlws.FILTER('Model output'!S:S,'Model output'!Z:Z=A4))</f>
        <v>Not identified</v>
      </c>
      <c r="AG4" s="17" t="str" cm="1">
        <f t="array" ref="AG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I4" s="46" t="str">
        <f t="shared" si="1"/>
        <v>low</v>
      </c>
      <c r="AJ4" s="37" t="str">
        <f t="shared" si="2"/>
        <v>2</v>
      </c>
      <c r="AK4" s="37" t="str">
        <f t="shared" si="3"/>
        <v>x</v>
      </c>
      <c r="AL4" s="37">
        <f t="shared" si="4"/>
        <v>0</v>
      </c>
      <c r="AM4" s="37" t="str">
        <f t="shared" si="5"/>
        <v>I</v>
      </c>
      <c r="AN4" s="38" t="s">
        <v>171</v>
      </c>
      <c r="AO4" s="39" t="s">
        <v>348</v>
      </c>
      <c r="AP4" s="39" t="s">
        <v>189</v>
      </c>
      <c r="AQ4" s="39">
        <v>0</v>
      </c>
      <c r="AR4" s="39" t="s">
        <v>31</v>
      </c>
      <c r="AS4" s="38">
        <f t="shared" si="6"/>
        <v>1</v>
      </c>
      <c r="AT4" s="39">
        <f t="shared" si="7"/>
        <v>1</v>
      </c>
      <c r="AU4" s="39">
        <f t="shared" si="8"/>
        <v>1</v>
      </c>
      <c r="AV4" s="39">
        <f t="shared" si="9"/>
        <v>1</v>
      </c>
      <c r="AW4" s="40">
        <f t="shared" si="10"/>
        <v>1</v>
      </c>
    </row>
    <row r="5" spans="1:49">
      <c r="A5" s="13">
        <v>3</v>
      </c>
      <c r="B5" s="16">
        <f>_xlfn.MAXIFS('Model output'!B:B,'Model output'!Z:Z,'Classification result'!$A5)</f>
        <v>0</v>
      </c>
      <c r="C5" s="16"/>
      <c r="D5" s="16"/>
      <c r="E5" s="17">
        <f>_xlfn.MAXIFS('Model output'!C:C,'Model output'!Z:Z,'Classification result'!$A5)</f>
        <v>52</v>
      </c>
      <c r="F5" s="17" t="str" cm="1">
        <f t="array" ref="F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G5" s="17" t="str" cm="1">
        <f t="array" ref="G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H5" s="17" cm="1">
        <f t="array" ref="H5">IF(AND(SUBSTITUTE(_xlfn.TEXTJOIN("/", TRUE, _xlfn._xlws.FILTER('Model output'!F:F, 'Model output'!Z:Z=A5)),"M", "")="", K5="negative"),0,IF(K5="positive",1,0))</f>
        <v>0</v>
      </c>
      <c r="I5" t="str">
        <f t="shared" si="0"/>
        <v>positive</v>
      </c>
      <c r="J5" t="str" cm="1">
        <f t="array" ref="J5">IF(AND(M5&gt;0,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output'!Z:Z=A5)),1)))),"lateral",IF(AND(M5=0, _xlfn.TEXTJOIN("; ", TRUE, _xlfn._xlws.FILTER('Model output'!G:G, 'Model output'!Z:Z=A5))=""),"", "central"))</f>
        <v>central</v>
      </c>
      <c r="K5" s="17" t="str" cm="1">
        <f t="array" ref="K5">IF(OR(ISNUMBER(SEARCH("[]",_xlfn.TEXTJOIN("; ", TRUE, _xlfn._xlws.FILTER('Model output'!H:H, 'Model output'!Z:Z=A5)),1)), 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L5" s="17">
        <f>IF(IFERROR(INDEX('Model output'!I:I, MATCH(A5, 'Model output'!Z:Z, 0)), "") &lt; M5, "", IFERROR(INDEX('Model output'!I:I, MATCH(A5, 'Model output'!Z:Z, 0)), ""))</f>
        <v>5</v>
      </c>
      <c r="M5" s="17">
        <f>IFERROR(INDEX('Model output'!J:J, MATCH(A5, 'Model output'!Z:Z, 0)), "")</f>
        <v>1</v>
      </c>
      <c r="N5" s="18" t="str" cm="1">
        <f t="array" ref="N5">ReplaceTo(ReplaceAnd(SUBSTITUTE(SUBSTITUTE(_xlfn.TEXTJOIN("; ", TRUE, _xlfn._xlws.FILTER('Model output'!K:K, 'Model output'!Z:Z=A5)), " ", ""), ",", ";")))</f>
        <v>1mm</v>
      </c>
      <c r="O5" t="str" cm="1">
        <f t="array" ref="O5">IF(LEFT(IF(RIGHT(SUBSTITUTE(FilterWithUnits(N5)&amp;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";")),1)=";",RIGHT(IF(RIGHT(SUBSTITUTE(FilterWithUnits(N5)&amp;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";")),LEN(IF(RIGHT(SUBSTITUTE(FilterWithUnits(N5)&amp;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";")))-1),IF(RIGHT(SUBSTITUTE(FilterWithUnits(N5)&amp;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</f>
        <v>1mm</v>
      </c>
      <c r="P5" cm="1">
        <f t="array" ref="P5">IF(MaxSize((SplitDimensions(O5)))=0, "", MaxSize((SplitDimensions(O5))))</f>
        <v>0.1</v>
      </c>
      <c r="Q5" t="str" cm="1">
        <f t="array" ref="Q5">IF(ISERROR(INDEX(_xlfn._xlws.FILTER('Model output'!L:L, ('Model output'!Z:Z=A5)*('Model output'!L:L&lt;&gt;"")), 1)), " ", LOWER(INDEX(_xlfn._xlws.FILTER('Model output'!L:L, ('Model output'!Z:Z=A5)*('Model output'!L:L&lt;&gt;"")), 1)))</f>
        <v>papillary carcinoma</v>
      </c>
      <c r="R5" t="str" cm="1">
        <f t="array" ref="R5">IF(ISERROR(INDEX(_xlfn._xlws.FILTER('Model output'!M:M, ('Model output'!Z:Z=A5)*('Model output'!M:M&lt;&gt;"")), 1)), " ", LOWER(INDEX(_xlfn._xlws.FILTER('Model output'!M:M, ('Model output'!Z:Z=A5)*('Model output'!M:M&lt;&gt;"")), 1)))</f>
        <v>infiltrative follicular subtype</v>
      </c>
      <c r="S5" t="str" cm="1">
        <f t="array" ref="S5">IF(OR(ISERROR(INDEX(_xlfn._xlws.FILTER('Model output'!N:N,('Model output'!Z:Z=A5)*('Model output'!N:N&lt;&gt;"")),1)),ISNUMBER(SEARCH("ly",SUBSTITUTE(INDEX(_xlfn._xlws.FILTER('Model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8and2mm</v>
      </c>
      <c r="T5" t="str" cm="1">
        <f t="array" ref="T5">IF(LEFT(IF(RIGHT(SUBSTITUTE(FilterWithUnits(S5)&amp;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";")),1)=";",RIGHT(IF(RIGHT(SUBSTITUTE(FilterWithUnits(S5)&amp;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";")),LEN(IF(RIGHT(SUBSTITUTE(FilterWithUnits(S5)&amp;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";")))-1),IF(RIGHT(SUBSTITUTE(FilterWithUnits(S5)&amp;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</f>
        <v>8and2mm</v>
      </c>
      <c r="U5" cm="1">
        <f t="array" ref="U5">IF(MaxSize((SplitDimensions(T5)))=0, "", MaxSize((SplitDimensions(T5))))</f>
        <v>0.8</v>
      </c>
      <c r="V5" s="17" t="str" cm="1">
        <f t="array" ref="V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X5" t="str" cm="1">
        <f t="array" ref="X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Y5" t="str">
        <f t="shared" si="11"/>
        <v>no</v>
      </c>
      <c r="Z5" t="str" cm="1">
        <f t="array" ref="Z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positive</v>
      </c>
      <c r="AA5" s="17" t="str">
        <f t="shared" si="12"/>
        <v>positive</v>
      </c>
      <c r="AE5" s="17" t="str">
        <f t="shared" si="13"/>
        <v>negative</v>
      </c>
      <c r="AF5" t="str" cm="1">
        <f t="array" ref="AF5">_xlfn.TEXTJOIN("; ",TRUE,_xlfn._xlws.FILTER('Model output'!S:S,'Model output'!Z:Z=A5))</f>
        <v>Microscopic invasive of the surrounding fat at the 2 mm tumor nodule.</v>
      </c>
      <c r="AG5" s="17" t="str" cm="1">
        <f t="array" ref="AG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I5" s="46" t="str">
        <f t="shared" si="1"/>
        <v>intermediate</v>
      </c>
      <c r="AJ5" s="37" t="str">
        <f t="shared" si="2"/>
        <v>1a</v>
      </c>
      <c r="AK5" s="37" t="str">
        <f t="shared" si="3"/>
        <v>1a</v>
      </c>
      <c r="AL5" s="37">
        <f t="shared" si="4"/>
        <v>0</v>
      </c>
      <c r="AM5" s="37" t="str">
        <f t="shared" si="5"/>
        <v>I</v>
      </c>
      <c r="AN5" s="38" t="s">
        <v>169</v>
      </c>
      <c r="AO5" s="39" t="s">
        <v>190</v>
      </c>
      <c r="AP5" s="39" t="s">
        <v>190</v>
      </c>
      <c r="AQ5" s="39">
        <v>0</v>
      </c>
      <c r="AR5" s="39" t="s">
        <v>31</v>
      </c>
      <c r="AS5" s="38">
        <f t="shared" si="6"/>
        <v>1</v>
      </c>
      <c r="AT5" s="39">
        <f t="shared" si="7"/>
        <v>1</v>
      </c>
      <c r="AU5" s="39">
        <f t="shared" si="8"/>
        <v>1</v>
      </c>
      <c r="AV5" s="39">
        <f t="shared" si="9"/>
        <v>1</v>
      </c>
      <c r="AW5" s="40">
        <f t="shared" si="10"/>
        <v>1</v>
      </c>
    </row>
    <row r="6" spans="1:49">
      <c r="A6" s="13">
        <v>4</v>
      </c>
      <c r="B6" s="16">
        <f>_xlfn.MAXIFS('Model output'!B:B,'Model output'!Z:Z,'Classification result'!$A6)</f>
        <v>0</v>
      </c>
      <c r="C6" s="16"/>
      <c r="D6" s="16"/>
      <c r="E6" s="17">
        <f>_xlfn.MAXIFS('Model output'!C:C,'Model output'!Z:Z,'Classification result'!$A6)</f>
        <v>61</v>
      </c>
      <c r="F6" s="17" t="str" cm="1">
        <f t="array" ref="F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G6" s="17" t="str" cm="1">
        <f t="array" ref="G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H6" s="17" cm="1">
        <f t="array" ref="H6">IF(AND(SUBSTITUTE(_xlfn.TEXTJOIN("/", TRUE, _xlfn._xlws.FILTER('Model output'!F:F, 'Model output'!Z:Z=A6)),"M", "")="", K6="negative"),0,IF(K6="positive",1,0))</f>
        <v>0</v>
      </c>
      <c r="I6" t="str">
        <f t="shared" si="0"/>
        <v>positive</v>
      </c>
      <c r="J6" t="str" cm="1">
        <f t="array" ref="J6">IF(AND(M6&gt;0,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output'!Z:Z=A6)),1)))),"lateral",IF(AND(M6=0, _xlfn.TEXTJOIN("; ", TRUE, _xlfn._xlws.FILTER('Model output'!G:G, 'Model output'!Z:Z=A6))=""),"", "central"))</f>
        <v>central</v>
      </c>
      <c r="K6" s="17" t="str" cm="1">
        <f t="array" ref="K6">IF(OR(ISNUMBER(SEARCH("[]",_xlfn.TEXTJOIN("; ", TRUE, _xlfn._xlws.FILTER('Model output'!H:H, 'Model output'!Z:Z=A6)),1)), 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L6" s="17">
        <f>IF(IFERROR(INDEX('Model output'!I:I, MATCH(A6, 'Model output'!Z:Z, 0)), "") &lt; M6, "", IFERROR(INDEX('Model output'!I:I, MATCH(A6, 'Model output'!Z:Z, 0)), ""))</f>
        <v>6</v>
      </c>
      <c r="M6" s="17">
        <f>IFERROR(INDEX('Model output'!J:J, MATCH(A6, 'Model output'!Z:Z, 0)), "")</f>
        <v>3</v>
      </c>
      <c r="N6" s="18" t="str" cm="1">
        <f t="array" ref="N6">ReplaceTo(ReplaceAnd(SUBSTITUTE(SUBSTITUTE(_xlfn.TEXTJOIN("; ", TRUE, _xlfn._xlws.FILTER('Model output'!K:K, 'Model output'!Z:Z=A6)), " ", ""), ",", ";")))</f>
        <v>9.5mm</v>
      </c>
      <c r="O6" t="str" cm="1">
        <f t="array" ref="O6">IF(LEFT(IF(RIGHT(SUBSTITUTE(FilterWithUnits(N6)&amp;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";")),1)=";",RIGHT(IF(RIGHT(SUBSTITUTE(FilterWithUnits(N6)&amp;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";")),LEN(IF(RIGHT(SUBSTITUTE(FilterWithUnits(N6)&amp;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";")))-1),IF(RIGHT(SUBSTITUTE(FilterWithUnits(N6)&amp;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</f>
        <v>9.5mm</v>
      </c>
      <c r="P6" cm="1">
        <f t="array" ref="P6">IF(MaxSize((SplitDimensions(O6)))=0, "", MaxSize((SplitDimensions(O6))))</f>
        <v>0.95</v>
      </c>
      <c r="Q6" t="str" cm="1">
        <f t="array" ref="Q6">IF(ISERROR(INDEX(_xlfn._xlws.FILTER('Model output'!L:L, ('Model output'!Z:Z=A6)*('Model output'!L:L&lt;&gt;"")), 1)), " ", LOWER(INDEX(_xlfn._xlws.FILTER('Model output'!L:L, ('Model output'!Z:Z=A6)*('Model output'!L:L&lt;&gt;"")), 1)))</f>
        <v>papillary carcinoma</v>
      </c>
      <c r="R6" t="str" cm="1">
        <f t="array" ref="R6">IF(ISERROR(INDEX(_xlfn._xlws.FILTER('Model output'!M:M, ('Model output'!Z:Z=A6)*('Model output'!M:M&lt;&gt;"")), 1)), " ", LOWER(INDEX(_xlfn._xlws.FILTER('Model output'!M:M, ('Model output'!Z:Z=A6)*('Model output'!M:M&lt;&gt;"")), 1)))</f>
        <v>classic subtype</v>
      </c>
      <c r="S6" t="str" cm="1">
        <f t="array" ref="S6">IF(OR(ISERROR(INDEX(_xlfn._xlws.FILTER('Model output'!N:N,('Model output'!Z:Z=A6)*('Model output'!N:N&lt;&gt;"")),1)),ISNUMBER(SEARCH("ly",SUBSTITUTE(INDEX(_xlfn._xlws.FILTER('Model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T6" t="str" cm="1">
        <f t="array" ref="T6">IF(LEFT(IF(RIGHT(SUBSTITUTE(FilterWithUnits(S6)&amp;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";")),1)=";",RIGHT(IF(RIGHT(SUBSTITUTE(FilterWithUnits(S6)&amp;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";")),LEN(IF(RIGHT(SUBSTITUTE(FilterWithUnits(S6)&amp;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";")))-1),IF(RIGHT(SUBSTITUTE(FilterWithUnits(S6)&amp;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</f>
        <v>15mm</v>
      </c>
      <c r="U6" cm="1">
        <f t="array" ref="U6">IF(MaxSize((SplitDimensions(T6)))=0, "", MaxSize((SplitDimensions(T6))))</f>
        <v>1.5</v>
      </c>
      <c r="V6" s="17" t="str" cm="1">
        <f t="array" ref="V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positive</v>
      </c>
      <c r="X6" t="str" cm="1">
        <f t="array" ref="X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Y6" t="str">
        <f t="shared" si="11"/>
        <v>minimal</v>
      </c>
      <c r="Z6" t="str" cm="1">
        <f t="array" ref="Z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AA6" s="17" t="str">
        <f t="shared" si="12"/>
        <v>positive</v>
      </c>
      <c r="AE6" s="17" t="str">
        <f t="shared" si="13"/>
        <v>negative</v>
      </c>
      <c r="AF6" t="str" cm="1">
        <f t="array" ref="AF6">_xlfn.TEXTJOIN("; ",TRUE,_xlfn._xlws.FILTER('Model output'!S:S,'Model output'!Z:Z=A6))</f>
        <v>Present; Present</v>
      </c>
      <c r="AG6" s="17" t="str" cm="1">
        <f t="array" ref="AG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I6" s="46" t="str">
        <f t="shared" si="1"/>
        <v>intermediate</v>
      </c>
      <c r="AJ6" s="37" t="str">
        <f t="shared" si="2"/>
        <v>1b</v>
      </c>
      <c r="AK6" s="37" t="str">
        <f t="shared" si="3"/>
        <v>1a</v>
      </c>
      <c r="AL6" s="37">
        <f t="shared" si="4"/>
        <v>0</v>
      </c>
      <c r="AM6" s="37" t="str">
        <f t="shared" si="5"/>
        <v>II</v>
      </c>
      <c r="AN6" s="38" t="s">
        <v>169</v>
      </c>
      <c r="AO6" s="37" t="s">
        <v>188</v>
      </c>
      <c r="AP6" s="39" t="s">
        <v>190</v>
      </c>
      <c r="AQ6" s="39">
        <v>0</v>
      </c>
      <c r="AR6" s="39" t="s">
        <v>43</v>
      </c>
      <c r="AS6" s="38">
        <f t="shared" si="6"/>
        <v>1</v>
      </c>
      <c r="AT6" s="39">
        <f t="shared" si="7"/>
        <v>1</v>
      </c>
      <c r="AU6" s="39">
        <f t="shared" si="8"/>
        <v>1</v>
      </c>
      <c r="AV6" s="39">
        <f t="shared" si="9"/>
        <v>1</v>
      </c>
      <c r="AW6" s="40">
        <f t="shared" si="10"/>
        <v>1</v>
      </c>
    </row>
    <row r="7" spans="1:49">
      <c r="A7" s="13">
        <v>5</v>
      </c>
      <c r="B7" s="16">
        <f>_xlfn.MAXIFS('Model output'!B:B,'Model output'!Z:Z,'Classification result'!$A7)</f>
        <v>0</v>
      </c>
      <c r="C7" s="16"/>
      <c r="D7" s="16"/>
      <c r="E7" s="17">
        <f>_xlfn.MAXIFS('Model output'!C:C,'Model output'!Z:Z,'Classification result'!$A7)</f>
        <v>34</v>
      </c>
      <c r="F7" s="17" t="str" cm="1">
        <f t="array" ref="F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G7" s="17" t="str" cm="1">
        <f t="array" ref="G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H7" s="17" cm="1">
        <f t="array" ref="H7">IF(AND(SUBSTITUTE(_xlfn.TEXTJOIN("/", TRUE, _xlfn._xlws.FILTER('Model output'!F:F, 'Model output'!Z:Z=A7)),"M", "")="", K7="negative"),0,IF(K7="positive",1,0))</f>
        <v>0</v>
      </c>
      <c r="I7" t="str">
        <f t="shared" si="0"/>
        <v>positive</v>
      </c>
      <c r="J7" t="str" cm="1">
        <f t="array" ref="J7">IF(AND(M7&gt;0,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output'!Z:Z=A7)),1)))),"lateral",IF(AND(M7=0, _xlfn.TEXTJOIN("; ", TRUE, _xlfn._xlws.FILTER('Model output'!G:G, 'Model output'!Z:Z=A7))=""),"", "central"))</f>
        <v>central</v>
      </c>
      <c r="K7" s="17" t="str" cm="1">
        <f t="array" ref="K7">IF(OR(ISNUMBER(SEARCH("[]",_xlfn.TEXTJOIN("; ", TRUE, _xlfn._xlws.FILTER('Model output'!H:H, 'Model output'!Z:Z=A7)),1)), 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L7" s="17">
        <f>IF(IFERROR(INDEX('Model output'!I:I, MATCH(A7, 'Model output'!Z:Z, 0)), "") &lt; M7, "", IFERROR(INDEX('Model output'!I:I, MATCH(A7, 'Model output'!Z:Z, 0)), ""))</f>
        <v>5</v>
      </c>
      <c r="M7" s="17">
        <f>IFERROR(INDEX('Model output'!J:J, MATCH(A7, 'Model output'!Z:Z, 0)), "")</f>
        <v>1</v>
      </c>
      <c r="N7" s="18" t="str" cm="1">
        <f t="array" ref="N7">ReplaceTo(ReplaceAnd(SUBSTITUTE(SUBSTITUTE(_xlfn.TEXTJOIN("; ", TRUE, _xlfn._xlws.FILTER('Model output'!K:K, 'Model output'!Z:Z=A7)), " ", ""), ",", ";")))</f>
        <v>0.6mm;0.6mm</v>
      </c>
      <c r="O7" t="str" cm="1">
        <f t="array" ref="O7">IF(LEFT(IF(RIGHT(SUBSTITUTE(FilterWithUnits(N7)&amp;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";")),1)=";",RIGHT(IF(RIGHT(SUBSTITUTE(FilterWithUnits(N7)&amp;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";")),LEN(IF(RIGHT(SUBSTITUTE(FilterWithUnits(N7)&amp;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";")))-1),IF(RIGHT(SUBSTITUTE(FilterWithUnits(N7)&amp;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</f>
        <v>0.6mm;0.6mm</v>
      </c>
      <c r="P7" cm="1">
        <f t="array" ref="P7">IF(MaxSize((SplitDimensions(O7)))=0, "", MaxSize((SplitDimensions(O7))))</f>
        <v>0.06</v>
      </c>
      <c r="Q7" t="str" cm="1">
        <f t="array" ref="Q7">IF(ISERROR(INDEX(_xlfn._xlws.FILTER('Model output'!L:L, ('Model output'!Z:Z=A7)*('Model output'!L:L&lt;&gt;"")), 1)), " ", LOWER(INDEX(_xlfn._xlws.FILTER('Model output'!L:L, ('Model output'!Z:Z=A7)*('Model output'!L:L&lt;&gt;"")), 1)))</f>
        <v>papillary carcinoma</v>
      </c>
      <c r="R7" t="str" cm="1">
        <f t="array" ref="R7">IF(ISERROR(INDEX(_xlfn._xlws.FILTER('Model output'!M:M, ('Model output'!Z:Z=A7)*('Model output'!M:M&lt;&gt;"")), 1)), " ", LOWER(INDEX(_xlfn._xlws.FILTER('Model output'!M:M, ('Model output'!Z:Z=A7)*('Model output'!M:M&lt;&gt;"")), 1)))</f>
        <v>oncocytic classic subtype</v>
      </c>
      <c r="S7" t="str" cm="1">
        <f t="array" ref="S7">IF(OR(ISERROR(INDEX(_xlfn._xlws.FILTER('Model output'!N:N,('Model output'!Z:Z=A7)*('Model output'!N:N&lt;&gt;"")),1)),ISNUMBER(SEARCH("ly",SUBSTITUTE(INDEX(_xlfn._xlws.FILTER('Model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T7" t="str" cm="1">
        <f t="array" ref="T7">IF(LEFT(IF(RIGHT(SUBSTITUTE(FilterWithUnits(S7)&amp;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";")),1)=";",RIGHT(IF(RIGHT(SUBSTITUTE(FilterWithUnits(S7)&amp;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";")),LEN(IF(RIGHT(SUBSTITUTE(FilterWithUnits(S7)&amp;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";")))-1),IF(RIGHT(SUBSTITUTE(FilterWithUnits(S7)&amp;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</f>
        <v>20mm</v>
      </c>
      <c r="U7" cm="1">
        <f t="array" ref="U7">IF(MaxSize((SplitDimensions(T7)))=0, "", MaxSize((SplitDimensions(T7))))</f>
        <v>2</v>
      </c>
      <c r="V7" s="17" t="str" cm="1">
        <f t="array" ref="V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X7" t="str" cm="1">
        <f t="array" ref="X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Y7" t="str">
        <f t="shared" si="11"/>
        <v>minimal</v>
      </c>
      <c r="Z7" t="str" cm="1">
        <f t="array" ref="Z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AA7" s="17" t="str">
        <f t="shared" si="12"/>
        <v>positive</v>
      </c>
      <c r="AE7" s="17" t="str">
        <f t="shared" si="13"/>
        <v>positive</v>
      </c>
      <c r="AF7" t="str" cm="1">
        <f t="array" ref="AF7">_xlfn.TEXTJOIN("; ",TRUE,_xlfn._xlws.FILTER('Model output'!S:S,'Model output'!Z:Z=A7))</f>
        <v>Invading soft tissue and strap muscles; Gross extrathyroidal extension to overlying strap muscle</v>
      </c>
      <c r="AG7" s="17" t="str" cm="1">
        <f t="array" ref="AG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I7" s="46" t="str">
        <f t="shared" si="1"/>
        <v>high</v>
      </c>
      <c r="AJ7" s="37" t="str">
        <f t="shared" si="2"/>
        <v>4a</v>
      </c>
      <c r="AK7" s="37" t="str">
        <f t="shared" si="3"/>
        <v>1a</v>
      </c>
      <c r="AL7" s="37">
        <f t="shared" si="4"/>
        <v>0</v>
      </c>
      <c r="AM7" s="37" t="str">
        <f t="shared" si="5"/>
        <v>I</v>
      </c>
      <c r="AN7" s="38" t="s">
        <v>170</v>
      </c>
      <c r="AO7" s="39" t="s">
        <v>191</v>
      </c>
      <c r="AP7" s="39" t="s">
        <v>190</v>
      </c>
      <c r="AQ7" s="39">
        <v>0</v>
      </c>
      <c r="AR7" s="39" t="s">
        <v>31</v>
      </c>
      <c r="AS7" s="38">
        <f t="shared" si="6"/>
        <v>1</v>
      </c>
      <c r="AT7" s="39">
        <f t="shared" si="7"/>
        <v>0</v>
      </c>
      <c r="AU7" s="39">
        <f t="shared" si="8"/>
        <v>1</v>
      </c>
      <c r="AV7" s="39">
        <f t="shared" si="9"/>
        <v>1</v>
      </c>
      <c r="AW7" s="40">
        <f t="shared" si="10"/>
        <v>1</v>
      </c>
    </row>
    <row r="8" spans="1:49">
      <c r="A8" s="13">
        <v>6</v>
      </c>
      <c r="B8" s="16">
        <f>_xlfn.MAXIFS('Model output'!B:B,'Model output'!Z:Z,'Classification result'!$A8)</f>
        <v>45416</v>
      </c>
      <c r="C8" s="16"/>
      <c r="D8" s="16"/>
      <c r="E8" s="17">
        <f>_xlfn.MAXIFS('Model output'!C:C,'Model output'!Z:Z,'Classification result'!$A8)</f>
        <v>66</v>
      </c>
      <c r="F8" s="17" t="str" cm="1">
        <f t="array" ref="F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G8" s="17" t="str" cm="1">
        <f t="array" ref="G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H8" s="17" cm="1">
        <f t="array" ref="H8">IF(AND(SUBSTITUTE(_xlfn.TEXTJOIN("/", TRUE, _xlfn._xlws.FILTER('Model output'!F:F, 'Model output'!Z:Z=A8)),"M", "")="", K8="negative"),0,IF(K8="positive",1,0))</f>
        <v>0</v>
      </c>
      <c r="I8" t="str">
        <f t="shared" si="0"/>
        <v/>
      </c>
      <c r="J8" t="str" cm="1">
        <f t="array" ref="J8">IF(AND(M8&gt;0,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output'!Z:Z=A8)),1)))),"lateral",IF(AND(M8=0, _xlfn.TEXTJOIN("; ", TRUE, _xlfn._xlws.FILTER('Model output'!G:G, 'Model output'!Z:Z=A8))=""),"", "central"))</f>
        <v/>
      </c>
      <c r="K8" s="17" t="str" cm="1">
        <f t="array" ref="K8">IF(OR(ISNUMBER(SEARCH("[]",_xlfn.TEXTJOIN("; ", TRUE, _xlfn._xlws.FILTER('Model output'!H:H, 'Model output'!Z:Z=A8)),1)), 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L8" s="17">
        <f>IF(IFERROR(INDEX('Model output'!I:I, MATCH(A8, 'Model output'!Z:Z, 0)), "") &lt; M8, "", IFERROR(INDEX('Model output'!I:I, MATCH(A8, 'Model output'!Z:Z, 0)), ""))</f>
        <v>0</v>
      </c>
      <c r="M8" s="17">
        <f>IFERROR(INDEX('Model output'!J:J, MATCH(A8, 'Model output'!Z:Z, 0)), "")</f>
        <v>0</v>
      </c>
      <c r="N8" s="18" t="str" cm="1">
        <f t="array" ref="N8">ReplaceTo(ReplaceAnd(SUBSTITUTE(SUBSTITUTE(_xlfn.TEXTJOIN("; ", TRUE, _xlfn._xlws.FILTER('Model output'!K:K, 'Model output'!Z:Z=A8)), " ", ""), ",", ";")))</f>
        <v/>
      </c>
      <c r="O8" t="str" cm="1">
        <f t="array" ref="O8">IF(LEFT(IF(RIGHT(SUBSTITUTE(FilterWithUnits(N8)&amp;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";")),1)=";",RIGHT(IF(RIGHT(SUBSTITUTE(FilterWithUnits(N8)&amp;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";")),LEN(IF(RIGHT(SUBSTITUTE(FilterWithUnits(N8)&amp;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";")))-1),IF(RIGHT(SUBSTITUTE(FilterWithUnits(N8)&amp;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</f>
        <v/>
      </c>
      <c r="P8" t="str" cm="1">
        <f t="array" ref="P8">IF(MaxSize((SplitDimensions(O8)))=0, "", MaxSize((SplitDimensions(O8))))</f>
        <v/>
      </c>
      <c r="Q8" t="str" cm="1">
        <f t="array" ref="Q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R8" t="str" cm="1">
        <f t="array" ref="R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S8" t="str" cm="1">
        <f t="array" ref="S8">IF(OR(ISERROR(INDEX(_xlfn._xlws.FILTER('Model output'!N:N,('Model output'!Z:Z=A8)*('Model output'!N:N&lt;&gt;"")),1)),ISNUMBER(SEARCH("ly",SUBSTITUTE(INDEX(_xlfn._xlws.FILTER('Model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4cm</v>
      </c>
      <c r="T8" t="str" cm="1">
        <f t="array" ref="T8">IF(LEFT(IF(RIGHT(SUBSTITUTE(FilterWithUnits(S8)&amp;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";")),1)=";",RIGHT(IF(RIGHT(SUBSTITUTE(FilterWithUnits(S8)&amp;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";")),LEN(IF(RIGHT(SUBSTITUTE(FilterWithUnits(S8)&amp;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";")))-1),IF(RIGHT(SUBSTITUTE(FilterWithUnits(S8)&amp;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</f>
        <v>4cm</v>
      </c>
      <c r="U8" cm="1">
        <f t="array" ref="U8">IF(MaxSize((SplitDimensions(T8)))=0, "", MaxSize((SplitDimensions(T8))))</f>
        <v>4</v>
      </c>
      <c r="V8" s="17" t="str" cm="1">
        <f t="array" ref="V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X8" t="str" cm="1">
        <f t="array" ref="X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Y8" t="str">
        <f t="shared" si="11"/>
        <v>no</v>
      </c>
      <c r="Z8" t="str" cm="1">
        <f t="array" ref="Z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AA8" s="17" t="str">
        <f t="shared" si="12"/>
        <v>positive</v>
      </c>
      <c r="AE8" s="17" t="str">
        <f t="shared" si="13"/>
        <v>negative</v>
      </c>
      <c r="AF8" t="str" cm="1">
        <f t="array" ref="AF8">_xlfn.TEXTJOIN("; ",TRUE,_xlfn._xlws.FILTER('Model output'!S:S,'Model output'!Z:Z=A8))</f>
        <v>Present</v>
      </c>
      <c r="AG8" s="17" t="str" cm="1">
        <f t="array" ref="AG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I8" s="46" t="str">
        <f t="shared" si="1"/>
        <v>intermediate</v>
      </c>
      <c r="AJ8" s="37" t="str">
        <f t="shared" si="2"/>
        <v>2</v>
      </c>
      <c r="AK8" s="37" t="str">
        <f t="shared" si="3"/>
        <v>x</v>
      </c>
      <c r="AL8" s="37">
        <f t="shared" si="4"/>
        <v>0</v>
      </c>
      <c r="AM8" s="37" t="str">
        <f t="shared" si="5"/>
        <v>I</v>
      </c>
      <c r="AN8" s="38" t="s">
        <v>171</v>
      </c>
      <c r="AO8" s="37" t="s">
        <v>189</v>
      </c>
      <c r="AP8" s="39" t="s">
        <v>189</v>
      </c>
      <c r="AQ8" s="39">
        <v>0</v>
      </c>
      <c r="AR8" s="39" t="s">
        <v>31</v>
      </c>
      <c r="AS8" s="38">
        <f t="shared" si="6"/>
        <v>0</v>
      </c>
      <c r="AT8" s="39">
        <f t="shared" si="7"/>
        <v>0</v>
      </c>
      <c r="AU8" s="39">
        <f t="shared" si="8"/>
        <v>1</v>
      </c>
      <c r="AV8" s="39">
        <f t="shared" si="9"/>
        <v>1</v>
      </c>
      <c r="AW8" s="40">
        <f t="shared" si="10"/>
        <v>1</v>
      </c>
    </row>
    <row r="9" spans="1:49">
      <c r="A9" s="13">
        <v>7</v>
      </c>
      <c r="B9" s="16">
        <f>_xlfn.MAXIFS('Model output'!B:B,'Model output'!Z:Z,'Classification result'!$A9)</f>
        <v>0</v>
      </c>
      <c r="C9" s="16"/>
      <c r="D9" s="16"/>
      <c r="E9" s="17">
        <f>_xlfn.MAXIFS('Model output'!C:C,'Model output'!Z:Z,'Classification result'!$A9)</f>
        <v>67</v>
      </c>
      <c r="F9" s="17" t="str" cm="1">
        <f t="array" ref="F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G9" s="17" t="str" cm="1">
        <f t="array" ref="G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>X</v>
      </c>
      <c r="H9" s="17" cm="1">
        <f t="array" ref="H9">IF(AND(SUBSTITUTE(_xlfn.TEXTJOIN("/", TRUE, _xlfn._xlws.FILTER('Model output'!F:F, 'Model output'!Z:Z=A9)),"M", "")="", K9="negative"),0,IF(K9="positive",1,0))</f>
        <v>0</v>
      </c>
      <c r="I9" t="str">
        <f t="shared" si="0"/>
        <v/>
      </c>
      <c r="J9" t="str" cm="1">
        <f t="array" ref="J9">IF(AND(M9&gt;0,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output'!Z:Z=A9)),1)))),"lateral",IF(AND(M9=0, _xlfn.TEXTJOIN("; ", TRUE, _xlfn._xlws.FILTER('Model output'!G:G, 'Model output'!Z:Z=A9))=""),"", "central"))</f>
        <v/>
      </c>
      <c r="K9" s="17" t="str" cm="1">
        <f t="array" ref="K9">IF(OR(ISNUMBER(SEARCH("[]",_xlfn.TEXTJOIN("; ", TRUE, _xlfn._xlws.FILTER('Model output'!H:H, 'Model output'!Z:Z=A9)),1)), 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L9" s="17">
        <f>IF(IFERROR(INDEX('Model output'!I:I, MATCH(A9, 'Model output'!Z:Z, 0)), "") &lt; M9, "", IFERROR(INDEX('Model output'!I:I, MATCH(A9, 'Model output'!Z:Z, 0)), ""))</f>
        <v>0</v>
      </c>
      <c r="M9" s="17">
        <f>IFERROR(INDEX('Model output'!J:J, MATCH(A9, 'Model output'!Z:Z, 0)), "")</f>
        <v>0</v>
      </c>
      <c r="N9" s="18" t="str" cm="1">
        <f t="array" ref="N9">ReplaceTo(ReplaceAnd(SUBSTITUTE(SUBSTITUTE(_xlfn.TEXTJOIN("; ", TRUE, _xlfn._xlws.FILTER('Model output'!K:K, 'Model output'!Z:Z=A9)), " ", ""), ",", ";")))</f>
        <v/>
      </c>
      <c r="O9" t="str" cm="1">
        <f t="array" ref="O9">IF(LEFT(IF(RIGHT(SUBSTITUTE(FilterWithUnits(N9)&amp;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";")),1)=";",RIGHT(IF(RIGHT(SUBSTITUTE(FilterWithUnits(N9)&amp;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";")),LEN(IF(RIGHT(SUBSTITUTE(FilterWithUnits(N9)&amp;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";")))-1),IF(RIGHT(SUBSTITUTE(FilterWithUnits(N9)&amp;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</f>
        <v/>
      </c>
      <c r="P9" t="str" cm="1">
        <f t="array" ref="P9">IF(MaxSize((SplitDimensions(O9)))=0, "", MaxSize((SplitDimensions(O9))))</f>
        <v/>
      </c>
      <c r="Q9" t="str" cm="1">
        <f t="array" ref="Q9">IF(ISERROR(INDEX(_xlfn._xlws.FILTER('Model output'!L:L, ('Model output'!Z:Z=A9)*('Model output'!L:L&lt;&gt;"")), 1)), " ", LOWER(INDEX(_xlfn._xlws.FILTER('Model output'!L:L, ('Model output'!Z:Z=A9)*('Model output'!L:L&lt;&gt;"")), 1)))</f>
        <v>papillary</v>
      </c>
      <c r="R9" t="str" cm="1">
        <f t="array" ref="R9">IF(ISERROR(INDEX(_xlfn._xlws.FILTER('Model output'!M:M, ('Model output'!Z:Z=A9)*('Model output'!M:M&lt;&gt;"")), 1)), " ", LOWER(INDEX(_xlfn._xlws.FILTER('Model output'!M:M, ('Model output'!Z:Z=A9)*('Model output'!M:M&lt;&gt;"")), 1)))</f>
        <v>infiltrative follicular subtype</v>
      </c>
      <c r="S9" t="str" cm="1">
        <f t="array" ref="S9">IF(OR(ISERROR(INDEX(_xlfn._xlws.FILTER('Model output'!N:N,('Model output'!Z:Z=A9)*('Model output'!N:N&lt;&gt;"")),1)),ISNUMBER(SEARCH("ly",SUBSTITUTE(INDEX(_xlfn._xlws.FILTER('Model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T9" t="str" cm="1">
        <f t="array" ref="T9">IF(LEFT(IF(RIGHT(SUBSTITUTE(FilterWithUnits(S9)&amp;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";")),1)=";",RIGHT(IF(RIGHT(SUBSTITUTE(FilterWithUnits(S9)&amp;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";")),LEN(IF(RIGHT(SUBSTITUTE(FilterWithUnits(S9)&amp;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";")))-1),IF(RIGHT(SUBSTITUTE(FilterWithUnits(S9)&amp;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</f>
        <v>4mm</v>
      </c>
      <c r="U9" cm="1">
        <f t="array" ref="U9">IF(MaxSize((SplitDimensions(T9)))=0, "", MaxSize((SplitDimensions(T9))))</f>
        <v>0.4</v>
      </c>
      <c r="V9" s="17" t="str" cm="1">
        <f t="array" ref="V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X9" t="str" cm="1">
        <f t="array" ref="X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Y9" t="str">
        <f t="shared" si="11"/>
        <v>no</v>
      </c>
      <c r="Z9" t="str" cm="1">
        <f t="array" ref="Z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AA9" s="17" t="str">
        <f t="shared" si="12"/>
        <v>negative</v>
      </c>
      <c r="AE9" s="17" t="str">
        <f t="shared" si="13"/>
        <v>negative</v>
      </c>
      <c r="AF9" t="str" cm="1">
        <f t="array" ref="AF9">_xlfn.TEXTJOIN("; ",TRUE,_xlfn._xlws.FILTER('Model output'!S:S,'Model output'!Z:Z=A9))</f>
        <v>Not identified</v>
      </c>
      <c r="AG9" s="17" t="str" cm="1">
        <f t="array" ref="AG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I9" s="46" t="str">
        <f t="shared" si="1"/>
        <v>low</v>
      </c>
      <c r="AJ9" s="37" t="str">
        <f t="shared" si="2"/>
        <v>1a</v>
      </c>
      <c r="AK9" s="37" t="str">
        <f t="shared" si="3"/>
        <v>x</v>
      </c>
      <c r="AL9" s="37">
        <f t="shared" si="4"/>
        <v>0</v>
      </c>
      <c r="AM9" s="37" t="str">
        <f t="shared" si="5"/>
        <v>I</v>
      </c>
      <c r="AN9" s="38" t="s">
        <v>171</v>
      </c>
      <c r="AO9" s="39" t="s">
        <v>190</v>
      </c>
      <c r="AP9" s="39" t="s">
        <v>189</v>
      </c>
      <c r="AQ9" s="39">
        <v>0</v>
      </c>
      <c r="AR9" s="39" t="s">
        <v>31</v>
      </c>
      <c r="AS9" s="38">
        <f t="shared" si="6"/>
        <v>1</v>
      </c>
      <c r="AT9" s="39">
        <f t="shared" si="7"/>
        <v>1</v>
      </c>
      <c r="AU9" s="39">
        <f t="shared" si="8"/>
        <v>1</v>
      </c>
      <c r="AV9" s="39">
        <f t="shared" si="9"/>
        <v>1</v>
      </c>
      <c r="AW9" s="40">
        <f t="shared" si="10"/>
        <v>1</v>
      </c>
    </row>
    <row r="10" spans="1:49">
      <c r="A10" s="13">
        <v>8</v>
      </c>
      <c r="B10" s="16">
        <f>_xlfn.MAXIFS('Model output'!B:B,'Model output'!Z:Z,'Classification result'!$A10)</f>
        <v>0</v>
      </c>
      <c r="C10" s="16"/>
      <c r="D10" s="16"/>
      <c r="E10" s="17">
        <f>_xlfn.MAXIFS('Model output'!C:C,'Model output'!Z:Z,'Classification result'!$A10)</f>
        <v>78</v>
      </c>
      <c r="F10" s="17" t="str" cm="1">
        <f t="array" ref="F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G10" s="17" t="str" cm="1">
        <f t="array" ref="G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H10" s="17" cm="1">
        <f t="array" ref="H10">IF(AND(SUBSTITUTE(_xlfn.TEXTJOIN("/", TRUE, _xlfn._xlws.FILTER('Model output'!F:F, 'Model output'!Z:Z=A10)),"M", "")="", K10="negative"),0,IF(K10="positive",1,0))</f>
        <v>0</v>
      </c>
      <c r="I10" t="str">
        <f t="shared" si="0"/>
        <v/>
      </c>
      <c r="J10" t="str" cm="1">
        <f t="array" ref="J10">IF(AND(M10&gt;0,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output'!Z:Z=A10)),1)))),"lateral",IF(AND(M10=0, _xlfn.TEXTJOIN("; ", TRUE, _xlfn._xlws.FILTER('Model output'!G:G, 'Model output'!Z:Z=A10))=""),"", "central"))</f>
        <v/>
      </c>
      <c r="K10" s="17" t="str" cm="1">
        <f t="array" ref="K10">IF(OR(ISNUMBER(SEARCH("[]",_xlfn.TEXTJOIN("; ", TRUE, _xlfn._xlws.FILTER('Model output'!H:H, 'Model output'!Z:Z=A10)),1)), 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L10" s="17">
        <f>IF(IFERROR(INDEX('Model output'!I:I, MATCH(A10, 'Model output'!Z:Z, 0)), "") &lt; M10, "", IFERROR(INDEX('Model output'!I:I, MATCH(A10, 'Model output'!Z:Z, 0)), ""))</f>
        <v>0</v>
      </c>
      <c r="M10" s="17">
        <f>IFERROR(INDEX('Model output'!J:J, MATCH(A10, 'Model output'!Z:Z, 0)), "")</f>
        <v>0</v>
      </c>
      <c r="N10" s="18" t="str" cm="1">
        <f t="array" ref="N10">ReplaceTo(ReplaceAnd(SUBSTITUTE(SUBSTITUTE(_xlfn.TEXTJOIN("; ", TRUE, _xlfn._xlws.FILTER('Model output'!K:K, 'Model output'!Z:Z=A10)), " ", ""), ",", ";")))</f>
        <v/>
      </c>
      <c r="O10" t="str" cm="1">
        <f t="array" ref="O10">IF(LEFT(IF(RIGHT(SUBSTITUTE(FilterWithUnits(N10)&amp;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";")),1)=";",RIGHT(IF(RIGHT(SUBSTITUTE(FilterWithUnits(N10)&amp;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";")),LEN(IF(RIGHT(SUBSTITUTE(FilterWithUnits(N10)&amp;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";")))-1),IF(RIGHT(SUBSTITUTE(FilterWithUnits(N10)&amp;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</f>
        <v/>
      </c>
      <c r="P10" t="str" cm="1">
        <f t="array" ref="P10">IF(MaxSize((SplitDimensions(O10)))=0, "", MaxSize((SplitDimensions(O10))))</f>
        <v/>
      </c>
      <c r="Q10" t="str" cm="1">
        <f t="array" ref="Q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R10" t="str" cm="1">
        <f t="array" ref="R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S10" t="str" cm="1">
        <f t="array" ref="S10">IF(OR(ISERROR(INDEX(_xlfn._xlws.FILTER('Model output'!N:N,('Model output'!Z:Z=A10)*('Model output'!N:N&lt;&gt;"")),1)),ISNUMBER(SEARCH("ly",SUBSTITUTE(INDEX(_xlfn._xlws.FILTER('Model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T10" t="str" cm="1">
        <f t="array" ref="T10">IF(LEFT(IF(RIGHT(SUBSTITUTE(FilterWithUnits(S10)&amp;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";")),1)=";",RIGHT(IF(RIGHT(SUBSTITUTE(FilterWithUnits(S10)&amp;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";")),LEN(IF(RIGHT(SUBSTITUTE(FilterWithUnits(S10)&amp;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";")))-1),IF(RIGHT(SUBSTITUTE(FilterWithUnits(S10)&amp;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</f>
        <v>11.5mm</v>
      </c>
      <c r="U10" cm="1">
        <f t="array" ref="U10">IF(MaxSize((SplitDimensions(T10)))=0, "", MaxSize((SplitDimensions(T10))))</f>
        <v>1.1499999999999999</v>
      </c>
      <c r="V10" s="17" t="str" cm="1">
        <f t="array" ref="V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X10" t="str" cm="1">
        <f t="array" ref="X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Y10" t="str">
        <f t="shared" si="11"/>
        <v>no</v>
      </c>
      <c r="Z10" t="str" cm="1">
        <f t="array" ref="Z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positive</v>
      </c>
      <c r="AA10" s="17" t="str">
        <f t="shared" si="12"/>
        <v>negative</v>
      </c>
      <c r="AE10" s="17" t="str">
        <f t="shared" si="13"/>
        <v>negative</v>
      </c>
      <c r="AF10" t="str" cm="1">
        <f t="array" ref="AF10">_xlfn.TEXTJOIN("; ",TRUE,_xlfn._xlws.FILTER('Model output'!S:S,'Model output'!Z:Z=A10))</f>
        <v>Not identified</v>
      </c>
      <c r="AG10" s="17" t="str" cm="1">
        <f t="array" ref="AG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I10" s="46" t="str">
        <f t="shared" si="1"/>
        <v>low</v>
      </c>
      <c r="AJ10" s="37" t="str">
        <f t="shared" si="2"/>
        <v>1b</v>
      </c>
      <c r="AK10" s="37" t="str">
        <f t="shared" si="3"/>
        <v>x</v>
      </c>
      <c r="AL10" s="37">
        <f t="shared" si="4"/>
        <v>0</v>
      </c>
      <c r="AM10" s="37" t="str">
        <f t="shared" si="5"/>
        <v>I</v>
      </c>
      <c r="AN10" s="38" t="s">
        <v>171</v>
      </c>
      <c r="AO10" s="39" t="s">
        <v>188</v>
      </c>
      <c r="AP10" s="39" t="s">
        <v>189</v>
      </c>
      <c r="AQ10" s="39">
        <v>0</v>
      </c>
      <c r="AR10" s="39" t="s">
        <v>31</v>
      </c>
      <c r="AS10" s="38">
        <f t="shared" si="6"/>
        <v>1</v>
      </c>
      <c r="AT10" s="39">
        <f t="shared" si="7"/>
        <v>1</v>
      </c>
      <c r="AU10" s="39">
        <f t="shared" si="8"/>
        <v>1</v>
      </c>
      <c r="AV10" s="39">
        <f t="shared" si="9"/>
        <v>1</v>
      </c>
      <c r="AW10" s="40">
        <f t="shared" si="10"/>
        <v>1</v>
      </c>
    </row>
    <row r="11" spans="1:49">
      <c r="A11" s="13">
        <v>9</v>
      </c>
      <c r="B11" s="16">
        <f>_xlfn.MAXIFS('Model output'!B:B,'Model output'!Z:Z,'Classification result'!$A11)</f>
        <v>45537</v>
      </c>
      <c r="C11" s="16"/>
      <c r="D11" s="16"/>
      <c r="E11" s="17">
        <f>_xlfn.MAXIFS('Model output'!C:C,'Model output'!Z:Z,'Classification result'!$A11)</f>
        <v>55</v>
      </c>
      <c r="F11" s="17" t="str" cm="1">
        <f t="array" ref="F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G11" s="17" t="str" cm="1">
        <f t="array" ref="G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0</v>
      </c>
      <c r="H11" s="17" cm="1">
        <f t="array" ref="H11">IF(AND(SUBSTITUTE(_xlfn.TEXTJOIN("/", TRUE, _xlfn._xlws.FILTER('Model output'!F:F, 'Model output'!Z:Z=A11)),"M", "")="", K11="negative"),0,IF(K11="positive",1,0))</f>
        <v>0</v>
      </c>
      <c r="I11" t="str">
        <f t="shared" si="0"/>
        <v>positive</v>
      </c>
      <c r="J11" t="str" cm="1">
        <f t="array" ref="J11">IF(AND(M11&gt;0,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output'!Z:Z=A11)),1)))),"lateral",IF(AND(M11=0, _xlfn.TEXTJOIN("; ", TRUE, _xlfn._xlws.FILTER('Model output'!G:G, 'Model output'!Z:Z=A11))=""),"", "central"))</f>
        <v>central</v>
      </c>
      <c r="K11" s="17" t="str" cm="1">
        <f t="array" ref="K11">IF(OR(ISNUMBER(SEARCH("[]",_xlfn.TEXTJOIN("; ", TRUE, _xlfn._xlws.FILTER('Model output'!H:H, 'Model output'!Z:Z=A11)),1)), 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L11" s="17">
        <f>IF(IFERROR(INDEX('Model output'!I:I, MATCH(A11, 'Model output'!Z:Z, 0)), "") &lt; M11, "", IFERROR(INDEX('Model output'!I:I, MATCH(A11, 'Model output'!Z:Z, 0)), ""))</f>
        <v>7</v>
      </c>
      <c r="M11" s="17">
        <f>IFERROR(INDEX('Model output'!J:J, MATCH(A11, 'Model output'!Z:Z, 0)), "")</f>
        <v>4</v>
      </c>
      <c r="N11" s="18" t="str" cm="1">
        <f t="array" ref="N11">ReplaceTo(ReplaceAnd(SUBSTITUTE(SUBSTITUTE(_xlfn.TEXTJOIN("; ", TRUE, _xlfn._xlws.FILTER('Model output'!K:K, 'Model output'!Z:Z=A11)), " ", ""), ",", ";")))</f>
        <v/>
      </c>
      <c r="O11" t="str" cm="1">
        <f t="array" ref="O11">IF(LEFT(IF(RIGHT(SUBSTITUTE(FilterWithUnits(N11)&amp;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";")),1)=";",RIGHT(IF(RIGHT(SUBSTITUTE(FilterWithUnits(N11)&amp;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";")),LEN(IF(RIGHT(SUBSTITUTE(FilterWithUnits(N11)&amp;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";")))-1),IF(RIGHT(SUBSTITUTE(FilterWithUnits(N11)&amp;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</f>
        <v/>
      </c>
      <c r="P11" t="str" cm="1">
        <f t="array" ref="P11">IF(MaxSize((SplitDimensions(O11)))=0, "", MaxSize((SplitDimensions(O11))))</f>
        <v/>
      </c>
      <c r="Q11" t="str" cm="1">
        <f t="array" ref="Q11">IF(ISERROR(INDEX(_xlfn._xlws.FILTER('Model output'!L:L, ('Model output'!Z:Z=A11)*('Model output'!L:L&lt;&gt;"")), 1)), " ", LOWER(INDEX(_xlfn._xlws.FILTER('Model output'!L:L, ('Model output'!Z:Z=A11)*('Model output'!L:L&lt;&gt;"")), 1)))</f>
        <v>papillary carcinoma</v>
      </c>
      <c r="R11" t="str" cm="1">
        <f t="array" ref="R11">IF(ISERROR(INDEX(_xlfn._xlws.FILTER('Model output'!M:M, ('Model output'!Z:Z=A11)*('Model output'!M:M&lt;&gt;"")), 1)), " ", LOWER(INDEX(_xlfn._xlws.FILTER('Model output'!M:M, ('Model output'!Z:Z=A11)*('Model output'!M:M&lt;&gt;"")), 1)))</f>
        <v>classic subtype</v>
      </c>
      <c r="S11" t="str" cm="1">
        <f t="array" ref="S11">IF(OR(ISERROR(INDEX(_xlfn._xlws.FILTER('Model output'!N:N,('Model output'!Z:Z=A11)*('Model output'!N:N&lt;&gt;"")),1)),ISNUMBER(SEARCH("ly",SUBSTITUTE(INDEX(_xlfn._xlws.FILTER('Model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T11" t="str" cm="1">
        <f t="array" ref="T11">IF(LEFT(IF(RIGHT(SUBSTITUTE(FilterWithUnits(S11)&amp;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";")),1)=";",RIGHT(IF(RIGHT(SUBSTITUTE(FilterWithUnits(S11)&amp;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";")),LEN(IF(RIGHT(SUBSTITUTE(FilterWithUnits(S11)&amp;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";")))-1),IF(RIGHT(SUBSTITUTE(FilterWithUnits(S11)&amp;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</f>
        <v>27x22x17mm</v>
      </c>
      <c r="U11" cm="1">
        <f t="array" ref="U11">IF(MaxSize((SplitDimensions(T11)))=0, "", MaxSize((SplitDimensions(T11))))</f>
        <v>2.7</v>
      </c>
      <c r="V11" s="17" t="str" cm="1">
        <f t="array" ref="V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X11" t="str" cm="1">
        <f t="array" ref="X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Y11" t="str">
        <f t="shared" si="11"/>
        <v>no</v>
      </c>
      <c r="Z11" t="str" cm="1">
        <f t="array" ref="Z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AA11" s="17" t="str">
        <f t="shared" si="12"/>
        <v>positive</v>
      </c>
      <c r="AE11" s="17" t="str">
        <f t="shared" si="13"/>
        <v>negative</v>
      </c>
      <c r="AF11" t="str" cm="1">
        <f t="array" ref="AF11">_xlfn.TEXTJOIN("; ",TRUE,_xlfn._xlws.FILTER('Model output'!S:S,'Model output'!Z:Z=A11))</f>
        <v>Not identified; Present</v>
      </c>
      <c r="AG11" s="17" t="str" cm="1">
        <f t="array" ref="AG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I11" s="46" t="str">
        <f t="shared" si="1"/>
        <v>intermediate</v>
      </c>
      <c r="AJ11" s="37" t="str">
        <f t="shared" si="2"/>
        <v>2</v>
      </c>
      <c r="AK11" s="37" t="str">
        <f t="shared" si="3"/>
        <v>1a</v>
      </c>
      <c r="AL11" s="37">
        <f t="shared" si="4"/>
        <v>0</v>
      </c>
      <c r="AM11" s="37" t="str">
        <f t="shared" si="5"/>
        <v>II</v>
      </c>
      <c r="AN11" s="38" t="s">
        <v>169</v>
      </c>
      <c r="AO11" s="39" t="s">
        <v>348</v>
      </c>
      <c r="AP11" s="39" t="s">
        <v>190</v>
      </c>
      <c r="AQ11" s="39">
        <v>0</v>
      </c>
      <c r="AR11" s="39" t="s">
        <v>43</v>
      </c>
      <c r="AS11" s="38">
        <f t="shared" si="6"/>
        <v>1</v>
      </c>
      <c r="AT11" s="39">
        <f t="shared" si="7"/>
        <v>1</v>
      </c>
      <c r="AU11" s="39">
        <f t="shared" si="8"/>
        <v>1</v>
      </c>
      <c r="AV11" s="39">
        <f t="shared" si="9"/>
        <v>1</v>
      </c>
      <c r="AW11" s="40">
        <f t="shared" si="10"/>
        <v>1</v>
      </c>
    </row>
    <row r="12" spans="1:49">
      <c r="A12" s="13">
        <v>10</v>
      </c>
      <c r="B12" s="16">
        <f>_xlfn.MAXIFS('Model output'!B:B,'Model output'!Z:Z,'Classification result'!$A12)</f>
        <v>0</v>
      </c>
      <c r="C12" s="16"/>
      <c r="D12" s="16"/>
      <c r="E12" s="17">
        <f>_xlfn.MAXIFS('Model output'!C:C,'Model output'!Z:Z,'Classification result'!$A12)</f>
        <v>24</v>
      </c>
      <c r="F12" s="17" t="str" cm="1">
        <f t="array" ref="F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G12" s="17" t="str" cm="1">
        <f t="array" ref="G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>X</v>
      </c>
      <c r="H12" s="17" cm="1">
        <f t="array" ref="H12">IF(AND(SUBSTITUTE(_xlfn.TEXTJOIN("/", TRUE, _xlfn._xlws.FILTER('Model output'!F:F, 'Model output'!Z:Z=A12)),"M", "")="", K12="negative"),0,IF(K12="positive",1,0))</f>
        <v>0</v>
      </c>
      <c r="I12" t="str">
        <f t="shared" si="0"/>
        <v>positive</v>
      </c>
      <c r="J12" t="str" cm="1">
        <f t="array" ref="J12">IF(AND(M12&gt;0,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output'!Z:Z=A12)),1)))),"lateral",IF(AND(M12=0, _xlfn.TEXTJOIN("; ", TRUE, _xlfn._xlws.FILTER('Model output'!G:G, 'Model output'!Z:Z=A12))=""),"", "central"))</f>
        <v>central</v>
      </c>
      <c r="K12" s="17" t="str" cm="1">
        <f t="array" ref="K12">IF(OR(ISNUMBER(SEARCH("[]",_xlfn.TEXTJOIN("; ", TRUE, _xlfn._xlws.FILTER('Model output'!H:H, 'Model output'!Z:Z=A12)),1)), 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L12" s="17">
        <f>IF(IFERROR(INDEX('Model output'!I:I, MATCH(A12, 'Model output'!Z:Z, 0)), "") &lt; M12, "", IFERROR(INDEX('Model output'!I:I, MATCH(A12, 'Model output'!Z:Z, 0)), ""))</f>
        <v>1</v>
      </c>
      <c r="M12" s="17">
        <f>IFERROR(INDEX('Model output'!J:J, MATCH(A12, 'Model output'!Z:Z, 0)), "")</f>
        <v>1</v>
      </c>
      <c r="N12" s="18" t="str" cm="1">
        <f t="array" ref="N12">ReplaceTo(ReplaceAnd(SUBSTITUTE(SUBSTITUTE(_xlfn.TEXTJOIN("; ", TRUE, _xlfn._xlws.FILTER('Model output'!K:K, 'Model output'!Z:Z=A12)), " ", ""), ",", ";")))</f>
        <v/>
      </c>
      <c r="O12" t="str" cm="1">
        <f t="array" ref="O12">IF(LEFT(IF(RIGHT(SUBSTITUTE(FilterWithUnits(N12)&amp;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";")),1)=";",RIGHT(IF(RIGHT(SUBSTITUTE(FilterWithUnits(N12)&amp;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";")),LEN(IF(RIGHT(SUBSTITUTE(FilterWithUnits(N12)&amp;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";")))-1),IF(RIGHT(SUBSTITUTE(FilterWithUnits(N12)&amp;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</f>
        <v/>
      </c>
      <c r="P12" t="str" cm="1">
        <f t="array" ref="P12">IF(MaxSize((SplitDimensions(O12)))=0, "", MaxSize((SplitDimensions(O12))))</f>
        <v/>
      </c>
      <c r="Q12" t="str" cm="1">
        <f t="array" ref="Q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R12" t="str" cm="1">
        <f t="array" ref="R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S12" t="str" cm="1">
        <f t="array" ref="S12">IF(OR(ISERROR(INDEX(_xlfn._xlws.FILTER('Model output'!N:N,('Model output'!Z:Z=A12)*('Model output'!N:N&lt;&gt;"")),1)),ISNUMBER(SEARCH("ly",SUBSTITUTE(INDEX(_xlfn._xlws.FILTER('Model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T12" t="str" cm="1">
        <f t="array" ref="T12">IF(LEFT(IF(RIGHT(SUBSTITUTE(FilterWithUnits(S12)&amp;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";")),1)=";",RIGHT(IF(RIGHT(SUBSTITUTE(FilterWithUnits(S12)&amp;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";")),LEN(IF(RIGHT(SUBSTITUTE(FilterWithUnits(S12)&amp;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";")))-1),IF(RIGHT(SUBSTITUTE(FilterWithUnits(S12)&amp;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</f>
        <v>16mm</v>
      </c>
      <c r="U12" cm="1">
        <f t="array" ref="U12">IF(MaxSize((SplitDimensions(T12)))=0, "", MaxSize((SplitDimensions(T12))))</f>
        <v>1.6</v>
      </c>
      <c r="V12" s="17" t="str" cm="1">
        <f t="array" ref="V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X12" t="str" cm="1">
        <f t="array" ref="X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Y12" t="str">
        <f t="shared" si="11"/>
        <v>no</v>
      </c>
      <c r="Z12" t="str" cm="1">
        <f t="array" ref="Z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positive</v>
      </c>
      <c r="AA12" s="17" t="str">
        <f t="shared" si="12"/>
        <v>negative</v>
      </c>
      <c r="AE12" s="17" t="str">
        <f t="shared" si="13"/>
        <v>negative</v>
      </c>
      <c r="AF12" t="str" cm="1">
        <f t="array" ref="AF12">_xlfn.TEXTJOIN("; ",TRUE,_xlfn._xlws.FILTER('Model output'!S:S,'Model output'!Z:Z=A12))</f>
        <v>Not identified</v>
      </c>
      <c r="AG12" s="17" t="str" cm="1">
        <f t="array" ref="AG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I12" s="46" t="str">
        <f t="shared" si="1"/>
        <v>low</v>
      </c>
      <c r="AJ12" s="37" t="str">
        <f t="shared" si="2"/>
        <v>1b</v>
      </c>
      <c r="AK12" s="37" t="str">
        <f t="shared" si="3"/>
        <v>1a</v>
      </c>
      <c r="AL12" s="37">
        <f t="shared" si="4"/>
        <v>0</v>
      </c>
      <c r="AM12" s="37" t="str">
        <f t="shared" si="5"/>
        <v>I</v>
      </c>
      <c r="AN12" s="38" t="s">
        <v>171</v>
      </c>
      <c r="AO12" s="39" t="s">
        <v>188</v>
      </c>
      <c r="AP12" s="39" t="s">
        <v>190</v>
      </c>
      <c r="AQ12" s="39">
        <v>0</v>
      </c>
      <c r="AR12" s="39" t="s">
        <v>31</v>
      </c>
      <c r="AS12" s="38">
        <f t="shared" si="6"/>
        <v>1</v>
      </c>
      <c r="AT12" s="39">
        <f t="shared" si="7"/>
        <v>1</v>
      </c>
      <c r="AU12" s="39">
        <f t="shared" si="8"/>
        <v>1</v>
      </c>
      <c r="AV12" s="39">
        <f t="shared" si="9"/>
        <v>1</v>
      </c>
      <c r="AW12" s="40">
        <f t="shared" si="10"/>
        <v>1</v>
      </c>
    </row>
    <row r="13" spans="1:49">
      <c r="A13" s="13">
        <v>11</v>
      </c>
      <c r="B13" s="16">
        <f>_xlfn.MAXIFS('Model output'!B:B,'Model output'!Z:Z,'Classification result'!$A13)</f>
        <v>45443</v>
      </c>
      <c r="C13" s="16"/>
      <c r="D13" s="16"/>
      <c r="E13" s="17">
        <f>_xlfn.MAXIFS('Model output'!C:C,'Model output'!Z:Z,'Classification result'!$A13)</f>
        <v>70</v>
      </c>
      <c r="F13" s="17" t="str" cm="1">
        <f t="array" ref="F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G13" s="17" t="str" cm="1">
        <f t="array" ref="G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H13" s="17" cm="1">
        <f t="array" ref="H13">IF(AND(SUBSTITUTE(_xlfn.TEXTJOIN("/", TRUE, _xlfn._xlws.FILTER('Model output'!F:F, 'Model output'!Z:Z=A13)),"M", "")="", K13="negative"),0,IF(K13="positive",1,0))</f>
        <v>0</v>
      </c>
      <c r="I13" t="str">
        <f t="shared" si="0"/>
        <v/>
      </c>
      <c r="J13" t="str" cm="1">
        <f t="array" ref="J13">IF(AND(M13&gt;0,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output'!Z:Z=A13)),1)))),"lateral",IF(AND(M13=0, _xlfn.TEXTJOIN("; ", TRUE, _xlfn._xlws.FILTER('Model output'!G:G, 'Model output'!Z:Z=A13))=""),"", "central"))</f>
        <v/>
      </c>
      <c r="K13" s="17" t="str" cm="1">
        <f t="array" ref="K13">IF(OR(ISNUMBER(SEARCH("[]",_xlfn.TEXTJOIN("; ", TRUE, _xlfn._xlws.FILTER('Model output'!H:H, 'Model output'!Z:Z=A13)),1)), 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L13" s="17">
        <f>IF(IFERROR(INDEX('Model output'!I:I, MATCH(A13, 'Model output'!Z:Z, 0)), "") &lt; M13, "", IFERROR(INDEX('Model output'!I:I, MATCH(A13, 'Model output'!Z:Z, 0)), ""))</f>
        <v>0</v>
      </c>
      <c r="M13" s="17">
        <f>IFERROR(INDEX('Model output'!J:J, MATCH(A13, 'Model output'!Z:Z, 0)), "")</f>
        <v>0</v>
      </c>
      <c r="N13" s="18" t="str" cm="1">
        <f t="array" ref="N13">ReplaceTo(ReplaceAnd(SUBSTITUTE(SUBSTITUTE(_xlfn.TEXTJOIN("; ", TRUE, _xlfn._xlws.FILTER('Model output'!K:K, 'Model output'!Z:Z=A13)), " ", ""), ",", ";")))</f>
        <v/>
      </c>
      <c r="O13" t="str" cm="1">
        <f t="array" ref="O13">IF(LEFT(IF(RIGHT(SUBSTITUTE(FilterWithUnits(N13)&amp;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";")),1)=";",RIGHT(IF(RIGHT(SUBSTITUTE(FilterWithUnits(N13)&amp;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";")),LEN(IF(RIGHT(SUBSTITUTE(FilterWithUnits(N13)&amp;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";")))-1),IF(RIGHT(SUBSTITUTE(FilterWithUnits(N13)&amp;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</f>
        <v/>
      </c>
      <c r="P13" t="str" cm="1">
        <f t="array" ref="P13">IF(MaxSize((SplitDimensions(O13)))=0, "", MaxSize((SplitDimensions(O13))))</f>
        <v/>
      </c>
      <c r="Q13" t="str" cm="1">
        <f t="array" ref="Q13">IF(ISERROR(INDEX(_xlfn._xlws.FILTER('Model output'!L:L, ('Model output'!Z:Z=A13)*('Model output'!L:L&lt;&gt;"")), 1)), " ", LOWER(INDEX(_xlfn._xlws.FILTER('Model output'!L:L, ('Model output'!Z:Z=A13)*('Model output'!L:L&lt;&gt;"")), 1)))</f>
        <v>follicular</v>
      </c>
      <c r="R13" t="str" cm="1">
        <f t="array" ref="R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S13" t="str" cm="1">
        <f t="array" ref="S13">IF(OR(ISERROR(INDEX(_xlfn._xlws.FILTER('Model output'!N:N,('Model output'!Z:Z=A13)*('Model output'!N:N&lt;&gt;"")),1)),ISNUMBER(SEARCH("ly",SUBSTITUTE(INDEX(_xlfn._xlws.FILTER('Model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T13" t="str" cm="1">
        <f t="array" ref="T13">IF(LEFT(IF(RIGHT(SUBSTITUTE(FilterWithUnits(S13)&amp;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";")),1)=";",RIGHT(IF(RIGHT(SUBSTITUTE(FilterWithUnits(S13)&amp;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";")),LEN(IF(RIGHT(SUBSTITUTE(FilterWithUnits(S13)&amp;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";")))-1),IF(RIGHT(SUBSTITUTE(FilterWithUnits(S13)&amp;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</f>
        <v>50mm</v>
      </c>
      <c r="U13" cm="1">
        <f t="array" ref="U13">IF(MaxSize((SplitDimensions(T13)))=0, "", MaxSize((SplitDimensions(T13))))</f>
        <v>5</v>
      </c>
      <c r="V13" s="17" t="str" cm="1">
        <f t="array" ref="V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X13" t="str" cm="1">
        <f t="array" ref="X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Y13" t="str">
        <f t="shared" si="11"/>
        <v>no</v>
      </c>
      <c r="Z13" t="str" cm="1">
        <f t="array" ref="Z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AA13" s="17" t="str">
        <f t="shared" si="12"/>
        <v>negative</v>
      </c>
      <c r="AE13" s="17" t="str">
        <f t="shared" si="13"/>
        <v>negative</v>
      </c>
      <c r="AF13" t="str" cm="1">
        <f t="array" ref="AF13">_xlfn.TEXTJOIN("; ",TRUE,_xlfn._xlws.FILTER('Model output'!S:S,'Model output'!Z:Z=A13))</f>
        <v>Not identified</v>
      </c>
      <c r="AG13" s="17" t="str" cm="1">
        <f t="array" ref="AG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I13" s="46" t="str">
        <f t="shared" si="1"/>
        <v>low</v>
      </c>
      <c r="AJ13" s="37" t="str">
        <f t="shared" si="2"/>
        <v>3a</v>
      </c>
      <c r="AK13" s="37" t="str">
        <f t="shared" si="3"/>
        <v>x</v>
      </c>
      <c r="AL13" s="37">
        <f t="shared" si="4"/>
        <v>0</v>
      </c>
      <c r="AM13" s="37" t="str">
        <f t="shared" si="5"/>
        <v>II</v>
      </c>
      <c r="AN13" s="38" t="s">
        <v>171</v>
      </c>
      <c r="AO13" s="39" t="s">
        <v>192</v>
      </c>
      <c r="AP13" s="39" t="s">
        <v>189</v>
      </c>
      <c r="AQ13" s="39">
        <v>0</v>
      </c>
      <c r="AR13" s="39" t="s">
        <v>43</v>
      </c>
      <c r="AS13" s="38">
        <f t="shared" si="6"/>
        <v>1</v>
      </c>
      <c r="AT13" s="39">
        <f t="shared" si="7"/>
        <v>1</v>
      </c>
      <c r="AU13" s="39">
        <f t="shared" si="8"/>
        <v>1</v>
      </c>
      <c r="AV13" s="39">
        <f t="shared" si="9"/>
        <v>1</v>
      </c>
      <c r="AW13" s="40">
        <f t="shared" si="10"/>
        <v>1</v>
      </c>
    </row>
    <row r="14" spans="1:49">
      <c r="A14" s="13">
        <v>12</v>
      </c>
      <c r="B14" s="16">
        <f>_xlfn.MAXIFS('Model output'!B:B,'Model output'!Z:Z,'Classification result'!$A14)</f>
        <v>45356</v>
      </c>
      <c r="C14" s="16"/>
      <c r="D14" s="16"/>
      <c r="E14" s="17">
        <f>_xlfn.MAXIFS('Model output'!C:C,'Model output'!Z:Z,'Classification result'!$A14)</f>
        <v>67</v>
      </c>
      <c r="F14" s="17" t="str" cm="1">
        <f t="array" ref="F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G14" s="17" t="str" cm="1">
        <f t="array" ref="G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>X</v>
      </c>
      <c r="H14" s="17" cm="1">
        <f t="array" ref="H14">IF(AND(SUBSTITUTE(_xlfn.TEXTJOIN("/", TRUE, _xlfn._xlws.FILTER('Model output'!F:F, 'Model output'!Z:Z=A14)),"M", "")="", K14="negative"),0,IF(K14="positive",1,0))</f>
        <v>0</v>
      </c>
      <c r="I14" t="str">
        <f t="shared" si="0"/>
        <v/>
      </c>
      <c r="J14" t="str" cm="1">
        <f t="array" ref="J14">IF(AND(M14&gt;0,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output'!Z:Z=A14)),1)))),"lateral",IF(AND(M14=0, _xlfn.TEXTJOIN("; ", TRUE, _xlfn._xlws.FILTER('Model output'!G:G, 'Model output'!Z:Z=A14))=""),"", "central"))</f>
        <v/>
      </c>
      <c r="K14" s="17" t="str" cm="1">
        <f t="array" ref="K14">IF(OR(ISNUMBER(SEARCH("[]",_xlfn.TEXTJOIN("; ", TRUE, _xlfn._xlws.FILTER('Model output'!H:H, 'Model output'!Z:Z=A14)),1)), 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L14" s="17">
        <f>IF(IFERROR(INDEX('Model output'!I:I, MATCH(A14, 'Model output'!Z:Z, 0)), "") &lt; M14, "", IFERROR(INDEX('Model output'!I:I, MATCH(A14, 'Model output'!Z:Z, 0)), ""))</f>
        <v>0</v>
      </c>
      <c r="M14" s="17">
        <f>IFERROR(INDEX('Model output'!J:J, MATCH(A14, 'Model output'!Z:Z, 0)), "")</f>
        <v>0</v>
      </c>
      <c r="N14" s="18" t="str" cm="1">
        <f t="array" ref="N14">ReplaceTo(ReplaceAnd(SUBSTITUTE(SUBSTITUTE(_xlfn.TEXTJOIN("; ", TRUE, _xlfn._xlws.FILTER('Model output'!K:K, 'Model output'!Z:Z=A14)), " ", ""), ",", ";")))</f>
        <v/>
      </c>
      <c r="O14" t="str" cm="1">
        <f t="array" ref="O14">IF(LEFT(IF(RIGHT(SUBSTITUTE(FilterWithUnits(N14)&amp;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";")),1)=";",RIGHT(IF(RIGHT(SUBSTITUTE(FilterWithUnits(N14)&amp;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";")),LEN(IF(RIGHT(SUBSTITUTE(FilterWithUnits(N14)&amp;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";")))-1),IF(RIGHT(SUBSTITUTE(FilterWithUnits(N14)&amp;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</f>
        <v/>
      </c>
      <c r="P14" t="str" cm="1">
        <f t="array" ref="P14">IF(MaxSize((SplitDimensions(O14)))=0, "", MaxSize((SplitDimensions(O14))))</f>
        <v/>
      </c>
      <c r="Q14" t="str" cm="1">
        <f t="array" ref="Q14">IF(ISERROR(INDEX(_xlfn._xlws.FILTER('Model output'!L:L, ('Model output'!Z:Z=A14)*('Model output'!L:L&lt;&gt;"")), 1)), " ", LOWER(INDEX(_xlfn._xlws.FILTER('Model output'!L:L, ('Model output'!Z:Z=A14)*('Model output'!L:L&lt;&gt;"")), 1)))</f>
        <v>minimally invasive follicular carcinoma</v>
      </c>
      <c r="R14" t="str" cm="1">
        <f t="array" ref="R14">IF(ISERROR(INDEX(_xlfn._xlws.FILTER('Model output'!M:M, ('Model output'!Z:Z=A14)*('Model output'!M:M&lt;&gt;"")), 1)), " ", LOWER(INDEX(_xlfn._xlws.FILTER('Model output'!M:M, ('Model output'!Z:Z=A14)*('Model output'!M:M&lt;&gt;"")), 1)))</f>
        <v>classic</v>
      </c>
      <c r="S14" t="str" cm="1">
        <f t="array" ref="S14">IF(OR(ISERROR(INDEX(_xlfn._xlws.FILTER('Model output'!N:N,('Model output'!Z:Z=A14)*('Model output'!N:N&lt;&gt;"")),1)),ISNUMBER(SEARCH("ly",SUBSTITUTE(INDEX(_xlfn._xlws.FILTER('Model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T14" t="str" cm="1">
        <f t="array" ref="T14">IF(LEFT(IF(RIGHT(SUBSTITUTE(FilterWithUnits(S14)&amp;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";")),1)=";",RIGHT(IF(RIGHT(SUBSTITUTE(FilterWithUnits(S14)&amp;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";")),LEN(IF(RIGHT(SUBSTITUTE(FilterWithUnits(S14)&amp;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";")))-1),IF(RIGHT(SUBSTITUTE(FilterWithUnits(S14)&amp;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</f>
        <v>50mm</v>
      </c>
      <c r="U14" cm="1">
        <f t="array" ref="U14">IF(MaxSize((SplitDimensions(T14)))=0, "", MaxSize((SplitDimensions(T14))))</f>
        <v>5</v>
      </c>
      <c r="V14" s="17" t="str" cm="1">
        <f t="array" ref="V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X14" t="str" cm="1">
        <f t="array" ref="X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</v>
      </c>
      <c r="Y14" t="str">
        <f t="shared" si="11"/>
        <v>minimal</v>
      </c>
      <c r="Z14" t="str" cm="1">
        <f t="array" ref="Z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AA14" s="17" t="str">
        <f t="shared" si="12"/>
        <v>negative</v>
      </c>
      <c r="AE14" s="17" t="str">
        <f t="shared" si="13"/>
        <v>negative</v>
      </c>
      <c r="AF14" t="str" cm="1">
        <f t="array" ref="AF14">_xlfn.TEXTJOIN("; ",TRUE,_xlfn._xlws.FILTER('Model output'!S:S,'Model output'!Z:Z=A14))</f>
        <v>Not identified</v>
      </c>
      <c r="AG14" s="17" t="str" cm="1">
        <f t="array" ref="AG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I14" s="46" t="str">
        <f t="shared" si="1"/>
        <v>low</v>
      </c>
      <c r="AJ14" s="37" t="str">
        <f t="shared" si="2"/>
        <v>3a</v>
      </c>
      <c r="AK14" s="37" t="str">
        <f t="shared" si="3"/>
        <v>x</v>
      </c>
      <c r="AL14" s="37">
        <f t="shared" si="4"/>
        <v>0</v>
      </c>
      <c r="AM14" s="37" t="str">
        <f t="shared" si="5"/>
        <v>II</v>
      </c>
      <c r="AN14" s="38" t="s">
        <v>169</v>
      </c>
      <c r="AO14" s="39" t="s">
        <v>192</v>
      </c>
      <c r="AP14" s="39" t="s">
        <v>189</v>
      </c>
      <c r="AQ14" s="39">
        <v>0</v>
      </c>
      <c r="AR14" s="39" t="s">
        <v>43</v>
      </c>
      <c r="AS14" s="38">
        <f t="shared" si="6"/>
        <v>0</v>
      </c>
      <c r="AT14" s="39">
        <f t="shared" si="7"/>
        <v>1</v>
      </c>
      <c r="AU14" s="39">
        <f t="shared" si="8"/>
        <v>1</v>
      </c>
      <c r="AV14" s="39">
        <f t="shared" si="9"/>
        <v>1</v>
      </c>
      <c r="AW14" s="40">
        <f t="shared" si="10"/>
        <v>1</v>
      </c>
    </row>
    <row r="15" spans="1:49">
      <c r="A15" s="13">
        <v>13</v>
      </c>
      <c r="B15" s="16">
        <f>_xlfn.MAXIFS('Model output'!B:B,'Model output'!Z:Z,'Classification result'!$A15)</f>
        <v>45509</v>
      </c>
      <c r="C15" s="16"/>
      <c r="D15" s="16"/>
      <c r="E15" s="17">
        <f>_xlfn.MAXIFS('Model output'!C:C,'Model output'!Z:Z,'Classification result'!$A15)</f>
        <v>66</v>
      </c>
      <c r="F15" s="17" t="str" cm="1">
        <f t="array" ref="F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G15" s="17" t="str" cm="1">
        <f t="array" ref="G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H15" s="17" cm="1">
        <f t="array" ref="H15">IF(AND(SUBSTITUTE(_xlfn.TEXTJOIN("/", TRUE, _xlfn._xlws.FILTER('Model output'!F:F, 'Model output'!Z:Z=A15)),"M", "")="", K15="negative"),0,IF(K15="positive",1,0))</f>
        <v>0</v>
      </c>
      <c r="I15" t="str">
        <f t="shared" si="0"/>
        <v>positive</v>
      </c>
      <c r="J15" t="str" cm="1">
        <f t="array" ref="J15">IF(AND(M15&gt;0,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output'!Z:Z=A15)),1)))),"lateral",IF(AND(M15=0, _xlfn.TEXTJOIN("; ", TRUE, _xlfn._xlws.FILTER('Model output'!G:G, 'Model output'!Z:Z=A15))=""),"", "central"))</f>
        <v>lateral</v>
      </c>
      <c r="K15" s="17" t="str" cm="1">
        <f t="array" ref="K15">IF(OR(ISNUMBER(SEARCH("[]",_xlfn.TEXTJOIN("; ", TRUE, _xlfn._xlws.FILTER('Model output'!H:H, 'Model output'!Z:Z=A15)),1)), 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L15" s="17">
        <f>IF(IFERROR(INDEX('Model output'!I:I, MATCH(A15, 'Model output'!Z:Z, 0)), "") &lt; M15, "", IFERROR(INDEX('Model output'!I:I, MATCH(A15, 'Model output'!Z:Z, 0)), ""))</f>
        <v>19</v>
      </c>
      <c r="M15" s="17">
        <f>IFERROR(INDEX('Model output'!J:J, MATCH(A15, 'Model output'!Z:Z, 0)), "")</f>
        <v>2</v>
      </c>
      <c r="N15" s="18" t="str" cm="1">
        <f t="array" ref="N15">ReplaceTo(ReplaceAnd(SUBSTITUTE(SUBSTITUTE(_xlfn.TEXTJOIN("; ", TRUE, _xlfn._xlws.FILTER('Model output'!K:K, 'Model output'!Z:Z=A15)), " ", ""), ",", ";")))</f>
        <v/>
      </c>
      <c r="O15" t="str" cm="1">
        <f t="array" ref="O15">IF(LEFT(IF(RIGHT(SUBSTITUTE(FilterWithUnits(N15)&amp;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";")),1)=";",RIGHT(IF(RIGHT(SUBSTITUTE(FilterWithUnits(N15)&amp;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";")),LEN(IF(RIGHT(SUBSTITUTE(FilterWithUnits(N15)&amp;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";")))-1),IF(RIGHT(SUBSTITUTE(FilterWithUnits(N15)&amp;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</f>
        <v/>
      </c>
      <c r="P15" t="str" cm="1">
        <f t="array" ref="P15">IF(MaxSize((SplitDimensions(O15)))=0, "", MaxSize((SplitDimensions(O15))))</f>
        <v/>
      </c>
      <c r="Q15" t="str" cm="1">
        <f t="array" ref="Q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R15" t="str" cm="1">
        <f t="array" ref="R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S15" t="str" cm="1">
        <f t="array" ref="S15">IF(OR(ISERROR(INDEX(_xlfn._xlws.FILTER('Model output'!N:N,('Model output'!Z:Z=A15)*('Model output'!N:N&lt;&gt;"")),1)),ISNUMBER(SEARCH("ly",SUBSTITUTE(INDEX(_xlfn._xlws.FILTER('Model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T15" t="str" cm="1">
        <f t="array" ref="T15">IF(LEFT(IF(RIGHT(SUBSTITUTE(FilterWithUnits(S15)&amp;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";")),1)=";",RIGHT(IF(RIGHT(SUBSTITUTE(FilterWithUnits(S15)&amp;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";")),LEN(IF(RIGHT(SUBSTITUTE(FilterWithUnits(S15)&amp;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";")))-1),IF(RIGHT(SUBSTITUTE(FilterWithUnits(S15)&amp;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</f>
        <v>63mm</v>
      </c>
      <c r="U15" cm="1">
        <f t="array" ref="U15">IF(MaxSize((SplitDimensions(T15)))=0, "", MaxSize((SplitDimensions(T15))))</f>
        <v>6.3</v>
      </c>
      <c r="V15" s="17" t="str" cm="1">
        <f t="array" ref="V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X15" t="str" cm="1">
        <f t="array" ref="X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Y15" t="str">
        <f t="shared" si="11"/>
        <v>minimal</v>
      </c>
      <c r="Z15" t="str" cm="1">
        <f t="array" ref="Z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AA15" s="17" t="str">
        <f t="shared" si="12"/>
        <v>positive</v>
      </c>
      <c r="AE15" s="17" t="str">
        <f t="shared" si="13"/>
        <v>negative</v>
      </c>
      <c r="AF15" t="str" cm="1">
        <f t="array" ref="AF15">_xlfn.TEXTJOIN("; ",TRUE,_xlfn._xlws.FILTER('Model output'!S:S,'Model output'!Z:Z=A15))</f>
        <v>Present, into surrounding skeletal muscle bundles; Present</v>
      </c>
      <c r="AG15" s="17" t="str" cm="1">
        <f t="array" ref="AG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I15" s="46" t="str">
        <f t="shared" si="1"/>
        <v>intermediate</v>
      </c>
      <c r="AJ15" s="37" t="str">
        <f t="shared" si="2"/>
        <v>3a</v>
      </c>
      <c r="AK15" s="37" t="str">
        <f t="shared" si="3"/>
        <v>1b</v>
      </c>
      <c r="AL15" s="37">
        <f t="shared" si="4"/>
        <v>0</v>
      </c>
      <c r="AM15" s="37" t="str">
        <f t="shared" si="5"/>
        <v>II</v>
      </c>
      <c r="AN15" s="38" t="s">
        <v>170</v>
      </c>
      <c r="AO15" s="39" t="s">
        <v>193</v>
      </c>
      <c r="AP15" s="39" t="s">
        <v>188</v>
      </c>
      <c r="AQ15" s="39">
        <v>0</v>
      </c>
      <c r="AR15" s="39" t="s">
        <v>68</v>
      </c>
      <c r="AS15" s="38">
        <f t="shared" si="6"/>
        <v>0</v>
      </c>
      <c r="AT15" s="39">
        <f t="shared" si="7"/>
        <v>0</v>
      </c>
      <c r="AU15" s="39">
        <f t="shared" si="8"/>
        <v>1</v>
      </c>
      <c r="AV15" s="39">
        <f t="shared" si="9"/>
        <v>1</v>
      </c>
      <c r="AW15" s="40">
        <f t="shared" si="10"/>
        <v>0</v>
      </c>
    </row>
    <row r="16" spans="1:49">
      <c r="A16" s="13">
        <v>14</v>
      </c>
      <c r="B16" s="16">
        <f>_xlfn.MAXIFS('Model output'!B:B,'Model output'!Z:Z,'Classification result'!$A16)</f>
        <v>45630</v>
      </c>
      <c r="C16" s="16"/>
      <c r="D16" s="16"/>
      <c r="E16" s="17">
        <f>_xlfn.MAXIFS('Model output'!C:C,'Model output'!Z:Z,'Classification result'!$A16)</f>
        <v>51</v>
      </c>
      <c r="F16" s="17" t="str" cm="1">
        <f t="array" ref="F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G16" s="17" t="str" cm="1">
        <f t="array" ref="G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H16" s="17" cm="1">
        <f t="array" ref="H16">IF(AND(SUBSTITUTE(_xlfn.TEXTJOIN("/", TRUE, _xlfn._xlws.FILTER('Model output'!F:F, 'Model output'!Z:Z=A16)),"M", "")="", K16="negative"),0,IF(K16="positive",1,0))</f>
        <v>0</v>
      </c>
      <c r="I16" t="str">
        <f t="shared" si="0"/>
        <v>positive</v>
      </c>
      <c r="J16" t="str" cm="1">
        <f t="array" ref="J16">IF(AND(M16&gt;0,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output'!Z:Z=A16)),1)))),"lateral",IF(AND(M16=0, _xlfn.TEXTJOIN("; ", TRUE, _xlfn._xlws.FILTER('Model output'!G:G, 'Model output'!Z:Z=A16))=""),"", "central"))</f>
        <v>central</v>
      </c>
      <c r="K16" s="17" t="str" cm="1">
        <f t="array" ref="K16">IF(OR(ISNUMBER(SEARCH("[]",_xlfn.TEXTJOIN("; ", TRUE, _xlfn._xlws.FILTER('Model output'!H:H, 'Model output'!Z:Z=A16)),1)), 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L16" s="17">
        <f>IF(IFERROR(INDEX('Model output'!I:I, MATCH(A16, 'Model output'!Z:Z, 0)), "") &lt; M16, "", IFERROR(INDEX('Model output'!I:I, MATCH(A16, 'Model output'!Z:Z, 0)), ""))</f>
        <v>0</v>
      </c>
      <c r="M16" s="17">
        <f>IFERROR(INDEX('Model output'!J:J, MATCH(A16, 'Model output'!Z:Z, 0)), "")</f>
        <v>0</v>
      </c>
      <c r="N16" s="18" t="str" cm="1">
        <f t="array" ref="N16">ReplaceTo(ReplaceAnd(SUBSTITUTE(SUBSTITUTE(_xlfn.TEXTJOIN("; ", TRUE, _xlfn._xlws.FILTER('Model output'!K:K, 'Model output'!Z:Z=A16)), " ", ""), ",", ";")))</f>
        <v/>
      </c>
      <c r="O16" t="str" cm="1">
        <f t="array" ref="O16">IF(LEFT(IF(RIGHT(SUBSTITUTE(FilterWithUnits(N16)&amp;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";")),1)=";",RIGHT(IF(RIGHT(SUBSTITUTE(FilterWithUnits(N16)&amp;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";")),LEN(IF(RIGHT(SUBSTITUTE(FilterWithUnits(N16)&amp;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";")))-1),IF(RIGHT(SUBSTITUTE(FilterWithUnits(N16)&amp;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</f>
        <v/>
      </c>
      <c r="P16" t="str" cm="1">
        <f t="array" ref="P16">IF(MaxSize((SplitDimensions(O16)))=0, "", MaxSize((SplitDimensions(O16))))</f>
        <v/>
      </c>
      <c r="Q16" t="str" cm="1">
        <f t="array" ref="Q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R16" t="str" cm="1">
        <f t="array" ref="R16">IF(ISERROR(INDEX(_xlfn._xlws.FILTER('Model output'!M:M, ('Model output'!Z:Z=A16)*('Model output'!M:M&lt;&gt;"")), 1)), " ", LOWER(INDEX(_xlfn._xlws.FILTER('Model output'!M:M, ('Model output'!Z:Z=A16)*('Model output'!M:M&lt;&gt;"")), 1)))</f>
        <v>encapsulated classic</v>
      </c>
      <c r="S16" t="str" cm="1">
        <f t="array" ref="S16">IF(OR(ISERROR(INDEX(_xlfn._xlws.FILTER('Model output'!N:N,('Model output'!Z:Z=A16)*('Model output'!N:N&lt;&gt;"")),1)),ISNUMBER(SEARCH("ly",SUBSTITUTE(INDEX(_xlfn._xlws.FILTER('Model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T16" t="str" cm="1">
        <f t="array" ref="T16">IF(LEFT(IF(RIGHT(SUBSTITUTE(FilterWithUnits(S16)&amp;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";")),1)=";",RIGHT(IF(RIGHT(SUBSTITUTE(FilterWithUnits(S16)&amp;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";")),LEN(IF(RIGHT(SUBSTITUTE(FilterWithUnits(S16)&amp;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";")))-1),IF(RIGHT(SUBSTITUTE(FilterWithUnits(S16)&amp;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</f>
        <v>3.9cm</v>
      </c>
      <c r="U16" cm="1">
        <f t="array" ref="U16">IF(MaxSize((SplitDimensions(T16)))=0, "", MaxSize((SplitDimensions(T16))))</f>
        <v>3.9</v>
      </c>
      <c r="V16" s="17" t="str" cm="1">
        <f t="array" ref="V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X16" t="str" cm="1">
        <f t="array" ref="X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&lt;4</v>
      </c>
      <c r="Y16" t="str">
        <f t="shared" si="11"/>
        <v>minimal</v>
      </c>
      <c r="Z16" t="str" cm="1">
        <f t="array" ref="Z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AA16" s="17" t="str">
        <f t="shared" si="12"/>
        <v>positive</v>
      </c>
      <c r="AE16" s="17" t="str">
        <f t="shared" si="13"/>
        <v>positive</v>
      </c>
      <c r="AF16" t="str" cm="1">
        <f t="array" ref="AF16">_xlfn.TEXTJOIN("; ",TRUE,_xlfn._xlws.FILTER('Model output'!S:S,'Model output'!Z:Z=A16))</f>
        <v>Invading only strap muscles; Present</v>
      </c>
      <c r="AG16" s="17" t="str" cm="1">
        <f t="array" ref="AG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I16" s="46" t="str">
        <f t="shared" si="1"/>
        <v>high</v>
      </c>
      <c r="AJ16" s="37" t="str">
        <f t="shared" si="2"/>
        <v>3b</v>
      </c>
      <c r="AK16" s="37" t="str">
        <f t="shared" si="3"/>
        <v>x</v>
      </c>
      <c r="AL16" s="37">
        <f t="shared" si="4"/>
        <v>0</v>
      </c>
      <c r="AM16" s="37" t="str">
        <f t="shared" si="5"/>
        <v>I</v>
      </c>
      <c r="AN16" s="38" t="s">
        <v>170</v>
      </c>
      <c r="AO16" s="39" t="s">
        <v>191</v>
      </c>
      <c r="AP16" s="39" t="s">
        <v>189</v>
      </c>
      <c r="AQ16" s="39">
        <v>0</v>
      </c>
      <c r="AR16" s="39" t="s">
        <v>31</v>
      </c>
      <c r="AS16" s="38">
        <f t="shared" si="6"/>
        <v>1</v>
      </c>
      <c r="AT16" s="39">
        <f t="shared" si="7"/>
        <v>1</v>
      </c>
      <c r="AU16" s="39">
        <f t="shared" si="8"/>
        <v>1</v>
      </c>
      <c r="AV16" s="39">
        <f t="shared" si="9"/>
        <v>1</v>
      </c>
      <c r="AW16" s="40">
        <f t="shared" si="10"/>
        <v>1</v>
      </c>
    </row>
    <row r="17" spans="1:49">
      <c r="A17" s="13">
        <v>15</v>
      </c>
      <c r="B17" s="16">
        <f>_xlfn.MAXIFS('Model output'!B:B,'Model output'!Z:Z,'Classification result'!$A17)</f>
        <v>0</v>
      </c>
      <c r="C17" s="16"/>
      <c r="D17" s="16"/>
      <c r="E17" s="17">
        <f>_xlfn.MAXIFS('Model output'!C:C,'Model output'!Z:Z,'Classification result'!$A17)</f>
        <v>64</v>
      </c>
      <c r="F17" s="17" t="str" cm="1">
        <f t="array" ref="F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G17" s="17" t="str" cm="1">
        <f t="array" ref="G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H17" s="17" cm="1">
        <f t="array" ref="H17">IF(AND(SUBSTITUTE(_xlfn.TEXTJOIN("/", TRUE, _xlfn._xlws.FILTER('Model output'!F:F, 'Model output'!Z:Z=A17)),"M", "")="", K17="negative"),0,IF(K17="positive",1,0))</f>
        <v>0</v>
      </c>
      <c r="I17" t="str">
        <f t="shared" si="0"/>
        <v>positive</v>
      </c>
      <c r="J17" t="str" cm="1">
        <f t="array" ref="J17">IF(AND(M17&gt;0,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output'!Z:Z=A17)),1)))),"lateral",IF(AND(M17=0, _xlfn.TEXTJOIN("; ", TRUE, _xlfn._xlws.FILTER('Model output'!G:G, 'Model output'!Z:Z=A17))=""),"", "central"))</f>
        <v>central</v>
      </c>
      <c r="K17" s="17" t="str" cm="1">
        <f t="array" ref="K17">IF(OR(ISNUMBER(SEARCH("[]",_xlfn.TEXTJOIN("; ", TRUE, _xlfn._xlws.FILTER('Model output'!H:H, 'Model output'!Z:Z=A17)),1)), 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L17" s="17">
        <f>IF(IFERROR(INDEX('Model output'!I:I, MATCH(A17, 'Model output'!Z:Z, 0)), "") &lt; M17, "", IFERROR(INDEX('Model output'!I:I, MATCH(A17, 'Model output'!Z:Z, 0)), ""))</f>
        <v>0</v>
      </c>
      <c r="M17" s="17">
        <f>IFERROR(INDEX('Model output'!J:J, MATCH(A17, 'Model output'!Z:Z, 0)), "")</f>
        <v>0</v>
      </c>
      <c r="N17" s="18" t="str" cm="1">
        <f t="array" ref="N17">ReplaceTo(ReplaceAnd(SUBSTITUTE(SUBSTITUTE(_xlfn.TEXTJOIN("; ", TRUE, _xlfn._xlws.FILTER('Model output'!K:K, 'Model output'!Z:Z=A17)), " ", ""), ",", ";")))</f>
        <v/>
      </c>
      <c r="O17" t="str" cm="1">
        <f t="array" ref="O17">IF(LEFT(IF(RIGHT(SUBSTITUTE(FilterWithUnits(N17)&amp;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";")),1)=";",RIGHT(IF(RIGHT(SUBSTITUTE(FilterWithUnits(N17)&amp;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";")),LEN(IF(RIGHT(SUBSTITUTE(FilterWithUnits(N17)&amp;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";")))-1),IF(RIGHT(SUBSTITUTE(FilterWithUnits(N17)&amp;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</f>
        <v/>
      </c>
      <c r="P17" t="str" cm="1">
        <f t="array" ref="P17">IF(MaxSize((SplitDimensions(O17)))=0, "", MaxSize((SplitDimensions(O17))))</f>
        <v/>
      </c>
      <c r="Q17" t="str" cm="1">
        <f t="array" ref="Q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R17" t="str" cm="1">
        <f t="array" ref="R17">IF(ISERROR(INDEX(_xlfn._xlws.FILTER('Model output'!M:M, ('Model output'!Z:Z=A17)*('Model output'!M:M&lt;&gt;"")), 1)), " ", LOWER(INDEX(_xlfn._xlws.FILTER('Model output'!M:M, ('Model output'!Z:Z=A17)*('Model output'!M:M&lt;&gt;"")), 1)))</f>
        <v xml:space="preserve"> </v>
      </c>
      <c r="S17" t="str" cm="1">
        <f t="array" ref="S17">IF(OR(ISERROR(INDEX(_xlfn._xlws.FILTER('Model output'!N:N,('Model output'!Z:Z=A17)*('Model output'!N:N&lt;&gt;"")),1)),ISNUMBER(SEARCH("ly",SUBSTITUTE(INDEX(_xlfn._xlws.FILTER('Model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/>
      </c>
      <c r="T17" t="str" cm="1">
        <f t="array" ref="T17">IF(LEFT(IF(RIGHT(SUBSTITUTE(FilterWithUnits(S17)&amp;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";")),1)=";",RIGHT(IF(RIGHT(SUBSTITUTE(FilterWithUnits(S17)&amp;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";")),LEN(IF(RIGHT(SUBSTITUTE(FilterWithUnits(S17)&amp;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";")))-1),IF(RIGHT(SUBSTITUTE(FilterWithUnits(S17)&amp;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</f>
        <v/>
      </c>
      <c r="U17" t="str" cm="1">
        <f t="array" ref="U17">IF(MaxSize((SplitDimensions(T17)))=0, "", MaxSize((SplitDimensions(T17))))</f>
        <v/>
      </c>
      <c r="V17" s="17" t="str" cm="1">
        <f t="array" ref="V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X17" t="str" cm="1">
        <f t="array" ref="X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Y17" t="str">
        <f t="shared" si="11"/>
        <v>no</v>
      </c>
      <c r="Z17" t="str" cm="1">
        <f t="array" ref="Z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positive</v>
      </c>
      <c r="AA17" s="17" t="str">
        <f t="shared" si="12"/>
        <v>negative</v>
      </c>
      <c r="AE17" s="17" t="str">
        <f t="shared" si="13"/>
        <v>negative</v>
      </c>
      <c r="AF17" t="str" cm="1">
        <f t="array" ref="AF17">_xlfn.TEXTJOIN("; ",TRUE,_xlfn._xlws.FILTER('Model output'!S:S,'Model output'!Z:Z=A17))</f>
        <v>Not identified</v>
      </c>
      <c r="AG17" s="17" t="str" cm="1">
        <f t="array" ref="AG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I17" s="46" t="s">
        <v>75</v>
      </c>
      <c r="AJ17" s="37" t="s">
        <v>75</v>
      </c>
      <c r="AK17" s="37" t="s">
        <v>75</v>
      </c>
      <c r="AL17" s="37" t="s">
        <v>75</v>
      </c>
      <c r="AM17" s="37" t="s">
        <v>75</v>
      </c>
      <c r="AN17" s="38" t="s">
        <v>75</v>
      </c>
      <c r="AO17" s="39" t="s">
        <v>75</v>
      </c>
      <c r="AP17" s="39" t="s">
        <v>75</v>
      </c>
      <c r="AQ17" s="39" t="s">
        <v>75</v>
      </c>
      <c r="AR17" s="39" t="s">
        <v>75</v>
      </c>
      <c r="AS17" s="38">
        <f t="shared" si="6"/>
        <v>1</v>
      </c>
      <c r="AT17" s="39">
        <f t="shared" si="7"/>
        <v>1</v>
      </c>
      <c r="AU17" s="39">
        <f t="shared" si="8"/>
        <v>1</v>
      </c>
      <c r="AV17" s="39">
        <f t="shared" si="9"/>
        <v>1</v>
      </c>
      <c r="AW17" s="40">
        <f t="shared" si="10"/>
        <v>1</v>
      </c>
    </row>
    <row r="18" spans="1:49">
      <c r="A18" s="13">
        <v>16</v>
      </c>
      <c r="B18" s="16">
        <f>_xlfn.MAXIFS('Model output'!B:B,'Model output'!Z:Z,'Classification result'!$A18)</f>
        <v>45537</v>
      </c>
      <c r="C18" s="16"/>
      <c r="D18" s="16"/>
      <c r="E18" s="17">
        <f>_xlfn.MAXIFS('Model output'!C:C,'Model output'!Z:Z,'Classification result'!$A18)</f>
        <v>43</v>
      </c>
      <c r="F18" s="17" t="str" cm="1">
        <f t="array" ref="F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G18" s="17" t="str" cm="1">
        <f t="array" ref="G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X</v>
      </c>
      <c r="H18" s="17" cm="1">
        <f t="array" ref="H18">IF(AND(SUBSTITUTE(_xlfn.TEXTJOIN("/", TRUE, _xlfn._xlws.FILTER('Model output'!F:F, 'Model output'!Z:Z=A18)),"M", "")="", K18="negative"),0,IF(K18="positive",1,0))</f>
        <v>0</v>
      </c>
      <c r="I18" t="str">
        <f t="shared" si="0"/>
        <v>positive</v>
      </c>
      <c r="J18" t="str" cm="1">
        <f t="array" ref="J18">IF(AND(M18&gt;0,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output'!Z:Z=A18)),1)))),"lateral",IF(AND(M18=0, _xlfn.TEXTJOIN("; ", TRUE, _xlfn._xlws.FILTER('Model output'!G:G, 'Model output'!Z:Z=A18))=""),"", "central"))</f>
        <v>central</v>
      </c>
      <c r="K18" s="17" t="str" cm="1">
        <f t="array" ref="K18">IF(OR(ISNUMBER(SEARCH("[]",_xlfn.TEXTJOIN("; ", TRUE, _xlfn._xlws.FILTER('Model output'!H:H, 'Model output'!Z:Z=A18)),1)), 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L18" s="17">
        <f>IF(IFERROR(INDEX('Model output'!I:I, MATCH(A18, 'Model output'!Z:Z, 0)), "") &lt; M18, "", IFERROR(INDEX('Model output'!I:I, MATCH(A18, 'Model output'!Z:Z, 0)), ""))</f>
        <v>0</v>
      </c>
      <c r="M18" s="17">
        <f>IFERROR(INDEX('Model output'!J:J, MATCH(A18, 'Model output'!Z:Z, 0)), "")</f>
        <v>0</v>
      </c>
      <c r="N18" s="18" t="str" cm="1">
        <f t="array" ref="N18">ReplaceTo(ReplaceAnd(SUBSTITUTE(SUBSTITUTE(_xlfn.TEXTJOIN("; ", TRUE, _xlfn._xlws.FILTER('Model output'!K:K, 'Model output'!Z:Z=A18)), " ", ""), ",", ";")))</f>
        <v/>
      </c>
      <c r="O18" t="str" cm="1">
        <f t="array" ref="O18">IF(LEFT(IF(RIGHT(SUBSTITUTE(FilterWithUnits(N18)&amp;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";")),1)=";",RIGHT(IF(RIGHT(SUBSTITUTE(FilterWithUnits(N18)&amp;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";")),LEN(IF(RIGHT(SUBSTITUTE(FilterWithUnits(N18)&amp;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";")))-1),IF(RIGHT(SUBSTITUTE(FilterWithUnits(N18)&amp;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</f>
        <v/>
      </c>
      <c r="P18" t="str" cm="1">
        <f t="array" ref="P18">IF(MaxSize((SplitDimensions(O18)))=0, "", MaxSize((SplitDimensions(O18))))</f>
        <v/>
      </c>
      <c r="Q18" t="str" cm="1">
        <f t="array" ref="Q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R18" t="str" cm="1">
        <f t="array" ref="R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S18" t="str" cm="1">
        <f t="array" ref="S18">IF(OR(ISERROR(INDEX(_xlfn._xlws.FILTER('Model output'!N:N,('Model output'!Z:Z=A18)*('Model output'!N:N&lt;&gt;"")),1)),ISNUMBER(SEARCH("ly",SUBSTITUTE(INDEX(_xlfn._xlws.FILTER('Model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T18" t="str" cm="1">
        <f t="array" ref="T18">IF(LEFT(IF(RIGHT(SUBSTITUTE(FilterWithUnits(S18)&amp;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";")),1)=";",RIGHT(IF(RIGHT(SUBSTITUTE(FilterWithUnits(S18)&amp;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";")),LEN(IF(RIGHT(SUBSTITUTE(FilterWithUnits(S18)&amp;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";")))-1),IF(RIGHT(SUBSTITUTE(FilterWithUnits(S18)&amp;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</f>
        <v>36x32x26mm</v>
      </c>
      <c r="U18" cm="1">
        <f t="array" ref="U18">IF(MaxSize((SplitDimensions(T18)))=0, "", MaxSize((SplitDimensions(T18))))</f>
        <v>3.6</v>
      </c>
      <c r="V18" s="17" t="str" cm="1">
        <f t="array" ref="V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X18" t="str" cm="1">
        <f t="array" ref="X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Y18" t="str">
        <f t="shared" si="11"/>
        <v>minimal</v>
      </c>
      <c r="Z18" t="str" cm="1">
        <f t="array" ref="Z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AA18" s="17" t="str">
        <f t="shared" si="12"/>
        <v>positive</v>
      </c>
      <c r="AE18" s="17" t="str">
        <f t="shared" si="13"/>
        <v>positive</v>
      </c>
      <c r="AF18" t="str" cm="1">
        <f t="array" ref="AF18">_xlfn.TEXTJOIN("; ",TRUE,_xlfn._xlws.FILTER('Model output'!S:S,'Model output'!Z:Z=A18))</f>
        <v>Not identified; Gross extrathyroidal extension with invasion to overlying strap muscles</v>
      </c>
      <c r="AG18" s="17" t="str" cm="1">
        <f t="array" ref="AG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I18" s="46" t="str">
        <f t="shared" ref="AI18:AI37" si="14">IF(OR(ISNUMBER(SEARCH("non-invasive follicular",Q18,1)),ISNUMBER(SEARCH("non-invasive follicular",R18,1))),"NIFTP", IF(OR(K18="positive",AE18="positive",AND(OR(ISNUMBER(SEARCH("follicular", Q18)),ISNUMBER(SEARCH("FTC", Q18))),Y18="extensive"),AND(I18="positive",ISNUMBER(P18),P18&gt;3),AK18=1),"high",IF(OR(ISNUMBER(SEARCH("positive",AA18,1)),ISNUMBER(SEARCH("tall",R18,1)),ISNUMBER(SEARCH("hobnail",R18,1)),ISNUMBER(SEARCH("cribriform",R18,1)),ISNUMBER(SEARCH("diffuse",R18,1)),ISNUMBER(SEARCH("columnar",R18,1)),ISNUMBER(SEARCH("solid",R18,1)),ISNUMBER(SEARCH("tall",Q18,1)),ISNUMBER(SEARCH("hobnail",Q18,1)),ISNUMBER(SEARCH("cribriform",Q18,1)),ISNUMBER(SEARCH("diffuse",Q18,1)),ISNUMBER(SEARCH("columnar",Q18,1)),ISNUMBER(SEARCH("solid",Q18,1)),AND(OR(ISNUMBER(SEARCH("papillary carcinoma",Q18,1)),ISNUMBER(SEARCH("papillary microcarcinoma",Q18,1))),V18="positive"),,AND(AND(ISNUMBER(M18),M18&gt;=5),P18=""),AND(AND(ISNUMBER(M18),M18&gt;=5),AND(ISNUMBER(P18),P18&gt;=1)),J18="lateral"),"intermediate","low")))</f>
        <v>high</v>
      </c>
      <c r="AJ18" s="37" t="str">
        <f t="shared" si="2"/>
        <v>3b</v>
      </c>
      <c r="AK18" s="37" t="str">
        <f t="shared" ref="AK18:AK37" si="15">IF(OR(ISNUMBER(SEARCH("non-invasive follicular",Q18,1)),ISNUMBER(SEARCH("non-invasive follicular",R18,1))),"NIFTP",IF(AND(M18&gt;0,I18="positive",J18="central"),"1a",IF(AND(M18&gt;0,I18="positive",J18="lateral"),"1b",IF(AND(M18=0,L18=0),"x",0))))</f>
        <v>x</v>
      </c>
      <c r="AL18" s="37">
        <f t="shared" ref="AL18:AL37" si="16">IF(OR(ISNUMBER(SEARCH("non-invasive follicular",Q18,1)),ISNUMBER(SEARCH("non-invasive follicular",R18,1))),"NIFTP",IF(K18="unknown","x",IF(K18="negative",0,1)))</f>
        <v>0</v>
      </c>
      <c r="AM18" s="37" t="str">
        <f t="shared" ref="AM18:AM37" si="17">IF(OR(ISNUMBER(SEARCH("non-invasive follicular",Q18,1)),ISNUMBER(SEARCH("non-invasive follicular",R18,1))),"NIFTP",IF(AND(E18&lt;55,AL18=0),"I",IF(AND(E18&lt;55,AL18=1),"II",IF(AL18=1,"IVB",IF(AND(AJ18="4b",AL18=0),"IVA",IF(AND(AJ18="4a",AL18=0),"III",IF(AND(OR(AJ18="3a",AJ18="3b"),AL18=0),"II",IF(AND(AJ18="2",OR(AK18="1",AK18="1a",AK18="1b"),AL18=0),"II",IF(AND(OR(AJ18="1a",AJ18="1b",AJ18="1",AJ18="1 "),OR(AK18="1",AK18="1a",AK18="1b"),AL18=0),"II","I")))))))))</f>
        <v>I</v>
      </c>
      <c r="AN18" s="38" t="s">
        <v>169</v>
      </c>
      <c r="AO18" s="39" t="s">
        <v>348</v>
      </c>
      <c r="AP18" s="39">
        <v>0</v>
      </c>
      <c r="AQ18" s="39">
        <v>0</v>
      </c>
      <c r="AR18" s="39" t="s">
        <v>31</v>
      </c>
      <c r="AS18" s="38">
        <f t="shared" si="6"/>
        <v>0</v>
      </c>
      <c r="AT18" s="39">
        <f t="shared" si="7"/>
        <v>0</v>
      </c>
      <c r="AU18" s="39">
        <f t="shared" si="8"/>
        <v>1</v>
      </c>
      <c r="AV18" s="39">
        <f t="shared" si="9"/>
        <v>1</v>
      </c>
      <c r="AW18" s="40">
        <f t="shared" si="10"/>
        <v>1</v>
      </c>
    </row>
    <row r="19" spans="1:49">
      <c r="A19" s="13">
        <v>17</v>
      </c>
      <c r="B19" s="16">
        <f>_xlfn.MAXIFS('Model output'!B:B,'Model output'!Z:Z,'Classification result'!$A19)</f>
        <v>0</v>
      </c>
      <c r="C19" s="16"/>
      <c r="D19" s="16"/>
      <c r="E19" s="17">
        <f>_xlfn.MAXIFS('Model output'!C:C,'Model output'!Z:Z,'Classification result'!$A19)</f>
        <v>49</v>
      </c>
      <c r="F19" s="17" t="str" cm="1">
        <f t="array" ref="F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G19" s="17" t="str" cm="1">
        <f t="array" ref="G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H19" s="17" cm="1">
        <f t="array" ref="H19">IF(AND(SUBSTITUTE(_xlfn.TEXTJOIN("/", TRUE, _xlfn._xlws.FILTER('Model output'!F:F, 'Model output'!Z:Z=A19)),"M", "")="", K19="negative"),0,IF(K19="positive",1,0))</f>
        <v>0</v>
      </c>
      <c r="I19" t="str">
        <f t="shared" si="0"/>
        <v>positive</v>
      </c>
      <c r="J19" t="str" cm="1">
        <f t="array" ref="J19">IF(AND(M19&gt;0,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output'!Z:Z=A19)),1)))),"lateral",IF(AND(M19=0, _xlfn.TEXTJOIN("; ", TRUE, _xlfn._xlws.FILTER('Model output'!G:G, 'Model output'!Z:Z=A19))=""),"", "central"))</f>
        <v>lateral</v>
      </c>
      <c r="K19" s="17" t="str" cm="1">
        <f t="array" ref="K19">IF(OR(ISNUMBER(SEARCH("[]",_xlfn.TEXTJOIN("; ", TRUE, _xlfn._xlws.FILTER('Model output'!H:H, 'Model output'!Z:Z=A19)),1)), 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L19" s="17">
        <f>IF(IFERROR(INDEX('Model output'!I:I, MATCH(A19, 'Model output'!Z:Z, 0)), "") &lt; M19, "", IFERROR(INDEX('Model output'!I:I, MATCH(A19, 'Model output'!Z:Z, 0)), ""))</f>
        <v>2</v>
      </c>
      <c r="M19" s="17">
        <f>IFERROR(INDEX('Model output'!J:J, MATCH(A19, 'Model output'!Z:Z, 0)), "")</f>
        <v>1</v>
      </c>
      <c r="N19" s="18" t="str" cm="1">
        <f t="array" ref="N19">ReplaceTo(ReplaceAnd(SUBSTITUTE(SUBSTITUTE(_xlfn.TEXTJOIN("; ", TRUE, _xlfn._xlws.FILTER('Model output'!K:K, 'Model output'!Z:Z=A19)), " ", ""), ",", ";")))</f>
        <v>10mm;1.3cm</v>
      </c>
      <c r="O19" t="str" cm="1">
        <f t="array" ref="O19">IF(LEFT(IF(RIGHT(SUBSTITUTE(FilterWithUnits(N19)&amp;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";")),1)=";",RIGHT(IF(RIGHT(SUBSTITUTE(FilterWithUnits(N19)&amp;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";")),LEN(IF(RIGHT(SUBSTITUTE(FilterWithUnits(N19)&amp;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";")))-1),IF(RIGHT(SUBSTITUTE(FilterWithUnits(N19)&amp;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</f>
        <v>10mm;1.3cm</v>
      </c>
      <c r="P19" cm="1">
        <f t="array" ref="P19">IF(MaxSize((SplitDimensions(O19)))=0, "", MaxSize((SplitDimensions(O19))))</f>
        <v>1.3</v>
      </c>
      <c r="Q19" t="str" cm="1">
        <f t="array" ref="Q19">IF(ISERROR(INDEX(_xlfn._xlws.FILTER('Model output'!L:L, ('Model output'!Z:Z=A19)*('Model output'!L:L&lt;&gt;"")), 1)), " ", LOWER(INDEX(_xlfn._xlws.FILTER('Model output'!L:L, ('Model output'!Z:Z=A19)*('Model output'!L:L&lt;&gt;"")), 1)))</f>
        <v>papillary carcinoma</v>
      </c>
      <c r="R19" t="str" cm="1">
        <f t="array" ref="R19">IF(ISERROR(INDEX(_xlfn._xlws.FILTER('Model output'!M:M, ('Model output'!Z:Z=A19)*('Model output'!M:M&lt;&gt;"")), 1)), " ", LOWER(INDEX(_xlfn._xlws.FILTER('Model output'!M:M, ('Model output'!Z:Z=A19)*('Model output'!M:M&lt;&gt;"")), 1)))</f>
        <v>classic subtype</v>
      </c>
      <c r="S19" t="str" cm="1">
        <f t="array" ref="S19">IF(OR(ISERROR(INDEX(_xlfn._xlws.FILTER('Model output'!N:N,('Model output'!Z:Z=A19)*('Model output'!N:N&lt;&gt;"")),1)),ISNUMBER(SEARCH("ly",SUBSTITUTE(INDEX(_xlfn._xlws.FILTER('Model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T19" t="str" cm="1">
        <f t="array" ref="T19">IF(LEFT(IF(RIGHT(SUBSTITUTE(FilterWithUnits(S19)&amp;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";")),1)=";",RIGHT(IF(RIGHT(SUBSTITUTE(FilterWithUnits(S19)&amp;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";")),LEN(IF(RIGHT(SUBSTITUTE(FilterWithUnits(S19)&amp;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";")))-1),IF(RIGHT(SUBSTITUTE(FilterWithUnits(S19)&amp;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</f>
        <v>11mm</v>
      </c>
      <c r="U19" cm="1">
        <f t="array" ref="U19">IF(MaxSize((SplitDimensions(T19)))=0, "", MaxSize((SplitDimensions(T19))))</f>
        <v>1.1000000000000001</v>
      </c>
      <c r="V19" s="17" t="str" cm="1">
        <f t="array" ref="V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X19" t="str" cm="1">
        <f t="array" ref="X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Y19" t="str">
        <f t="shared" si="11"/>
        <v>no</v>
      </c>
      <c r="Z19" t="str" cm="1">
        <f t="array" ref="Z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positive</v>
      </c>
      <c r="AA19" s="17" t="str">
        <f t="shared" si="12"/>
        <v>positive</v>
      </c>
      <c r="AE19" s="17" t="str">
        <f t="shared" si="13"/>
        <v>negative</v>
      </c>
      <c r="AF19" t="str" cm="1">
        <f t="array" ref="AF19">_xlfn.TEXTJOIN("; ",TRUE,_xlfn._xlws.FILTER('Model output'!S:S,'Model output'!Z:Z=A19))</f>
        <v>Not identified; Present</v>
      </c>
      <c r="AG19" s="17" t="str" cm="1">
        <f t="array" ref="AG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I19" s="46" t="str">
        <f t="shared" si="14"/>
        <v>intermediate</v>
      </c>
      <c r="AJ19" s="37" t="str">
        <f t="shared" si="2"/>
        <v>1b</v>
      </c>
      <c r="AK19" s="37" t="str">
        <f t="shared" si="15"/>
        <v>1b</v>
      </c>
      <c r="AL19" s="37">
        <f t="shared" si="16"/>
        <v>0</v>
      </c>
      <c r="AM19" s="37" t="str">
        <f t="shared" si="17"/>
        <v>I</v>
      </c>
      <c r="AN19" s="38" t="s">
        <v>169</v>
      </c>
      <c r="AO19" s="39" t="s">
        <v>188</v>
      </c>
      <c r="AP19" s="39" t="s">
        <v>188</v>
      </c>
      <c r="AQ19" s="39">
        <v>0</v>
      </c>
      <c r="AR19" s="39" t="s">
        <v>31</v>
      </c>
      <c r="AS19" s="38">
        <f t="shared" si="6"/>
        <v>1</v>
      </c>
      <c r="AT19" s="39">
        <f t="shared" si="7"/>
        <v>1</v>
      </c>
      <c r="AU19" s="39">
        <f t="shared" si="8"/>
        <v>1</v>
      </c>
      <c r="AV19" s="39">
        <f t="shared" si="9"/>
        <v>1</v>
      </c>
      <c r="AW19" s="40">
        <f t="shared" si="10"/>
        <v>1</v>
      </c>
    </row>
    <row r="20" spans="1:49">
      <c r="A20" s="13">
        <v>18</v>
      </c>
      <c r="B20" s="16">
        <f>_xlfn.MAXIFS('Model output'!B:B,'Model output'!Z:Z,'Classification result'!$A20)</f>
        <v>45385</v>
      </c>
      <c r="C20" s="16"/>
      <c r="D20" s="16"/>
      <c r="E20" s="17">
        <f>_xlfn.MAXIFS('Model output'!C:C,'Model output'!Z:Z,'Classification result'!$A20)</f>
        <v>55</v>
      </c>
      <c r="F20" s="17" t="str" cm="1">
        <f t="array" ref="F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G20" s="17" t="str" cm="1">
        <f t="array" ref="G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H20" s="17" cm="1">
        <f t="array" ref="H20">IF(AND(SUBSTITUTE(_xlfn.TEXTJOIN("/", TRUE, _xlfn._xlws.FILTER('Model output'!F:F, 'Model output'!Z:Z=A20)),"M", "")="", K20="negative"),0,IF(K20="positive",1,0))</f>
        <v>0</v>
      </c>
      <c r="I20" t="str">
        <f t="shared" si="0"/>
        <v>positive</v>
      </c>
      <c r="J20" t="str" cm="1">
        <f t="array" ref="J20">IF(AND(M20&gt;0,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output'!Z:Z=A20)),1)))),"lateral",IF(AND(M20=0, _xlfn.TEXTJOIN("; ", TRUE, _xlfn._xlws.FILTER('Model output'!G:G, 'Model output'!Z:Z=A20))=""),"", "central"))</f>
        <v>central</v>
      </c>
      <c r="K20" s="17" t="str" cm="1">
        <f t="array" ref="K20">IF(OR(ISNUMBER(SEARCH("[]",_xlfn.TEXTJOIN("; ", TRUE, _xlfn._xlws.FILTER('Model output'!H:H, 'Model output'!Z:Z=A20)),1)), 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L20" s="17">
        <f>IF(IFERROR(INDEX('Model output'!I:I, MATCH(A20, 'Model output'!Z:Z, 0)), "") &lt; M20, "", IFERROR(INDEX('Model output'!I:I, MATCH(A20, 'Model output'!Z:Z, 0)), ""))</f>
        <v>4</v>
      </c>
      <c r="M20" s="17">
        <f>IFERROR(INDEX('Model output'!J:J, MATCH(A20, 'Model output'!Z:Z, 0)), "")</f>
        <v>4</v>
      </c>
      <c r="N20" s="18" t="str" cm="1">
        <f t="array" ref="N20">ReplaceTo(ReplaceAnd(SUBSTITUTE(SUBSTITUTE(_xlfn.TEXTJOIN("; ", TRUE, _xlfn._xlws.FILTER('Model output'!K:K, 'Model output'!Z:Z=A20)), " ", ""), ",", ";")))</f>
        <v>0.5cm</v>
      </c>
      <c r="O20" t="str" cm="1">
        <f t="array" ref="O20">IF(LEFT(IF(RIGHT(SUBSTITUTE(FilterWithUnits(N20)&amp;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";")),1)=";",RIGHT(IF(RIGHT(SUBSTITUTE(FilterWithUnits(N20)&amp;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";")),LEN(IF(RIGHT(SUBSTITUTE(FilterWithUnits(N20)&amp;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";")))-1),IF(RIGHT(SUBSTITUTE(FilterWithUnits(N20)&amp;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</f>
        <v>0.5cm</v>
      </c>
      <c r="P20" cm="1">
        <f t="array" ref="P20">IF(MaxSize((SplitDimensions(O20)))=0, "", MaxSize((SplitDimensions(O20))))</f>
        <v>0.5</v>
      </c>
      <c r="Q20" t="str" cm="1">
        <f t="array" ref="Q20">IF(ISERROR(INDEX(_xlfn._xlws.FILTER('Model output'!L:L, ('Model output'!Z:Z=A20)*('Model output'!L:L&lt;&gt;"")), 1)), " ", LOWER(INDEX(_xlfn._xlws.FILTER('Model output'!L:L, ('Model output'!Z:Z=A20)*('Model output'!L:L&lt;&gt;"")), 1)))</f>
        <v>papillary carcinoma</v>
      </c>
      <c r="R20" t="str" cm="1">
        <f t="array" ref="R20">IF(ISERROR(INDEX(_xlfn._xlws.FILTER('Model output'!M:M, ('Model output'!Z:Z=A20)*('Model output'!M:M&lt;&gt;"")), 1)), " ", LOWER(INDEX(_xlfn._xlws.FILTER('Model output'!M:M, ('Model output'!Z:Z=A20)*('Model output'!M:M&lt;&gt;"")), 1)))</f>
        <v>classic subtype</v>
      </c>
      <c r="S20" t="str" cm="1">
        <f t="array" ref="S20">IF(OR(ISERROR(INDEX(_xlfn._xlws.FILTER('Model output'!N:N,('Model output'!Z:Z=A20)*('Model output'!N:N&lt;&gt;"")),1)),ISNUMBER(SEARCH("ly",SUBSTITUTE(INDEX(_xlfn._xlws.FILTER('Model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3cm</v>
      </c>
      <c r="T20" t="str" cm="1">
        <f t="array" ref="T20">IF(LEFT(IF(RIGHT(SUBSTITUTE(FilterWithUnits(S20)&amp;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";")),1)=";",RIGHT(IF(RIGHT(SUBSTITUTE(FilterWithUnits(S20)&amp;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";")),LEN(IF(RIGHT(SUBSTITUTE(FilterWithUnits(S20)&amp;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";")))-1),IF(RIGHT(SUBSTITUTE(FilterWithUnits(S20)&amp;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</f>
        <v>3cm</v>
      </c>
      <c r="U20" cm="1">
        <f t="array" ref="U20">IF(MaxSize((SplitDimensions(T20)))=0, "", MaxSize((SplitDimensions(T20))))</f>
        <v>3</v>
      </c>
      <c r="V20" s="17" t="str" cm="1">
        <f t="array" ref="V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positive</v>
      </c>
      <c r="X20" t="str" cm="1">
        <f t="array" ref="X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Y20" t="str">
        <f t="shared" si="11"/>
        <v>minimal</v>
      </c>
      <c r="Z20" t="str" cm="1">
        <f t="array" ref="Z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positive</v>
      </c>
      <c r="AA20" s="17" t="str">
        <f t="shared" si="12"/>
        <v>positive</v>
      </c>
      <c r="AE20" s="17" t="str">
        <f t="shared" si="13"/>
        <v>positive</v>
      </c>
      <c r="AF20" t="str" cm="1">
        <f t="array" ref="AF20">_xlfn.TEXTJOIN("; ",TRUE,_xlfn._xlws.FILTER('Model output'!S:S,'Model output'!Z:Z=A20))</f>
        <v>Invading only strap muscles; Present</v>
      </c>
      <c r="AG20" s="17" t="str" cm="1">
        <f t="array" ref="AG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I20" s="46" t="str">
        <f t="shared" si="14"/>
        <v>high</v>
      </c>
      <c r="AJ20" s="37" t="str">
        <f t="shared" si="2"/>
        <v>4a</v>
      </c>
      <c r="AK20" s="37" t="str">
        <f t="shared" si="15"/>
        <v>1a</v>
      </c>
      <c r="AL20" s="37">
        <f t="shared" si="16"/>
        <v>0</v>
      </c>
      <c r="AM20" s="37" t="str">
        <f t="shared" si="17"/>
        <v>III</v>
      </c>
      <c r="AN20" s="38" t="s">
        <v>170</v>
      </c>
      <c r="AO20" s="39" t="s">
        <v>193</v>
      </c>
      <c r="AP20" s="39" t="s">
        <v>190</v>
      </c>
      <c r="AQ20" s="39">
        <v>0</v>
      </c>
      <c r="AR20" s="39" t="s">
        <v>68</v>
      </c>
      <c r="AS20" s="38">
        <f t="shared" si="6"/>
        <v>1</v>
      </c>
      <c r="AT20" s="39">
        <f t="shared" si="7"/>
        <v>1</v>
      </c>
      <c r="AU20" s="39">
        <f t="shared" si="8"/>
        <v>1</v>
      </c>
      <c r="AV20" s="39">
        <f t="shared" si="9"/>
        <v>1</v>
      </c>
      <c r="AW20" s="40">
        <f t="shared" si="10"/>
        <v>1</v>
      </c>
    </row>
    <row r="21" spans="1:49">
      <c r="A21" s="13">
        <v>19</v>
      </c>
      <c r="B21" s="16">
        <f>_xlfn.MAXIFS('Model output'!B:B,'Model output'!Z:Z,'Classification result'!$A21)</f>
        <v>0</v>
      </c>
      <c r="C21" s="16"/>
      <c r="D21" s="16"/>
      <c r="E21" s="17">
        <f>_xlfn.MAXIFS('Model output'!C:C,'Model output'!Z:Z,'Classification result'!$A21)</f>
        <v>23</v>
      </c>
      <c r="F21" s="17" t="str" cm="1">
        <f t="array" ref="F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G21" s="17" t="str" cm="1">
        <f t="array" ref="G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>X</v>
      </c>
      <c r="H21" s="17" cm="1">
        <f t="array" ref="H21">IF(AND(SUBSTITUTE(_xlfn.TEXTJOIN("/", TRUE, _xlfn._xlws.FILTER('Model output'!F:F, 'Model output'!Z:Z=A21)),"M", "")="", K21="negative"),0,IF(K21="positive",1,0))</f>
        <v>0</v>
      </c>
      <c r="I21" t="str">
        <f t="shared" si="0"/>
        <v/>
      </c>
      <c r="J21" t="str" cm="1">
        <f t="array" ref="J21">IF(AND(M21&gt;0,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output'!Z:Z=A21)),1)))),"lateral",IF(AND(M21=0, _xlfn.TEXTJOIN("; ", TRUE, _xlfn._xlws.FILTER('Model output'!G:G, 'Model output'!Z:Z=A21))=""),"", "central"))</f>
        <v/>
      </c>
      <c r="K21" s="17" t="str" cm="1">
        <f t="array" ref="K21">IF(OR(ISNUMBER(SEARCH("[]",_xlfn.TEXTJOIN("; ", TRUE, _xlfn._xlws.FILTER('Model output'!H:H, 'Model output'!Z:Z=A21)),1)), 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L21" s="17">
        <f>IF(IFERROR(INDEX('Model output'!I:I, MATCH(A21, 'Model output'!Z:Z, 0)), "") &lt; M21, "", IFERROR(INDEX('Model output'!I:I, MATCH(A21, 'Model output'!Z:Z, 0)), ""))</f>
        <v>1</v>
      </c>
      <c r="M21" s="17">
        <f>IFERROR(INDEX('Model output'!J:J, MATCH(A21, 'Model output'!Z:Z, 0)), "")</f>
        <v>0</v>
      </c>
      <c r="N21" s="18" t="str" cm="1">
        <f t="array" ref="N21">ReplaceTo(ReplaceAnd(SUBSTITUTE(SUBSTITUTE(_xlfn.TEXTJOIN("; ", TRUE, _xlfn._xlws.FILTER('Model output'!K:K, 'Model output'!Z:Z=A21)), " ", ""), ",", ";")))</f>
        <v/>
      </c>
      <c r="O21" t="str" cm="1">
        <f t="array" ref="O21">IF(LEFT(IF(RIGHT(SUBSTITUTE(FilterWithUnits(N21)&amp;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";")),1)=";",RIGHT(IF(RIGHT(SUBSTITUTE(FilterWithUnits(N21)&amp;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";")),LEN(IF(RIGHT(SUBSTITUTE(FilterWithUnits(N21)&amp;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";")))-1),IF(RIGHT(SUBSTITUTE(FilterWithUnits(N21)&amp;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</f>
        <v/>
      </c>
      <c r="P21" t="str" cm="1">
        <f t="array" ref="P21">IF(MaxSize((SplitDimensions(O21)))=0, "", MaxSize((SplitDimensions(O21))))</f>
        <v/>
      </c>
      <c r="Q21" t="str" cm="1">
        <f t="array" ref="Q21">IF(ISERROR(INDEX(_xlfn._xlws.FILTER('Model output'!L:L, ('Model output'!Z:Z=A21)*('Model output'!L:L&lt;&gt;"")), 1)), " ", LOWER(INDEX(_xlfn._xlws.FILTER('Model output'!L:L, ('Model output'!Z:Z=A21)*('Model output'!L:L&lt;&gt;"")), 1)))</f>
        <v>papillary</v>
      </c>
      <c r="R21" t="str" cm="1">
        <f t="array" ref="R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S21" t="str" cm="1">
        <f t="array" ref="S21">IF(OR(ISERROR(INDEX(_xlfn._xlws.FILTER('Model output'!N:N,('Model output'!Z:Z=A21)*('Model output'!N:N&lt;&gt;"")),1)),ISNUMBER(SEARCH("ly",SUBSTITUTE(INDEX(_xlfn._xlws.FILTER('Model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T21" t="str" cm="1">
        <f t="array" ref="T21">IF(LEFT(IF(RIGHT(SUBSTITUTE(FilterWithUnits(S21)&amp;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";")),1)=";",RIGHT(IF(RIGHT(SUBSTITUTE(FilterWithUnits(S21)&amp;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";")),LEN(IF(RIGHT(SUBSTITUTE(FilterWithUnits(S21)&amp;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";")))-1),IF(RIGHT(SUBSTITUTE(FilterWithUnits(S21)&amp;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</f>
        <v>2mm</v>
      </c>
      <c r="U21" cm="1">
        <f t="array" ref="U21">IF(MaxSize((SplitDimensions(T21)))=0, "", MaxSize((SplitDimensions(T21))))</f>
        <v>0.2</v>
      </c>
      <c r="V21" s="17" t="str" cm="1">
        <f t="array" ref="V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X21" t="str" cm="1">
        <f t="array" ref="X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Y21" t="str">
        <f t="shared" si="11"/>
        <v>no</v>
      </c>
      <c r="Z21" t="str" cm="1">
        <f t="array" ref="Z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positive</v>
      </c>
      <c r="AA21" s="17" t="str">
        <f t="shared" si="12"/>
        <v>negative</v>
      </c>
      <c r="AE21" s="17" t="str">
        <f t="shared" si="13"/>
        <v>negative</v>
      </c>
      <c r="AF21" t="str" cm="1">
        <f t="array" ref="AF21">_xlfn.TEXTJOIN("; ",TRUE,_xlfn._xlws.FILTER('Model output'!S:S,'Model output'!Z:Z=A21))</f>
        <v>Not identified</v>
      </c>
      <c r="AG21" s="17" t="str" cm="1">
        <f t="array" ref="AG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I21" s="46" t="str">
        <f t="shared" si="14"/>
        <v>low</v>
      </c>
      <c r="AJ21" s="37" t="str">
        <f t="shared" si="2"/>
        <v>1a</v>
      </c>
      <c r="AK21" s="37">
        <f t="shared" si="15"/>
        <v>0</v>
      </c>
      <c r="AL21" s="37">
        <f t="shared" si="16"/>
        <v>0</v>
      </c>
      <c r="AM21" s="37" t="str">
        <f t="shared" si="17"/>
        <v>I</v>
      </c>
      <c r="AN21" s="38" t="s">
        <v>171</v>
      </c>
      <c r="AO21" s="39" t="s">
        <v>190</v>
      </c>
      <c r="AP21" s="39">
        <v>0</v>
      </c>
      <c r="AQ21" s="39">
        <v>0</v>
      </c>
      <c r="AR21" s="39" t="s">
        <v>31</v>
      </c>
      <c r="AS21" s="38">
        <f t="shared" si="6"/>
        <v>1</v>
      </c>
      <c r="AT21" s="39">
        <f t="shared" si="7"/>
        <v>1</v>
      </c>
      <c r="AU21" s="39">
        <f t="shared" si="8"/>
        <v>1</v>
      </c>
      <c r="AV21" s="39">
        <f t="shared" si="9"/>
        <v>1</v>
      </c>
      <c r="AW21" s="40">
        <f t="shared" si="10"/>
        <v>1</v>
      </c>
    </row>
    <row r="22" spans="1:49">
      <c r="A22" s="13">
        <v>20</v>
      </c>
      <c r="B22" s="16">
        <f>_xlfn.MAXIFS('Model output'!B:B,'Model output'!Z:Z,'Classification result'!$A22)</f>
        <v>0</v>
      </c>
      <c r="C22" s="16"/>
      <c r="D22" s="16"/>
      <c r="E22" s="17">
        <f>_xlfn.MAXIFS('Model output'!C:C,'Model output'!Z:Z,'Classification result'!$A22)</f>
        <v>61</v>
      </c>
      <c r="F22" s="17" t="str" cm="1">
        <f t="array" ref="F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/>
      </c>
      <c r="G22" s="17" t="str" cm="1">
        <f t="array" ref="G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/>
      </c>
      <c r="H22" s="17" cm="1">
        <f t="array" ref="H22">IF(AND(SUBSTITUTE(_xlfn.TEXTJOIN("/", TRUE, _xlfn._xlws.FILTER('Model output'!F:F, 'Model output'!Z:Z=A22)),"M", "")="", K22="negative"),0,IF(K22="positive",1,0))</f>
        <v>0</v>
      </c>
      <c r="I22" t="str">
        <f t="shared" si="0"/>
        <v>positive</v>
      </c>
      <c r="J22" t="str" cm="1">
        <f t="array" ref="J22">IF(AND(M22&gt;0,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output'!Z:Z=A22)),1)))),"lateral",IF(AND(M22=0, _xlfn.TEXTJOIN("; ", TRUE, _xlfn._xlws.FILTER('Model output'!G:G, 'Model output'!Z:Z=A22))=""),"", "central"))</f>
        <v>central</v>
      </c>
      <c r="K22" s="17" t="str" cm="1">
        <f t="array" ref="K22">IF(OR(ISNUMBER(SEARCH("[]",_xlfn.TEXTJOIN("; ", TRUE, _xlfn._xlws.FILTER('Model output'!H:H, 'Model output'!Z:Z=A22)),1)), 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L22" s="17">
        <f>IF(IFERROR(INDEX('Model output'!I:I, MATCH(A22, 'Model output'!Z:Z, 0)), "") &lt; M22, "", IFERROR(INDEX('Model output'!I:I, MATCH(A22, 'Model output'!Z:Z, 0)), ""))</f>
        <v>4</v>
      </c>
      <c r="M22" s="17">
        <f>IFERROR(INDEX('Model output'!J:J, MATCH(A22, 'Model output'!Z:Z, 0)), "")</f>
        <v>3</v>
      </c>
      <c r="N22" s="18" t="str" cm="1">
        <f t="array" ref="N22">ReplaceTo(ReplaceAnd(SUBSTITUTE(SUBSTITUTE(_xlfn.TEXTJOIN("; ", TRUE, _xlfn._xlws.FILTER('Model output'!K:K, 'Model output'!Z:Z=A22)), " ", ""), ",", ";")))</f>
        <v/>
      </c>
      <c r="O22" t="str" cm="1">
        <f t="array" ref="O22">IF(LEFT(IF(RIGHT(SUBSTITUTE(FilterWithUnits(N22)&amp;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";")),1)=";",RIGHT(IF(RIGHT(SUBSTITUTE(FilterWithUnits(N22)&amp;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";")),LEN(IF(RIGHT(SUBSTITUTE(FilterWithUnits(N22)&amp;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";")))-1),IF(RIGHT(SUBSTITUTE(FilterWithUnits(N22)&amp;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</f>
        <v/>
      </c>
      <c r="P22" t="str" cm="1">
        <f t="array" ref="P22">IF(MaxSize((SplitDimensions(O22)))=0, "", MaxSize((SplitDimensions(O22))))</f>
        <v/>
      </c>
      <c r="Q22" t="str" cm="1">
        <f t="array" ref="Q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R22" t="str" cm="1">
        <f t="array" ref="R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S22" t="str" cm="1">
        <f t="array" ref="S22">IF(OR(ISERROR(INDEX(_xlfn._xlws.FILTER('Model output'!N:N,('Model output'!Z:Z=A22)*('Model output'!N:N&lt;&gt;"")),1)),ISNUMBER(SEARCH("ly",SUBSTITUTE(INDEX(_xlfn._xlws.FILTER('Model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T22" t="str" cm="1">
        <f t="array" ref="T22">IF(LEFT(IF(RIGHT(SUBSTITUTE(FilterWithUnits(S22)&amp;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";")),1)=";",RIGHT(IF(RIGHT(SUBSTITUTE(FilterWithUnits(S22)&amp;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";")),LEN(IF(RIGHT(SUBSTITUTE(FilterWithUnits(S22)&amp;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";")))-1),IF(RIGHT(SUBSTITUTE(FilterWithUnits(S22)&amp;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</f>
        <v>11mm</v>
      </c>
      <c r="U22" cm="1">
        <f t="array" ref="U22">IF(MaxSize((SplitDimensions(T22)))=0, "", MaxSize((SplitDimensions(T22))))</f>
        <v>1.1000000000000001</v>
      </c>
      <c r="V22" s="17" t="str" cm="1">
        <f t="array" ref="V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X22" t="str" cm="1">
        <f t="array" ref="X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Y22" t="str">
        <f t="shared" si="11"/>
        <v>minimal</v>
      </c>
      <c r="Z22" t="str" cm="1">
        <f t="array" ref="Z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positive</v>
      </c>
      <c r="AA22" s="17" t="str">
        <f t="shared" si="12"/>
        <v>positive</v>
      </c>
      <c r="AE22" s="17" t="str">
        <f t="shared" si="13"/>
        <v>negative</v>
      </c>
      <c r="AF22" t="str" cm="1">
        <f t="array" ref="AF22">_xlfn.TEXTJOIN("; ",TRUE,_xlfn._xlws.FILTER('Model output'!S:S,'Model output'!Z:Z=A22))</f>
        <v>Present</v>
      </c>
      <c r="AG22" s="17" t="str" cm="1">
        <f t="array" ref="AG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I22" s="46" t="str">
        <f t="shared" si="14"/>
        <v>intermediate</v>
      </c>
      <c r="AJ22" s="37" t="str">
        <f t="shared" si="2"/>
        <v>1b</v>
      </c>
      <c r="AK22" s="37" t="str">
        <f t="shared" si="15"/>
        <v>1a</v>
      </c>
      <c r="AL22" s="37">
        <f t="shared" si="16"/>
        <v>0</v>
      </c>
      <c r="AM22" s="37" t="str">
        <f t="shared" si="17"/>
        <v>II</v>
      </c>
      <c r="AN22" s="38" t="s">
        <v>169</v>
      </c>
      <c r="AO22" s="39" t="s">
        <v>188</v>
      </c>
      <c r="AP22" s="39" t="s">
        <v>190</v>
      </c>
      <c r="AQ22" s="39">
        <v>0</v>
      </c>
      <c r="AR22" s="39" t="s">
        <v>43</v>
      </c>
      <c r="AS22" s="38">
        <f t="shared" si="6"/>
        <v>1</v>
      </c>
      <c r="AT22" s="39">
        <f t="shared" si="7"/>
        <v>1</v>
      </c>
      <c r="AU22" s="39">
        <f t="shared" si="8"/>
        <v>1</v>
      </c>
      <c r="AV22" s="39">
        <f t="shared" si="9"/>
        <v>1</v>
      </c>
      <c r="AW22" s="40">
        <f t="shared" si="10"/>
        <v>1</v>
      </c>
    </row>
    <row r="23" spans="1:49">
      <c r="A23" s="13">
        <v>21</v>
      </c>
      <c r="B23" s="16">
        <f>_xlfn.MAXIFS('Model output'!B:B,'Model output'!Z:Z,'Classification result'!$A23)</f>
        <v>45413</v>
      </c>
      <c r="C23" s="16"/>
      <c r="D23" s="16"/>
      <c r="E23" s="17">
        <f>_xlfn.MAXIFS('Model output'!C:C,'Model output'!Z:Z,'Classification result'!$A23)</f>
        <v>51</v>
      </c>
      <c r="F23" s="17" t="str" cm="1">
        <f t="array" ref="F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1b</v>
      </c>
      <c r="G23" s="17" t="str" cm="1">
        <f t="array" ref="G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1a</v>
      </c>
      <c r="H23" s="17" cm="1">
        <f t="array" ref="H23">IF(AND(SUBSTITUTE(_xlfn.TEXTJOIN("/", TRUE, _xlfn._xlws.FILTER('Model output'!F:F, 'Model output'!Z:Z=A23)),"M", "")="", K23="negative"),0,IF(K23="positive",1,0))</f>
        <v>0</v>
      </c>
      <c r="I23" t="str">
        <f t="shared" si="0"/>
        <v>positive</v>
      </c>
      <c r="J23" t="str" cm="1">
        <f t="array" ref="J23">IF(AND(M23&gt;0,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output'!Z:Z=A23)),1)))),"lateral",IF(AND(M23=0, _xlfn.TEXTJOIN("; ", TRUE, _xlfn._xlws.FILTER('Model output'!G:G, 'Model output'!Z:Z=A23))=""),"", "central"))</f>
        <v>central</v>
      </c>
      <c r="K23" s="17" t="str" cm="1">
        <f t="array" ref="K23">IF(OR(ISNUMBER(SEARCH("[]",_xlfn.TEXTJOIN("; ", TRUE, _xlfn._xlws.FILTER('Model output'!H:H, 'Model output'!Z:Z=A23)),1)), 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L23" s="17">
        <f>IF(IFERROR(INDEX('Model output'!I:I, MATCH(A23, 'Model output'!Z:Z, 0)), "") &lt; M23, "", IFERROR(INDEX('Model output'!I:I, MATCH(A23, 'Model output'!Z:Z, 0)), ""))</f>
        <v>7</v>
      </c>
      <c r="M23" s="17">
        <f>IFERROR(INDEX('Model output'!J:J, MATCH(A23, 'Model output'!Z:Z, 0)), "")</f>
        <v>4</v>
      </c>
      <c r="N23" s="18" t="str" cm="1">
        <f t="array" ref="N23">ReplaceTo(ReplaceAnd(SUBSTITUTE(SUBSTITUTE(_xlfn.TEXTJOIN("; ", TRUE, _xlfn._xlws.FILTER('Model output'!K:K, 'Model output'!Z:Z=A23)), " ", ""), ",", ";")))</f>
        <v>1.8cm</v>
      </c>
      <c r="O23" t="str" cm="1">
        <f t="array" ref="O23">IF(LEFT(IF(RIGHT(SUBSTITUTE(FilterWithUnits(N23)&amp;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";")),1)=";",RIGHT(IF(RIGHT(SUBSTITUTE(FilterWithUnits(N23)&amp;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";")),LEN(IF(RIGHT(SUBSTITUTE(FilterWithUnits(N23)&amp;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";")))-1),IF(RIGHT(SUBSTITUTE(FilterWithUnits(N23)&amp;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</f>
        <v>1.8cm</v>
      </c>
      <c r="P23" cm="1">
        <f t="array" ref="P23">IF(MaxSize((SplitDimensions(O23)))=0, "", MaxSize((SplitDimensions(O23))))</f>
        <v>1.8</v>
      </c>
      <c r="Q23" t="str" cm="1">
        <f t="array" ref="Q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R23" t="str" cm="1">
        <f t="array" ref="R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S23" t="str" cm="1">
        <f t="array" ref="S23">IF(OR(ISERROR(INDEX(_xlfn._xlws.FILTER('Model output'!N:N,('Model output'!Z:Z=A23)*('Model output'!N:N&lt;&gt;"")),1)),ISNUMBER(SEARCH("ly",SUBSTITUTE(INDEX(_xlfn._xlws.FILTER('Model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T23" t="str" cm="1">
        <f t="array" ref="T23">IF(LEFT(IF(RIGHT(SUBSTITUTE(FilterWithUnits(S23)&amp;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";")),1)=";",RIGHT(IF(RIGHT(SUBSTITUTE(FilterWithUnits(S23)&amp;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";")),LEN(IF(RIGHT(SUBSTITUTE(FilterWithUnits(S23)&amp;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";")))-1),IF(RIGHT(SUBSTITUTE(FilterWithUnits(S23)&amp;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</f>
        <v>1.8cm</v>
      </c>
      <c r="U23" cm="1">
        <f t="array" ref="U23">IF(MaxSize((SplitDimensions(T23)))=0, "", MaxSize((SplitDimensions(T23))))</f>
        <v>1.8</v>
      </c>
      <c r="V23" s="17" t="str" cm="1">
        <f t="array" ref="V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X23" t="str" cm="1">
        <f t="array" ref="X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Y23" t="str">
        <f t="shared" si="11"/>
        <v>minimal</v>
      </c>
      <c r="Z23" t="str" cm="1">
        <f t="array" ref="Z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AA23" s="17" t="str">
        <f t="shared" si="12"/>
        <v>positive</v>
      </c>
      <c r="AE23" s="17" t="str">
        <f t="shared" si="13"/>
        <v>negative</v>
      </c>
      <c r="AF23" t="str" cm="1">
        <f t="array" ref="AF23">_xlfn.TEXTJOIN("; ",TRUE,_xlfn._xlws.FILTER('Model output'!S:S,'Model output'!Z:Z=A23))</f>
        <v>Present</v>
      </c>
      <c r="AG23" s="17" t="str" cm="1">
        <f t="array" ref="AG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I23" s="46" t="str">
        <f t="shared" si="14"/>
        <v>intermediate</v>
      </c>
      <c r="AJ23" s="37" t="str">
        <f t="shared" si="2"/>
        <v>1b</v>
      </c>
      <c r="AK23" s="37" t="str">
        <f t="shared" si="15"/>
        <v>1a</v>
      </c>
      <c r="AL23" s="37">
        <f t="shared" si="16"/>
        <v>0</v>
      </c>
      <c r="AM23" s="37" t="str">
        <f t="shared" si="17"/>
        <v>I</v>
      </c>
      <c r="AN23" s="38" t="s">
        <v>169</v>
      </c>
      <c r="AO23" s="39" t="s">
        <v>188</v>
      </c>
      <c r="AP23" s="39" t="s">
        <v>190</v>
      </c>
      <c r="AQ23" s="39">
        <v>0</v>
      </c>
      <c r="AR23" s="39" t="s">
        <v>31</v>
      </c>
      <c r="AS23" s="38">
        <f t="shared" si="6"/>
        <v>1</v>
      </c>
      <c r="AT23" s="39">
        <f t="shared" si="7"/>
        <v>1</v>
      </c>
      <c r="AU23" s="39">
        <f t="shared" si="8"/>
        <v>1</v>
      </c>
      <c r="AV23" s="39">
        <f t="shared" si="9"/>
        <v>1</v>
      </c>
      <c r="AW23" s="40">
        <f t="shared" si="10"/>
        <v>1</v>
      </c>
    </row>
    <row r="24" spans="1:49">
      <c r="A24" s="13">
        <v>22</v>
      </c>
      <c r="B24" s="16">
        <f>_xlfn.MAXIFS('Model output'!B:B,'Model output'!Z:Z,'Classification result'!$A24)</f>
        <v>45505</v>
      </c>
      <c r="C24" s="16"/>
      <c r="D24" s="16"/>
      <c r="E24" s="17">
        <f>_xlfn.MAXIFS('Model output'!C:C,'Model output'!Z:Z,'Classification result'!$A24)</f>
        <v>50</v>
      </c>
      <c r="F24" s="17" t="str" cm="1">
        <f t="array" ref="F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G24" s="17" t="str" cm="1">
        <f t="array" ref="G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H24" s="17" cm="1">
        <f t="array" ref="H24">IF(AND(SUBSTITUTE(_xlfn.TEXTJOIN("/", TRUE, _xlfn._xlws.FILTER('Model output'!F:F, 'Model output'!Z:Z=A24)),"M", "")="", K24="negative"),0,IF(K24="positive",1,0))</f>
        <v>0</v>
      </c>
      <c r="I24" t="str">
        <f t="shared" si="0"/>
        <v/>
      </c>
      <c r="J24" t="str" cm="1">
        <f t="array" ref="J24">IF(AND(M24&gt;0,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output'!Z:Z=A24)),1)))),"lateral",IF(AND(M24=0, _xlfn.TEXTJOIN("; ", TRUE, _xlfn._xlws.FILTER('Model output'!G:G, 'Model output'!Z:Z=A24))=""),"", "central"))</f>
        <v/>
      </c>
      <c r="K24" s="17" t="str" cm="1">
        <f t="array" ref="K24">IF(OR(ISNUMBER(SEARCH("[]",_xlfn.TEXTJOIN("; ", TRUE, _xlfn._xlws.FILTER('Model output'!H:H, 'Model output'!Z:Z=A24)),1)), 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L24" s="17">
        <f>IF(IFERROR(INDEX('Model output'!I:I, MATCH(A24, 'Model output'!Z:Z, 0)), "") &lt; M24, "", IFERROR(INDEX('Model output'!I:I, MATCH(A24, 'Model output'!Z:Z, 0)), ""))</f>
        <v>1</v>
      </c>
      <c r="M24" s="17">
        <f>IFERROR(INDEX('Model output'!J:J, MATCH(A24, 'Model output'!Z:Z, 0)), "")</f>
        <v>0</v>
      </c>
      <c r="N24" s="18" t="str" cm="1">
        <f t="array" ref="N24">ReplaceTo(ReplaceAnd(SUBSTITUTE(SUBSTITUTE(_xlfn.TEXTJOIN("; ", TRUE, _xlfn._xlws.FILTER('Model output'!K:K, 'Model output'!Z:Z=A24)), " ", ""), ",", ";")))</f>
        <v/>
      </c>
      <c r="O24" t="str" cm="1">
        <f t="array" ref="O24">IF(LEFT(IF(RIGHT(SUBSTITUTE(FilterWithUnits(N24)&amp;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";")),1)=";",RIGHT(IF(RIGHT(SUBSTITUTE(FilterWithUnits(N24)&amp;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";")),LEN(IF(RIGHT(SUBSTITUTE(FilterWithUnits(N24)&amp;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";")))-1),IF(RIGHT(SUBSTITUTE(FilterWithUnits(N24)&amp;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</f>
        <v/>
      </c>
      <c r="P24" t="str" cm="1">
        <f t="array" ref="P24">IF(MaxSize((SplitDimensions(O24)))=0, "", MaxSize((SplitDimensions(O24))))</f>
        <v/>
      </c>
      <c r="Q24" t="str" cm="1">
        <f t="array" ref="Q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R24" t="str" cm="1">
        <f t="array" ref="R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S24" t="str" cm="1">
        <f t="array" ref="S24">IF(OR(ISERROR(INDEX(_xlfn._xlws.FILTER('Model output'!N:N,('Model output'!Z:Z=A24)*('Model output'!N:N&lt;&gt;"")),1)),ISNUMBER(SEARCH("ly",SUBSTITUTE(INDEX(_xlfn._xlws.FILTER('Model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T24" t="str" cm="1">
        <f t="array" ref="T24">IF(LEFT(IF(RIGHT(SUBSTITUTE(FilterWithUnits(S24)&amp;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";")),1)=";",RIGHT(IF(RIGHT(SUBSTITUTE(FilterWithUnits(S24)&amp;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";")),LEN(IF(RIGHT(SUBSTITUTE(FilterWithUnits(S24)&amp;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";")))-1),IF(RIGHT(SUBSTITUTE(FilterWithUnits(S24)&amp;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</f>
        <v>10mm</v>
      </c>
      <c r="U24" cm="1">
        <f t="array" ref="U24">IF(MaxSize((SplitDimensions(T24)))=0, "", MaxSize((SplitDimensions(T24))))</f>
        <v>1</v>
      </c>
      <c r="V24" s="17" t="str" cm="1">
        <f t="array" ref="V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X24" t="str" cm="1">
        <f t="array" ref="X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Y24" t="str">
        <f t="shared" si="11"/>
        <v>no</v>
      </c>
      <c r="Z24" t="str" cm="1">
        <f t="array" ref="Z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positive</v>
      </c>
      <c r="AA24" s="17" t="str">
        <f t="shared" si="12"/>
        <v>positive</v>
      </c>
      <c r="AE24" s="17" t="str">
        <f t="shared" si="13"/>
        <v>negative</v>
      </c>
      <c r="AF24" t="str" cm="1">
        <f t="array" ref="AF24">_xlfn.TEXTJOIN("; ",TRUE,_xlfn._xlws.FILTER('Model output'!S:S,'Model output'!Z:Z=A24))</f>
        <v>Not identified; Present</v>
      </c>
      <c r="AG24" s="17" t="str" cm="1">
        <f t="array" ref="AG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I24" s="46" t="str">
        <f t="shared" si="14"/>
        <v>intermediate</v>
      </c>
      <c r="AJ24" s="37" t="str">
        <f t="shared" si="2"/>
        <v>1a</v>
      </c>
      <c r="AK24" s="37">
        <f t="shared" si="15"/>
        <v>0</v>
      </c>
      <c r="AL24" s="37">
        <f t="shared" si="16"/>
        <v>0</v>
      </c>
      <c r="AM24" s="37" t="str">
        <f t="shared" si="17"/>
        <v>I</v>
      </c>
      <c r="AN24" s="38" t="s">
        <v>171</v>
      </c>
      <c r="AO24" s="39" t="s">
        <v>190</v>
      </c>
      <c r="AP24" s="39">
        <v>0</v>
      </c>
      <c r="AQ24" s="39">
        <v>0</v>
      </c>
      <c r="AR24" s="39" t="s">
        <v>31</v>
      </c>
      <c r="AS24" s="38">
        <f t="shared" si="6"/>
        <v>0</v>
      </c>
      <c r="AT24" s="39">
        <f t="shared" si="7"/>
        <v>1</v>
      </c>
      <c r="AU24" s="39">
        <f t="shared" si="8"/>
        <v>1</v>
      </c>
      <c r="AV24" s="39">
        <f t="shared" si="9"/>
        <v>1</v>
      </c>
      <c r="AW24" s="40">
        <f t="shared" si="10"/>
        <v>1</v>
      </c>
    </row>
    <row r="25" spans="1:49">
      <c r="A25" s="13">
        <v>23</v>
      </c>
      <c r="B25" s="16">
        <f>_xlfn.MAXIFS('Model output'!B:B,'Model output'!Z:Z,'Classification result'!$A25)</f>
        <v>45413</v>
      </c>
      <c r="C25" s="16"/>
      <c r="D25" s="16"/>
      <c r="E25" s="17">
        <f>_xlfn.MAXIFS('Model output'!C:C,'Model output'!Z:Z,'Classification result'!$A25)</f>
        <v>61</v>
      </c>
      <c r="F25" s="17" t="str" cm="1">
        <f t="array" ref="F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G25" s="17" t="str" cm="1">
        <f t="array" ref="G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X</v>
      </c>
      <c r="H25" s="17" cm="1">
        <f t="array" ref="H25">IF(AND(SUBSTITUTE(_xlfn.TEXTJOIN("/", TRUE, _xlfn._xlws.FILTER('Model output'!F:F, 'Model output'!Z:Z=A25)),"M", "")="", K25="negative"),0,IF(K25="positive",1,0))</f>
        <v>0</v>
      </c>
      <c r="I25" t="str">
        <f t="shared" si="0"/>
        <v>positive</v>
      </c>
      <c r="J25" t="str" cm="1">
        <f t="array" ref="J25">IF(AND(M25&gt;0,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output'!Z:Z=A25)),1)))),"lateral",IF(AND(M25=0, _xlfn.TEXTJOIN("; ", TRUE, _xlfn._xlws.FILTER('Model output'!G:G, 'Model output'!Z:Z=A25))=""),"", "central"))</f>
        <v>central</v>
      </c>
      <c r="K25" s="17" t="str" cm="1">
        <f t="array" ref="K25">IF(OR(ISNUMBER(SEARCH("[]",_xlfn.TEXTJOIN("; ", TRUE, _xlfn._xlws.FILTER('Model output'!H:H, 'Model output'!Z:Z=A25)),1)), 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L25" s="17">
        <f>IF(IFERROR(INDEX('Model output'!I:I, MATCH(A25, 'Model output'!Z:Z, 0)), "") &lt; M25, "", IFERROR(INDEX('Model output'!I:I, MATCH(A25, 'Model output'!Z:Z, 0)), ""))</f>
        <v>1</v>
      </c>
      <c r="M25" s="17">
        <f>IFERROR(INDEX('Model output'!J:J, MATCH(A25, 'Model output'!Z:Z, 0)), "")</f>
        <v>0</v>
      </c>
      <c r="N25" s="18" t="str" cm="1">
        <f t="array" ref="N25">ReplaceTo(ReplaceAnd(SUBSTITUTE(SUBSTITUTE(_xlfn.TEXTJOIN("; ", TRUE, _xlfn._xlws.FILTER('Model output'!K:K, 'Model output'!Z:Z=A25)), " ", ""), ",", ";")))</f>
        <v/>
      </c>
      <c r="O25" t="str" cm="1">
        <f t="array" ref="O25">IF(LEFT(IF(RIGHT(SUBSTITUTE(FilterWithUnits(N25)&amp;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";")),1)=";",RIGHT(IF(RIGHT(SUBSTITUTE(FilterWithUnits(N25)&amp;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";")),LEN(IF(RIGHT(SUBSTITUTE(FilterWithUnits(N25)&amp;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";")))-1),IF(RIGHT(SUBSTITUTE(FilterWithUnits(N25)&amp;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</f>
        <v/>
      </c>
      <c r="P25" t="str" cm="1">
        <f t="array" ref="P25">IF(MaxSize((SplitDimensions(O25)))=0, "", MaxSize((SplitDimensions(O25))))</f>
        <v/>
      </c>
      <c r="Q25" t="str" cm="1">
        <f t="array" ref="Q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R25" t="str" cm="1">
        <f t="array" ref="R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S25" t="str" cm="1">
        <f t="array" ref="S25">IF(OR(ISERROR(INDEX(_xlfn._xlws.FILTER('Model output'!N:N,('Model output'!Z:Z=A25)*('Model output'!N:N&lt;&gt;"")),1)),ISNUMBER(SEARCH("ly",SUBSTITUTE(INDEX(_xlfn._xlws.FILTER('Model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T25" t="str" cm="1">
        <f t="array" ref="T25">IF(LEFT(IF(RIGHT(SUBSTITUTE(FilterWithUnits(S25)&amp;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";")),1)=";",RIGHT(IF(RIGHT(SUBSTITUTE(FilterWithUnits(S25)&amp;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";")),LEN(IF(RIGHT(SUBSTITUTE(FilterWithUnits(S25)&amp;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";")))-1),IF(RIGHT(SUBSTITUTE(FilterWithUnits(S25)&amp;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</f>
        <v>1.2cm</v>
      </c>
      <c r="U25" cm="1">
        <f t="array" ref="U25">IF(MaxSize((SplitDimensions(T25)))=0, "", MaxSize((SplitDimensions(T25))))</f>
        <v>1.2</v>
      </c>
      <c r="V25" s="17" t="str" cm="1">
        <f t="array" ref="V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X25" t="str" cm="1">
        <f t="array" ref="X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Y25" t="str">
        <f t="shared" si="11"/>
        <v>no</v>
      </c>
      <c r="Z25" t="str" cm="1">
        <f t="array" ref="Z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positive</v>
      </c>
      <c r="AA25" s="17" t="str">
        <f t="shared" si="12"/>
        <v>positive</v>
      </c>
      <c r="AE25" s="17" t="str">
        <f t="shared" si="13"/>
        <v>negative</v>
      </c>
      <c r="AF25" t="str" cm="1">
        <f t="array" ref="AF25">_xlfn.TEXTJOIN("; ",TRUE,_xlfn._xlws.FILTER('Model output'!S:S,'Model output'!Z:Z=A25))</f>
        <v>Present</v>
      </c>
      <c r="AG25" s="17" t="str" cm="1">
        <f t="array" ref="AG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I25" s="46" t="str">
        <f t="shared" si="14"/>
        <v>intermediate</v>
      </c>
      <c r="AJ25" s="37" t="str">
        <f t="shared" si="2"/>
        <v>1b</v>
      </c>
      <c r="AK25" s="37">
        <f t="shared" si="15"/>
        <v>0</v>
      </c>
      <c r="AL25" s="37">
        <f t="shared" si="16"/>
        <v>0</v>
      </c>
      <c r="AM25" s="37" t="str">
        <f t="shared" si="17"/>
        <v>I</v>
      </c>
      <c r="AN25" s="38" t="s">
        <v>169</v>
      </c>
      <c r="AO25" s="39" t="s">
        <v>188</v>
      </c>
      <c r="AP25" s="39">
        <v>0</v>
      </c>
      <c r="AQ25" s="39">
        <v>0</v>
      </c>
      <c r="AR25" s="39" t="s">
        <v>31</v>
      </c>
      <c r="AS25" s="38">
        <f t="shared" si="6"/>
        <v>1</v>
      </c>
      <c r="AT25" s="39">
        <f t="shared" si="7"/>
        <v>1</v>
      </c>
      <c r="AU25" s="39">
        <f t="shared" si="8"/>
        <v>1</v>
      </c>
      <c r="AV25" s="39">
        <f t="shared" si="9"/>
        <v>1</v>
      </c>
      <c r="AW25" s="40">
        <f t="shared" si="10"/>
        <v>1</v>
      </c>
    </row>
    <row r="26" spans="1:49">
      <c r="A26" s="13">
        <v>24</v>
      </c>
      <c r="B26" s="16">
        <f>_xlfn.MAXIFS('Model output'!B:B,'Model output'!Z:Z,'Classification result'!$A26)</f>
        <v>45566</v>
      </c>
      <c r="C26" s="16"/>
      <c r="D26" s="16"/>
      <c r="E26" s="17">
        <f>_xlfn.MAXIFS('Model output'!C:C,'Model output'!Z:Z,'Classification result'!$A26)</f>
        <v>55</v>
      </c>
      <c r="F26" s="17" t="str" cm="1">
        <f t="array" ref="F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G26" s="17" t="str" cm="1">
        <f t="array" ref="G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/>
      </c>
      <c r="H26" s="17" cm="1">
        <f t="array" ref="H26">IF(AND(SUBSTITUTE(_xlfn.TEXTJOIN("/", TRUE, _xlfn._xlws.FILTER('Model output'!F:F, 'Model output'!Z:Z=A26)),"M", "")="", K26="negative"),0,IF(K26="positive",1,0))</f>
        <v>0</v>
      </c>
      <c r="I26" t="str">
        <f t="shared" si="0"/>
        <v>positive</v>
      </c>
      <c r="J26" t="str" cm="1">
        <f t="array" ref="J26">IF(AND(M26&gt;0,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output'!Z:Z=A26)),1)))),"lateral",IF(AND(M26=0, _xlfn.TEXTJOIN("; ", TRUE, _xlfn._xlws.FILTER('Model output'!G:G, 'Model output'!Z:Z=A26))=""),"", "central"))</f>
        <v>lateral</v>
      </c>
      <c r="K26" s="17" t="str" cm="1">
        <f t="array" ref="K26">IF(OR(ISNUMBER(SEARCH("[]",_xlfn.TEXTJOIN("; ", TRUE, _xlfn._xlws.FILTER('Model output'!H:H, 'Model output'!Z:Z=A26)),1)), 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L26" s="17">
        <f>IF(IFERROR(INDEX('Model output'!I:I, MATCH(A26, 'Model output'!Z:Z, 0)), "") &lt; M26, "", IFERROR(INDEX('Model output'!I:I, MATCH(A26, 'Model output'!Z:Z, 0)), ""))</f>
        <v>17</v>
      </c>
      <c r="M26" s="17">
        <f>IFERROR(INDEX('Model output'!J:J, MATCH(A26, 'Model output'!Z:Z, 0)), "")</f>
        <v>9</v>
      </c>
      <c r="N26" s="18" t="str" cm="1">
        <f t="array" ref="N26">ReplaceTo(ReplaceAnd(SUBSTITUTE(SUBSTITUTE(_xlfn.TEXTJOIN("; ", TRUE, _xlfn._xlws.FILTER('Model output'!K:K, 'Model output'!Z:Z=A26)), " ", ""), ",", ";")))</f>
        <v>~9mm</v>
      </c>
      <c r="O26" t="str" cm="1">
        <f t="array" ref="O26">IF(LEFT(IF(RIGHT(SUBSTITUTE(FilterWithUnits(N26)&amp;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";")),1)=";",RIGHT(IF(RIGHT(SUBSTITUTE(FilterWithUnits(N26)&amp;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";")),LEN(IF(RIGHT(SUBSTITUTE(FilterWithUnits(N26)&amp;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";")))-1),IF(RIGHT(SUBSTITUTE(FilterWithUnits(N26)&amp;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</f>
        <v>9mm</v>
      </c>
      <c r="P26" cm="1">
        <f t="array" ref="P26">IF(MaxSize((SplitDimensions(O26)))=0, "", MaxSize((SplitDimensions(O26))))</f>
        <v>0.9</v>
      </c>
      <c r="Q26" t="str" cm="1">
        <f t="array" ref="Q26">IF(ISERROR(INDEX(_xlfn._xlws.FILTER('Model output'!L:L, ('Model output'!Z:Z=A26)*('Model output'!L:L&lt;&gt;"")), 1)), " ", LOWER(INDEX(_xlfn._xlws.FILTER('Model output'!L:L, ('Model output'!Z:Z=A26)*('Model output'!L:L&lt;&gt;"")), 1)))</f>
        <v>papillary carcinoma</v>
      </c>
      <c r="R26" t="str" cm="1">
        <f t="array" ref="R26">IF(ISERROR(INDEX(_xlfn._xlws.FILTER('Model output'!M:M, ('Model output'!Z:Z=A26)*('Model output'!M:M&lt;&gt;"")), 1)), " ", LOWER(INDEX(_xlfn._xlws.FILTER('Model output'!M:M, ('Model output'!Z:Z=A26)*('Model output'!M:M&lt;&gt;"")), 1)))</f>
        <v>classic (usual, conventional)</v>
      </c>
      <c r="S26" t="str" cm="1">
        <f t="array" ref="S26">IF(OR(ISERROR(INDEX(_xlfn._xlws.FILTER('Model output'!N:N,('Model output'!Z:Z=A26)*('Model output'!N:N&lt;&gt;"")),1)),ISNUMBER(SEARCH("ly",SUBSTITUTE(INDEX(_xlfn._xlws.FILTER('Model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~2.7cm</v>
      </c>
      <c r="T26" t="str" cm="1">
        <f t="array" ref="T26">IF(LEFT(IF(RIGHT(SUBSTITUTE(FilterWithUnits(S26)&amp;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";")),1)=";",RIGHT(IF(RIGHT(SUBSTITUTE(FilterWithUnits(S26)&amp;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";")),LEN(IF(RIGHT(SUBSTITUTE(FilterWithUnits(S26)&amp;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";")))-1),IF(RIGHT(SUBSTITUTE(FilterWithUnits(S26)&amp;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</f>
        <v>2.7cm</v>
      </c>
      <c r="U26" cm="1">
        <f t="array" ref="U26">IF(MaxSize((SplitDimensions(T26)))=0, "", MaxSize((SplitDimensions(T26))))</f>
        <v>2.7</v>
      </c>
      <c r="V26" s="17" t="str" cm="1">
        <f t="array" ref="V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negative</v>
      </c>
      <c r="X26" t="str" cm="1">
        <f t="array" ref="X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Y26" t="str">
        <f t="shared" si="11"/>
        <v>no</v>
      </c>
      <c r="Z26" t="str" cm="1">
        <f t="array" ref="Z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AA26" s="17" t="str">
        <f t="shared" si="12"/>
        <v>positive</v>
      </c>
      <c r="AE26" s="17" t="str">
        <f t="shared" si="13"/>
        <v>negative</v>
      </c>
      <c r="AF26" t="str" cm="1">
        <f t="array" ref="AF26">_xlfn.TEXTJOIN("; ",TRUE,_xlfn._xlws.FILTER('Model output'!S:S,'Model output'!Z:Z=A26))</f>
        <v>Present (minimal); Present</v>
      </c>
      <c r="AG26" s="17" t="str" cm="1">
        <f t="array" ref="AG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I26" s="46" t="str">
        <f t="shared" si="14"/>
        <v>intermediate</v>
      </c>
      <c r="AJ26" s="37" t="str">
        <f t="shared" si="2"/>
        <v>4a</v>
      </c>
      <c r="AK26" s="37" t="str">
        <f t="shared" si="15"/>
        <v>1b</v>
      </c>
      <c r="AL26" s="37">
        <f t="shared" si="16"/>
        <v>0</v>
      </c>
      <c r="AM26" s="37" t="str">
        <f t="shared" si="17"/>
        <v>III</v>
      </c>
      <c r="AN26" s="38" t="s">
        <v>170</v>
      </c>
      <c r="AO26" s="39" t="s">
        <v>193</v>
      </c>
      <c r="AP26" s="39" t="s">
        <v>188</v>
      </c>
      <c r="AQ26" s="39">
        <v>0</v>
      </c>
      <c r="AR26" s="39" t="s">
        <v>68</v>
      </c>
      <c r="AS26" s="38">
        <f t="shared" si="6"/>
        <v>0</v>
      </c>
      <c r="AT26" s="39">
        <f t="shared" si="7"/>
        <v>1</v>
      </c>
      <c r="AU26" s="39">
        <f t="shared" si="8"/>
        <v>1</v>
      </c>
      <c r="AV26" s="39">
        <f t="shared" si="9"/>
        <v>1</v>
      </c>
      <c r="AW26" s="40">
        <f t="shared" si="10"/>
        <v>1</v>
      </c>
    </row>
    <row r="27" spans="1:49">
      <c r="A27" s="13">
        <v>25</v>
      </c>
      <c r="B27" s="16">
        <f>_xlfn.MAXIFS('Model output'!B:B,'Model output'!Z:Z,'Classification result'!$A27)</f>
        <v>0</v>
      </c>
      <c r="C27" s="16"/>
      <c r="D27" s="16"/>
      <c r="E27" s="17">
        <f>_xlfn.MAXIFS('Model output'!C:C,'Model output'!Z:Z,'Classification result'!$A27)</f>
        <v>42</v>
      </c>
      <c r="F27" s="17" t="str" cm="1">
        <f t="array" ref="F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G27" s="17" t="str" cm="1">
        <f t="array" ref="G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H27" s="17" cm="1">
        <f t="array" ref="H27">IF(AND(SUBSTITUTE(_xlfn.TEXTJOIN("/", TRUE, _xlfn._xlws.FILTER('Model output'!F:F, 'Model output'!Z:Z=A27)),"M", "")="", K27="negative"),0,IF(K27="positive",1,0))</f>
        <v>0</v>
      </c>
      <c r="I27" t="str">
        <f t="shared" si="0"/>
        <v/>
      </c>
      <c r="J27" t="str" cm="1">
        <f t="array" ref="J27">IF(AND(M27&gt;0,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output'!Z:Z=A27)),1)))),"lateral",IF(AND(M27=0, _xlfn.TEXTJOIN("; ", TRUE, _xlfn._xlws.FILTER('Model output'!G:G, 'Model output'!Z:Z=A27))=""),"", "central"))</f>
        <v/>
      </c>
      <c r="K27" s="17" t="str" cm="1">
        <f t="array" ref="K27">IF(OR(ISNUMBER(SEARCH("[]",_xlfn.TEXTJOIN("; ", TRUE, _xlfn._xlws.FILTER('Model output'!H:H, 'Model output'!Z:Z=A27)),1)), 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L27" s="17">
        <f>IF(IFERROR(INDEX('Model output'!I:I, MATCH(A27, 'Model output'!Z:Z, 0)), "") &lt; M27, "", IFERROR(INDEX('Model output'!I:I, MATCH(A27, 'Model output'!Z:Z, 0)), ""))</f>
        <v>0</v>
      </c>
      <c r="M27" s="17">
        <f>IFERROR(INDEX('Model output'!J:J, MATCH(A27, 'Model output'!Z:Z, 0)), "")</f>
        <v>0</v>
      </c>
      <c r="N27" s="18" t="str" cm="1">
        <f t="array" ref="N27">ReplaceTo(ReplaceAnd(SUBSTITUTE(SUBSTITUTE(_xlfn.TEXTJOIN("; ", TRUE, _xlfn._xlws.FILTER('Model output'!K:K, 'Model output'!Z:Z=A27)), " ", ""), ",", ";")))</f>
        <v/>
      </c>
      <c r="O27" t="str" cm="1">
        <f t="array" ref="O27">IF(LEFT(IF(RIGHT(SUBSTITUTE(FilterWithUnits(N27)&amp;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";")),1)=";",RIGHT(IF(RIGHT(SUBSTITUTE(FilterWithUnits(N27)&amp;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";")),LEN(IF(RIGHT(SUBSTITUTE(FilterWithUnits(N27)&amp;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";")))-1),IF(RIGHT(SUBSTITUTE(FilterWithUnits(N27)&amp;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</f>
        <v/>
      </c>
      <c r="P27" t="str" cm="1">
        <f t="array" ref="P27">IF(MaxSize((SplitDimensions(O27)))=0, "", MaxSize((SplitDimensions(O27))))</f>
        <v/>
      </c>
      <c r="Q27" t="str" cm="1">
        <f t="array" ref="Q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R27" t="str" cm="1">
        <f t="array" ref="R27">IF(ISERROR(INDEX(_xlfn._xlws.FILTER('Model output'!M:M, ('Model output'!Z:Z=A27)*('Model output'!M:M&lt;&gt;"")), 1)), " ", LOWER(INDEX(_xlfn._xlws.FILTER('Model output'!M:M, ('Model output'!Z:Z=A27)*('Model output'!M:M&lt;&gt;"")), 1)))</f>
        <v>classic (usual, conventional)</v>
      </c>
      <c r="S27" t="str" cm="1">
        <f t="array" ref="S27">IF(OR(ISERROR(INDEX(_xlfn._xlws.FILTER('Model output'!N:N,('Model output'!Z:Z=A27)*('Model output'!N:N&lt;&gt;"")),1)),ISNUMBER(SEARCH("ly",SUBSTITUTE(INDEX(_xlfn._xlws.FILTER('Model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T27" t="str" cm="1">
        <f t="array" ref="T27">IF(LEFT(IF(RIGHT(SUBSTITUTE(FilterWithUnits(S27)&amp;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";")),1)=";",RIGHT(IF(RIGHT(SUBSTITUTE(FilterWithUnits(S27)&amp;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";")),LEN(IF(RIGHT(SUBSTITUTE(FilterWithUnits(S27)&amp;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";")))-1),IF(RIGHT(SUBSTITUTE(FilterWithUnits(S27)&amp;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</f>
        <v>1cm</v>
      </c>
      <c r="U27" cm="1">
        <f t="array" ref="U27">IF(MaxSize((SplitDimensions(T27)))=0, "", MaxSize((SplitDimensions(T27))))</f>
        <v>1</v>
      </c>
      <c r="V27" s="17" t="str" cm="1">
        <f t="array" ref="V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X27" t="str" cm="1">
        <f t="array" ref="X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Y27" t="str">
        <f t="shared" si="11"/>
        <v>no</v>
      </c>
      <c r="Z27" t="str" cm="1">
        <f t="array" ref="Z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AA27" s="17" t="str">
        <f t="shared" si="12"/>
        <v>negative</v>
      </c>
      <c r="AE27" s="17" t="str">
        <f t="shared" si="13"/>
        <v>negative</v>
      </c>
      <c r="AF27" t="str" cm="1">
        <f t="array" ref="AF27">_xlfn.TEXTJOIN("; ",TRUE,_xlfn._xlws.FILTER('Model output'!S:S,'Model output'!Z:Z=A27))</f>
        <v>Absent</v>
      </c>
      <c r="AG27" s="17" t="str" cm="1">
        <f t="array" ref="AG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I27" s="46" t="str">
        <f t="shared" si="14"/>
        <v>low</v>
      </c>
      <c r="AJ27" s="37" t="str">
        <f t="shared" si="2"/>
        <v>1a</v>
      </c>
      <c r="AK27" s="37" t="str">
        <f t="shared" si="15"/>
        <v>x</v>
      </c>
      <c r="AL27" s="37">
        <f t="shared" si="16"/>
        <v>0</v>
      </c>
      <c r="AM27" s="37" t="str">
        <f t="shared" si="17"/>
        <v>I</v>
      </c>
      <c r="AN27" s="38" t="s">
        <v>171</v>
      </c>
      <c r="AO27" s="39" t="s">
        <v>188</v>
      </c>
      <c r="AP27" s="39" t="s">
        <v>189</v>
      </c>
      <c r="AQ27" s="39">
        <v>0</v>
      </c>
      <c r="AR27" s="39" t="s">
        <v>31</v>
      </c>
      <c r="AS27" s="38">
        <f t="shared" si="6"/>
        <v>1</v>
      </c>
      <c r="AT27" s="39">
        <f t="shared" si="7"/>
        <v>0</v>
      </c>
      <c r="AU27" s="39">
        <f t="shared" si="8"/>
        <v>1</v>
      </c>
      <c r="AV27" s="39">
        <f t="shared" si="9"/>
        <v>1</v>
      </c>
      <c r="AW27" s="40">
        <f t="shared" si="10"/>
        <v>1</v>
      </c>
    </row>
    <row r="28" spans="1:49">
      <c r="A28" s="13">
        <v>26</v>
      </c>
      <c r="B28" s="16">
        <f>_xlfn.MAXIFS('Model output'!B:B,'Model output'!Z:Z,'Classification result'!$A28)</f>
        <v>0</v>
      </c>
      <c r="C28" s="16"/>
      <c r="D28" s="16"/>
      <c r="E28" s="17">
        <f>_xlfn.MAXIFS('Model output'!C:C,'Model output'!Z:Z,'Classification result'!$A28)</f>
        <v>73</v>
      </c>
      <c r="F28" s="17" t="str" cm="1">
        <f t="array" ref="F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/>
      </c>
      <c r="G28" s="17" t="str" cm="1">
        <f t="array" ref="G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H28" s="17" cm="1">
        <f t="array" ref="H28">IF(AND(SUBSTITUTE(_xlfn.TEXTJOIN("/", TRUE, _xlfn._xlws.FILTER('Model output'!F:F, 'Model output'!Z:Z=A28)),"M", "")="", K28="negative"),0,IF(K28="positive",1,0))</f>
        <v>0</v>
      </c>
      <c r="I28" t="str">
        <f t="shared" si="0"/>
        <v>positive</v>
      </c>
      <c r="J28" t="str" cm="1">
        <f t="array" ref="J28">IF(AND(M28&gt;0,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output'!Z:Z=A28)),1)))),"lateral",IF(AND(M28=0, _xlfn.TEXTJOIN("; ", TRUE, _xlfn._xlws.FILTER('Model output'!G:G, 'Model output'!Z:Z=A28))=""),"", "central"))</f>
        <v>central</v>
      </c>
      <c r="K28" s="17" t="str" cm="1">
        <f t="array" ref="K28">IF(OR(ISNUMBER(SEARCH("[]",_xlfn.TEXTJOIN("; ", TRUE, _xlfn._xlws.FILTER('Model output'!H:H, 'Model output'!Z:Z=A28)),1)), 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L28" s="17">
        <f>IF(IFERROR(INDEX('Model output'!I:I, MATCH(A28, 'Model output'!Z:Z, 0)), "") &lt; M28, "", IFERROR(INDEX('Model output'!I:I, MATCH(A28, 'Model output'!Z:Z, 0)), ""))</f>
        <v>0</v>
      </c>
      <c r="M28" s="17">
        <f>IFERROR(INDEX('Model output'!J:J, MATCH(A28, 'Model output'!Z:Z, 0)), "")</f>
        <v>0</v>
      </c>
      <c r="N28" s="18" t="str" cm="1">
        <f t="array" ref="N28">ReplaceTo(ReplaceAnd(SUBSTITUTE(SUBSTITUTE(_xlfn.TEXTJOIN("; ", TRUE, _xlfn._xlws.FILTER('Model output'!K:K, 'Model output'!Z:Z=A28)), " ", ""), ",", ";")))</f>
        <v/>
      </c>
      <c r="O28" t="str" cm="1">
        <f t="array" ref="O28">IF(LEFT(IF(RIGHT(SUBSTITUTE(FilterWithUnits(N28)&amp;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";")),1)=";",RIGHT(IF(RIGHT(SUBSTITUTE(FilterWithUnits(N28)&amp;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";")),LEN(IF(RIGHT(SUBSTITUTE(FilterWithUnits(N28)&amp;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";")))-1),IF(RIGHT(SUBSTITUTE(FilterWithUnits(N28)&amp;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</f>
        <v/>
      </c>
      <c r="P28" t="str" cm="1">
        <f t="array" ref="P28">IF(MaxSize((SplitDimensions(O28)))=0, "", MaxSize((SplitDimensions(O28))))</f>
        <v/>
      </c>
      <c r="Q28" t="str" cm="1">
        <f t="array" ref="Q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R28" t="str" cm="1">
        <f t="array" ref="R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S28" t="str" cm="1">
        <f t="array" ref="S28">IF(OR(ISERROR(INDEX(_xlfn._xlws.FILTER('Model output'!N:N,('Model output'!Z:Z=A28)*('Model output'!N:N&lt;&gt;"")),1)),ISNUMBER(SEARCH("ly",SUBSTITUTE(INDEX(_xlfn._xlws.FILTER('Model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T28" t="str" cm="1">
        <f t="array" ref="T28">IF(LEFT(IF(RIGHT(SUBSTITUTE(FilterWithUnits(S28)&amp;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";")),1)=";",RIGHT(IF(RIGHT(SUBSTITUTE(FilterWithUnits(S28)&amp;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";")),LEN(IF(RIGHT(SUBSTITUTE(FilterWithUnits(S28)&amp;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";")))-1),IF(RIGHT(SUBSTITUTE(FilterWithUnits(S28)&amp;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</f>
        <v>11mm</v>
      </c>
      <c r="U28" cm="1">
        <f t="array" ref="U28">IF(MaxSize((SplitDimensions(T28)))=0, "", MaxSize((SplitDimensions(T28))))</f>
        <v>1.1000000000000001</v>
      </c>
      <c r="V28" s="17" t="str" cm="1">
        <f t="array" ref="V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positive</v>
      </c>
      <c r="X28" t="str" cm="1">
        <f t="array" ref="X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Y28" t="str">
        <f t="shared" si="11"/>
        <v>minimal</v>
      </c>
      <c r="Z28" t="str" cm="1">
        <f t="array" ref="Z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positive</v>
      </c>
      <c r="AA28" s="17" t="str">
        <f t="shared" si="12"/>
        <v>positive</v>
      </c>
      <c r="AE28" s="17" t="str">
        <f t="shared" si="13"/>
        <v>negative</v>
      </c>
      <c r="AF28" t="str" cm="1">
        <f t="array" ref="AF28">_xlfn.TEXTJOIN("; ",TRUE,_xlfn._xlws.FILTER('Model output'!S:S,'Model output'!Z:Z=A28))</f>
        <v>Microscopic extrathyroidal extension to skeletal muscle anterior to the thyroid gland is present; Present</v>
      </c>
      <c r="AG28" s="17" t="str" cm="1">
        <f t="array" ref="AG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I28" s="46" t="str">
        <f t="shared" si="14"/>
        <v>intermediate</v>
      </c>
      <c r="AJ28" s="37" t="str">
        <f t="shared" si="2"/>
        <v>1b</v>
      </c>
      <c r="AK28" s="37" t="str">
        <f t="shared" si="15"/>
        <v>x</v>
      </c>
      <c r="AL28" s="37">
        <f t="shared" si="16"/>
        <v>0</v>
      </c>
      <c r="AM28" s="37" t="str">
        <f t="shared" si="17"/>
        <v>I</v>
      </c>
      <c r="AN28" s="38" t="s">
        <v>170</v>
      </c>
      <c r="AO28" s="39" t="s">
        <v>191</v>
      </c>
      <c r="AP28" s="39" t="s">
        <v>189</v>
      </c>
      <c r="AQ28" s="39">
        <v>0</v>
      </c>
      <c r="AR28" s="39" t="s">
        <v>43</v>
      </c>
      <c r="AS28" s="38">
        <f t="shared" si="6"/>
        <v>0</v>
      </c>
      <c r="AT28" s="39">
        <f t="shared" si="7"/>
        <v>0</v>
      </c>
      <c r="AU28" s="39">
        <f t="shared" si="8"/>
        <v>1</v>
      </c>
      <c r="AV28" s="39">
        <f t="shared" si="9"/>
        <v>1</v>
      </c>
      <c r="AW28" s="40">
        <f t="shared" si="10"/>
        <v>0</v>
      </c>
    </row>
    <row r="29" spans="1:49">
      <c r="A29" s="13">
        <v>27</v>
      </c>
      <c r="B29" s="16">
        <f>_xlfn.MAXIFS('Model output'!B:B,'Model output'!Z:Z,'Classification result'!$A29)</f>
        <v>0</v>
      </c>
      <c r="C29" s="16"/>
      <c r="D29" s="16"/>
      <c r="E29" s="17">
        <f>_xlfn.MAXIFS('Model output'!C:C,'Model output'!Z:Z,'Classification result'!$A29)</f>
        <v>39</v>
      </c>
      <c r="F29" s="17" t="str" cm="1">
        <f t="array" ref="F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G29" s="17" t="str" cm="1">
        <f t="array" ref="G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0</v>
      </c>
      <c r="H29" s="17" cm="1">
        <f t="array" ref="H29">IF(AND(SUBSTITUTE(_xlfn.TEXTJOIN("/", TRUE, _xlfn._xlws.FILTER('Model output'!F:F, 'Model output'!Z:Z=A29)),"M", "")="", K29="negative"),0,IF(K29="positive",1,0))</f>
        <v>0</v>
      </c>
      <c r="I29" t="str">
        <f t="shared" si="0"/>
        <v>positive</v>
      </c>
      <c r="J29" t="str" cm="1">
        <f t="array" ref="J29">IF(AND(M29&gt;0,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output'!Z:Z=A29)),1)))),"lateral",IF(AND(M29=0, _xlfn.TEXTJOIN("; ", TRUE, _xlfn._xlws.FILTER('Model output'!G:G, 'Model output'!Z:Z=A29))=""),"", "central"))</f>
        <v>central</v>
      </c>
      <c r="K29" s="17" t="str" cm="1">
        <f t="array" ref="K29">IF(OR(ISNUMBER(SEARCH("[]",_xlfn.TEXTJOIN("; ", TRUE, _xlfn._xlws.FILTER('Model output'!H:H, 'Model output'!Z:Z=A29)),1)), 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L29" s="17">
        <f>IF(IFERROR(INDEX('Model output'!I:I, MATCH(A29, 'Model output'!Z:Z, 0)), "") &lt; M29, "", IFERROR(INDEX('Model output'!I:I, MATCH(A29, 'Model output'!Z:Z, 0)), ""))</f>
        <v>2</v>
      </c>
      <c r="M29" s="17">
        <f>IFERROR(INDEX('Model output'!J:J, MATCH(A29, 'Model output'!Z:Z, 0)), "")</f>
        <v>1</v>
      </c>
      <c r="N29" s="18" t="str" cm="1">
        <f t="array" ref="N29">ReplaceTo(ReplaceAnd(SUBSTITUTE(SUBSTITUTE(_xlfn.TEXTJOIN("; ", TRUE, _xlfn._xlws.FILTER('Model output'!K:K, 'Model output'!Z:Z=A29)), " ", ""), ",", ";")))</f>
        <v/>
      </c>
      <c r="O29" t="str" cm="1">
        <f t="array" ref="O29">IF(LEFT(IF(RIGHT(SUBSTITUTE(FilterWithUnits(N29)&amp;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";")),1)=";",RIGHT(IF(RIGHT(SUBSTITUTE(FilterWithUnits(N29)&amp;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";")),LEN(IF(RIGHT(SUBSTITUTE(FilterWithUnits(N29)&amp;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";")))-1),IF(RIGHT(SUBSTITUTE(FilterWithUnits(N29)&amp;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</f>
        <v/>
      </c>
      <c r="P29" t="str" cm="1">
        <f t="array" ref="P29">IF(MaxSize((SplitDimensions(O29)))=0, "", MaxSize((SplitDimensions(O29))))</f>
        <v/>
      </c>
      <c r="Q29" t="str" cm="1">
        <f t="array" ref="Q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R29" t="str" cm="1">
        <f t="array" ref="R29">IF(ISERROR(INDEX(_xlfn._xlws.FILTER('Model output'!M:M, ('Model output'!Z:Z=A29)*('Model output'!M:M&lt;&gt;"")), 1)), " ", LOWER(INDEX(_xlfn._xlws.FILTER('Model output'!M:M, ('Model output'!Z:Z=A29)*('Model output'!M:M&lt;&gt;"")), 1)))</f>
        <v>classic</v>
      </c>
      <c r="S29" t="str" cm="1">
        <f t="array" ref="S29">IF(OR(ISERROR(INDEX(_xlfn._xlws.FILTER('Model output'!N:N,('Model output'!Z:Z=A29)*('Model output'!N:N&lt;&gt;"")),1)),ISNUMBER(SEARCH("ly",SUBSTITUTE(INDEX(_xlfn._xlws.FILTER('Model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</v>
      </c>
      <c r="T29" t="str" cm="1">
        <f t="array" ref="T29">IF(LEFT(IF(RIGHT(SUBSTITUTE(FilterWithUnits(S29)&amp;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";")),1)=";",RIGHT(IF(RIGHT(SUBSTITUTE(FilterWithUnits(S29)&amp;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";")),LEN(IF(RIGHT(SUBSTITUTE(FilterWithUnits(S29)&amp;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";")))-1),IF(RIGHT(SUBSTITUTE(FilterWithUnits(S29)&amp;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</f>
        <v>5mm</v>
      </c>
      <c r="U29" cm="1">
        <f t="array" ref="U29">IF(MaxSize((SplitDimensions(T29)))=0, "", MaxSize((SplitDimensions(T29))))</f>
        <v>0.5</v>
      </c>
      <c r="V29" s="17" t="str" cm="1">
        <f t="array" ref="V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X29" t="str" cm="1">
        <f t="array" ref="X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Y29" t="str">
        <f t="shared" si="11"/>
        <v>no</v>
      </c>
      <c r="Z29" t="str" cm="1">
        <f t="array" ref="Z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AA29" s="17" t="str">
        <f t="shared" si="12"/>
        <v>negative</v>
      </c>
      <c r="AE29" s="17" t="str">
        <f t="shared" si="13"/>
        <v>negative</v>
      </c>
      <c r="AF29" t="str" cm="1">
        <f t="array" ref="AF29">_xlfn.TEXTJOIN("; ",TRUE,_xlfn._xlws.FILTER('Model output'!S:S,'Model output'!Z:Z=A29))</f>
        <v>Not identified</v>
      </c>
      <c r="AG29" s="17" t="str" cm="1">
        <f t="array" ref="AG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I29" s="46" t="str">
        <f t="shared" si="14"/>
        <v>low</v>
      </c>
      <c r="AJ29" s="37" t="str">
        <f t="shared" si="2"/>
        <v>1a</v>
      </c>
      <c r="AK29" s="37" t="str">
        <f t="shared" si="15"/>
        <v>1a</v>
      </c>
      <c r="AL29" s="37">
        <f t="shared" si="16"/>
        <v>0</v>
      </c>
      <c r="AM29" s="37" t="str">
        <f t="shared" si="17"/>
        <v>I</v>
      </c>
      <c r="AN29" s="38" t="s">
        <v>171</v>
      </c>
      <c r="AO29" s="39" t="s">
        <v>190</v>
      </c>
      <c r="AP29" s="39" t="s">
        <v>190</v>
      </c>
      <c r="AQ29" s="39">
        <v>0</v>
      </c>
      <c r="AR29" s="39" t="s">
        <v>31</v>
      </c>
      <c r="AS29" s="38">
        <f t="shared" si="6"/>
        <v>1</v>
      </c>
      <c r="AT29" s="39">
        <f t="shared" si="7"/>
        <v>1</v>
      </c>
      <c r="AU29" s="39">
        <f t="shared" si="8"/>
        <v>1</v>
      </c>
      <c r="AV29" s="39">
        <f t="shared" si="9"/>
        <v>1</v>
      </c>
      <c r="AW29" s="40">
        <f t="shared" si="10"/>
        <v>1</v>
      </c>
    </row>
    <row r="30" spans="1:49">
      <c r="A30" s="13">
        <v>28</v>
      </c>
      <c r="B30" s="16">
        <f>_xlfn.MAXIFS('Model output'!B:B,'Model output'!Z:Z,'Classification result'!$A30)</f>
        <v>0</v>
      </c>
      <c r="C30" s="16"/>
      <c r="D30" s="16"/>
      <c r="E30" s="17">
        <f>_xlfn.MAXIFS('Model output'!C:C,'Model output'!Z:Z,'Classification result'!$A30)</f>
        <v>57</v>
      </c>
      <c r="F30" s="17" t="str" cm="1">
        <f t="array" ref="F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G30" s="17" t="str" cm="1">
        <f t="array" ref="G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0</v>
      </c>
      <c r="H30" s="17" cm="1">
        <f t="array" ref="H30">IF(AND(SUBSTITUTE(_xlfn.TEXTJOIN("/", TRUE, _xlfn._xlws.FILTER('Model output'!F:F, 'Model output'!Z:Z=A30)),"M", "")="", K30="negative"),0,IF(K30="positive",1,0))</f>
        <v>0</v>
      </c>
      <c r="I30" t="str">
        <f t="shared" si="0"/>
        <v>positive</v>
      </c>
      <c r="J30" t="str" cm="1">
        <f t="array" ref="J30">IF(AND(M30&gt;0,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output'!Z:Z=A30)),1)))),"lateral",IF(AND(M30=0, _xlfn.TEXTJOIN("; ", TRUE, _xlfn._xlws.FILTER('Model output'!G:G, 'Model output'!Z:Z=A30))=""),"", "central"))</f>
        <v>central</v>
      </c>
      <c r="K30" s="17" t="str" cm="1">
        <f t="array" ref="K30">IF(OR(ISNUMBER(SEARCH("[]",_xlfn.TEXTJOIN("; ", TRUE, _xlfn._xlws.FILTER('Model output'!H:H, 'Model output'!Z:Z=A30)),1)), 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L30" s="17">
        <f>IF(IFERROR(INDEX('Model output'!I:I, MATCH(A30, 'Model output'!Z:Z, 0)), "") &lt; M30, "", IFERROR(INDEX('Model output'!I:I, MATCH(A30, 'Model output'!Z:Z, 0)), ""))</f>
        <v>5</v>
      </c>
      <c r="M30" s="17">
        <f>IFERROR(INDEX('Model output'!J:J, MATCH(A30, 'Model output'!Z:Z, 0)), "")</f>
        <v>1</v>
      </c>
      <c r="N30" s="18" t="str" cm="1">
        <f t="array" ref="N30">ReplaceTo(ReplaceAnd(SUBSTITUTE(SUBSTITUTE(_xlfn.TEXTJOIN("; ", TRUE, _xlfn._xlws.FILTER('Model output'!K:K, 'Model output'!Z:Z=A30)), " ", ""), ",", ";")))</f>
        <v>2.5mm</v>
      </c>
      <c r="O30" t="str" cm="1">
        <f t="array" ref="O30">IF(LEFT(IF(RIGHT(SUBSTITUTE(FilterWithUnits(N30)&amp;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";")),1)=";",RIGHT(IF(RIGHT(SUBSTITUTE(FilterWithUnits(N30)&amp;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";")),LEN(IF(RIGHT(SUBSTITUTE(FilterWithUnits(N30)&amp;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";")))-1),IF(RIGHT(SUBSTITUTE(FilterWithUnits(N30)&amp;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</f>
        <v>2.5mm</v>
      </c>
      <c r="P30" cm="1">
        <f t="array" ref="P30">IF(MaxSize((SplitDimensions(O30)))=0, "", MaxSize((SplitDimensions(O30))))</f>
        <v>0.25</v>
      </c>
      <c r="Q30" t="str" cm="1">
        <f t="array" ref="Q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R30" t="str" cm="1">
        <f t="array" ref="R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S30" t="str" cm="1">
        <f t="array" ref="S30">IF(OR(ISERROR(INDEX(_xlfn._xlws.FILTER('Model output'!N:N,('Model output'!Z:Z=A30)*('Model output'!N:N&lt;&gt;"")),1)),ISNUMBER(SEARCH("ly",SUBSTITUTE(INDEX(_xlfn._xlws.FILTER('Model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0.5cm</v>
      </c>
      <c r="T30" t="str" cm="1">
        <f t="array" ref="T30">IF(LEFT(IF(RIGHT(SUBSTITUTE(FilterWithUnits(S30)&amp;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";")),1)=";",RIGHT(IF(RIGHT(SUBSTITUTE(FilterWithUnits(S30)&amp;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";")),LEN(IF(RIGHT(SUBSTITUTE(FilterWithUnits(S30)&amp;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";")))-1),IF(RIGHT(SUBSTITUTE(FilterWithUnits(S30)&amp;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</f>
        <v>0.5cm</v>
      </c>
      <c r="U30" cm="1">
        <f t="array" ref="U30">IF(MaxSize((SplitDimensions(T30)))=0, "", MaxSize((SplitDimensions(T30))))</f>
        <v>0.5</v>
      </c>
      <c r="V30" s="17" t="str" cm="1">
        <f t="array" ref="V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X30" t="str" cm="1">
        <f t="array" ref="X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Y30" t="str">
        <f t="shared" si="11"/>
        <v>no</v>
      </c>
      <c r="Z30" t="str" cm="1">
        <f t="array" ref="Z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AA30" s="17" t="str">
        <f t="shared" si="12"/>
        <v>negative</v>
      </c>
      <c r="AE30" s="17" t="str">
        <f t="shared" si="13"/>
        <v>negative</v>
      </c>
      <c r="AF30" t="str" cm="1">
        <f t="array" ref="AF30">_xlfn.TEXTJOIN("; ",TRUE,_xlfn._xlws.FILTER('Model output'!S:S,'Model output'!Z:Z=A30))</f>
        <v>Not identified</v>
      </c>
      <c r="AG30" s="17" t="str" cm="1">
        <f t="array" ref="AG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I30" s="46" t="str">
        <f t="shared" si="14"/>
        <v>low</v>
      </c>
      <c r="AJ30" s="37" t="str">
        <f t="shared" si="2"/>
        <v>1a</v>
      </c>
      <c r="AK30" s="37" t="str">
        <f t="shared" si="15"/>
        <v>1a</v>
      </c>
      <c r="AL30" s="37">
        <f t="shared" si="16"/>
        <v>0</v>
      </c>
      <c r="AM30" s="37" t="str">
        <f t="shared" si="17"/>
        <v>II</v>
      </c>
      <c r="AN30" s="38" t="s">
        <v>171</v>
      </c>
      <c r="AO30" s="39" t="s">
        <v>190</v>
      </c>
      <c r="AP30" s="39" t="s">
        <v>190</v>
      </c>
      <c r="AQ30" s="39">
        <v>0</v>
      </c>
      <c r="AR30" s="39" t="s">
        <v>43</v>
      </c>
      <c r="AS30" s="38">
        <f t="shared" si="6"/>
        <v>1</v>
      </c>
      <c r="AT30" s="39">
        <f t="shared" si="7"/>
        <v>1</v>
      </c>
      <c r="AU30" s="39">
        <f t="shared" si="8"/>
        <v>1</v>
      </c>
      <c r="AV30" s="39">
        <f t="shared" si="9"/>
        <v>1</v>
      </c>
      <c r="AW30" s="40">
        <f t="shared" si="10"/>
        <v>1</v>
      </c>
    </row>
    <row r="31" spans="1:49">
      <c r="A31" s="13">
        <v>29</v>
      </c>
      <c r="B31" s="16">
        <f>_xlfn.MAXIFS('Model output'!B:B,'Model output'!Z:Z,'Classification result'!$A31)</f>
        <v>45242</v>
      </c>
      <c r="C31" s="16"/>
      <c r="D31" s="16"/>
      <c r="E31" s="17">
        <f>_xlfn.MAXIFS('Model output'!C:C,'Model output'!Z:Z,'Classification result'!$A31)</f>
        <v>63</v>
      </c>
      <c r="F31" s="17" t="str" cm="1">
        <f t="array" ref="F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G31" s="17" t="str" cm="1">
        <f t="array" ref="G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H31" s="17" cm="1">
        <f t="array" ref="H31">IF(AND(SUBSTITUTE(_xlfn.TEXTJOIN("/", TRUE, _xlfn._xlws.FILTER('Model output'!F:F, 'Model output'!Z:Z=A31)),"M", "")="", K31="negative"),0,IF(K31="positive",1,0))</f>
        <v>0</v>
      </c>
      <c r="I31" t="str">
        <f t="shared" si="0"/>
        <v/>
      </c>
      <c r="J31" t="str" cm="1">
        <f t="array" ref="J31">IF(AND(M31&gt;0,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output'!Z:Z=A31)),1)))),"lateral",IF(AND(M31=0, _xlfn.TEXTJOIN("; ", TRUE, _xlfn._xlws.FILTER('Model output'!G:G, 'Model output'!Z:Z=A31))=""),"", "central"))</f>
        <v/>
      </c>
      <c r="K31" s="17" t="str" cm="1">
        <f t="array" ref="K31">IF(OR(ISNUMBER(SEARCH("[]",_xlfn.TEXTJOIN("; ", TRUE, _xlfn._xlws.FILTER('Model output'!H:H, 'Model output'!Z:Z=A31)),1)), 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L31" s="17">
        <f>IF(IFERROR(INDEX('Model output'!I:I, MATCH(A31, 'Model output'!Z:Z, 0)), "") &lt; M31, "", IFERROR(INDEX('Model output'!I:I, MATCH(A31, 'Model output'!Z:Z, 0)), ""))</f>
        <v>0</v>
      </c>
      <c r="M31" s="17">
        <f>IFERROR(INDEX('Model output'!J:J, MATCH(A31, 'Model output'!Z:Z, 0)), "")</f>
        <v>0</v>
      </c>
      <c r="N31" s="18" t="str" cm="1">
        <f t="array" ref="N31">ReplaceTo(ReplaceAnd(SUBSTITUTE(SUBSTITUTE(_xlfn.TEXTJOIN("; ", TRUE, _xlfn._xlws.FILTER('Model output'!K:K, 'Model output'!Z:Z=A31)), " ", ""), ",", ";")))</f>
        <v/>
      </c>
      <c r="O31" t="str" cm="1">
        <f t="array" ref="O31">IF(LEFT(IF(RIGHT(SUBSTITUTE(FilterWithUnits(N31)&amp;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";")),1)=";",RIGHT(IF(RIGHT(SUBSTITUTE(FilterWithUnits(N31)&amp;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";")),LEN(IF(RIGHT(SUBSTITUTE(FilterWithUnits(N31)&amp;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";")))-1),IF(RIGHT(SUBSTITUTE(FilterWithUnits(N31)&amp;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</f>
        <v/>
      </c>
      <c r="P31" t="str" cm="1">
        <f t="array" ref="P31">IF(MaxSize((SplitDimensions(O31)))=0, "", MaxSize((SplitDimensions(O31))))</f>
        <v/>
      </c>
      <c r="Q31" t="str" cm="1">
        <f t="array" ref="Q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R31" t="str" cm="1">
        <f t="array" ref="R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S31" t="str" cm="1">
        <f t="array" ref="S31">IF(OR(ISERROR(INDEX(_xlfn._xlws.FILTER('Model output'!N:N,('Model output'!Z:Z=A31)*('Model output'!N:N&lt;&gt;"")),1)),ISNUMBER(SEARCH("ly",SUBSTITUTE(INDEX(_xlfn._xlws.FILTER('Model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T31" t="str" cm="1">
        <f t="array" ref="T31">IF(LEFT(IF(RIGHT(SUBSTITUTE(FilterWithUnits(S31)&amp;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";")),1)=";",RIGHT(IF(RIGHT(SUBSTITUTE(FilterWithUnits(S31)&amp;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";")),LEN(IF(RIGHT(SUBSTITUTE(FilterWithUnits(S31)&amp;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";")))-1),IF(RIGHT(SUBSTITUTE(FilterWithUnits(S31)&amp;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</f>
        <v>7mm</v>
      </c>
      <c r="U31" cm="1">
        <f t="array" ref="U31">IF(MaxSize((SplitDimensions(T31)))=0, "", MaxSize((SplitDimensions(T31))))</f>
        <v>0.7</v>
      </c>
      <c r="V31" s="17" t="str" cm="1">
        <f t="array" ref="V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X31" t="str" cm="1">
        <f t="array" ref="X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Y31" t="str">
        <f t="shared" si="11"/>
        <v>no</v>
      </c>
      <c r="Z31" t="str" cm="1">
        <f t="array" ref="Z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AA31" s="17" t="str">
        <f t="shared" si="12"/>
        <v>negative</v>
      </c>
      <c r="AE31" s="17" t="str">
        <f t="shared" si="13"/>
        <v>negative</v>
      </c>
      <c r="AF31" t="str" cm="1">
        <f t="array" ref="AF31">_xlfn.TEXTJOIN("; ",TRUE,_xlfn._xlws.FILTER('Model output'!S:S,'Model output'!Z:Z=A31))</f>
        <v>Not identified</v>
      </c>
      <c r="AG31" s="17" t="str" cm="1">
        <f t="array" ref="AG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I31" s="46" t="str">
        <f t="shared" si="14"/>
        <v>low</v>
      </c>
      <c r="AJ31" s="37" t="str">
        <f t="shared" si="2"/>
        <v>1a</v>
      </c>
      <c r="AK31" s="37" t="str">
        <f t="shared" si="15"/>
        <v>x</v>
      </c>
      <c r="AL31" s="37">
        <f t="shared" si="16"/>
        <v>0</v>
      </c>
      <c r="AM31" s="37" t="str">
        <f t="shared" si="17"/>
        <v>I</v>
      </c>
      <c r="AN31" s="38" t="s">
        <v>171</v>
      </c>
      <c r="AO31" s="39" t="s">
        <v>190</v>
      </c>
      <c r="AP31" s="39" t="s">
        <v>189</v>
      </c>
      <c r="AQ31" s="39">
        <v>0</v>
      </c>
      <c r="AR31" s="39" t="s">
        <v>31</v>
      </c>
      <c r="AS31" s="38">
        <f t="shared" si="6"/>
        <v>1</v>
      </c>
      <c r="AT31" s="39">
        <f t="shared" si="7"/>
        <v>1</v>
      </c>
      <c r="AU31" s="39">
        <f t="shared" si="8"/>
        <v>1</v>
      </c>
      <c r="AV31" s="39">
        <f t="shared" si="9"/>
        <v>1</v>
      </c>
      <c r="AW31" s="40">
        <f t="shared" si="10"/>
        <v>1</v>
      </c>
    </row>
    <row r="32" spans="1:49">
      <c r="A32" s="13">
        <v>30</v>
      </c>
      <c r="B32" s="16">
        <f>_xlfn.MAXIFS('Model output'!B:B,'Model output'!Z:Z,'Classification result'!$A32)</f>
        <v>0</v>
      </c>
      <c r="C32" s="16"/>
      <c r="D32" s="16"/>
      <c r="E32" s="17">
        <f>_xlfn.MAXIFS('Model output'!C:C,'Model output'!Z:Z,'Classification result'!$A32)</f>
        <v>39</v>
      </c>
      <c r="F32" s="17" t="str" cm="1">
        <f t="array" ref="F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G32" s="17" t="str" cm="1">
        <f t="array" ref="G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H32" s="17" cm="1">
        <f t="array" ref="H32">IF(AND(SUBSTITUTE(_xlfn.TEXTJOIN("/", TRUE, _xlfn._xlws.FILTER('Model output'!F:F, 'Model output'!Z:Z=A32)),"M", "")="", K32="negative"),0,IF(K32="positive",1,0))</f>
        <v>0</v>
      </c>
      <c r="I32" t="str">
        <f t="shared" si="0"/>
        <v>positive</v>
      </c>
      <c r="J32" t="str" cm="1">
        <f t="array" ref="J32">IF(AND(M32&gt;0,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output'!Z:Z=A32)),1)))),"lateral",IF(AND(M32=0, _xlfn.TEXTJOIN("; ", TRUE, _xlfn._xlws.FILTER('Model output'!G:G, 'Model output'!Z:Z=A32))=""),"", "central"))</f>
        <v>lateral</v>
      </c>
      <c r="K32" s="17" t="str" cm="1">
        <f t="array" ref="K32">IF(OR(ISNUMBER(SEARCH("[]",_xlfn.TEXTJOIN("; ", TRUE, _xlfn._xlws.FILTER('Model output'!H:H, 'Model output'!Z:Z=A32)),1)), 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L32" s="17">
        <f>IF(IFERROR(INDEX('Model output'!I:I, MATCH(A32, 'Model output'!Z:Z, 0)), "") &lt; M32, "", IFERROR(INDEX('Model output'!I:I, MATCH(A32, 'Model output'!Z:Z, 0)), ""))</f>
        <v>24</v>
      </c>
      <c r="M32" s="17">
        <f>IFERROR(INDEX('Model output'!J:J, MATCH(A32, 'Model output'!Z:Z, 0)), "")</f>
        <v>3</v>
      </c>
      <c r="N32" s="18" t="str" cm="1">
        <f t="array" ref="N32">ReplaceTo(ReplaceAnd(SUBSTITUTE(SUBSTITUTE(_xlfn.TEXTJOIN("; ", TRUE, _xlfn._xlws.FILTER('Model output'!K:K, 'Model output'!Z:Z=A32)), " ", ""), ",", ";")))</f>
        <v>5.7mm</v>
      </c>
      <c r="O32" t="str" cm="1">
        <f t="array" ref="O32">IF(LEFT(IF(RIGHT(SUBSTITUTE(FilterWithUnits(N32)&amp;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";")),1)=";",RIGHT(IF(RIGHT(SUBSTITUTE(FilterWithUnits(N32)&amp;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";")),LEN(IF(RIGHT(SUBSTITUTE(FilterWithUnits(N32)&amp;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";")))-1),IF(RIGHT(SUBSTITUTE(FilterWithUnits(N32)&amp;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</f>
        <v>5.7mm</v>
      </c>
      <c r="P32" cm="1">
        <f t="array" ref="P32">IF(MaxSize((SplitDimensions(O32)))=0, "", MaxSize((SplitDimensions(O32))))</f>
        <v>0.57000000000000006</v>
      </c>
      <c r="Q32" t="str" cm="1">
        <f t="array" ref="Q32">IF(ISERROR(INDEX(_xlfn._xlws.FILTER('Model output'!L:L, ('Model output'!Z:Z=A32)*('Model output'!L:L&lt;&gt;"")), 1)), " ", LOWER(INDEX(_xlfn._xlws.FILTER('Model output'!L:L, ('Model output'!Z:Z=A32)*('Model output'!L:L&lt;&gt;"")), 1)))</f>
        <v>papillary carcinoma</v>
      </c>
      <c r="R32" t="str" cm="1">
        <f t="array" ref="R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 subtype</v>
      </c>
      <c r="S32" t="str" cm="1">
        <f t="array" ref="S32">IF(OR(ISERROR(INDEX(_xlfn._xlws.FILTER('Model output'!N:N,('Model output'!Z:Z=A32)*('Model output'!N:N&lt;&gt;"")),1)),ISNUMBER(SEARCH("ly",SUBSTITUTE(INDEX(_xlfn._xlws.FILTER('Model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T32" t="str" cm="1">
        <f t="array" ref="T32">IF(LEFT(IF(RIGHT(SUBSTITUTE(FilterWithUnits(S32)&amp;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";")),1)=";",RIGHT(IF(RIGHT(SUBSTITUTE(FilterWithUnits(S32)&amp;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";")),LEN(IF(RIGHT(SUBSTITUTE(FilterWithUnits(S32)&amp;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";")))-1),IF(RIGHT(SUBSTITUTE(FilterWithUnits(S32)&amp;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</f>
        <v>12mm</v>
      </c>
      <c r="U32" cm="1">
        <f t="array" ref="U32">IF(MaxSize((SplitDimensions(T32)))=0, "", MaxSize((SplitDimensions(T32))))</f>
        <v>1.2</v>
      </c>
      <c r="V32" s="17" t="str" cm="1">
        <f t="array" ref="V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positive</v>
      </c>
      <c r="X32" t="str" cm="1">
        <f t="array" ref="X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Y32" t="str">
        <f t="shared" si="11"/>
        <v>minimal</v>
      </c>
      <c r="Z32" t="str" cm="1">
        <f t="array" ref="Z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positive</v>
      </c>
      <c r="AA32" s="17" t="str">
        <f t="shared" si="12"/>
        <v>negative</v>
      </c>
      <c r="AE32" s="17" t="str">
        <f t="shared" si="13"/>
        <v>negative</v>
      </c>
      <c r="AF32" t="str" cm="1">
        <f t="array" ref="AF32">_xlfn.TEXTJOIN("; ",TRUE,_xlfn._xlws.FILTER('Model output'!S:S,'Model output'!Z:Z=A32))</f>
        <v>Not identified; Not identified</v>
      </c>
      <c r="AG32" s="17" t="str" cm="1">
        <f t="array" ref="AG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I32" s="46" t="str">
        <f t="shared" si="14"/>
        <v>intermediate</v>
      </c>
      <c r="AJ32" s="37" t="str">
        <f t="shared" ref="AJ32:AJ37" si="18">IF(OR(ISNUMBER(SEARCH("non-invasive follicular",Q32)),ISNUMBER(SEARCH("papillary-like nuclear features",Q32)),ISNUMBER(SEARCH("non-invasive follicular",R32)),ISNUMBER(SEARCH("papillary-like nuclear features",R32))),"NIFTP", IF(OR(F32="4b",AND(AE32="positive",OR(ISNUMBER(SEARCH("prevertebral",AF32)),ISNUMBER(SEARCH("fascia",AF32)),ISNUMBER(SEARCH("carotid artery",AF32)),ISNUMBER(SEARCH("mediastinal",AF32))))),"4b",IF(OR(F32="4a",AND(AE32="positive",OR(ISNUMBER(SEARCH("soft tissue",AF32)),ISNUMBER(SEARCH("larynx",AF32)),ISNUMBER(SEARCH("trachea",AF32)),ISNUMBER(SEARCH("esophagus",AF32)),ISNUMBER(SEARCH("recurrent laryngeal nerve",AF32)),ISNUMBER(SEARCH("RLN",AF32))))),"4a", IF(OR(F32="3b", AE32="positive",ISNUMBER(SEARCH("strap",AF32)),ISNUMBER(SEARCH("sternothyroid",AF32)),ISNUMBER(SEARCH("sternohyoid",AF32)),ISNUMBER(SEARCH("thyrohyoid",AF32)),ISNUMBER(SEARCH("omohyoid",AF32))),"3b",IF(OR(F32="3a", AND(U32&lt;&gt;"",U32&gt;4)),"3a",IF(AND(U32&lt;&gt;"", U32&lt;=4,U32&gt;2),"2",IF(AND(U32&lt;&gt;"",U32&lt;=2,U32&gt;1),"1b",IF(AND(U32&lt;&gt;"",U32&lt;=1),"1a","1a"))))))))</f>
        <v>1b</v>
      </c>
      <c r="AK32" s="37" t="str">
        <f t="shared" si="15"/>
        <v>1b</v>
      </c>
      <c r="AL32" s="37">
        <f t="shared" si="16"/>
        <v>0</v>
      </c>
      <c r="AM32" s="37" t="str">
        <f t="shared" si="17"/>
        <v>I</v>
      </c>
      <c r="AN32" s="38" t="s">
        <v>169</v>
      </c>
      <c r="AO32" s="39" t="s">
        <v>188</v>
      </c>
      <c r="AP32" s="39" t="s">
        <v>188</v>
      </c>
      <c r="AQ32" s="39">
        <v>0</v>
      </c>
      <c r="AR32" s="39" t="s">
        <v>31</v>
      </c>
      <c r="AS32" s="38">
        <f t="shared" si="6"/>
        <v>1</v>
      </c>
      <c r="AT32" s="39">
        <f t="shared" si="7"/>
        <v>1</v>
      </c>
      <c r="AU32" s="39">
        <f t="shared" si="8"/>
        <v>1</v>
      </c>
      <c r="AV32" s="39">
        <f t="shared" si="9"/>
        <v>1</v>
      </c>
      <c r="AW32" s="40">
        <f t="shared" si="10"/>
        <v>1</v>
      </c>
    </row>
    <row r="33" spans="1:50">
      <c r="A33" s="13">
        <v>31</v>
      </c>
      <c r="B33" s="16">
        <f>_xlfn.MAXIFS('Model output'!B:B,'Model output'!Z:Z,'Classification result'!$A33)</f>
        <v>43304</v>
      </c>
      <c r="C33" s="16"/>
      <c r="D33" s="16"/>
      <c r="E33" s="17">
        <f>_xlfn.MAXIFS('Model output'!C:C,'Model output'!Z:Z,'Classification result'!$A33)</f>
        <v>60</v>
      </c>
      <c r="F33" s="17" t="str" cm="1">
        <f t="array" ref="F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/>
      </c>
      <c r="G33" s="17" t="str" cm="1">
        <f t="array" ref="G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</v>
      </c>
      <c r="H33" s="17" cm="1">
        <f t="array" ref="H33">IF(AND(SUBSTITUTE(_xlfn.TEXTJOIN("/", TRUE, _xlfn._xlws.FILTER('Model output'!F:F, 'Model output'!Z:Z=A33)),"M", "")="", K33="negative"),0,IF(K33="positive",1,0))</f>
        <v>0</v>
      </c>
      <c r="I33" t="str">
        <f t="shared" si="0"/>
        <v>positive</v>
      </c>
      <c r="J33" t="str" cm="1">
        <f t="array" ref="J33">IF(AND(M33&gt;0,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output'!Z:Z=A33)),1)))),"lateral",IF(AND(M33=0, _xlfn.TEXTJOIN("; ", TRUE, _xlfn._xlws.FILTER('Model output'!G:G, 'Model output'!Z:Z=A33))=""),"", "central"))</f>
        <v>central</v>
      </c>
      <c r="K33" s="17" t="str" cm="1">
        <f t="array" ref="K33">IF(OR(ISNUMBER(SEARCH("[]",_xlfn.TEXTJOIN("; ", TRUE, _xlfn._xlws.FILTER('Model output'!H:H, 'Model output'!Z:Z=A33)),1)), 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L33" s="17">
        <f>IF(IFERROR(INDEX('Model output'!I:I, MATCH(A33, 'Model output'!Z:Z, 0)), "") &lt; M33, "", IFERROR(INDEX('Model output'!I:I, MATCH(A33, 'Model output'!Z:Z, 0)), ""))</f>
        <v>1</v>
      </c>
      <c r="M33" s="17">
        <f>IFERROR(INDEX('Model output'!J:J, MATCH(A33, 'Model output'!Z:Z, 0)), "")</f>
        <v>1</v>
      </c>
      <c r="N33" s="18" t="str" cm="1">
        <f t="array" ref="N33">ReplaceTo(ReplaceAnd(SUBSTITUTE(SUBSTITUTE(_xlfn.TEXTJOIN("; ", TRUE, _xlfn._xlws.FILTER('Model output'!K:K, 'Model output'!Z:Z=A33)), " ", ""), ",", ";")))</f>
        <v>4mm</v>
      </c>
      <c r="O33" t="str" cm="1">
        <f t="array" ref="O33">IF(LEFT(IF(RIGHT(SUBSTITUTE(FilterWithUnits(N33)&amp;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";")),1)=";",RIGHT(IF(RIGHT(SUBSTITUTE(FilterWithUnits(N33)&amp;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";")),LEN(IF(RIGHT(SUBSTITUTE(FilterWithUnits(N33)&amp;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";")))-1),IF(RIGHT(SUBSTITUTE(FilterWithUnits(N33)&amp;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</f>
        <v>4mm</v>
      </c>
      <c r="P33" cm="1">
        <f t="array" ref="P33">IF(MaxSize((SplitDimensions(O33)))=0, "", MaxSize((SplitDimensions(O33))))</f>
        <v>0.4</v>
      </c>
      <c r="Q33" t="str" cm="1">
        <f t="array" ref="Q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R33" t="str" cm="1">
        <f t="array" ref="R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S33" t="str" cm="1">
        <f t="array" ref="S33">IF(OR(ISERROR(INDEX(_xlfn._xlws.FILTER('Model output'!N:N,('Model output'!Z:Z=A33)*('Model output'!N:N&lt;&gt;"")),1)),ISNUMBER(SEARCH("ly",SUBSTITUTE(INDEX(_xlfn._xlws.FILTER('Model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T33" t="str" cm="1">
        <f t="array" ref="T33">IF(LEFT(IF(RIGHT(SUBSTITUTE(FilterWithUnits(S33)&amp;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";")),1)=";",RIGHT(IF(RIGHT(SUBSTITUTE(FilterWithUnits(S33)&amp;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";")),LEN(IF(RIGHT(SUBSTITUTE(FilterWithUnits(S33)&amp;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";")))-1),IF(RIGHT(SUBSTITUTE(FilterWithUnits(S33)&amp;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</f>
        <v>4.5x3x2cm</v>
      </c>
      <c r="U33" cm="1">
        <f t="array" ref="U33">IF(MaxSize((SplitDimensions(T33)))=0, "", MaxSize((SplitDimensions(T33))))</f>
        <v>4.5</v>
      </c>
      <c r="V33" s="17" t="str" cm="1">
        <f t="array" ref="V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X33" t="str" cm="1">
        <f t="array" ref="X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Y33" t="str">
        <f t="shared" si="11"/>
        <v>minimal</v>
      </c>
      <c r="Z33" t="str" cm="1">
        <f t="array" ref="Z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AA33" s="17" t="str">
        <f t="shared" si="12"/>
        <v>positive</v>
      </c>
      <c r="AE33" s="17" t="str">
        <f t="shared" si="13"/>
        <v>negative</v>
      </c>
      <c r="AF33" t="str" cm="1">
        <f t="array" ref="AF33">_xlfn.TEXTJOIN("; ",TRUE,_xlfn._xlws.FILTER('Model output'!S:S,'Model output'!Z:Z=A33))</f>
        <v>Present; Present</v>
      </c>
      <c r="AG33" s="17" t="str" cm="1">
        <f t="array" ref="AG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I33" s="46" t="str">
        <f t="shared" si="14"/>
        <v>intermediate</v>
      </c>
      <c r="AJ33" s="37" t="str">
        <f>IF(OR(ISNUMBER(SEARCH("non-invasive follicular",Q33)),ISNUMBER(SEARCH("papillary-like nuclear features",Q33)),ISNUMBER(SEARCH("non-invasive follicular",R33)),ISNUMBER(SEARCH("papillary-like nuclear features",R33))),"NIFTP", IF(OR(F33="4b",AND(AE33="positive",OR(ISNUMBER(SEARCH("prevertebral",AF33)),ISNUMBER(SEARCH("fascia",AF33)),ISNUMBER(SEARCH("carotid artery",AF33)),ISNUMBER(SEARCH("mediastinal",AF33))))),"4b",IF(OR(F33="4a",AND(AE33="positive",OR(ISNUMBER(SEARCH("soft tissue",AF33)),ISNUMBER(SEARCH("larynx",AF33)),ISNUMBER(SEARCH("trachea",AF33)),ISNUMBER(SEARCH("esophagus",AF33)),ISNUMBER(SEARCH("recurrent laryngeal nerve",AF33)),ISNUMBER(SEARCH("RLN",AF33))))),"4a", IF(OR(F33="3b", AE33="positive",ISNUMBER(SEARCH("strap",AF33)),ISNUMBER(SEARCH("sternothyroid",AF33)),ISNUMBER(SEARCH("sternohyoid",AF33)),ISNUMBER(SEARCH("thyrohyoid",AF33)),ISNUMBER(SEARCH("omohyoid",AF33))),"3b",IF(OR(F33="3a", AND(U33&lt;&gt;"",U33&gt;4)),"3a",IF(AND(U33&lt;&gt;"", U33&lt;=4,U33&gt;2),"2",IF(AND(U33&lt;&gt;"",U33&lt;=2,U33&gt;1),"1b",IF(AND(U33&lt;&gt;"",U33&lt;=1),"1a","1a"))))))))</f>
        <v>3a</v>
      </c>
      <c r="AK33" s="37" t="str">
        <f t="shared" si="15"/>
        <v>1a</v>
      </c>
      <c r="AL33" s="37">
        <f t="shared" si="16"/>
        <v>0</v>
      </c>
      <c r="AM33" s="37" t="str">
        <f t="shared" si="17"/>
        <v>II</v>
      </c>
      <c r="AN33" s="38" t="s">
        <v>170</v>
      </c>
      <c r="AO33" s="39" t="s">
        <v>194</v>
      </c>
      <c r="AP33" s="39" t="s">
        <v>190</v>
      </c>
      <c r="AQ33" s="39">
        <v>0</v>
      </c>
      <c r="AR33" s="39" t="s">
        <v>349</v>
      </c>
      <c r="AS33" s="38">
        <f t="shared" si="6"/>
        <v>0</v>
      </c>
      <c r="AT33" s="39">
        <f t="shared" si="7"/>
        <v>0</v>
      </c>
      <c r="AU33" s="39">
        <f t="shared" si="8"/>
        <v>1</v>
      </c>
      <c r="AV33" s="39">
        <f t="shared" si="9"/>
        <v>1</v>
      </c>
      <c r="AW33" s="40">
        <f t="shared" si="10"/>
        <v>0</v>
      </c>
    </row>
    <row r="34" spans="1:50">
      <c r="A34" s="13">
        <v>32</v>
      </c>
      <c r="B34" s="16">
        <f>_xlfn.MAXIFS('Model output'!B:B,'Model output'!Z:Z,'Classification result'!$A34)</f>
        <v>44837</v>
      </c>
      <c r="C34" s="16"/>
      <c r="D34" s="16"/>
      <c r="E34" s="17">
        <f>_xlfn.MAXIFS('Model output'!C:C,'Model output'!Z:Z,'Classification result'!$A34)</f>
        <v>72</v>
      </c>
      <c r="F34" s="17" t="str" cm="1">
        <f t="array" ref="F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X</v>
      </c>
      <c r="G34" s="17" t="str" cm="1">
        <f t="array" ref="G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X</v>
      </c>
      <c r="H34" s="17" cm="1">
        <f t="array" ref="H34">IF(AND(SUBSTITUTE(_xlfn.TEXTJOIN("/", TRUE, _xlfn._xlws.FILTER('Model output'!F:F, 'Model output'!Z:Z=A34)),"M", "")="", K34="negative"),0,IF(K34="positive",1,0))</f>
        <v>0</v>
      </c>
      <c r="I34" t="str">
        <f t="shared" si="0"/>
        <v>positive</v>
      </c>
      <c r="J34" t="str" cm="1">
        <f t="array" ref="J34">IF(AND(M34&gt;0,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output'!Z:Z=A34)),1)))),"lateral",IF(AND(M34=0, _xlfn.TEXTJOIN("; ", TRUE, _xlfn._xlws.FILTER('Model output'!G:G, 'Model output'!Z:Z=A34))=""),"", "central"))</f>
        <v>central</v>
      </c>
      <c r="K34" s="17" t="str" cm="1">
        <f t="array" ref="K34">IF(OR(ISNUMBER(SEARCH("[]",_xlfn.TEXTJOIN("; ", TRUE, _xlfn._xlws.FILTER('Model output'!H:H, 'Model output'!Z:Z=A34)),1)), 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L34" s="17">
        <f>IF(IFERROR(INDEX('Model output'!I:I, MATCH(A34, 'Model output'!Z:Z, 0)), "") &lt; M34, "", IFERROR(INDEX('Model output'!I:I, MATCH(A34, 'Model output'!Z:Z, 0)), ""))</f>
        <v>1</v>
      </c>
      <c r="M34" s="17">
        <f>IFERROR(INDEX('Model output'!J:J, MATCH(A34, 'Model output'!Z:Z, 0)), "")</f>
        <v>1</v>
      </c>
      <c r="N34" s="18" t="str" cm="1">
        <f t="array" ref="N34">ReplaceTo(ReplaceAnd(SUBSTITUTE(SUBSTITUTE(_xlfn.TEXTJOIN("; ", TRUE, _xlfn._xlws.FILTER('Model output'!K:K, 'Model output'!Z:Z=A34)), " ", ""), ",", ";")))</f>
        <v>2.5cm</v>
      </c>
      <c r="O34" t="str" cm="1">
        <f t="array" ref="O34">IF(LEFT(IF(RIGHT(SUBSTITUTE(FilterWithUnits(N34)&amp;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";")),1)=";",RIGHT(IF(RIGHT(SUBSTITUTE(FilterWithUnits(N34)&amp;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";")),LEN(IF(RIGHT(SUBSTITUTE(FilterWithUnits(N34)&amp;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";")))-1),IF(RIGHT(SUBSTITUTE(FilterWithUnits(N34)&amp;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</f>
        <v>2.5cm</v>
      </c>
      <c r="P34" cm="1">
        <f t="array" ref="P34">IF(MaxSize((SplitDimensions(O34)))=0, "", MaxSize((SplitDimensions(O34))))</f>
        <v>2.5</v>
      </c>
      <c r="Q34" t="str" cm="1">
        <f t="array" ref="Q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R34" t="str" cm="1">
        <f t="array" ref="R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S34" t="str" cm="1">
        <f t="array" ref="S34">IF(OR(ISERROR(INDEX(_xlfn._xlws.FILTER('Model output'!N:N,('Model output'!Z:Z=A34)*('Model output'!N:N&lt;&gt;"")),1)),ISNUMBER(SEARCH("ly",SUBSTITUTE(INDEX(_xlfn._xlws.FILTER('Model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>6cm</v>
      </c>
      <c r="T34" t="str" cm="1">
        <f t="array" ref="T34">IF(LEFT(IF(RIGHT(SUBSTITUTE(FilterWithUnits(S34)&amp;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";")),1)=";",RIGHT(IF(RIGHT(SUBSTITUTE(FilterWithUnits(S34)&amp;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";")),LEN(IF(RIGHT(SUBSTITUTE(FilterWithUnits(S34)&amp;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";")))-1),IF(RIGHT(SUBSTITUTE(FilterWithUnits(S34)&amp;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</f>
        <v>6cm</v>
      </c>
      <c r="U34" cm="1">
        <f t="array" ref="U34">IF(MaxSize((SplitDimensions(T34)))=0, "", MaxSize((SplitDimensions(T34))))</f>
        <v>6</v>
      </c>
      <c r="V34" s="17" t="str" cm="1">
        <f t="array" ref="V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X34" t="str" cm="1">
        <f t="array" ref="X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&gt;4</v>
      </c>
      <c r="Y34" t="str">
        <f t="shared" si="11"/>
        <v>extensive</v>
      </c>
      <c r="Z34" t="str" cm="1">
        <f t="array" ref="Z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AA34" s="17" t="str">
        <f t="shared" si="12"/>
        <v>positive</v>
      </c>
      <c r="AE34" s="17" t="str">
        <f t="shared" si="13"/>
        <v>negative</v>
      </c>
      <c r="AF34" t="str" cm="1">
        <f t="array" ref="AF34">_xlfn.TEXTJOIN("; ",TRUE,_xlfn._xlws.FILTER('Model output'!S:S,'Model output'!Z:Z=A34))</f>
        <v>Present; Present</v>
      </c>
      <c r="AG34" s="17" t="str" cm="1">
        <f t="array" ref="AG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I34" s="46" t="str">
        <f t="shared" si="14"/>
        <v>high</v>
      </c>
      <c r="AJ34" s="37" t="str">
        <f t="shared" si="18"/>
        <v>3a</v>
      </c>
      <c r="AK34" s="37" t="str">
        <f t="shared" si="15"/>
        <v>1a</v>
      </c>
      <c r="AL34" s="37">
        <f t="shared" si="16"/>
        <v>0</v>
      </c>
      <c r="AM34" s="37" t="str">
        <f t="shared" si="17"/>
        <v>II</v>
      </c>
      <c r="AN34" s="38" t="s">
        <v>170</v>
      </c>
      <c r="AO34" s="39" t="s">
        <v>192</v>
      </c>
      <c r="AP34" s="39">
        <v>0</v>
      </c>
      <c r="AQ34" s="39">
        <v>0</v>
      </c>
      <c r="AR34" s="39" t="s">
        <v>43</v>
      </c>
      <c r="AS34" s="38">
        <f t="shared" si="6"/>
        <v>1</v>
      </c>
      <c r="AT34" s="39">
        <f t="shared" si="7"/>
        <v>1</v>
      </c>
      <c r="AU34" s="39">
        <f t="shared" si="8"/>
        <v>0</v>
      </c>
      <c r="AV34" s="39">
        <f t="shared" si="9"/>
        <v>1</v>
      </c>
      <c r="AW34" s="40">
        <f t="shared" si="10"/>
        <v>1</v>
      </c>
    </row>
    <row r="35" spans="1:50">
      <c r="A35" s="13">
        <v>33</v>
      </c>
      <c r="B35" s="16">
        <f>_xlfn.MAXIFS('Model output'!B:B,'Model output'!Z:Z,'Classification result'!$A35)</f>
        <v>44517</v>
      </c>
      <c r="C35" s="16"/>
      <c r="D35" s="16"/>
      <c r="E35" s="17">
        <f>_xlfn.MAXIFS('Model output'!C:C,'Model output'!Z:Z,'Classification result'!$A35)</f>
        <v>41</v>
      </c>
      <c r="F35" s="17" t="str" cm="1">
        <f t="array" ref="F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G35" s="17" t="str" cm="1">
        <f t="array" ref="G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H35" s="17" cm="1">
        <f t="array" ref="H35">IF(AND(SUBSTITUTE(_xlfn.TEXTJOIN("/", TRUE, _xlfn._xlws.FILTER('Model output'!F:F, 'Model output'!Z:Z=A35)),"M", "")="", K35="negative"),0,IF(K35="positive",1,0))</f>
        <v>1</v>
      </c>
      <c r="I35" t="str">
        <f t="shared" si="0"/>
        <v/>
      </c>
      <c r="J35" t="str" cm="1">
        <f t="array" ref="J35">IF(AND(M35&gt;0,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output'!Z:Z=A35)),1)))),"lateral",IF(AND(M35=0, _xlfn.TEXTJOIN("; ", TRUE, _xlfn._xlws.FILTER('Model output'!G:G, 'Model output'!Z:Z=A35))=""),"", "central"))</f>
        <v/>
      </c>
      <c r="K35" s="17" t="str" cm="1">
        <f t="array" ref="K35">IF(OR(ISNUMBER(SEARCH("[]",_xlfn.TEXTJOIN("; ", TRUE, _xlfn._xlws.FILTER('Model output'!H:H, 'Model output'!Z:Z=A35)),1)), 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L35" s="17">
        <f>IF(IFERROR(INDEX('Model output'!I:I, MATCH(A35, 'Model output'!Z:Z, 0)), "") &lt; M35, "", IFERROR(INDEX('Model output'!I:I, MATCH(A35, 'Model output'!Z:Z, 0)), ""))</f>
        <v>0</v>
      </c>
      <c r="M35" s="17">
        <f>IFERROR(INDEX('Model output'!J:J, MATCH(A35, 'Model output'!Z:Z, 0)), "")</f>
        <v>0</v>
      </c>
      <c r="N35" s="18" t="str" cm="1">
        <f t="array" ref="N35">ReplaceTo(ReplaceAnd(SUBSTITUTE(SUBSTITUTE(_xlfn.TEXTJOIN("; ", TRUE, _xlfn._xlws.FILTER('Model output'!K:K, 'Model output'!Z:Z=A35)), " ", ""), ",", ";")))</f>
        <v/>
      </c>
      <c r="O35" t="str" cm="1">
        <f t="array" ref="O35">IF(LEFT(IF(RIGHT(SUBSTITUTE(FilterWithUnits(N35)&amp;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";")),1)=";",RIGHT(IF(RIGHT(SUBSTITUTE(FilterWithUnits(N35)&amp;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";")),LEN(IF(RIGHT(SUBSTITUTE(FilterWithUnits(N35)&amp;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";")))-1),IF(RIGHT(SUBSTITUTE(FilterWithUnits(N35)&amp;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</f>
        <v/>
      </c>
      <c r="P35" t="str" cm="1">
        <f t="array" ref="P35">IF(MaxSize((SplitDimensions(O35)))=0, "", MaxSize((SplitDimensions(O35))))</f>
        <v/>
      </c>
      <c r="Q35" t="str" cm="1">
        <f t="array" ref="Q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R35" t="str" cm="1">
        <f t="array" ref="R35">IF(ISERROR(INDEX(_xlfn._xlws.FILTER('Model output'!M:M, ('Model output'!Z:Z=A35)*('Model output'!M:M&lt;&gt;"")), 1)), " ", LOWER(INDEX(_xlfn._xlws.FILTER('Model output'!M:M, ('Model output'!Z:Z=A35)*('Model output'!M:M&lt;&gt;"")), 1)))</f>
        <v xml:space="preserve"> </v>
      </c>
      <c r="S35" t="str" cm="1">
        <f t="array" ref="S35">IF(OR(ISERROR(INDEX(_xlfn._xlws.FILTER('Model output'!N:N,('Model output'!Z:Z=A35)*('Model output'!N:N&lt;&gt;"")),1)),ISNUMBER(SEARCH("ly",SUBSTITUTE(INDEX(_xlfn._xlws.FILTER('Model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/>
      </c>
      <c r="T35" t="str" cm="1">
        <f t="array" ref="T35">IF(LEFT(IF(RIGHT(SUBSTITUTE(FilterWithUnits(S35)&amp;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";")),1)=";",RIGHT(IF(RIGHT(SUBSTITUTE(FilterWithUnits(S35)&amp;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";")),LEN(IF(RIGHT(SUBSTITUTE(FilterWithUnits(S35)&amp;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";")))-1),IF(RIGHT(SUBSTITUTE(FilterWithUnits(S35)&amp;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</f>
        <v/>
      </c>
      <c r="U35" t="str" cm="1">
        <f t="array" ref="U35">IF(MaxSize((SplitDimensions(T35)))=0, "", MaxSize((SplitDimensions(T35))))</f>
        <v/>
      </c>
      <c r="V35" s="17" t="str" cm="1">
        <f t="array" ref="V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positive</v>
      </c>
      <c r="X35" t="str" cm="1">
        <f t="array" ref="X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Y35" t="str">
        <f t="shared" si="11"/>
        <v>minimal</v>
      </c>
      <c r="Z35" t="str" cm="1">
        <f t="array" ref="Z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positive</v>
      </c>
      <c r="AA35" s="17" t="str">
        <f t="shared" si="12"/>
        <v>positive</v>
      </c>
      <c r="AE35" s="17" t="str">
        <f t="shared" si="13"/>
        <v>negative</v>
      </c>
      <c r="AF35" t="str" cm="1">
        <f t="array" ref="AF35">_xlfn.TEXTJOIN("; ",TRUE,_xlfn._xlws.FILTER('Model output'!S:S,'Model output'!Z:Z=A35))</f>
        <v>Present</v>
      </c>
      <c r="AG35" s="17" t="str" cm="1">
        <f t="array" ref="AG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I35" s="46" t="str">
        <f t="shared" si="14"/>
        <v>high</v>
      </c>
      <c r="AJ35" s="37" t="str">
        <f t="shared" si="18"/>
        <v>1a</v>
      </c>
      <c r="AK35" s="37" t="str">
        <f t="shared" si="15"/>
        <v>x</v>
      </c>
      <c r="AL35" s="37">
        <f t="shared" si="16"/>
        <v>1</v>
      </c>
      <c r="AM35" s="37" t="str">
        <f t="shared" si="17"/>
        <v>II</v>
      </c>
      <c r="AN35" s="38" t="s">
        <v>170</v>
      </c>
      <c r="AO35" s="39" t="s">
        <v>190</v>
      </c>
      <c r="AP35" s="39" t="s">
        <v>189</v>
      </c>
      <c r="AQ35" s="39">
        <v>1</v>
      </c>
      <c r="AR35" s="39" t="s">
        <v>43</v>
      </c>
      <c r="AS35" s="38">
        <f t="shared" si="6"/>
        <v>1</v>
      </c>
      <c r="AT35" s="39">
        <f t="shared" si="7"/>
        <v>1</v>
      </c>
      <c r="AU35" s="39">
        <f t="shared" si="8"/>
        <v>1</v>
      </c>
      <c r="AV35" s="39">
        <f t="shared" si="9"/>
        <v>1</v>
      </c>
      <c r="AW35" s="40">
        <f t="shared" si="10"/>
        <v>1</v>
      </c>
    </row>
    <row r="36" spans="1:50">
      <c r="A36" s="13">
        <v>34</v>
      </c>
      <c r="B36" s="16">
        <f>_xlfn.MAXIFS('Model output'!B:B,'Model output'!Z:Z,'Classification result'!$A36)</f>
        <v>44825</v>
      </c>
      <c r="C36" s="16"/>
      <c r="D36" s="16"/>
      <c r="E36" s="17">
        <f>_xlfn.MAXIFS('Model output'!C:C,'Model output'!Z:Z,'Classification result'!$A36)</f>
        <v>63</v>
      </c>
      <c r="F36" s="17" t="str" cm="1">
        <f t="array" ref="F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G36" s="17" t="str" cm="1">
        <f t="array" ref="G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H36" s="17" cm="1">
        <f t="array" ref="H36">IF(AND(SUBSTITUTE(_xlfn.TEXTJOIN("/", TRUE, _xlfn._xlws.FILTER('Model output'!F:F, 'Model output'!Z:Z=A36)),"M", "")="", K36="negative"),0,IF(K36="positive",1,0))</f>
        <v>0</v>
      </c>
      <c r="I36" t="str">
        <f t="shared" si="0"/>
        <v/>
      </c>
      <c r="J36" t="str" cm="1">
        <f t="array" ref="J36">IF(AND(M36&gt;0,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output'!Z:Z=A36)),1)))),"lateral",IF(AND(M36=0, _xlfn.TEXTJOIN("; ", TRUE, _xlfn._xlws.FILTER('Model output'!G:G, 'Model output'!Z:Z=A36))=""),"", "central"))</f>
        <v/>
      </c>
      <c r="K36" s="17" t="str" cm="1">
        <f t="array" ref="K36">IF(OR(ISNUMBER(SEARCH("[]",_xlfn.TEXTJOIN("; ", TRUE, _xlfn._xlws.FILTER('Model output'!H:H, 'Model output'!Z:Z=A36)),1)), 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L36" s="17">
        <f>IF(IFERROR(INDEX('Model output'!I:I, MATCH(A36, 'Model output'!Z:Z, 0)), "") &lt; M36, "", IFERROR(INDEX('Model output'!I:I, MATCH(A36, 'Model output'!Z:Z, 0)), ""))</f>
        <v>0</v>
      </c>
      <c r="M36" s="17">
        <f>IFERROR(INDEX('Model output'!J:J, MATCH(A36, 'Model output'!Z:Z, 0)), "")</f>
        <v>0</v>
      </c>
      <c r="N36" s="18" t="str" cm="1">
        <f t="array" ref="N36">ReplaceTo(ReplaceAnd(SUBSTITUTE(SUBSTITUTE(_xlfn.TEXTJOIN("; ", TRUE, _xlfn._xlws.FILTER('Model output'!K:K, 'Model output'!Z:Z=A36)), " ", ""), ",", ";")))</f>
        <v/>
      </c>
      <c r="O36" t="str" cm="1">
        <f t="array" ref="O36">IF(LEFT(IF(RIGHT(SUBSTITUTE(FilterWithUnits(N36)&amp;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";")),1)=";",RIGHT(IF(RIGHT(SUBSTITUTE(FilterWithUnits(N36)&amp;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";")),LEN(IF(RIGHT(SUBSTITUTE(FilterWithUnits(N36)&amp;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";")))-1),IF(RIGHT(SUBSTITUTE(FilterWithUnits(N36)&amp;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</f>
        <v/>
      </c>
      <c r="P36" t="str" cm="1">
        <f t="array" ref="P36">IF(MaxSize((SplitDimensions(O36)))=0, "", MaxSize((SplitDimensions(O36))))</f>
        <v/>
      </c>
      <c r="Q36" t="str" cm="1">
        <f t="array" ref="Q36">IF(ISERROR(INDEX(_xlfn._xlws.FILTER('Model output'!L:L, ('Model output'!Z:Z=A36)*('Model output'!L:L&lt;&gt;"")), 1)), " ", LOWER(INDEX(_xlfn._xlws.FILTER('Model output'!L:L, ('Model output'!Z:Z=A36)*('Model output'!L:L&lt;&gt;"")), 1)))</f>
        <v>papillary</v>
      </c>
      <c r="R36" t="str" cm="1">
        <f t="array" ref="R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S36" t="str" cm="1">
        <f t="array" ref="S36">IF(OR(ISERROR(INDEX(_xlfn._xlws.FILTER('Model output'!N:N,('Model output'!Z:Z=A36)*('Model output'!N:N&lt;&gt;"")),1)),ISNUMBER(SEARCH("ly",SUBSTITUTE(INDEX(_xlfn._xlws.FILTER('Model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T36" t="str" cm="1">
        <f t="array" ref="T36">IF(LEFT(IF(RIGHT(SUBSTITUTE(FilterWithUnits(S36)&amp;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";")),1)=";",RIGHT(IF(RIGHT(SUBSTITUTE(FilterWithUnits(S36)&amp;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";")),LEN(IF(RIGHT(SUBSTITUTE(FilterWithUnits(S36)&amp;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";")))-1),IF(RIGHT(SUBSTITUTE(FilterWithUnits(S36)&amp;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</f>
        <v>24.5mm</v>
      </c>
      <c r="U36" cm="1">
        <f t="array" ref="U36">IF(MaxSize((SplitDimensions(T36)))=0, "", MaxSize((SplitDimensions(T36))))</f>
        <v>2.4500000000000002</v>
      </c>
      <c r="V36" s="17" t="str" cm="1">
        <f t="array" ref="V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X36" t="str" cm="1">
        <f t="array" ref="X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&gt;4</v>
      </c>
      <c r="Y36" t="str">
        <f t="shared" si="11"/>
        <v>extensive</v>
      </c>
      <c r="Z36" t="str" cm="1">
        <f t="array" ref="Z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AA36" s="17" t="str">
        <f t="shared" si="12"/>
        <v>positive</v>
      </c>
      <c r="AE36" s="17" t="str">
        <f t="shared" si="13"/>
        <v>positive</v>
      </c>
      <c r="AF36" t="str" cm="1">
        <f t="array" ref="AF36">_xlfn.TEXTJOIN("; ",TRUE,_xlfn._xlws.FILTER('Model output'!S:S,'Model output'!Z:Z=A36))</f>
        <v>Invading subcutaneous soft tissues, larynx, trachea, esophagus or recurrent laryngeal nerve; Present</v>
      </c>
      <c r="AG36" s="17" t="str" cm="1">
        <f t="array" ref="AG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I36" s="46" t="str">
        <f t="shared" si="14"/>
        <v>high</v>
      </c>
      <c r="AJ36" s="37" t="str">
        <f t="shared" si="18"/>
        <v>4a</v>
      </c>
      <c r="AK36" s="37" t="str">
        <f t="shared" si="15"/>
        <v>x</v>
      </c>
      <c r="AL36" s="37">
        <f t="shared" si="16"/>
        <v>0</v>
      </c>
      <c r="AM36" s="37" t="str">
        <f t="shared" si="17"/>
        <v>III</v>
      </c>
      <c r="AN36" s="38" t="s">
        <v>170</v>
      </c>
      <c r="AO36" s="39" t="s">
        <v>193</v>
      </c>
      <c r="AP36" s="39">
        <v>0</v>
      </c>
      <c r="AQ36" s="39">
        <v>0</v>
      </c>
      <c r="AR36" s="39" t="s">
        <v>68</v>
      </c>
      <c r="AS36" s="38">
        <f t="shared" si="6"/>
        <v>1</v>
      </c>
      <c r="AT36" s="39">
        <f t="shared" si="7"/>
        <v>1</v>
      </c>
      <c r="AU36" s="39">
        <f t="shared" si="8"/>
        <v>1</v>
      </c>
      <c r="AV36" s="39">
        <f t="shared" si="9"/>
        <v>1</v>
      </c>
      <c r="AW36" s="40">
        <f t="shared" si="10"/>
        <v>1</v>
      </c>
    </row>
    <row r="37" spans="1:50">
      <c r="A37" s="25">
        <v>35</v>
      </c>
      <c r="B37" s="26">
        <f>_xlfn.MAXIFS('Model output'!B:B,'Model output'!Z:Z,'Classification result'!$A37)</f>
        <v>44508</v>
      </c>
      <c r="C37" s="26"/>
      <c r="D37" s="26"/>
      <c r="E37" s="27">
        <f>_xlfn.MAXIFS('Model output'!C:C,'Model output'!Z:Z,'Classification result'!$A37)</f>
        <v>62</v>
      </c>
      <c r="F37" s="27" t="str" cm="1">
        <f t="array" ref="F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G37" s="27" t="str" cm="1">
        <f t="array" ref="G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X</v>
      </c>
      <c r="H37" s="27" cm="1">
        <f t="array" ref="H37">IF(AND(SUBSTITUTE(_xlfn.TEXTJOIN("/", TRUE, _xlfn._xlws.FILTER('Model output'!F:F, 'Model output'!Z:Z=A37)),"M", "")="", K37="negative"),0,IF(K37="positive",1,0))</f>
        <v>1</v>
      </c>
      <c r="I37" s="28" t="str">
        <f t="shared" si="0"/>
        <v>positive</v>
      </c>
      <c r="J37" s="28" t="str" cm="1">
        <f t="array" ref="J37">IF(AND(M37&gt;0,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output'!Z:Z=A37)),1)))),"lateral",IF(AND(M37=0, _xlfn.TEXTJOIN("; ", TRUE, _xlfn._xlws.FILTER('Model output'!G:G, 'Model output'!Z:Z=A37))=""),"", "central"))</f>
        <v>lateral</v>
      </c>
      <c r="K37" s="27" t="str" cm="1">
        <f t="array" ref="K37">IF(OR(ISNUMBER(SEARCH("[]",_xlfn.TEXTJOIN("; ", TRUE, _xlfn._xlws.FILTER('Model output'!H:H, 'Model output'!Z:Z=A37)),1)), 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L37" s="27">
        <f>IF(IFERROR(INDEX('Model output'!I:I, MATCH(A37, 'Model output'!Z:Z, 0)), "") &lt; M37, "", IFERROR(INDEX('Model output'!I:I, MATCH(A37, 'Model output'!Z:Z, 0)), ""))</f>
        <v>35</v>
      </c>
      <c r="M37" s="27">
        <f>IFERROR(INDEX('Model output'!J:J, MATCH(A37, 'Model output'!Z:Z, 0)), "")</f>
        <v>7</v>
      </c>
      <c r="N37" s="29" t="str" cm="1">
        <f t="array" ref="N37">ReplaceTo(ReplaceAnd(SUBSTITUTE(SUBSTITUTE(_xlfn.TEXTJOIN("; ", TRUE, _xlfn._xlws.FILTER('Model output'!K:K, 'Model output'!Z:Z=A37)), " ", ""), ",", ";")))</f>
        <v>1.2cm</v>
      </c>
      <c r="O37" s="28" t="str" cm="1">
        <f t="array" ref="O37">IF(LEFT(IF(RIGHT(SUBSTITUTE(FilterWithUnits(N37)&amp;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";")),1)=";",RIGHT(IF(RIGHT(SUBSTITUTE(FilterWithUnits(N37)&amp;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";")),LEN(IF(RIGHT(SUBSTITUTE(FilterWithUnits(N37)&amp;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";")))-1),IF(RIGHT(SUBSTITUTE(FilterWithUnits(N37)&amp;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</f>
        <v>1.2cm</v>
      </c>
      <c r="P37" s="28" cm="1">
        <f t="array" ref="P37">IF(MaxSize((SplitDimensions(O37)))=0, "", MaxSize((SplitDimensions(O37))))</f>
        <v>1.2</v>
      </c>
      <c r="Q37" s="28" t="str" cm="1">
        <f t="array" ref="Q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R37" s="28" t="str" cm="1">
        <f t="array" ref="R37">IF(ISERROR(INDEX(_xlfn._xlws.FILTER('Model output'!M:M, ('Model output'!Z:Z=A37)*('Model output'!M:M&lt;&gt;"")), 1)), " ", LOWER(INDEX(_xlfn._xlws.FILTER('Model output'!M:M, ('Model output'!Z:Z=A37)*('Model output'!M:M&lt;&gt;"")), 1)))</f>
        <v>tall cell variant</v>
      </c>
      <c r="S37" s="28" t="str" cm="1">
        <f t="array" ref="S37">IF(OR(ISERROR(INDEX(_xlfn._xlws.FILTER('Model output'!N:N,('Model output'!Z:Z=A37)*('Model output'!N:N&lt;&gt;"")),1)),ISNUMBER(SEARCH("ly",SUBSTITUTE(INDEX(_xlfn._xlws.FILTER('Model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4cm</v>
      </c>
      <c r="T37" s="28" t="str" cm="1">
        <f t="array" ref="T37">IF(LEFT(IF(RIGHT(SUBSTITUTE(FilterWithUnits(S37)&amp;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";")),1)=";",RIGHT(IF(RIGHT(SUBSTITUTE(FilterWithUnits(S37)&amp;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";")),LEN(IF(RIGHT(SUBSTITUTE(FilterWithUnits(S37)&amp;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";")))-1),IF(RIGHT(SUBSTITUTE(FilterWithUnits(S37)&amp;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</f>
        <v>4cm</v>
      </c>
      <c r="U37" s="28" cm="1">
        <f t="array" ref="U37">IF(MaxSize((SplitDimensions(T37)))=0, "", MaxSize((SplitDimensions(T37))))</f>
        <v>4</v>
      </c>
      <c r="V37" s="27" t="str" cm="1">
        <f t="array" ref="V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W37" s="27"/>
      <c r="X37" s="28" t="str" cm="1">
        <f t="array" ref="X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Y37" s="28" t="str">
        <f t="shared" si="11"/>
        <v>minimal</v>
      </c>
      <c r="Z37" s="28" t="str" cm="1">
        <f t="array" ref="Z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AA37" s="27" t="str">
        <f t="shared" si="12"/>
        <v>positive</v>
      </c>
      <c r="AB37" s="27"/>
      <c r="AC37" s="27"/>
      <c r="AD37" s="27"/>
      <c r="AE37" s="27" t="str">
        <f t="shared" si="13"/>
        <v>negative</v>
      </c>
      <c r="AF37" s="28" t="str" cm="1">
        <f t="array" ref="AF37">_xlfn.TEXTJOIN("; ",TRUE,_xlfn._xlws.FILTER('Model output'!S:S,'Model output'!Z:Z=A37))</f>
        <v>Present; Present</v>
      </c>
      <c r="AG37" s="27" t="str" cm="1">
        <f t="array" ref="AG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H37" s="27"/>
      <c r="AI37" s="47" t="str">
        <f t="shared" si="14"/>
        <v>high</v>
      </c>
      <c r="AJ37" s="41" t="str">
        <f t="shared" si="18"/>
        <v>2</v>
      </c>
      <c r="AK37" s="41" t="str">
        <f t="shared" si="15"/>
        <v>1b</v>
      </c>
      <c r="AL37" s="41">
        <f t="shared" si="16"/>
        <v>1</v>
      </c>
      <c r="AM37" s="41" t="str">
        <f t="shared" si="17"/>
        <v>IVB</v>
      </c>
      <c r="AN37" s="42" t="s">
        <v>170</v>
      </c>
      <c r="AO37" s="43" t="s">
        <v>348</v>
      </c>
      <c r="AP37" s="43" t="s">
        <v>188</v>
      </c>
      <c r="AQ37" s="43">
        <v>1</v>
      </c>
      <c r="AR37" s="43" t="s">
        <v>350</v>
      </c>
      <c r="AS37" s="42">
        <f t="shared" si="6"/>
        <v>1</v>
      </c>
      <c r="AT37" s="43">
        <f t="shared" si="7"/>
        <v>1</v>
      </c>
      <c r="AU37" s="43">
        <f t="shared" si="8"/>
        <v>1</v>
      </c>
      <c r="AV37" s="43">
        <f t="shared" si="9"/>
        <v>1</v>
      </c>
      <c r="AW37" s="44">
        <f t="shared" si="10"/>
        <v>1</v>
      </c>
    </row>
    <row r="38" spans="1:50">
      <c r="A38" s="13"/>
    </row>
    <row r="39" spans="1:50">
      <c r="A39" s="13"/>
      <c r="F39" s="18"/>
      <c r="G39" s="18"/>
      <c r="Z39" s="12"/>
      <c r="AS39" s="11"/>
      <c r="AT39" s="21"/>
      <c r="AU39" s="21"/>
      <c r="AV39" s="21"/>
      <c r="AW39" s="21"/>
      <c r="AX39" s="12"/>
    </row>
    <row r="40" spans="1:50">
      <c r="A40" s="13"/>
      <c r="F40" s="18"/>
      <c r="G40" t="str">
        <f>IF(ISNUMBER(SEARCH("N",G3,1)),FIND("N",G3,1), "")</f>
        <v/>
      </c>
      <c r="AR40" s="12"/>
      <c r="AS40" s="20"/>
      <c r="AT40" s="20"/>
      <c r="AU40" s="20"/>
      <c r="AV40" s="20"/>
      <c r="AW40" s="20"/>
    </row>
    <row r="41" spans="1:50">
      <c r="A41" s="13"/>
      <c r="F41" s="18"/>
      <c r="G41" t="str">
        <f>IF(ISNUMBER(SEARCH("N",G4,1)),FIND("N",G4,1), "")</f>
        <v/>
      </c>
    </row>
    <row r="42" spans="1:50">
      <c r="A42" s="13"/>
      <c r="F42" s="18"/>
    </row>
    <row r="43" spans="1:50">
      <c r="A43" s="13"/>
      <c r="F43" s="18"/>
    </row>
    <row r="44" spans="1:50">
      <c r="A44" s="13"/>
      <c r="F44" s="18"/>
    </row>
    <row r="45" spans="1:50">
      <c r="A45" s="13"/>
      <c r="F45" s="18"/>
    </row>
    <row r="46" spans="1:50">
      <c r="A46" s="13"/>
      <c r="F46" s="18"/>
    </row>
    <row r="47" spans="1:50">
      <c r="A47" s="13"/>
      <c r="F47" s="18"/>
    </row>
    <row r="48" spans="1:50">
      <c r="A48" s="13"/>
      <c r="F48" s="18"/>
    </row>
    <row r="49" spans="1:6">
      <c r="A49" s="13"/>
      <c r="F49" s="18"/>
    </row>
    <row r="50" spans="1:6">
      <c r="A50" s="13"/>
    </row>
    <row r="51" spans="1:6">
      <c r="A51" s="13"/>
    </row>
    <row r="52" spans="1:6">
      <c r="A52" s="13"/>
    </row>
    <row r="53" spans="1:6">
      <c r="A53" s="13"/>
    </row>
    <row r="54" spans="1:6">
      <c r="A54" s="13"/>
    </row>
    <row r="55" spans="1:6">
      <c r="A55" s="13"/>
    </row>
    <row r="56" spans="1:6">
      <c r="A56" s="13"/>
    </row>
    <row r="57" spans="1:6">
      <c r="A57" s="13"/>
    </row>
    <row r="58" spans="1:6">
      <c r="A58" s="13"/>
    </row>
    <row r="59" spans="1:6">
      <c r="A59" s="13"/>
    </row>
    <row r="60" spans="1:6">
      <c r="A60" s="13"/>
    </row>
    <row r="61" spans="1:6">
      <c r="A61" s="13"/>
    </row>
    <row r="62" spans="1:6">
      <c r="A62" s="13"/>
    </row>
    <row r="63" spans="1:6">
      <c r="A63" s="13"/>
    </row>
    <row r="64" spans="1:6">
      <c r="A64" s="13"/>
    </row>
  </sheetData>
  <mergeCells count="4">
    <mergeCell ref="A1:AG1"/>
    <mergeCell ref="AI1:AM1"/>
    <mergeCell ref="AN1:AR1"/>
    <mergeCell ref="AS1:AW1"/>
  </mergeCells>
  <conditionalFormatting sqref="AL1:AL2">
    <cfRule type="containsText" dxfId="2" priority="8" operator="containsText" text="x">
      <formula>NOT(ISERROR(SEARCH("x",AL1)))</formula>
    </cfRule>
  </conditionalFormatting>
  <conditionalFormatting sqref="AQ1">
    <cfRule type="containsText" dxfId="1" priority="7" operator="containsText" text="x">
      <formula>NOT(ISERROR(SEARCH("x",AQ1)))</formula>
    </cfRule>
  </conditionalFormatting>
  <conditionalFormatting sqref="AV1">
    <cfRule type="containsText" dxfId="0" priority="6" operator="containsText" text="x">
      <formula>NOT(ISERROR(SEARCH("x",AV1)))</formula>
    </cfRule>
  </conditionalFormatting>
  <pageMargins left="0.7" right="0.7" top="0.75" bottom="0.75" header="0.3" footer="0.3"/>
  <pageSetup paperSize="9" orientation="portrait" horizontalDpi="0" verticalDpi="0"/>
  <ignoredErrors>
    <ignoredError sqref="AU3:AU37" formula="1"/>
    <ignoredError sqref="AO4:AR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C1" activePane="topRight" state="frozen"/>
      <selection pane="topRight"/>
    </sheetView>
  </sheetViews>
  <sheetFormatPr defaultColWidth="10.6640625" defaultRowHeight="14.25"/>
  <cols>
    <col min="2" max="2" width="0" hidden="1" customWidth="1"/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  <c r="I1" t="s">
        <v>224</v>
      </c>
      <c r="J1" t="s">
        <v>225</v>
      </c>
      <c r="K1" t="s">
        <v>226</v>
      </c>
      <c r="L1" t="s">
        <v>227</v>
      </c>
      <c r="M1" t="s">
        <v>228</v>
      </c>
      <c r="N1" t="s">
        <v>229</v>
      </c>
      <c r="O1" t="s">
        <v>230</v>
      </c>
      <c r="P1" t="s">
        <v>231</v>
      </c>
      <c r="Q1" t="s">
        <v>232</v>
      </c>
      <c r="R1" t="s">
        <v>233</v>
      </c>
      <c r="S1" t="s">
        <v>247</v>
      </c>
      <c r="T1" t="s">
        <v>234</v>
      </c>
      <c r="U1" t="s">
        <v>235</v>
      </c>
      <c r="V1" t="s">
        <v>236</v>
      </c>
      <c r="W1" t="s">
        <v>237</v>
      </c>
      <c r="X1" t="s">
        <v>238</v>
      </c>
      <c r="Z1" s="14" t="s">
        <v>246</v>
      </c>
    </row>
    <row r="2" spans="1:26">
      <c r="A2" s="22" t="s">
        <v>30</v>
      </c>
      <c r="B2" s="22" t="s">
        <v>248</v>
      </c>
      <c r="C2" s="22">
        <v>67</v>
      </c>
      <c r="D2" s="22" t="s">
        <v>159</v>
      </c>
      <c r="E2" s="22"/>
      <c r="F2" s="22"/>
      <c r="G2" s="22"/>
      <c r="H2" s="22"/>
      <c r="I2" s="22"/>
      <c r="J2" s="22"/>
      <c r="K2" s="22"/>
      <c r="L2" s="22" t="s">
        <v>32</v>
      </c>
      <c r="M2" s="22" t="s">
        <v>298</v>
      </c>
      <c r="N2" s="22" t="s">
        <v>197</v>
      </c>
      <c r="O2" s="22">
        <v>1</v>
      </c>
      <c r="P2" s="22"/>
      <c r="Q2" s="22"/>
      <c r="R2" s="22" t="s">
        <v>176</v>
      </c>
      <c r="S2" s="22" t="s">
        <v>174</v>
      </c>
      <c r="T2" s="22"/>
      <c r="U2" s="22"/>
      <c r="V2" s="22"/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s="22" t="s">
        <v>34</v>
      </c>
      <c r="B3" s="22"/>
      <c r="C3" s="22">
        <v>67</v>
      </c>
      <c r="D3" s="22"/>
      <c r="E3" s="22" t="s">
        <v>277</v>
      </c>
      <c r="F3" s="22"/>
      <c r="G3" s="22" t="s">
        <v>177</v>
      </c>
      <c r="H3" s="22"/>
      <c r="I3" s="22"/>
      <c r="J3" s="22"/>
      <c r="K3" s="22"/>
      <c r="L3" s="22" t="s">
        <v>302</v>
      </c>
      <c r="M3" s="22"/>
      <c r="N3" s="22"/>
      <c r="O3" s="22"/>
      <c r="P3" s="22"/>
      <c r="Q3" s="22"/>
      <c r="R3" s="22"/>
      <c r="S3" s="22"/>
      <c r="T3" s="22"/>
      <c r="U3" s="22"/>
      <c r="V3" s="22"/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s="22" t="s">
        <v>36</v>
      </c>
      <c r="B4" s="22" t="s">
        <v>251</v>
      </c>
      <c r="C4" s="22">
        <v>39</v>
      </c>
      <c r="D4" s="22" t="s">
        <v>160</v>
      </c>
      <c r="E4" s="22"/>
      <c r="F4" s="22"/>
      <c r="G4" s="22"/>
      <c r="H4" s="22"/>
      <c r="I4" s="22"/>
      <c r="J4" s="22"/>
      <c r="K4" s="22"/>
      <c r="L4" s="22" t="s">
        <v>32</v>
      </c>
      <c r="M4" s="22" t="s">
        <v>303</v>
      </c>
      <c r="N4" s="22" t="s">
        <v>37</v>
      </c>
      <c r="O4" s="22"/>
      <c r="P4" s="22" t="s">
        <v>174</v>
      </c>
      <c r="Q4" s="22"/>
      <c r="R4" s="22" t="s">
        <v>176</v>
      </c>
      <c r="S4" s="22" t="s">
        <v>174</v>
      </c>
      <c r="T4" s="22"/>
      <c r="U4" s="22"/>
      <c r="V4" s="22" t="s">
        <v>304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s="22" t="s">
        <v>38</v>
      </c>
      <c r="B5" s="22"/>
      <c r="C5" s="22">
        <v>39</v>
      </c>
      <c r="D5" s="22"/>
      <c r="E5" s="22"/>
      <c r="F5" s="22"/>
      <c r="G5" s="22"/>
      <c r="H5" s="22"/>
      <c r="I5" s="22"/>
      <c r="J5" s="22"/>
      <c r="K5" s="22"/>
      <c r="L5" s="22" t="s">
        <v>203</v>
      </c>
      <c r="M5" s="22"/>
      <c r="N5" s="22"/>
      <c r="O5" s="22"/>
      <c r="P5" s="22"/>
      <c r="Q5" s="22"/>
      <c r="R5" s="22"/>
      <c r="S5" s="22"/>
      <c r="T5" s="22"/>
      <c r="U5" s="22"/>
      <c r="V5" s="22"/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s="22" t="s">
        <v>39</v>
      </c>
      <c r="B6" s="22" t="s">
        <v>207</v>
      </c>
      <c r="C6" s="22"/>
      <c r="D6" s="22" t="s">
        <v>158</v>
      </c>
      <c r="E6" s="22" t="s">
        <v>165</v>
      </c>
      <c r="F6" s="22" t="s">
        <v>250</v>
      </c>
      <c r="G6" s="22" t="s">
        <v>199</v>
      </c>
      <c r="H6" s="22"/>
      <c r="I6" s="22">
        <v>5</v>
      </c>
      <c r="J6" s="22">
        <v>1</v>
      </c>
      <c r="K6" s="22" t="s">
        <v>40</v>
      </c>
      <c r="L6" s="22" t="s">
        <v>173</v>
      </c>
      <c r="M6" s="22" t="s">
        <v>276</v>
      </c>
      <c r="N6" s="22" t="s">
        <v>305</v>
      </c>
      <c r="O6" s="22"/>
      <c r="P6" s="22" t="s">
        <v>174</v>
      </c>
      <c r="Q6" s="22"/>
      <c r="R6" s="22" t="s">
        <v>176</v>
      </c>
      <c r="S6" s="22" t="s">
        <v>280</v>
      </c>
      <c r="T6" s="22"/>
      <c r="U6" s="22"/>
      <c r="V6" s="22" t="s">
        <v>252</v>
      </c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s="22" t="s">
        <v>41</v>
      </c>
      <c r="B7" s="22"/>
      <c r="C7" s="22">
        <v>52</v>
      </c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s="22" t="s">
        <v>42</v>
      </c>
      <c r="B8" s="22" t="s">
        <v>209</v>
      </c>
      <c r="C8" s="22"/>
      <c r="D8" s="22" t="s">
        <v>157</v>
      </c>
      <c r="E8" s="22" t="s">
        <v>165</v>
      </c>
      <c r="F8" s="22"/>
      <c r="G8" s="22" t="s">
        <v>239</v>
      </c>
      <c r="H8" s="22"/>
      <c r="I8" s="22">
        <v>6</v>
      </c>
      <c r="J8" s="22">
        <v>3</v>
      </c>
      <c r="K8" s="22" t="s">
        <v>44</v>
      </c>
      <c r="L8" s="22" t="s">
        <v>173</v>
      </c>
      <c r="M8" s="22" t="s">
        <v>278</v>
      </c>
      <c r="N8" s="22" t="s">
        <v>45</v>
      </c>
      <c r="O8" s="22"/>
      <c r="P8" s="22" t="s">
        <v>176</v>
      </c>
      <c r="Q8" s="22"/>
      <c r="R8" s="22" t="s">
        <v>176</v>
      </c>
      <c r="S8" s="22" t="s">
        <v>176</v>
      </c>
      <c r="T8" s="22"/>
      <c r="U8" s="22"/>
      <c r="V8" s="22" t="s">
        <v>281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s="22" t="s">
        <v>46</v>
      </c>
      <c r="B9" s="22"/>
      <c r="C9" s="22">
        <v>61</v>
      </c>
      <c r="D9" s="22"/>
      <c r="E9" s="22"/>
      <c r="F9" s="22"/>
      <c r="G9" s="22" t="s">
        <v>282</v>
      </c>
      <c r="H9" s="22"/>
      <c r="I9" s="22"/>
      <c r="J9" s="22"/>
      <c r="K9" s="22"/>
      <c r="L9" s="22" t="s">
        <v>35</v>
      </c>
      <c r="M9" s="22"/>
      <c r="N9" s="22"/>
      <c r="O9" s="22"/>
      <c r="P9" s="22"/>
      <c r="Q9" s="22"/>
      <c r="R9" s="22" t="s">
        <v>176</v>
      </c>
      <c r="S9" s="22" t="s">
        <v>176</v>
      </c>
      <c r="T9" s="22"/>
      <c r="U9" s="22"/>
      <c r="V9" s="22"/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s="22" t="s">
        <v>47</v>
      </c>
      <c r="B10" s="22" t="s">
        <v>253</v>
      </c>
      <c r="C10" s="22">
        <v>34</v>
      </c>
      <c r="D10" s="22" t="s">
        <v>210</v>
      </c>
      <c r="E10" s="22" t="s">
        <v>208</v>
      </c>
      <c r="F10" s="22"/>
      <c r="G10" s="22"/>
      <c r="H10" s="22"/>
      <c r="I10" s="22">
        <v>5</v>
      </c>
      <c r="J10" s="22">
        <v>1</v>
      </c>
      <c r="K10" s="22" t="s">
        <v>48</v>
      </c>
      <c r="L10" s="22" t="s">
        <v>173</v>
      </c>
      <c r="M10" s="22" t="s">
        <v>283</v>
      </c>
      <c r="N10" s="22" t="s">
        <v>200</v>
      </c>
      <c r="O10" s="22"/>
      <c r="P10" s="22" t="s">
        <v>306</v>
      </c>
      <c r="Q10" s="22"/>
      <c r="R10" s="22" t="s">
        <v>176</v>
      </c>
      <c r="S10" s="22" t="s">
        <v>264</v>
      </c>
      <c r="T10" s="22"/>
      <c r="U10" s="22"/>
      <c r="V10" s="22" t="s">
        <v>304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s="22" t="s">
        <v>49</v>
      </c>
      <c r="B11" s="22" t="s">
        <v>253</v>
      </c>
      <c r="C11" s="22">
        <v>34</v>
      </c>
      <c r="D11" s="22"/>
      <c r="E11" s="22"/>
      <c r="F11" s="22"/>
      <c r="G11" s="22" t="s">
        <v>177</v>
      </c>
      <c r="H11" s="22"/>
      <c r="I11" s="22">
        <v>2</v>
      </c>
      <c r="J11" s="22">
        <v>1</v>
      </c>
      <c r="K11" s="22" t="s">
        <v>48</v>
      </c>
      <c r="L11" s="22" t="s">
        <v>203</v>
      </c>
      <c r="M11" s="22"/>
      <c r="N11" s="22" t="s">
        <v>48</v>
      </c>
      <c r="O11" s="22">
        <v>1</v>
      </c>
      <c r="P11" s="22"/>
      <c r="Q11" s="22"/>
      <c r="R11" s="22" t="s">
        <v>176</v>
      </c>
      <c r="S11" s="22"/>
      <c r="T11" s="22"/>
      <c r="U11" s="22"/>
      <c r="V11" s="22"/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s="22" t="s">
        <v>50</v>
      </c>
      <c r="B12" s="22"/>
      <c r="C12" s="22">
        <v>34</v>
      </c>
      <c r="D12" s="22"/>
      <c r="E12" s="22" t="s">
        <v>277</v>
      </c>
      <c r="F12" s="22"/>
      <c r="G12" s="22" t="s">
        <v>307</v>
      </c>
      <c r="H12" s="22"/>
      <c r="I12" s="22"/>
      <c r="J12" s="22"/>
      <c r="K12" s="22"/>
      <c r="L12" s="22" t="s">
        <v>302</v>
      </c>
      <c r="M12" s="22"/>
      <c r="N12" s="22"/>
      <c r="O12" s="22"/>
      <c r="P12" s="22" t="s">
        <v>176</v>
      </c>
      <c r="Q12" s="22"/>
      <c r="R12" s="22" t="s">
        <v>176</v>
      </c>
      <c r="S12" s="22" t="s">
        <v>284</v>
      </c>
      <c r="T12" s="22"/>
      <c r="U12" s="22"/>
      <c r="V12" s="22"/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s="22" t="s">
        <v>51</v>
      </c>
      <c r="B13" s="24">
        <v>45416</v>
      </c>
      <c r="C13" s="22">
        <v>66</v>
      </c>
      <c r="D13" s="22"/>
      <c r="E13" s="22"/>
      <c r="F13" s="22"/>
      <c r="G13" s="22"/>
      <c r="H13" s="22"/>
      <c r="I13" s="22"/>
      <c r="J13" s="22"/>
      <c r="K13" s="22"/>
      <c r="L13" s="22" t="s">
        <v>244</v>
      </c>
      <c r="M13" s="22" t="s">
        <v>201</v>
      </c>
      <c r="N13" s="22" t="s">
        <v>268</v>
      </c>
      <c r="O13" s="22">
        <v>1</v>
      </c>
      <c r="P13" s="22" t="s">
        <v>308</v>
      </c>
      <c r="Q13" s="22"/>
      <c r="R13" s="22" t="s">
        <v>176</v>
      </c>
      <c r="S13" s="22" t="s">
        <v>176</v>
      </c>
      <c r="T13" s="22"/>
      <c r="U13" s="22"/>
      <c r="V13" s="22" t="s">
        <v>304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s="22" t="s">
        <v>52</v>
      </c>
      <c r="B14" s="22"/>
      <c r="C14" s="22">
        <v>66</v>
      </c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s="22" t="s">
        <v>53</v>
      </c>
      <c r="B15" s="22" t="s">
        <v>254</v>
      </c>
      <c r="C15" s="22">
        <v>67</v>
      </c>
      <c r="D15" s="22" t="s">
        <v>158</v>
      </c>
      <c r="E15" s="22" t="s">
        <v>249</v>
      </c>
      <c r="F15" s="22" t="s">
        <v>250</v>
      </c>
      <c r="G15" s="22"/>
      <c r="H15" s="22"/>
      <c r="I15" s="22"/>
      <c r="J15" s="22"/>
      <c r="K15" s="22"/>
      <c r="L15" s="22" t="s">
        <v>32</v>
      </c>
      <c r="M15" s="22" t="s">
        <v>276</v>
      </c>
      <c r="N15" s="22" t="s">
        <v>265</v>
      </c>
      <c r="O15" s="22">
        <v>2</v>
      </c>
      <c r="P15" s="22" t="s">
        <v>174</v>
      </c>
      <c r="Q15" s="22"/>
      <c r="R15" s="22" t="s">
        <v>174</v>
      </c>
      <c r="S15" s="22" t="s">
        <v>174</v>
      </c>
      <c r="T15" s="22"/>
      <c r="U15" s="22"/>
      <c r="V15" s="22" t="s">
        <v>309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s="22" t="s">
        <v>54</v>
      </c>
      <c r="B16" s="22"/>
      <c r="C16" s="22">
        <v>67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s="22" t="s">
        <v>55</v>
      </c>
      <c r="B17" s="22" t="s">
        <v>211</v>
      </c>
      <c r="C17" s="22">
        <v>78</v>
      </c>
      <c r="D17" s="22" t="s">
        <v>159</v>
      </c>
      <c r="E17" s="22"/>
      <c r="F17" s="22"/>
      <c r="G17" s="22"/>
      <c r="H17" s="22"/>
      <c r="I17" s="22"/>
      <c r="J17" s="22"/>
      <c r="K17" s="22"/>
      <c r="L17" s="22" t="s">
        <v>32</v>
      </c>
      <c r="M17" s="22" t="s">
        <v>303</v>
      </c>
      <c r="N17" s="22" t="s">
        <v>56</v>
      </c>
      <c r="O17" s="22"/>
      <c r="P17" s="22" t="s">
        <v>174</v>
      </c>
      <c r="Q17" s="22"/>
      <c r="R17" s="22" t="s">
        <v>176</v>
      </c>
      <c r="S17" s="22" t="s">
        <v>174</v>
      </c>
      <c r="T17" s="22"/>
      <c r="U17" s="22"/>
      <c r="V17" s="22" t="s">
        <v>310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s="22" t="s">
        <v>57</v>
      </c>
      <c r="B18" s="22"/>
      <c r="C18" s="22">
        <v>78</v>
      </c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s="22" t="s">
        <v>58</v>
      </c>
      <c r="B19" s="24">
        <v>45537</v>
      </c>
      <c r="C19" s="22">
        <v>55</v>
      </c>
      <c r="D19" s="22" t="s">
        <v>160</v>
      </c>
      <c r="E19" s="22" t="s">
        <v>163</v>
      </c>
      <c r="F19" s="22"/>
      <c r="G19" s="22" t="s">
        <v>311</v>
      </c>
      <c r="H19" s="22"/>
      <c r="I19" s="22">
        <v>7</v>
      </c>
      <c r="J19" s="22">
        <v>4</v>
      </c>
      <c r="K19" s="22"/>
      <c r="L19" s="22" t="s">
        <v>173</v>
      </c>
      <c r="M19" s="22" t="s">
        <v>278</v>
      </c>
      <c r="N19" s="22" t="s">
        <v>266</v>
      </c>
      <c r="O19" s="22">
        <v>3</v>
      </c>
      <c r="P19" s="22" t="s">
        <v>174</v>
      </c>
      <c r="Q19" s="22"/>
      <c r="R19" s="22" t="s">
        <v>176</v>
      </c>
      <c r="S19" s="22" t="s">
        <v>174</v>
      </c>
      <c r="T19" s="22"/>
      <c r="U19" s="22"/>
      <c r="V19" s="22" t="s">
        <v>256</v>
      </c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s="22" t="s">
        <v>59</v>
      </c>
      <c r="B20" s="22"/>
      <c r="C20" s="22">
        <v>55</v>
      </c>
      <c r="D20" s="22"/>
      <c r="E20" s="22"/>
      <c r="F20" s="22"/>
      <c r="G20" s="22" t="s">
        <v>312</v>
      </c>
      <c r="H20" s="22"/>
      <c r="I20" s="22"/>
      <c r="J20" s="22"/>
      <c r="K20" s="22"/>
      <c r="L20" s="22" t="s">
        <v>302</v>
      </c>
      <c r="M20" s="22"/>
      <c r="N20" s="22"/>
      <c r="O20" s="22"/>
      <c r="P20" s="22"/>
      <c r="Q20" s="22"/>
      <c r="R20" s="22" t="s">
        <v>176</v>
      </c>
      <c r="S20" s="22" t="s">
        <v>176</v>
      </c>
      <c r="T20" s="22"/>
      <c r="U20" s="22"/>
      <c r="V20" s="22"/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s="22" t="s">
        <v>60</v>
      </c>
      <c r="B21" s="22" t="s">
        <v>212</v>
      </c>
      <c r="C21" s="22">
        <v>24</v>
      </c>
      <c r="D21" s="22" t="s">
        <v>159</v>
      </c>
      <c r="E21" s="22" t="s">
        <v>249</v>
      </c>
      <c r="F21" s="22" t="s">
        <v>250</v>
      </c>
      <c r="G21" s="22"/>
      <c r="H21" s="22"/>
      <c r="I21" s="22">
        <v>1</v>
      </c>
      <c r="J21" s="22">
        <v>1</v>
      </c>
      <c r="K21" s="22"/>
      <c r="L21" s="22" t="s">
        <v>32</v>
      </c>
      <c r="M21" s="22" t="s">
        <v>303</v>
      </c>
      <c r="N21" s="22" t="s">
        <v>267</v>
      </c>
      <c r="O21" s="22">
        <v>1</v>
      </c>
      <c r="P21" s="22" t="s">
        <v>174</v>
      </c>
      <c r="Q21" s="22"/>
      <c r="R21" s="22" t="s">
        <v>176</v>
      </c>
      <c r="S21" s="22" t="s">
        <v>174</v>
      </c>
      <c r="T21" s="22"/>
      <c r="U21" s="22"/>
      <c r="V21" s="22" t="s">
        <v>304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s="22" t="s">
        <v>61</v>
      </c>
      <c r="B22" s="22"/>
      <c r="C22" s="22">
        <v>24</v>
      </c>
      <c r="D22" s="22"/>
      <c r="E22" s="22"/>
      <c r="F22" s="22"/>
      <c r="G22" s="22" t="s">
        <v>313</v>
      </c>
      <c r="H22" s="22"/>
      <c r="I22" s="22"/>
      <c r="J22" s="22"/>
      <c r="K22" s="22"/>
      <c r="L22" s="22" t="s">
        <v>302</v>
      </c>
      <c r="M22" s="22"/>
      <c r="N22" s="22"/>
      <c r="O22" s="22"/>
      <c r="P22" s="22"/>
      <c r="Q22" s="22"/>
      <c r="R22" s="22" t="s">
        <v>176</v>
      </c>
      <c r="S22" s="22"/>
      <c r="T22" s="22"/>
      <c r="U22" s="22"/>
      <c r="V22" s="22"/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s="22" t="s">
        <v>62</v>
      </c>
      <c r="B23" s="22" t="s">
        <v>211</v>
      </c>
      <c r="C23" s="22">
        <v>70</v>
      </c>
      <c r="D23" s="22" t="s">
        <v>155</v>
      </c>
      <c r="E23" s="22"/>
      <c r="F23" s="22"/>
      <c r="G23" s="22"/>
      <c r="H23" s="22"/>
      <c r="I23" s="22"/>
      <c r="J23" s="22"/>
      <c r="K23" s="22"/>
      <c r="L23" s="22" t="s">
        <v>115</v>
      </c>
      <c r="M23" s="22" t="s">
        <v>63</v>
      </c>
      <c r="N23" s="22" t="s">
        <v>179</v>
      </c>
      <c r="O23" s="22">
        <v>2</v>
      </c>
      <c r="P23" s="22" t="s">
        <v>174</v>
      </c>
      <c r="Q23" s="22"/>
      <c r="R23" s="22" t="s">
        <v>176</v>
      </c>
      <c r="S23" s="22" t="s">
        <v>174</v>
      </c>
      <c r="T23" s="22"/>
      <c r="U23" s="22"/>
      <c r="V23" s="22" t="s">
        <v>252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s="22" t="s">
        <v>64</v>
      </c>
      <c r="B24" s="23">
        <v>45443</v>
      </c>
      <c r="C24" s="22">
        <v>70</v>
      </c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s="22" t="s">
        <v>65</v>
      </c>
      <c r="B25" s="24">
        <v>45356</v>
      </c>
      <c r="C25" s="22">
        <v>67</v>
      </c>
      <c r="D25" s="22" t="s">
        <v>155</v>
      </c>
      <c r="E25" s="22" t="s">
        <v>249</v>
      </c>
      <c r="F25" s="22"/>
      <c r="G25" s="22"/>
      <c r="H25" s="22"/>
      <c r="I25" s="22"/>
      <c r="J25" s="22"/>
      <c r="K25" s="22"/>
      <c r="L25" s="22" t="s">
        <v>178</v>
      </c>
      <c r="M25" s="22" t="s">
        <v>198</v>
      </c>
      <c r="N25" s="22" t="s">
        <v>179</v>
      </c>
      <c r="O25" s="22">
        <v>1</v>
      </c>
      <c r="P25" s="22" t="s">
        <v>240</v>
      </c>
      <c r="Q25" s="22"/>
      <c r="R25" s="22" t="s">
        <v>176</v>
      </c>
      <c r="S25" s="22" t="s">
        <v>174</v>
      </c>
      <c r="T25" s="22"/>
      <c r="U25" s="22"/>
      <c r="V25" s="22" t="s">
        <v>309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s="22" t="s">
        <v>66</v>
      </c>
      <c r="B26" s="22"/>
      <c r="C26" s="22">
        <v>67</v>
      </c>
      <c r="D26" s="22"/>
      <c r="E26" s="22"/>
      <c r="F26" s="22"/>
      <c r="G26" s="22"/>
      <c r="H26" s="22"/>
      <c r="I26" s="22"/>
      <c r="J26" s="22"/>
      <c r="K26" s="22"/>
      <c r="L26" s="22" t="s">
        <v>244</v>
      </c>
      <c r="M26" s="22"/>
      <c r="N26" s="22" t="s">
        <v>180</v>
      </c>
      <c r="O26" s="22"/>
      <c r="P26" s="22"/>
      <c r="Q26" s="22"/>
      <c r="R26" s="22"/>
      <c r="S26" s="22"/>
      <c r="T26" s="22"/>
      <c r="U26" s="22"/>
      <c r="V26" s="22"/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s="22" t="s">
        <v>67</v>
      </c>
      <c r="B27" s="24">
        <v>45509</v>
      </c>
      <c r="C27" s="22">
        <v>66</v>
      </c>
      <c r="D27" s="22"/>
      <c r="E27" s="22" t="s">
        <v>286</v>
      </c>
      <c r="F27" s="22"/>
      <c r="G27" s="22" t="s">
        <v>314</v>
      </c>
      <c r="H27" s="22"/>
      <c r="I27" s="22">
        <v>19</v>
      </c>
      <c r="J27" s="22">
        <v>2</v>
      </c>
      <c r="K27" s="22"/>
      <c r="L27" s="22" t="s">
        <v>203</v>
      </c>
      <c r="M27" s="22" t="s">
        <v>198</v>
      </c>
      <c r="N27" s="22" t="s">
        <v>202</v>
      </c>
      <c r="O27" s="22"/>
      <c r="P27" s="22" t="s">
        <v>176</v>
      </c>
      <c r="Q27" s="22"/>
      <c r="R27" s="22" t="s">
        <v>176</v>
      </c>
      <c r="S27" s="22" t="s">
        <v>315</v>
      </c>
      <c r="T27" s="22"/>
      <c r="U27" s="22"/>
      <c r="V27" s="22" t="s">
        <v>304</v>
      </c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s="22" t="s">
        <v>70</v>
      </c>
      <c r="B28" s="22"/>
      <c r="C28" s="22">
        <v>66</v>
      </c>
      <c r="D28" s="22"/>
      <c r="E28" s="22"/>
      <c r="F28" s="22"/>
      <c r="G28" s="22" t="s">
        <v>316</v>
      </c>
      <c r="H28" s="22"/>
      <c r="I28" s="22"/>
      <c r="J28" s="22"/>
      <c r="K28" s="22"/>
      <c r="L28" s="22" t="s">
        <v>203</v>
      </c>
      <c r="M28" s="22"/>
      <c r="N28" s="22"/>
      <c r="O28" s="22"/>
      <c r="P28" s="22" t="s">
        <v>176</v>
      </c>
      <c r="Q28" s="22"/>
      <c r="R28" s="22" t="s">
        <v>176</v>
      </c>
      <c r="S28" s="22" t="s">
        <v>176</v>
      </c>
      <c r="T28" s="22"/>
      <c r="U28" s="22"/>
      <c r="V28" s="22"/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s="22" t="s">
        <v>71</v>
      </c>
      <c r="B29" s="24">
        <v>45630</v>
      </c>
      <c r="C29" s="22">
        <v>51</v>
      </c>
      <c r="D29" s="22" t="s">
        <v>161</v>
      </c>
      <c r="E29" s="22"/>
      <c r="F29" s="22"/>
      <c r="G29" s="22"/>
      <c r="H29" s="22"/>
      <c r="I29" s="22"/>
      <c r="J29" s="22"/>
      <c r="K29" s="22"/>
      <c r="L29" s="22" t="s">
        <v>32</v>
      </c>
      <c r="M29" s="22" t="s">
        <v>317</v>
      </c>
      <c r="N29" s="22" t="s">
        <v>72</v>
      </c>
      <c r="O29" s="22"/>
      <c r="P29" s="22" t="s">
        <v>176</v>
      </c>
      <c r="Q29" s="22" t="s">
        <v>318</v>
      </c>
      <c r="R29" s="22" t="s">
        <v>176</v>
      </c>
      <c r="S29" s="22" t="s">
        <v>255</v>
      </c>
      <c r="T29" s="22"/>
      <c r="U29" s="22"/>
      <c r="V29" s="22"/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s="22" t="s">
        <v>73</v>
      </c>
      <c r="B30" s="22"/>
      <c r="C30" s="22">
        <v>51</v>
      </c>
      <c r="D30" s="22" t="s">
        <v>162</v>
      </c>
      <c r="E30" s="22" t="s">
        <v>249</v>
      </c>
      <c r="F30" s="22" t="s">
        <v>250</v>
      </c>
      <c r="G30" s="22" t="s">
        <v>177</v>
      </c>
      <c r="H30" s="22"/>
      <c r="I30" s="22"/>
      <c r="J30" s="22"/>
      <c r="K30" s="22"/>
      <c r="L30" s="22" t="s">
        <v>203</v>
      </c>
      <c r="M30" s="22"/>
      <c r="N30" s="22" t="s">
        <v>287</v>
      </c>
      <c r="O30" s="22">
        <v>1</v>
      </c>
      <c r="P30" s="22" t="s">
        <v>176</v>
      </c>
      <c r="Q30" s="22"/>
      <c r="R30" s="22" t="s">
        <v>176</v>
      </c>
      <c r="S30" s="22" t="s">
        <v>176</v>
      </c>
      <c r="T30" s="22"/>
      <c r="U30" s="22"/>
      <c r="V30" s="22"/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s="22" t="s">
        <v>74</v>
      </c>
      <c r="B31" s="22" t="s">
        <v>213</v>
      </c>
      <c r="C31" s="22">
        <v>64</v>
      </c>
      <c r="D31" s="22"/>
      <c r="E31" s="22"/>
      <c r="F31" s="22"/>
      <c r="G31" s="22"/>
      <c r="H31" s="22"/>
      <c r="I31" s="22"/>
      <c r="J31" s="22"/>
      <c r="K31" s="22"/>
      <c r="L31" s="22" t="s">
        <v>115</v>
      </c>
      <c r="M31" s="22"/>
      <c r="N31" s="22"/>
      <c r="O31" s="22"/>
      <c r="P31" s="22" t="s">
        <v>308</v>
      </c>
      <c r="Q31" s="22"/>
      <c r="R31" s="22" t="s">
        <v>185</v>
      </c>
      <c r="S31" s="22" t="s">
        <v>174</v>
      </c>
      <c r="T31" s="22" t="s">
        <v>319</v>
      </c>
      <c r="U31" s="22"/>
      <c r="V31" s="22" t="s">
        <v>309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s="22" t="s">
        <v>76</v>
      </c>
      <c r="B32" s="22"/>
      <c r="C32" s="22">
        <v>64</v>
      </c>
      <c r="D32" s="22"/>
      <c r="E32" s="22"/>
      <c r="F32" s="22"/>
      <c r="G32" s="22" t="s">
        <v>313</v>
      </c>
      <c r="H32" s="22"/>
      <c r="I32" s="22"/>
      <c r="J32" s="22"/>
      <c r="K32" s="22"/>
      <c r="L32" s="22" t="s">
        <v>302</v>
      </c>
      <c r="M32" s="22"/>
      <c r="N32" s="22"/>
      <c r="O32" s="22"/>
      <c r="P32" s="22"/>
      <c r="Q32" s="22"/>
      <c r="R32" s="22" t="s">
        <v>176</v>
      </c>
      <c r="S32" s="22"/>
      <c r="T32" s="22"/>
      <c r="U32" s="22"/>
      <c r="V32" s="22"/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s="22" t="s">
        <v>77</v>
      </c>
      <c r="B33" s="24">
        <v>45537</v>
      </c>
      <c r="C33" s="22"/>
      <c r="D33" s="22" t="s">
        <v>160</v>
      </c>
      <c r="E33" s="22" t="s">
        <v>249</v>
      </c>
      <c r="F33" s="22" t="s">
        <v>250</v>
      </c>
      <c r="G33" s="22"/>
      <c r="H33" s="22"/>
      <c r="I33" s="22"/>
      <c r="J33" s="22"/>
      <c r="K33" s="22"/>
      <c r="L33" s="22" t="s">
        <v>32</v>
      </c>
      <c r="M33" s="22" t="s">
        <v>303</v>
      </c>
      <c r="N33" s="22" t="s">
        <v>269</v>
      </c>
      <c r="O33" s="22">
        <v>2</v>
      </c>
      <c r="P33" s="22" t="s">
        <v>241</v>
      </c>
      <c r="Q33" s="22"/>
      <c r="R33" s="22" t="s">
        <v>176</v>
      </c>
      <c r="S33" s="22" t="s">
        <v>174</v>
      </c>
      <c r="T33" s="22"/>
      <c r="U33" s="22"/>
      <c r="V33" s="22"/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s="22" t="s">
        <v>78</v>
      </c>
      <c r="B34" s="22"/>
      <c r="C34" s="22">
        <v>43</v>
      </c>
      <c r="D34" s="22"/>
      <c r="E34" s="22" t="s">
        <v>288</v>
      </c>
      <c r="F34" s="22"/>
      <c r="G34" s="22" t="s">
        <v>239</v>
      </c>
      <c r="H34" s="22"/>
      <c r="I34" s="22"/>
      <c r="J34" s="22"/>
      <c r="K34" s="22"/>
      <c r="L34" s="22" t="s">
        <v>302</v>
      </c>
      <c r="M34" s="22"/>
      <c r="N34" s="22"/>
      <c r="O34" s="22"/>
      <c r="P34" s="22" t="s">
        <v>176</v>
      </c>
      <c r="Q34" s="22"/>
      <c r="R34" s="22" t="s">
        <v>176</v>
      </c>
      <c r="S34" s="22" t="s">
        <v>320</v>
      </c>
      <c r="T34" s="22"/>
      <c r="U34" s="22"/>
      <c r="V34" s="22"/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s="22" t="s">
        <v>79</v>
      </c>
      <c r="B35" s="22" t="s">
        <v>257</v>
      </c>
      <c r="C35" s="22">
        <v>49</v>
      </c>
      <c r="D35" s="22" t="s">
        <v>159</v>
      </c>
      <c r="E35" s="22" t="s">
        <v>166</v>
      </c>
      <c r="F35" s="22"/>
      <c r="G35" s="22" t="s">
        <v>242</v>
      </c>
      <c r="H35" s="22"/>
      <c r="I35" s="22">
        <v>2</v>
      </c>
      <c r="J35" s="22">
        <v>1</v>
      </c>
      <c r="K35" s="22" t="s">
        <v>92</v>
      </c>
      <c r="L35" s="22" t="s">
        <v>173</v>
      </c>
      <c r="M35" s="22" t="s">
        <v>278</v>
      </c>
      <c r="N35" s="22" t="s">
        <v>69</v>
      </c>
      <c r="O35" s="22"/>
      <c r="P35" s="22" t="s">
        <v>174</v>
      </c>
      <c r="Q35" s="22"/>
      <c r="R35" s="22" t="s">
        <v>321</v>
      </c>
      <c r="S35" s="22" t="s">
        <v>174</v>
      </c>
      <c r="T35" s="22"/>
      <c r="U35" s="22"/>
      <c r="V35" s="22"/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s="22" t="s">
        <v>81</v>
      </c>
      <c r="B36" s="22"/>
      <c r="C36" s="22">
        <v>49</v>
      </c>
      <c r="D36" s="22"/>
      <c r="E36" s="22" t="s">
        <v>163</v>
      </c>
      <c r="F36" s="22" t="s">
        <v>250</v>
      </c>
      <c r="G36" s="22" t="s">
        <v>322</v>
      </c>
      <c r="H36" s="22"/>
      <c r="I36" s="22">
        <v>2</v>
      </c>
      <c r="J36" s="22">
        <v>1</v>
      </c>
      <c r="K36" s="22" t="s">
        <v>182</v>
      </c>
      <c r="L36" s="22" t="s">
        <v>203</v>
      </c>
      <c r="M36" s="22"/>
      <c r="N36" s="22" t="s">
        <v>182</v>
      </c>
      <c r="O36" s="22">
        <v>1</v>
      </c>
      <c r="P36" s="22" t="s">
        <v>176</v>
      </c>
      <c r="Q36" s="22"/>
      <c r="R36" s="22" t="s">
        <v>176</v>
      </c>
      <c r="S36" s="22" t="s">
        <v>176</v>
      </c>
      <c r="T36" s="22"/>
      <c r="U36" s="22"/>
      <c r="V36" s="22"/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s="22" t="s">
        <v>82</v>
      </c>
      <c r="B37" s="24">
        <v>45385</v>
      </c>
      <c r="C37" s="22">
        <v>55</v>
      </c>
      <c r="D37" s="22" t="s">
        <v>156</v>
      </c>
      <c r="E37" s="22" t="s">
        <v>165</v>
      </c>
      <c r="F37" s="22"/>
      <c r="G37" s="22" t="s">
        <v>323</v>
      </c>
      <c r="H37" s="22"/>
      <c r="I37" s="22">
        <v>4</v>
      </c>
      <c r="J37" s="22">
        <v>4</v>
      </c>
      <c r="K37" s="22" t="s">
        <v>272</v>
      </c>
      <c r="L37" s="22" t="s">
        <v>173</v>
      </c>
      <c r="M37" s="22" t="s">
        <v>278</v>
      </c>
      <c r="N37" s="22" t="s">
        <v>205</v>
      </c>
      <c r="O37" s="22"/>
      <c r="P37" s="22" t="s">
        <v>324</v>
      </c>
      <c r="Q37" s="22"/>
      <c r="R37" s="22" t="s">
        <v>255</v>
      </c>
      <c r="S37" s="22" t="s">
        <v>255</v>
      </c>
      <c r="T37" s="22"/>
      <c r="U37" s="22"/>
      <c r="V37" s="22" t="s">
        <v>325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s="22" t="s">
        <v>83</v>
      </c>
      <c r="B38" s="22"/>
      <c r="C38" s="22">
        <v>55</v>
      </c>
      <c r="D38" s="22"/>
      <c r="E38" s="22"/>
      <c r="F38" s="22"/>
      <c r="G38" s="22" t="s">
        <v>326</v>
      </c>
      <c r="H38" s="22"/>
      <c r="I38" s="22"/>
      <c r="J38" s="22"/>
      <c r="K38" s="22"/>
      <c r="L38" s="22" t="s">
        <v>35</v>
      </c>
      <c r="M38" s="22"/>
      <c r="N38" s="22"/>
      <c r="O38" s="22"/>
      <c r="P38" s="22"/>
      <c r="Q38" s="22"/>
      <c r="R38" s="22" t="s">
        <v>176</v>
      </c>
      <c r="S38" s="22" t="s">
        <v>176</v>
      </c>
      <c r="T38" s="22"/>
      <c r="U38" s="22"/>
      <c r="V38" s="22"/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s="22" t="s">
        <v>84</v>
      </c>
      <c r="B39" s="22" t="s">
        <v>257</v>
      </c>
      <c r="C39" s="22">
        <v>23</v>
      </c>
      <c r="D39" s="22"/>
      <c r="E39" s="22" t="s">
        <v>249</v>
      </c>
      <c r="F39" s="22" t="s">
        <v>250</v>
      </c>
      <c r="G39" s="22"/>
      <c r="H39" s="22"/>
      <c r="I39" s="22">
        <v>1</v>
      </c>
      <c r="J39" s="22">
        <v>0</v>
      </c>
      <c r="K39" s="22"/>
      <c r="L39" s="22" t="s">
        <v>32</v>
      </c>
      <c r="M39" s="22" t="s">
        <v>303</v>
      </c>
      <c r="N39" s="22" t="s">
        <v>183</v>
      </c>
      <c r="O39" s="22">
        <v>1</v>
      </c>
      <c r="P39" s="22" t="s">
        <v>174</v>
      </c>
      <c r="Q39" s="22"/>
      <c r="R39" s="22" t="s">
        <v>176</v>
      </c>
      <c r="S39" s="22" t="s">
        <v>174</v>
      </c>
      <c r="T39" s="22"/>
      <c r="U39" s="22"/>
      <c r="V39" s="22" t="s">
        <v>309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s="22" t="s">
        <v>85</v>
      </c>
      <c r="B40" s="22"/>
      <c r="C40" s="22">
        <v>23</v>
      </c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s="22" t="s">
        <v>86</v>
      </c>
      <c r="B41" s="22" t="s">
        <v>207</v>
      </c>
      <c r="C41" s="22">
        <v>61</v>
      </c>
      <c r="D41" s="22"/>
      <c r="E41" s="22"/>
      <c r="F41" s="22"/>
      <c r="G41" s="22"/>
      <c r="H41" s="22"/>
      <c r="I41" s="22">
        <v>4</v>
      </c>
      <c r="J41" s="22">
        <v>3</v>
      </c>
      <c r="K41" s="22"/>
      <c r="L41" s="22" t="s">
        <v>203</v>
      </c>
      <c r="M41" s="22"/>
      <c r="N41" s="22" t="s">
        <v>80</v>
      </c>
      <c r="O41" s="22"/>
      <c r="P41" s="22" t="s">
        <v>176</v>
      </c>
      <c r="Q41" s="22"/>
      <c r="R41" s="22" t="s">
        <v>176</v>
      </c>
      <c r="S41" s="22" t="s">
        <v>176</v>
      </c>
      <c r="T41" s="22"/>
      <c r="U41" s="22"/>
      <c r="V41" s="22"/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s="22" t="s">
        <v>87</v>
      </c>
      <c r="B42" s="22"/>
      <c r="C42" s="22">
        <v>61</v>
      </c>
      <c r="D42" s="22"/>
      <c r="E42" s="22" t="s">
        <v>289</v>
      </c>
      <c r="F42" s="22"/>
      <c r="G42" s="22" t="s">
        <v>327</v>
      </c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s="22" t="s">
        <v>88</v>
      </c>
      <c r="B43" s="24">
        <v>45413</v>
      </c>
      <c r="C43" s="22">
        <v>51</v>
      </c>
      <c r="D43" s="22" t="s">
        <v>159</v>
      </c>
      <c r="E43" s="22" t="s">
        <v>165</v>
      </c>
      <c r="F43" s="22"/>
      <c r="G43" s="22" t="s">
        <v>239</v>
      </c>
      <c r="H43" s="22"/>
      <c r="I43" s="22">
        <v>7</v>
      </c>
      <c r="J43" s="22">
        <v>4</v>
      </c>
      <c r="K43" s="22" t="s">
        <v>89</v>
      </c>
      <c r="L43" s="22" t="s">
        <v>32</v>
      </c>
      <c r="M43" s="22" t="s">
        <v>303</v>
      </c>
      <c r="N43" s="22" t="s">
        <v>89</v>
      </c>
      <c r="O43" s="22"/>
      <c r="P43" s="22" t="s">
        <v>176</v>
      </c>
      <c r="Q43" s="22"/>
      <c r="R43" s="22" t="s">
        <v>176</v>
      </c>
      <c r="S43" s="22" t="s">
        <v>176</v>
      </c>
      <c r="T43" s="22"/>
      <c r="U43" s="22"/>
      <c r="V43" s="22"/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s="22" t="s">
        <v>90</v>
      </c>
      <c r="B44" s="22"/>
      <c r="C44" s="22">
        <v>51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s="22" t="s">
        <v>91</v>
      </c>
      <c r="B45" s="24">
        <v>45505</v>
      </c>
      <c r="C45" s="22">
        <v>50</v>
      </c>
      <c r="D45" s="22" t="s">
        <v>158</v>
      </c>
      <c r="E45" s="22" t="s">
        <v>249</v>
      </c>
      <c r="F45" s="22"/>
      <c r="G45" s="22"/>
      <c r="H45" s="22"/>
      <c r="I45" s="22">
        <v>1</v>
      </c>
      <c r="J45" s="22">
        <v>0</v>
      </c>
      <c r="K45" s="22"/>
      <c r="L45" s="22" t="s">
        <v>32</v>
      </c>
      <c r="M45" s="22" t="s">
        <v>303</v>
      </c>
      <c r="N45" s="22" t="s">
        <v>184</v>
      </c>
      <c r="O45" s="22">
        <v>1</v>
      </c>
      <c r="P45" s="22" t="s">
        <v>174</v>
      </c>
      <c r="Q45" s="22"/>
      <c r="R45" s="22" t="s">
        <v>176</v>
      </c>
      <c r="S45" s="22" t="s">
        <v>174</v>
      </c>
      <c r="T45" s="22"/>
      <c r="U45" s="22"/>
      <c r="V45" s="22"/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s="22" t="s">
        <v>93</v>
      </c>
      <c r="B46" s="22"/>
      <c r="C46" s="22">
        <v>50</v>
      </c>
      <c r="D46" s="22" t="s">
        <v>157</v>
      </c>
      <c r="E46" s="22" t="s">
        <v>163</v>
      </c>
      <c r="F46" s="22" t="s">
        <v>167</v>
      </c>
      <c r="G46" s="22"/>
      <c r="H46" s="22"/>
      <c r="I46" s="22"/>
      <c r="J46" s="22"/>
      <c r="K46" s="22"/>
      <c r="L46" s="22" t="s">
        <v>302</v>
      </c>
      <c r="M46" s="22"/>
      <c r="N46" s="22"/>
      <c r="O46" s="22"/>
      <c r="P46" s="22"/>
      <c r="Q46" s="22"/>
      <c r="R46" s="22" t="s">
        <v>176</v>
      </c>
      <c r="S46" s="22" t="s">
        <v>176</v>
      </c>
      <c r="T46" s="22"/>
      <c r="U46" s="22"/>
      <c r="V46" s="22"/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s="22" t="s">
        <v>94</v>
      </c>
      <c r="B47" s="24">
        <v>45413</v>
      </c>
      <c r="C47" s="22">
        <v>61</v>
      </c>
      <c r="D47" s="22"/>
      <c r="E47" s="22" t="s">
        <v>249</v>
      </c>
      <c r="F47" s="22"/>
      <c r="G47" s="22" t="s">
        <v>328</v>
      </c>
      <c r="H47" s="22"/>
      <c r="I47" s="22">
        <v>1</v>
      </c>
      <c r="J47" s="22">
        <v>0</v>
      </c>
      <c r="K47" s="22"/>
      <c r="L47" s="22" t="s">
        <v>203</v>
      </c>
      <c r="M47" s="22" t="s">
        <v>33</v>
      </c>
      <c r="N47" s="22" t="s">
        <v>270</v>
      </c>
      <c r="O47" s="22">
        <v>2</v>
      </c>
      <c r="P47" s="22" t="s">
        <v>308</v>
      </c>
      <c r="Q47" s="22"/>
      <c r="R47" s="22" t="s">
        <v>176</v>
      </c>
      <c r="S47" s="22" t="s">
        <v>176</v>
      </c>
      <c r="T47" s="22"/>
      <c r="U47" s="22"/>
      <c r="V47" s="22" t="s">
        <v>309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s="22" t="s">
        <v>95</v>
      </c>
      <c r="B48" s="22"/>
      <c r="C48" s="22">
        <v>61</v>
      </c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s="22" t="s">
        <v>96</v>
      </c>
      <c r="B49" s="24">
        <v>45566</v>
      </c>
      <c r="C49" s="22">
        <v>55</v>
      </c>
      <c r="D49" s="22" t="s">
        <v>156</v>
      </c>
      <c r="E49" s="22"/>
      <c r="F49" s="22"/>
      <c r="G49" s="22" t="s">
        <v>329</v>
      </c>
      <c r="H49" s="22" t="s">
        <v>330</v>
      </c>
      <c r="I49" s="22">
        <v>17</v>
      </c>
      <c r="J49" s="22">
        <v>9</v>
      </c>
      <c r="K49" s="22" t="s">
        <v>292</v>
      </c>
      <c r="L49" s="22" t="s">
        <v>173</v>
      </c>
      <c r="M49" s="22" t="s">
        <v>331</v>
      </c>
      <c r="N49" s="22" t="s">
        <v>293</v>
      </c>
      <c r="O49" s="22"/>
      <c r="P49" s="22" t="s">
        <v>185</v>
      </c>
      <c r="Q49" s="22"/>
      <c r="R49" s="22" t="s">
        <v>243</v>
      </c>
      <c r="S49" s="22" t="s">
        <v>258</v>
      </c>
      <c r="T49" s="22" t="s">
        <v>330</v>
      </c>
      <c r="U49" s="22" t="s">
        <v>330</v>
      </c>
      <c r="V49" s="22" t="s">
        <v>186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s="22" t="s">
        <v>97</v>
      </c>
      <c r="B50" s="22"/>
      <c r="C50" s="22">
        <v>55</v>
      </c>
      <c r="D50" s="22"/>
      <c r="E50" s="22"/>
      <c r="F50" s="22"/>
      <c r="G50" s="22" t="s">
        <v>332</v>
      </c>
      <c r="H50" s="22" t="s">
        <v>330</v>
      </c>
      <c r="I50" s="22"/>
      <c r="J50" s="22"/>
      <c r="K50" s="22"/>
      <c r="L50" s="22" t="s">
        <v>203</v>
      </c>
      <c r="M50" s="22"/>
      <c r="N50" s="22"/>
      <c r="O50" s="22"/>
      <c r="P50" s="22" t="s">
        <v>176</v>
      </c>
      <c r="Q50" s="22"/>
      <c r="R50" s="22" t="s">
        <v>176</v>
      </c>
      <c r="S50" s="22" t="s">
        <v>176</v>
      </c>
      <c r="T50" s="22" t="s">
        <v>330</v>
      </c>
      <c r="U50" s="22" t="s">
        <v>330</v>
      </c>
      <c r="V50" s="22" t="s">
        <v>309</v>
      </c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s="22" t="s">
        <v>98</v>
      </c>
      <c r="B51" s="22" t="s">
        <v>259</v>
      </c>
      <c r="C51" s="22">
        <v>42</v>
      </c>
      <c r="D51" s="22" t="s">
        <v>159</v>
      </c>
      <c r="E51" s="22"/>
      <c r="F51" s="22"/>
      <c r="G51" s="22"/>
      <c r="H51" s="22"/>
      <c r="I51" s="22"/>
      <c r="J51" s="22"/>
      <c r="K51" s="22"/>
      <c r="L51" s="22" t="s">
        <v>32</v>
      </c>
      <c r="M51" s="22" t="s">
        <v>331</v>
      </c>
      <c r="N51" s="22" t="s">
        <v>294</v>
      </c>
      <c r="O51" s="22"/>
      <c r="P51" s="22" t="s">
        <v>185</v>
      </c>
      <c r="Q51" s="22"/>
      <c r="R51" s="22" t="s">
        <v>185</v>
      </c>
      <c r="S51" s="22" t="s">
        <v>185</v>
      </c>
      <c r="T51" s="22"/>
      <c r="U51" s="22"/>
      <c r="V51" s="22"/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s="22" t="s">
        <v>99</v>
      </c>
      <c r="B52" s="22"/>
      <c r="C52" s="22">
        <v>42</v>
      </c>
      <c r="D52" s="22"/>
      <c r="E52" s="22"/>
      <c r="F52" s="22"/>
      <c r="G52" s="22"/>
      <c r="H52" s="22"/>
      <c r="I52" s="22"/>
      <c r="J52" s="22"/>
      <c r="K52" s="22"/>
      <c r="L52" s="22" t="s">
        <v>203</v>
      </c>
      <c r="M52" s="22"/>
      <c r="N52" s="22"/>
      <c r="O52" s="22"/>
      <c r="P52" s="22"/>
      <c r="Q52" s="22"/>
      <c r="R52" s="22"/>
      <c r="S52" s="22"/>
      <c r="T52" s="22"/>
      <c r="U52" s="22"/>
      <c r="V52" s="22"/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s="22" t="s">
        <v>101</v>
      </c>
      <c r="B53" s="22" t="s">
        <v>260</v>
      </c>
      <c r="C53" s="22">
        <v>73</v>
      </c>
      <c r="D53" s="22"/>
      <c r="E53" s="22"/>
      <c r="F53" s="22"/>
      <c r="G53" s="22"/>
      <c r="H53" s="22"/>
      <c r="I53" s="22"/>
      <c r="J53" s="22"/>
      <c r="K53" s="22"/>
      <c r="L53" s="22" t="s">
        <v>32</v>
      </c>
      <c r="M53" s="22" t="s">
        <v>303</v>
      </c>
      <c r="N53" s="22" t="s">
        <v>80</v>
      </c>
      <c r="O53" s="22"/>
      <c r="P53" s="22"/>
      <c r="Q53" s="22"/>
      <c r="R53" s="22" t="s">
        <v>176</v>
      </c>
      <c r="S53" s="22" t="s">
        <v>271</v>
      </c>
      <c r="T53" s="22"/>
      <c r="U53" s="22"/>
      <c r="V53" s="22"/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s="22" t="s">
        <v>102</v>
      </c>
      <c r="B54" s="22"/>
      <c r="C54" s="22">
        <v>73</v>
      </c>
      <c r="D54" s="22" t="s">
        <v>162</v>
      </c>
      <c r="E54" s="22" t="s">
        <v>249</v>
      </c>
      <c r="F54" s="22" t="s">
        <v>250</v>
      </c>
      <c r="G54" s="22" t="s">
        <v>168</v>
      </c>
      <c r="H54" s="22"/>
      <c r="I54" s="22"/>
      <c r="J54" s="22"/>
      <c r="K54" s="22"/>
      <c r="L54" s="22" t="s">
        <v>203</v>
      </c>
      <c r="M54" s="22"/>
      <c r="N54" s="22" t="s">
        <v>100</v>
      </c>
      <c r="O54" s="22">
        <v>1</v>
      </c>
      <c r="P54" s="22" t="s">
        <v>176</v>
      </c>
      <c r="Q54" s="22"/>
      <c r="R54" s="22" t="s">
        <v>176</v>
      </c>
      <c r="S54" s="22" t="s">
        <v>176</v>
      </c>
      <c r="T54" s="22"/>
      <c r="U54" s="22"/>
      <c r="V54" s="22"/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s="22" t="s">
        <v>103</v>
      </c>
      <c r="B55" s="22" t="s">
        <v>260</v>
      </c>
      <c r="C55" s="22">
        <v>39</v>
      </c>
      <c r="D55" s="22" t="s">
        <v>158</v>
      </c>
      <c r="E55" s="22" t="s">
        <v>163</v>
      </c>
      <c r="F55" s="22"/>
      <c r="G55" s="22"/>
      <c r="H55" s="22"/>
      <c r="I55" s="22">
        <v>2</v>
      </c>
      <c r="J55" s="22">
        <v>1</v>
      </c>
      <c r="K55" s="22"/>
      <c r="L55" s="22" t="s">
        <v>203</v>
      </c>
      <c r="M55" s="22" t="s">
        <v>198</v>
      </c>
      <c r="N55" s="22" t="s">
        <v>333</v>
      </c>
      <c r="O55" s="22">
        <v>2</v>
      </c>
      <c r="P55" s="22" t="s">
        <v>174</v>
      </c>
      <c r="Q55" s="22"/>
      <c r="R55" s="22" t="s">
        <v>334</v>
      </c>
      <c r="S55" s="22" t="s">
        <v>174</v>
      </c>
      <c r="T55" s="22"/>
      <c r="U55" s="22"/>
      <c r="V55" s="22" t="s">
        <v>309</v>
      </c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s="22" t="s">
        <v>104</v>
      </c>
      <c r="B56" s="22"/>
      <c r="C56" s="22">
        <v>39</v>
      </c>
      <c r="D56" s="22"/>
      <c r="E56" s="22"/>
      <c r="F56" s="22"/>
      <c r="G56" s="22"/>
      <c r="H56" s="22"/>
      <c r="I56" s="22"/>
      <c r="J56" s="22"/>
      <c r="K56" s="22"/>
      <c r="L56" s="22" t="s">
        <v>335</v>
      </c>
      <c r="M56" s="22"/>
      <c r="N56" s="22"/>
      <c r="O56" s="22"/>
      <c r="P56" s="22"/>
      <c r="Q56" s="22"/>
      <c r="R56" s="22"/>
      <c r="S56" s="22"/>
      <c r="T56" s="22"/>
      <c r="U56" s="22"/>
      <c r="V56" s="22"/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s="22" t="s">
        <v>105</v>
      </c>
      <c r="B57" s="22" t="s">
        <v>260</v>
      </c>
      <c r="C57" s="22">
        <v>57</v>
      </c>
      <c r="D57" s="22" t="s">
        <v>158</v>
      </c>
      <c r="E57" s="22" t="s">
        <v>163</v>
      </c>
      <c r="F57" s="22"/>
      <c r="G57" s="22" t="s">
        <v>336</v>
      </c>
      <c r="H57" s="22"/>
      <c r="I57" s="22">
        <v>5</v>
      </c>
      <c r="J57" s="22">
        <v>1</v>
      </c>
      <c r="K57" s="22" t="s">
        <v>106</v>
      </c>
      <c r="L57" s="22" t="s">
        <v>173</v>
      </c>
      <c r="M57" s="22"/>
      <c r="N57" s="22" t="s">
        <v>272</v>
      </c>
      <c r="O57" s="22">
        <v>2</v>
      </c>
      <c r="P57" s="22" t="s">
        <v>174</v>
      </c>
      <c r="Q57" s="22"/>
      <c r="R57" s="22" t="s">
        <v>337</v>
      </c>
      <c r="S57" s="22" t="s">
        <v>174</v>
      </c>
      <c r="T57" s="22"/>
      <c r="U57" s="22"/>
      <c r="V57" s="22" t="s">
        <v>295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s="22" t="s">
        <v>107</v>
      </c>
      <c r="B58" s="22"/>
      <c r="C58" s="22">
        <v>57</v>
      </c>
      <c r="D58" s="22"/>
      <c r="E58" s="22"/>
      <c r="F58" s="22"/>
      <c r="G58" s="22"/>
      <c r="H58" s="22"/>
      <c r="I58" s="22"/>
      <c r="J58" s="22"/>
      <c r="K58" s="22"/>
      <c r="L58" s="22" t="s">
        <v>291</v>
      </c>
      <c r="M58" s="22"/>
      <c r="N58" s="22"/>
      <c r="O58" s="22"/>
      <c r="P58" s="22"/>
      <c r="Q58" s="22"/>
      <c r="R58" s="22"/>
      <c r="S58" s="22"/>
      <c r="T58" s="22"/>
      <c r="U58" s="22"/>
      <c r="V58" s="22"/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s="22" t="s">
        <v>108</v>
      </c>
      <c r="B59" s="24">
        <v>45242</v>
      </c>
      <c r="C59" s="22">
        <v>63</v>
      </c>
      <c r="D59" s="22" t="s">
        <v>158</v>
      </c>
      <c r="E59" s="22"/>
      <c r="F59" s="22"/>
      <c r="G59" s="22"/>
      <c r="H59" s="22"/>
      <c r="I59" s="22"/>
      <c r="J59" s="22"/>
      <c r="K59" s="22"/>
      <c r="L59" s="22" t="s">
        <v>32</v>
      </c>
      <c r="M59" s="22" t="s">
        <v>303</v>
      </c>
      <c r="N59" s="22" t="s">
        <v>204</v>
      </c>
      <c r="O59" s="22"/>
      <c r="P59" s="22" t="s">
        <v>174</v>
      </c>
      <c r="Q59" s="22"/>
      <c r="R59" s="22" t="s">
        <v>174</v>
      </c>
      <c r="S59" s="22" t="s">
        <v>174</v>
      </c>
      <c r="T59" s="22"/>
      <c r="U59" s="22"/>
      <c r="V59" s="22" t="s">
        <v>309</v>
      </c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s="22" t="s">
        <v>109</v>
      </c>
      <c r="B60" s="22"/>
      <c r="C60" s="22">
        <v>63</v>
      </c>
      <c r="D60" s="22"/>
      <c r="E60" s="22"/>
      <c r="F60" s="22"/>
      <c r="G60" s="22"/>
      <c r="H60" s="22"/>
      <c r="I60" s="22"/>
      <c r="J60" s="22"/>
      <c r="K60" s="22"/>
      <c r="L60" s="22" t="s">
        <v>35</v>
      </c>
      <c r="M60" s="22"/>
      <c r="N60" s="22"/>
      <c r="O60" s="22"/>
      <c r="P60" s="22"/>
      <c r="Q60" s="22"/>
      <c r="R60" s="22"/>
      <c r="S60" s="22"/>
      <c r="T60" s="22"/>
      <c r="U60" s="22"/>
      <c r="V60" s="22"/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s="22" t="s">
        <v>110</v>
      </c>
      <c r="B61" s="22" t="s">
        <v>261</v>
      </c>
      <c r="C61" s="22">
        <v>39</v>
      </c>
      <c r="D61" s="22" t="s">
        <v>159</v>
      </c>
      <c r="E61" s="22"/>
      <c r="F61" s="22"/>
      <c r="G61" s="22" t="s">
        <v>338</v>
      </c>
      <c r="H61" s="22"/>
      <c r="I61" s="22">
        <v>24</v>
      </c>
      <c r="J61" s="22">
        <v>3</v>
      </c>
      <c r="K61" s="22" t="s">
        <v>296</v>
      </c>
      <c r="L61" s="22" t="s">
        <v>173</v>
      </c>
      <c r="M61" s="22" t="s">
        <v>175</v>
      </c>
      <c r="N61" s="22" t="s">
        <v>273</v>
      </c>
      <c r="O61" s="22"/>
      <c r="P61" s="22" t="s">
        <v>176</v>
      </c>
      <c r="Q61" s="22"/>
      <c r="R61" s="22" t="s">
        <v>174</v>
      </c>
      <c r="S61" s="22" t="s">
        <v>174</v>
      </c>
      <c r="T61" s="22"/>
      <c r="U61" s="22"/>
      <c r="V61" s="22" t="s">
        <v>252</v>
      </c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s="22" t="s">
        <v>111</v>
      </c>
      <c r="B62" s="22"/>
      <c r="C62" s="22">
        <v>39</v>
      </c>
      <c r="D62" s="22"/>
      <c r="E62" s="22" t="s">
        <v>163</v>
      </c>
      <c r="F62" s="22" t="s">
        <v>250</v>
      </c>
      <c r="G62" s="22" t="s">
        <v>297</v>
      </c>
      <c r="H62" s="22"/>
      <c r="I62" s="22">
        <v>6</v>
      </c>
      <c r="J62" s="22">
        <v>1</v>
      </c>
      <c r="K62" s="22"/>
      <c r="L62" s="22" t="s">
        <v>203</v>
      </c>
      <c r="M62" s="22"/>
      <c r="N62" s="22"/>
      <c r="O62" s="22">
        <v>1</v>
      </c>
      <c r="P62" s="22" t="s">
        <v>176</v>
      </c>
      <c r="Q62" s="22"/>
      <c r="R62" s="22" t="s">
        <v>176</v>
      </c>
      <c r="S62" s="22" t="s">
        <v>174</v>
      </c>
      <c r="T62" s="22"/>
      <c r="U62" s="22"/>
      <c r="V62" s="22"/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s="22" t="s">
        <v>112</v>
      </c>
      <c r="B63" s="22" t="s">
        <v>214</v>
      </c>
      <c r="C63" s="22"/>
      <c r="D63" s="22"/>
      <c r="E63" s="22" t="s">
        <v>164</v>
      </c>
      <c r="F63" s="22"/>
      <c r="G63" s="22" t="s">
        <v>339</v>
      </c>
      <c r="H63" s="22"/>
      <c r="I63" s="22">
        <v>1</v>
      </c>
      <c r="J63" s="22">
        <v>1</v>
      </c>
      <c r="K63" s="22" t="s">
        <v>154</v>
      </c>
      <c r="L63" s="22" t="s">
        <v>32</v>
      </c>
      <c r="M63" s="22" t="s">
        <v>298</v>
      </c>
      <c r="N63" s="22" t="s">
        <v>274</v>
      </c>
      <c r="O63" s="22">
        <v>1</v>
      </c>
      <c r="P63" s="22" t="s">
        <v>176</v>
      </c>
      <c r="Q63" s="22"/>
      <c r="R63" s="22" t="s">
        <v>176</v>
      </c>
      <c r="S63" s="22" t="s">
        <v>176</v>
      </c>
      <c r="T63" s="22"/>
      <c r="U63" s="22"/>
      <c r="V63" s="22" t="s">
        <v>340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s="22" t="s">
        <v>113</v>
      </c>
      <c r="B64" s="23">
        <v>43304</v>
      </c>
      <c r="C64" s="22">
        <v>60</v>
      </c>
      <c r="D64" s="22"/>
      <c r="E64" s="22"/>
      <c r="F64" s="22"/>
      <c r="G64" s="22"/>
      <c r="H64" s="22"/>
      <c r="I64" s="22"/>
      <c r="J64" s="22"/>
      <c r="K64" s="22"/>
      <c r="L64" s="22" t="s">
        <v>341</v>
      </c>
      <c r="M64" s="22"/>
      <c r="N64" s="22" t="s">
        <v>181</v>
      </c>
      <c r="O64" s="22"/>
      <c r="P64" s="22" t="s">
        <v>176</v>
      </c>
      <c r="Q64" s="22"/>
      <c r="R64" s="22" t="s">
        <v>176</v>
      </c>
      <c r="S64" s="22" t="s">
        <v>176</v>
      </c>
      <c r="T64" s="22"/>
      <c r="U64" s="22"/>
      <c r="V64" s="22"/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s="22" t="s">
        <v>114</v>
      </c>
      <c r="B65" s="24">
        <v>44837</v>
      </c>
      <c r="C65" s="22"/>
      <c r="D65" s="22" t="s">
        <v>279</v>
      </c>
      <c r="E65" s="22" t="s">
        <v>249</v>
      </c>
      <c r="F65" s="22" t="s">
        <v>250</v>
      </c>
      <c r="G65" s="22" t="s">
        <v>177</v>
      </c>
      <c r="H65" s="22"/>
      <c r="I65" s="22">
        <v>1</v>
      </c>
      <c r="J65" s="22">
        <v>1</v>
      </c>
      <c r="K65" s="22" t="s">
        <v>342</v>
      </c>
      <c r="L65" s="22" t="s">
        <v>285</v>
      </c>
      <c r="M65" s="22"/>
      <c r="N65" s="22" t="s">
        <v>299</v>
      </c>
      <c r="O65" s="22">
        <v>1</v>
      </c>
      <c r="P65" s="22" t="s">
        <v>176</v>
      </c>
      <c r="Q65" s="22" t="s">
        <v>343</v>
      </c>
      <c r="R65" s="22" t="s">
        <v>344</v>
      </c>
      <c r="S65" s="22" t="s">
        <v>176</v>
      </c>
      <c r="T65" s="22"/>
      <c r="U65" s="22"/>
      <c r="V65" s="22" t="s">
        <v>304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s="22" t="s">
        <v>116</v>
      </c>
      <c r="B66" s="23">
        <v>44629</v>
      </c>
      <c r="C66" s="22">
        <v>72</v>
      </c>
      <c r="D66" s="22"/>
      <c r="E66" s="22"/>
      <c r="F66" s="22"/>
      <c r="G66" s="22" t="s">
        <v>177</v>
      </c>
      <c r="H66" s="22"/>
      <c r="I66" s="22"/>
      <c r="J66" s="22"/>
      <c r="K66" s="22"/>
      <c r="L66" s="22" t="s">
        <v>244</v>
      </c>
      <c r="M66" s="22"/>
      <c r="N66" s="22" t="s">
        <v>275</v>
      </c>
      <c r="O66" s="22"/>
      <c r="P66" s="22"/>
      <c r="Q66" s="22"/>
      <c r="R66" s="22" t="s">
        <v>176</v>
      </c>
      <c r="S66" s="22" t="s">
        <v>176</v>
      </c>
      <c r="T66" s="22"/>
      <c r="U66" s="22"/>
      <c r="V66" s="22"/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s="22" t="s">
        <v>117</v>
      </c>
      <c r="B67" s="22" t="s">
        <v>300</v>
      </c>
      <c r="C67" s="22"/>
      <c r="D67" s="22" t="s">
        <v>158</v>
      </c>
      <c r="E67" s="22"/>
      <c r="F67" s="22"/>
      <c r="G67" s="22"/>
      <c r="H67" s="22"/>
      <c r="I67" s="22"/>
      <c r="J67" s="22"/>
      <c r="K67" s="22"/>
      <c r="L67" s="22" t="s">
        <v>32</v>
      </c>
      <c r="M67" s="22"/>
      <c r="N67" s="22"/>
      <c r="O67" s="22"/>
      <c r="P67" s="22"/>
      <c r="Q67" s="22"/>
      <c r="R67" s="22" t="s">
        <v>176</v>
      </c>
      <c r="S67" s="22"/>
      <c r="T67" s="22"/>
      <c r="U67" s="22"/>
      <c r="V67" s="22"/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s="22" t="s">
        <v>118</v>
      </c>
      <c r="B68" s="23">
        <v>44517</v>
      </c>
      <c r="C68" s="22">
        <v>41</v>
      </c>
      <c r="D68" s="22"/>
      <c r="E68" s="22"/>
      <c r="F68" s="22" t="s">
        <v>250</v>
      </c>
      <c r="G68" s="22"/>
      <c r="H68" s="22" t="s">
        <v>245</v>
      </c>
      <c r="I68" s="22"/>
      <c r="J68" s="22"/>
      <c r="K68" s="22"/>
      <c r="L68" s="22" t="s">
        <v>203</v>
      </c>
      <c r="M68" s="22"/>
      <c r="N68" s="22"/>
      <c r="O68" s="22"/>
      <c r="P68" s="22" t="s">
        <v>176</v>
      </c>
      <c r="Q68" s="22"/>
      <c r="R68" s="22" t="s">
        <v>176</v>
      </c>
      <c r="S68" s="22" t="s">
        <v>176</v>
      </c>
      <c r="T68" s="22"/>
      <c r="U68" s="22"/>
      <c r="V68" s="22"/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s="22" t="s">
        <v>119</v>
      </c>
      <c r="B69" s="22" t="s">
        <v>215</v>
      </c>
      <c r="C69" s="22"/>
      <c r="D69" s="22" t="s">
        <v>156</v>
      </c>
      <c r="E69" s="22" t="s">
        <v>163</v>
      </c>
      <c r="F69" s="22"/>
      <c r="G69" s="22"/>
      <c r="H69" s="22"/>
      <c r="I69" s="22"/>
      <c r="J69" s="22"/>
      <c r="K69" s="22"/>
      <c r="L69" s="22" t="s">
        <v>32</v>
      </c>
      <c r="M69" s="22" t="s">
        <v>301</v>
      </c>
      <c r="N69" s="22" t="s">
        <v>187</v>
      </c>
      <c r="O69" s="22"/>
      <c r="P69" s="22" t="s">
        <v>176</v>
      </c>
      <c r="Q69" s="22" t="s">
        <v>343</v>
      </c>
      <c r="R69" s="22" t="s">
        <v>176</v>
      </c>
      <c r="S69" s="22" t="s">
        <v>262</v>
      </c>
      <c r="T69" s="22"/>
      <c r="U69" s="22"/>
      <c r="V69" s="22" t="s">
        <v>304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s="22" t="s">
        <v>120</v>
      </c>
      <c r="B70" s="23">
        <v>44825</v>
      </c>
      <c r="C70" s="22">
        <v>63</v>
      </c>
      <c r="D70" s="22"/>
      <c r="E70" s="22"/>
      <c r="F70" s="22"/>
      <c r="G70" s="22"/>
      <c r="H70" s="22"/>
      <c r="I70" s="22"/>
      <c r="J70" s="22"/>
      <c r="K70" s="22"/>
      <c r="L70" s="22" t="s">
        <v>32</v>
      </c>
      <c r="M70" s="22"/>
      <c r="N70" s="22"/>
      <c r="O70" s="22"/>
      <c r="P70" s="22" t="s">
        <v>176</v>
      </c>
      <c r="Q70" s="22"/>
      <c r="R70" s="22" t="s">
        <v>176</v>
      </c>
      <c r="S70" s="22" t="s">
        <v>176</v>
      </c>
      <c r="T70" s="22"/>
      <c r="U70" s="22"/>
      <c r="V70" s="22"/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s="22" t="s">
        <v>121</v>
      </c>
      <c r="B71" s="24">
        <v>44508</v>
      </c>
      <c r="C71" s="22"/>
      <c r="D71" s="22"/>
      <c r="E71" s="22" t="s">
        <v>249</v>
      </c>
      <c r="F71" s="22"/>
      <c r="G71" s="22" t="s">
        <v>345</v>
      </c>
      <c r="H71" s="22"/>
      <c r="I71" s="22">
        <v>35</v>
      </c>
      <c r="J71" s="22">
        <v>7</v>
      </c>
      <c r="K71" s="22" t="s">
        <v>270</v>
      </c>
      <c r="L71" s="22" t="s">
        <v>32</v>
      </c>
      <c r="M71" s="22" t="s">
        <v>301</v>
      </c>
      <c r="N71" s="22"/>
      <c r="O71" s="22"/>
      <c r="P71" s="22" t="s">
        <v>176</v>
      </c>
      <c r="Q71" s="22"/>
      <c r="R71" s="22" t="s">
        <v>176</v>
      </c>
      <c r="S71" s="22" t="s">
        <v>176</v>
      </c>
      <c r="T71" s="22"/>
      <c r="U71" s="22"/>
      <c r="V71" s="22" t="s">
        <v>304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s="22" t="s">
        <v>122</v>
      </c>
      <c r="B72" s="23">
        <v>44419</v>
      </c>
      <c r="C72" s="22">
        <v>62</v>
      </c>
      <c r="D72" s="22"/>
      <c r="E72" s="22"/>
      <c r="F72" s="22"/>
      <c r="G72" s="22" t="s">
        <v>346</v>
      </c>
      <c r="H72" s="22" t="s">
        <v>347</v>
      </c>
      <c r="I72" s="22"/>
      <c r="J72" s="22"/>
      <c r="K72" s="22"/>
      <c r="L72" s="22" t="s">
        <v>290</v>
      </c>
      <c r="M72" s="22"/>
      <c r="N72" s="22" t="s">
        <v>181</v>
      </c>
      <c r="O72" s="22"/>
      <c r="P72" s="22"/>
      <c r="Q72" s="22"/>
      <c r="R72" s="22" t="s">
        <v>176</v>
      </c>
      <c r="S72" s="22" t="s">
        <v>176</v>
      </c>
      <c r="T72" s="22"/>
      <c r="U72" s="22"/>
      <c r="V72" s="22"/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123</v>
      </c>
      <c r="B1" s="2" t="s">
        <v>124</v>
      </c>
    </row>
    <row r="2" spans="1:2">
      <c r="A2" s="1" t="s">
        <v>2</v>
      </c>
      <c r="B2" s="1" t="s">
        <v>125</v>
      </c>
    </row>
    <row r="3" spans="1:2">
      <c r="A3" s="1" t="s">
        <v>3</v>
      </c>
      <c r="B3" s="1" t="s">
        <v>126</v>
      </c>
    </row>
    <row r="4" spans="1:2">
      <c r="A4" s="1" t="s">
        <v>4</v>
      </c>
      <c r="B4" s="1" t="s">
        <v>127</v>
      </c>
    </row>
    <row r="5" spans="1:2">
      <c r="A5" s="1" t="s">
        <v>5</v>
      </c>
      <c r="B5" s="1" t="s">
        <v>128</v>
      </c>
    </row>
    <row r="6" spans="1:2">
      <c r="A6" s="1" t="s">
        <v>6</v>
      </c>
      <c r="B6" s="1" t="s">
        <v>129</v>
      </c>
    </row>
    <row r="7" spans="1:2">
      <c r="A7" s="1" t="s">
        <v>7</v>
      </c>
      <c r="B7" s="1" t="s">
        <v>130</v>
      </c>
    </row>
    <row r="8" spans="1:2">
      <c r="A8" s="1" t="s">
        <v>10</v>
      </c>
      <c r="B8" s="1" t="s">
        <v>131</v>
      </c>
    </row>
    <row r="9" spans="1:2">
      <c r="A9" s="1" t="s">
        <v>12</v>
      </c>
      <c r="B9" s="1" t="s">
        <v>132</v>
      </c>
    </row>
    <row r="10" spans="1:2">
      <c r="A10" s="1" t="s">
        <v>13</v>
      </c>
      <c r="B10" s="1" t="s">
        <v>133</v>
      </c>
    </row>
    <row r="11" spans="1:2">
      <c r="A11" s="1" t="s">
        <v>14</v>
      </c>
      <c r="B11" s="1" t="s">
        <v>134</v>
      </c>
    </row>
    <row r="12" spans="1:2">
      <c r="A12" s="1" t="s">
        <v>15</v>
      </c>
      <c r="B12" s="1" t="s">
        <v>135</v>
      </c>
    </row>
    <row r="13" spans="1:2">
      <c r="A13" s="1" t="s">
        <v>16</v>
      </c>
      <c r="B13" s="1" t="s">
        <v>136</v>
      </c>
    </row>
    <row r="14" spans="1:2">
      <c r="A14" s="1" t="s">
        <v>18</v>
      </c>
      <c r="B14" s="1" t="s">
        <v>137</v>
      </c>
    </row>
    <row r="15" spans="1:2">
      <c r="A15" s="1" t="s">
        <v>19</v>
      </c>
      <c r="B15" s="1" t="s">
        <v>138</v>
      </c>
    </row>
    <row r="16" spans="1:2">
      <c r="A16" s="1" t="s">
        <v>20</v>
      </c>
      <c r="B16" s="1" t="s">
        <v>139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140</v>
      </c>
    </row>
    <row r="19" spans="1:2">
      <c r="A19" s="1" t="s">
        <v>23</v>
      </c>
      <c r="B19" s="1" t="s">
        <v>141</v>
      </c>
    </row>
    <row r="20" spans="1:2">
      <c r="A20" s="1" t="s">
        <v>24</v>
      </c>
      <c r="B20" s="1" t="s">
        <v>142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143</v>
      </c>
    </row>
    <row r="23" spans="1:2">
      <c r="A23" s="1" t="s">
        <v>27</v>
      </c>
      <c r="B23" s="1" t="s">
        <v>144</v>
      </c>
    </row>
    <row r="24" spans="1:2">
      <c r="A24" s="1" t="s">
        <v>28</v>
      </c>
      <c r="B24" s="1" t="s">
        <v>145</v>
      </c>
    </row>
    <row r="25" spans="1:2">
      <c r="A25" s="2" t="s">
        <v>29</v>
      </c>
      <c r="B25" s="2" t="s">
        <v>146</v>
      </c>
    </row>
    <row r="27" spans="1:2">
      <c r="A27" s="1" t="s">
        <v>147</v>
      </c>
    </row>
    <row r="28" spans="1:2">
      <c r="A28" s="1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2024-12-06T15:05:43Z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