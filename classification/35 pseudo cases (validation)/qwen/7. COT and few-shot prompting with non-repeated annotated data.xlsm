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qwen\"/>
    </mc:Choice>
  </mc:AlternateContent>
  <xr:revisionPtr revIDLastSave="0" documentId="13_ncr:1_{447BC6F6-252F-470F-8C1A-FCE81E978F7B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5" i="16" l="1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AE4" i="16" a="1"/>
  <c r="AE4" i="16" s="1"/>
  <c r="T4" i="16" a="1"/>
  <c r="T4" i="16" s="1"/>
  <c r="W4" i="16" s="1"/>
  <c r="T5" i="16" a="1"/>
  <c r="T5" i="16" s="1"/>
  <c r="W5" i="16" s="1"/>
  <c r="T6" i="16" a="1"/>
  <c r="T6" i="16" s="1"/>
  <c r="W6" i="16" s="1"/>
  <c r="T7" i="16" a="1"/>
  <c r="T7" i="16" s="1"/>
  <c r="T8" i="16" a="1"/>
  <c r="T8" i="16" s="1"/>
  <c r="W8" i="16" s="1"/>
  <c r="T9" i="16" a="1"/>
  <c r="T9" i="16" s="1"/>
  <c r="W9" i="16" s="1"/>
  <c r="T10" i="16" a="1"/>
  <c r="T10" i="16" s="1"/>
  <c r="W10" i="16" s="1"/>
  <c r="T11" i="16" a="1"/>
  <c r="T11" i="16" s="1"/>
  <c r="W11" i="16" s="1"/>
  <c r="T12" i="16" a="1"/>
  <c r="T12" i="16" s="1"/>
  <c r="W12" i="16" s="1"/>
  <c r="T13" i="16" a="1"/>
  <c r="T13" i="16" s="1"/>
  <c r="W13" i="16" s="1"/>
  <c r="T14" i="16" a="1"/>
  <c r="T14" i="16" s="1"/>
  <c r="T15" i="16" a="1"/>
  <c r="T15" i="16" s="1"/>
  <c r="T16" i="16" a="1"/>
  <c r="T16" i="16" s="1"/>
  <c r="T17" i="16" a="1"/>
  <c r="T17" i="16" s="1"/>
  <c r="W17" i="16" s="1"/>
  <c r="T18" i="16" a="1"/>
  <c r="T18" i="16" s="1"/>
  <c r="T19" i="16" a="1"/>
  <c r="T19" i="16" s="1"/>
  <c r="W19" i="16" s="1"/>
  <c r="T20" i="16" a="1"/>
  <c r="T20" i="16" s="1"/>
  <c r="W20" i="16" s="1"/>
  <c r="T21" i="16" a="1"/>
  <c r="T21" i="16" s="1"/>
  <c r="W21" i="16" s="1"/>
  <c r="T22" i="16" a="1"/>
  <c r="T22" i="16" s="1"/>
  <c r="W22" i="16" s="1"/>
  <c r="T23" i="16" a="1"/>
  <c r="T23" i="16" s="1"/>
  <c r="T24" i="16" a="1"/>
  <c r="T24" i="16" s="1"/>
  <c r="W24" i="16" s="1"/>
  <c r="T25" i="16" a="1"/>
  <c r="T25" i="16" s="1"/>
  <c r="W25" i="16" s="1"/>
  <c r="T26" i="16" a="1"/>
  <c r="T26" i="16" s="1"/>
  <c r="T27" i="16" a="1"/>
  <c r="T27" i="16" s="1"/>
  <c r="W27" i="16" s="1"/>
  <c r="T28" i="16" a="1"/>
  <c r="T28" i="16" s="1"/>
  <c r="W28" i="16" s="1"/>
  <c r="T29" i="16" a="1"/>
  <c r="T29" i="16" s="1"/>
  <c r="W29" i="16" s="1"/>
  <c r="T30" i="16" a="1"/>
  <c r="T30" i="16" s="1"/>
  <c r="W30" i="16" s="1"/>
  <c r="T31" i="16" a="1"/>
  <c r="T31" i="16" s="1"/>
  <c r="W31" i="16" s="1"/>
  <c r="T32" i="16" a="1"/>
  <c r="T32" i="16" s="1"/>
  <c r="W32" i="16" s="1"/>
  <c r="T33" i="16" a="1"/>
  <c r="T33" i="16" s="1"/>
  <c r="T34" i="16" a="1"/>
  <c r="T34" i="16" s="1"/>
  <c r="T35" i="16" a="1"/>
  <c r="T35" i="16" s="1"/>
  <c r="W35" i="16" s="1"/>
  <c r="T36" i="16" a="1"/>
  <c r="T36" i="16" s="1"/>
  <c r="T37" i="16" a="1"/>
  <c r="T37" i="16" s="1"/>
  <c r="T3" i="16" a="1"/>
  <c r="T3" i="16" s="1"/>
  <c r="W3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D7" i="16" l="1" a="1"/>
  <c r="D7" i="16" s="1"/>
  <c r="D27" i="16" a="1"/>
  <c r="D27" i="16" s="1"/>
  <c r="D31" i="16" a="1"/>
  <c r="D31" i="16" s="1"/>
  <c r="D3" i="16" a="1"/>
  <c r="D3" i="16" s="1"/>
  <c r="D8" i="16" a="1"/>
  <c r="D8" i="16" s="1"/>
  <c r="D28" i="16" a="1"/>
  <c r="D28" i="16" s="1"/>
  <c r="D9" i="16" a="1"/>
  <c r="D9" i="16" s="1"/>
  <c r="D29" i="16" a="1"/>
  <c r="D29" i="16" s="1"/>
  <c r="D5" i="16" a="1"/>
  <c r="D5" i="16" s="1"/>
  <c r="D10" i="16" a="1"/>
  <c r="D10" i="16" s="1"/>
  <c r="D30" i="16" a="1"/>
  <c r="D30" i="16" s="1"/>
  <c r="D11" i="16" a="1"/>
  <c r="D11" i="16" s="1"/>
  <c r="D32" i="16" a="1"/>
  <c r="D32" i="16" s="1"/>
  <c r="D12" i="16" a="1"/>
  <c r="D12" i="16" s="1"/>
  <c r="D13" i="16" a="1"/>
  <c r="D13" i="16" s="1"/>
  <c r="D14" i="16" a="1"/>
  <c r="D14" i="16" s="1"/>
  <c r="D34" i="16" a="1"/>
  <c r="D34" i="16" s="1"/>
  <c r="D15" i="16" a="1"/>
  <c r="D15" i="16" s="1"/>
  <c r="D4" i="16" a="1"/>
  <c r="D4" i="16" s="1"/>
  <c r="D16" i="16" a="1"/>
  <c r="D16" i="16" s="1"/>
  <c r="D36" i="16" a="1"/>
  <c r="D36" i="16" s="1"/>
  <c r="D17" i="16" a="1"/>
  <c r="D17" i="16" s="1"/>
  <c r="D37" i="16" a="1"/>
  <c r="D3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35" i="16" a="1"/>
  <c r="D35" i="16" s="1"/>
  <c r="D24" i="16" a="1"/>
  <c r="D24" i="16" s="1"/>
  <c r="D33" i="16" a="1"/>
  <c r="D33" i="16" s="1"/>
  <c r="D25" i="16" a="1"/>
  <c r="D25" i="16" s="1"/>
  <c r="D26" i="16" a="1"/>
  <c r="D26" i="16" s="1"/>
  <c r="D6" i="16" a="1"/>
  <c r="D6" i="16" s="1"/>
  <c r="I4" i="16" a="1"/>
  <c r="I4" i="16" s="1"/>
  <c r="F4" i="16" s="1" a="1"/>
  <c r="F4" i="16" s="1"/>
  <c r="I24" i="16" a="1"/>
  <c r="I24" i="16" s="1"/>
  <c r="AD8" i="16" a="1"/>
  <c r="AD8" i="16" s="1"/>
  <c r="AD27" i="16" a="1"/>
  <c r="AD27" i="16" s="1"/>
  <c r="I5" i="16" a="1"/>
  <c r="I5" i="16" s="1"/>
  <c r="F5" i="16" s="1" a="1"/>
  <c r="F5" i="16" s="1"/>
  <c r="I25" i="16" a="1"/>
  <c r="I25" i="16" s="1"/>
  <c r="F25" i="16" s="1" a="1"/>
  <c r="F25" i="16" s="1"/>
  <c r="AD28" i="16" a="1"/>
  <c r="AD28" i="16" s="1"/>
  <c r="AD29" i="16" a="1"/>
  <c r="AD29" i="16" s="1"/>
  <c r="I6" i="16" a="1"/>
  <c r="I6" i="16" s="1"/>
  <c r="F6" i="16" s="1" a="1"/>
  <c r="F6" i="16" s="1"/>
  <c r="I26" i="16" a="1"/>
  <c r="I26" i="16" s="1"/>
  <c r="F26" i="16" s="1" a="1"/>
  <c r="F26" i="16" s="1"/>
  <c r="AD9" i="16" a="1"/>
  <c r="AD9" i="16" s="1"/>
  <c r="I7" i="16" a="1"/>
  <c r="I7" i="16" s="1"/>
  <c r="F7" i="16" s="1" a="1"/>
  <c r="F7" i="16" s="1"/>
  <c r="I27" i="16" a="1"/>
  <c r="I27" i="16" s="1"/>
  <c r="F27" i="16" s="1" a="1"/>
  <c r="F27" i="16" s="1"/>
  <c r="AD10" i="16" a="1"/>
  <c r="AD10" i="16" s="1"/>
  <c r="AD30" i="16" a="1"/>
  <c r="AD30" i="16" s="1"/>
  <c r="I8" i="16" a="1"/>
  <c r="I8" i="16" s="1"/>
  <c r="I28" i="16" a="1"/>
  <c r="I28" i="16" s="1"/>
  <c r="F28" i="16" s="1" a="1"/>
  <c r="F28" i="16" s="1"/>
  <c r="AD11" i="16" a="1"/>
  <c r="AD11" i="16" s="1"/>
  <c r="AD31" i="16" a="1"/>
  <c r="AD31" i="16" s="1"/>
  <c r="I9" i="16" a="1"/>
  <c r="I9" i="16" s="1"/>
  <c r="I29" i="16" a="1"/>
  <c r="I29" i="16" s="1"/>
  <c r="AD12" i="16" a="1"/>
  <c r="AD12" i="16" s="1"/>
  <c r="AD32" i="16" a="1"/>
  <c r="AD32" i="16" s="1"/>
  <c r="I10" i="16" a="1"/>
  <c r="I10" i="16" s="1"/>
  <c r="F10" i="16" s="1" a="1"/>
  <c r="F10" i="16" s="1"/>
  <c r="I30" i="16" a="1"/>
  <c r="I30" i="16" s="1"/>
  <c r="F30" i="16" s="1" a="1"/>
  <c r="F30" i="16" s="1"/>
  <c r="AD13" i="16" a="1"/>
  <c r="AD13" i="16" s="1"/>
  <c r="AD33" i="16" a="1"/>
  <c r="AD33" i="16" s="1"/>
  <c r="I11" i="16" a="1"/>
  <c r="I11" i="16" s="1"/>
  <c r="I31" i="16" a="1"/>
  <c r="I31" i="16" s="1"/>
  <c r="AD14" i="16" a="1"/>
  <c r="AD14" i="16" s="1"/>
  <c r="AD34" i="16" a="1"/>
  <c r="AD34" i="16" s="1"/>
  <c r="I12" i="16" a="1"/>
  <c r="I12" i="16" s="1"/>
  <c r="I32" i="16" a="1"/>
  <c r="I32" i="16" s="1"/>
  <c r="AD15" i="16" a="1"/>
  <c r="AD15" i="16" s="1"/>
  <c r="AD35" i="16" a="1"/>
  <c r="AD35" i="16" s="1"/>
  <c r="I13" i="16" a="1"/>
  <c r="I13" i="16" s="1"/>
  <c r="I33" i="16" a="1"/>
  <c r="I33" i="16" s="1"/>
  <c r="F33" i="16" s="1" a="1"/>
  <c r="F33" i="16" s="1"/>
  <c r="AD16" i="16" a="1"/>
  <c r="AD16" i="16" s="1"/>
  <c r="AD36" i="16" a="1"/>
  <c r="AD36" i="16" s="1"/>
  <c r="AD3" i="16" a="1"/>
  <c r="AD3" i="16" s="1"/>
  <c r="I14" i="16" a="1"/>
  <c r="I14" i="16" s="1"/>
  <c r="I34" i="16" a="1"/>
  <c r="I34" i="16" s="1"/>
  <c r="AD17" i="16" a="1"/>
  <c r="AD17" i="16" s="1"/>
  <c r="AD37" i="16" a="1"/>
  <c r="AD37" i="16" s="1"/>
  <c r="I15" i="16" a="1"/>
  <c r="I15" i="16" s="1"/>
  <c r="I35" i="16" a="1"/>
  <c r="I35" i="16" s="1"/>
  <c r="AD18" i="16" a="1"/>
  <c r="AD18" i="16" s="1"/>
  <c r="I16" i="16" a="1"/>
  <c r="I16" i="16" s="1"/>
  <c r="I36" i="16" a="1"/>
  <c r="I36" i="16" s="1"/>
  <c r="AD19" i="16" a="1"/>
  <c r="AD19" i="16" s="1"/>
  <c r="I17" i="16" a="1"/>
  <c r="I17" i="16" s="1"/>
  <c r="F17" i="16" s="1" a="1"/>
  <c r="F17" i="16" s="1"/>
  <c r="I37" i="16" a="1"/>
  <c r="I37" i="16" s="1"/>
  <c r="F37" i="16" s="1" a="1"/>
  <c r="F37" i="16" s="1"/>
  <c r="AD20" i="16" a="1"/>
  <c r="AD20" i="16" s="1"/>
  <c r="I18" i="16" a="1"/>
  <c r="I18" i="16" s="1"/>
  <c r="I3" i="16" a="1"/>
  <c r="I3" i="16" s="1"/>
  <c r="AD21" i="16" a="1"/>
  <c r="AD21" i="16" s="1"/>
  <c r="I19" i="16" a="1"/>
  <c r="I19" i="16" s="1"/>
  <c r="AD22" i="16" a="1"/>
  <c r="AD22" i="16" s="1"/>
  <c r="I20" i="16" a="1"/>
  <c r="I20" i="16" s="1"/>
  <c r="AD4" i="16" a="1"/>
  <c r="AD4" i="16" s="1"/>
  <c r="AD23" i="16" a="1"/>
  <c r="AD23" i="16" s="1"/>
  <c r="I21" i="16" a="1"/>
  <c r="I21" i="16" s="1"/>
  <c r="F21" i="16" s="1" a="1"/>
  <c r="F21" i="16" s="1"/>
  <c r="AD5" i="16" a="1"/>
  <c r="AD5" i="16" s="1"/>
  <c r="AD24" i="16" a="1"/>
  <c r="AD24" i="16" s="1"/>
  <c r="I22" i="16" a="1"/>
  <c r="I22" i="16" s="1"/>
  <c r="F22" i="16" s="1" a="1"/>
  <c r="F22" i="16" s="1"/>
  <c r="AD6" i="16" a="1"/>
  <c r="AD6" i="16" s="1"/>
  <c r="AD25" i="16" a="1"/>
  <c r="AD25" i="16" s="1"/>
  <c r="I23" i="16" a="1"/>
  <c r="I23" i="16" s="1"/>
  <c r="F23" i="16" s="1" a="1"/>
  <c r="F23" i="16" s="1"/>
  <c r="AD7" i="16" a="1"/>
  <c r="AD7" i="16" s="1"/>
  <c r="AD26" i="16" a="1"/>
  <c r="AD26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8" i="16" a="1"/>
  <c r="F8" i="16" s="1"/>
  <c r="X23" i="16" a="1"/>
  <c r="X23" i="16" s="1"/>
  <c r="C25" i="16"/>
  <c r="C5" i="16"/>
  <c r="O32" i="16" a="1"/>
  <c r="O32" i="16" s="1"/>
  <c r="O12" i="16" a="1"/>
  <c r="O12" i="16" s="1"/>
  <c r="X22" i="16" a="1"/>
  <c r="X22" i="16" s="1"/>
  <c r="O31" i="16" a="1"/>
  <c r="O31" i="16" s="1"/>
  <c r="O11" i="16" a="1"/>
  <c r="O11" i="16" s="1"/>
  <c r="X21" i="16" a="1"/>
  <c r="X21" i="16" s="1"/>
  <c r="O30" i="16" a="1"/>
  <c r="O30" i="16" s="1"/>
  <c r="O10" i="16" a="1"/>
  <c r="O10" i="16" s="1"/>
  <c r="X20" i="16" a="1"/>
  <c r="X20" i="16" s="1"/>
  <c r="C22" i="16"/>
  <c r="O29" i="16" a="1"/>
  <c r="O29" i="16" s="1"/>
  <c r="O9" i="16" a="1"/>
  <c r="O9" i="16" s="1"/>
  <c r="F24" i="16" a="1"/>
  <c r="F24" i="16" s="1"/>
  <c r="X19" i="16" a="1"/>
  <c r="X19" i="16" s="1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AJ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W26" i="16" s="1"/>
  <c r="V7" i="16" a="1"/>
  <c r="V7" i="16" s="1"/>
  <c r="W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W33" i="16" s="1"/>
  <c r="V14" i="16" a="1"/>
  <c r="V14" i="16" s="1"/>
  <c r="W14" i="16" s="1"/>
  <c r="V34" i="16" a="1"/>
  <c r="V34" i="16" s="1"/>
  <c r="W34" i="16" s="1"/>
  <c r="V15" i="16" a="1"/>
  <c r="V15" i="16" s="1"/>
  <c r="W15" i="16" s="1"/>
  <c r="V35" i="16" a="1"/>
  <c r="V35" i="16" s="1"/>
  <c r="V16" i="16" a="1"/>
  <c r="V16" i="16" s="1"/>
  <c r="W16" i="16" s="1"/>
  <c r="V36" i="16" a="1"/>
  <c r="V36" i="16" s="1"/>
  <c r="W36" i="16" s="1"/>
  <c r="V17" i="16" a="1"/>
  <c r="V17" i="16" s="1"/>
  <c r="V37" i="16" a="1"/>
  <c r="V37" i="16" s="1"/>
  <c r="W37" i="16" s="1"/>
  <c r="V18" i="16" a="1"/>
  <c r="V18" i="16" s="1"/>
  <c r="W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W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AJ32" i="16"/>
  <c r="L9" i="16" a="1"/>
  <c r="L13" i="16" a="1"/>
  <c r="R37" i="16" a="1"/>
  <c r="L16" i="16" a="1"/>
  <c r="L32" i="16" a="1"/>
  <c r="R4" i="16" a="1"/>
  <c r="R20" i="16" a="1"/>
  <c r="R25" i="16" a="1"/>
  <c r="L36" i="16" a="1"/>
  <c r="R19" i="16" a="1"/>
  <c r="L34" i="16" a="1"/>
  <c r="L5" i="16" a="1"/>
  <c r="L30" i="16" a="1"/>
  <c r="R12" i="16" a="1"/>
  <c r="R36" i="16" a="1"/>
  <c r="L22" i="16" a="1"/>
  <c r="R33" i="16" a="1"/>
  <c r="R15" i="16" a="1"/>
  <c r="R32" i="16" a="1"/>
  <c r="L33" i="16" a="1"/>
  <c r="L19" i="16" a="1"/>
  <c r="L23" i="16" a="1"/>
  <c r="R26" i="16" a="1"/>
  <c r="L10" i="16" a="1"/>
  <c r="R5" i="16" a="1"/>
  <c r="R34" i="16" a="1"/>
  <c r="L11" i="16" a="1"/>
  <c r="R16" i="16" a="1"/>
  <c r="R3" i="16" a="1"/>
  <c r="L17" i="16" a="1"/>
  <c r="R9" i="16" a="1"/>
  <c r="L12" i="16" a="1"/>
  <c r="L27" i="16" a="1"/>
  <c r="L8" i="16" a="1"/>
  <c r="L31" i="16" a="1"/>
  <c r="L4" i="16" a="1"/>
  <c r="L6" i="16" a="1"/>
  <c r="R28" i="16" a="1"/>
  <c r="R31" i="16" a="1"/>
  <c r="R7" i="16" a="1"/>
  <c r="R24" i="16" a="1"/>
  <c r="L26" i="16" a="1"/>
  <c r="R30" i="16" a="1"/>
  <c r="L21" i="16" a="1"/>
  <c r="L37" i="16" a="1"/>
  <c r="R17" i="16" a="1"/>
  <c r="R23" i="16" a="1"/>
  <c r="R6" i="16" a="1"/>
  <c r="L14" i="16" a="1"/>
  <c r="L28" i="16" a="1"/>
  <c r="L18" i="16" a="1"/>
  <c r="R29" i="16" a="1"/>
  <c r="L7" i="16" a="1"/>
  <c r="R21" i="16" a="1"/>
  <c r="L15" i="16" a="1"/>
  <c r="L3" i="16" a="1"/>
  <c r="L20" i="16" a="1"/>
  <c r="R35" i="16" a="1"/>
  <c r="R14" i="16" a="1"/>
  <c r="L29" i="16" a="1"/>
  <c r="L25" i="16" a="1"/>
  <c r="R22" i="16" a="1"/>
  <c r="R18" i="16" a="1"/>
  <c r="R11" i="16" a="1"/>
  <c r="R27" i="16" a="1"/>
  <c r="R10" i="16" a="1"/>
  <c r="R8" i="16" a="1"/>
  <c r="L35" i="16" a="1"/>
  <c r="L24" i="16" a="1"/>
  <c r="R13" i="16" a="1"/>
  <c r="AC18" i="16" l="1"/>
  <c r="Y18" i="16"/>
  <c r="AC34" i="16"/>
  <c r="Y34" i="16"/>
  <c r="Y27" i="16"/>
  <c r="AC27" i="16"/>
  <c r="AC14" i="16"/>
  <c r="Y14" i="16"/>
  <c r="Y8" i="16"/>
  <c r="AC8" i="16"/>
  <c r="Y26" i="16"/>
  <c r="AC26" i="16"/>
  <c r="AC22" i="16"/>
  <c r="Y22" i="16"/>
  <c r="AC30" i="16"/>
  <c r="Y30" i="16"/>
  <c r="Y7" i="16"/>
  <c r="AC7" i="16"/>
  <c r="AC10" i="16"/>
  <c r="Y10" i="16"/>
  <c r="AC37" i="16"/>
  <c r="Y37" i="16"/>
  <c r="AC17" i="16"/>
  <c r="Y17" i="16"/>
  <c r="AC21" i="16"/>
  <c r="Y21" i="16"/>
  <c r="AC33" i="16"/>
  <c r="Y33" i="16"/>
  <c r="AC13" i="16"/>
  <c r="Y13" i="16"/>
  <c r="AC9" i="16"/>
  <c r="Y9" i="16"/>
  <c r="Y25" i="16"/>
  <c r="AC25" i="16"/>
  <c r="Y6" i="16"/>
  <c r="AC6" i="16"/>
  <c r="AH34" i="16"/>
  <c r="AC3" i="16"/>
  <c r="Y3" i="16"/>
  <c r="AC32" i="16"/>
  <c r="Y32" i="16"/>
  <c r="AC29" i="16"/>
  <c r="Y29" i="16"/>
  <c r="Y24" i="16"/>
  <c r="AC24" i="16"/>
  <c r="AC20" i="16"/>
  <c r="AH20" i="16" s="1"/>
  <c r="Y20" i="16"/>
  <c r="AC36" i="16"/>
  <c r="Y36" i="16"/>
  <c r="AC12" i="16"/>
  <c r="Y12" i="16"/>
  <c r="AH26" i="16"/>
  <c r="Y5" i="16"/>
  <c r="AC5" i="16"/>
  <c r="AC16" i="16"/>
  <c r="AH16" i="16" s="1"/>
  <c r="Y16" i="16"/>
  <c r="Y28" i="16"/>
  <c r="AC28" i="16"/>
  <c r="AJ24" i="16"/>
  <c r="AK24" i="16" s="1"/>
  <c r="AG17" i="16"/>
  <c r="AH17" i="16"/>
  <c r="AJ26" i="16"/>
  <c r="AH7" i="16"/>
  <c r="AC19" i="16"/>
  <c r="Y19" i="16"/>
  <c r="AC35" i="16"/>
  <c r="Y35" i="16"/>
  <c r="AC15" i="16"/>
  <c r="Y15" i="16"/>
  <c r="AH15" i="16"/>
  <c r="AC23" i="16"/>
  <c r="Y23" i="16"/>
  <c r="AC31" i="16"/>
  <c r="Y31" i="16"/>
  <c r="Y4" i="16"/>
  <c r="AC4" i="16"/>
  <c r="AC11" i="16"/>
  <c r="Y11" i="16"/>
  <c r="AJ27" i="16"/>
  <c r="AK27" i="16" s="1"/>
  <c r="AJ6" i="16"/>
  <c r="AJ12" i="16"/>
  <c r="AJ8" i="16"/>
  <c r="AJ7" i="16"/>
  <c r="AK7" i="16" s="1"/>
  <c r="AK32" i="16"/>
  <c r="AK12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8" i="16" a="1"/>
  <c r="M31" i="16" a="1"/>
  <c r="S37" i="16" a="1"/>
  <c r="S21" i="16" a="1"/>
  <c r="M20" i="16" a="1"/>
  <c r="S29" i="16" a="1"/>
  <c r="M22" i="16" a="1"/>
  <c r="S31" i="16" a="1"/>
  <c r="M25" i="16" a="1"/>
  <c r="S5" i="16" a="1"/>
  <c r="M5" i="16" a="1"/>
  <c r="M6" i="16" a="1"/>
  <c r="M10" i="16" a="1"/>
  <c r="S7" i="16" a="1"/>
  <c r="S30" i="16" a="1"/>
  <c r="S17" i="16" a="1"/>
  <c r="S28" i="16" a="1"/>
  <c r="S16" i="16" a="1"/>
  <c r="M16" i="16" a="1"/>
  <c r="S19" i="16" a="1"/>
  <c r="S22" i="16" a="1"/>
  <c r="M23" i="16" a="1"/>
  <c r="M30" i="16" a="1"/>
  <c r="S35" i="16" a="1"/>
  <c r="S24" i="16" a="1"/>
  <c r="M35" i="16" a="1"/>
  <c r="M32" i="16" a="1"/>
  <c r="S32" i="16" a="1"/>
  <c r="S14" i="16" a="1"/>
  <c r="M17" i="16" a="1"/>
  <c r="M15" i="16" a="1"/>
  <c r="M11" i="16" a="1"/>
  <c r="S3" i="16" a="1"/>
  <c r="S12" i="16" a="1"/>
  <c r="M34" i="16" a="1"/>
  <c r="M37" i="16" a="1"/>
  <c r="M21" i="16" a="1"/>
  <c r="S26" i="16" a="1"/>
  <c r="S6" i="16" a="1"/>
  <c r="M3" i="16" a="1"/>
  <c r="M29" i="16" a="1"/>
  <c r="S18" i="16" a="1"/>
  <c r="S36" i="16" a="1"/>
  <c r="S27" i="16" a="1"/>
  <c r="M18" i="16" a="1"/>
  <c r="M9" i="16" a="1"/>
  <c r="S13" i="16" a="1"/>
  <c r="S9" i="16" a="1"/>
  <c r="M14" i="16" a="1"/>
  <c r="M7" i="16" a="1"/>
  <c r="M28" i="16" a="1"/>
  <c r="M33" i="16" a="1"/>
  <c r="S15" i="16" a="1"/>
  <c r="M13" i="16" a="1"/>
  <c r="S11" i="16" a="1"/>
  <c r="S8" i="16" a="1"/>
  <c r="S33" i="16" a="1"/>
  <c r="M12" i="16" a="1"/>
  <c r="S20" i="16" a="1"/>
  <c r="M4" i="16" a="1"/>
  <c r="M19" i="16" a="1"/>
  <c r="M24" i="16" a="1"/>
  <c r="S34" i="16" a="1"/>
  <c r="M26" i="16" a="1"/>
  <c r="S23" i="16" a="1"/>
  <c r="S25" i="16" a="1"/>
  <c r="S10" i="16" a="1"/>
  <c r="M27" i="16" a="1"/>
  <c r="S4" i="16" a="1"/>
  <c r="M36" i="16" a="1"/>
  <c r="AK26" i="16" l="1"/>
  <c r="AK34" i="16"/>
  <c r="AK20" i="16"/>
  <c r="AH28" i="16"/>
  <c r="AH36" i="16"/>
  <c r="AK36" i="16" s="1"/>
  <c r="AI34" i="16"/>
  <c r="AI35" i="16"/>
  <c r="AI18" i="16"/>
  <c r="AI12" i="16"/>
  <c r="AI31" i="16"/>
  <c r="AI4" i="16"/>
  <c r="AI16" i="16"/>
  <c r="AI14" i="16"/>
  <c r="AI8" i="16"/>
  <c r="AI27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S8" i="16"/>
  <c r="AH8" i="16" s="1"/>
  <c r="S33" i="16"/>
  <c r="AH33" i="16" s="1"/>
  <c r="AK33" i="16" s="1"/>
  <c r="S31" i="16"/>
  <c r="AH31" i="16" s="1"/>
  <c r="S19" i="16"/>
  <c r="AH19" i="16" s="1"/>
  <c r="S22" i="16"/>
  <c r="AH22" i="16" s="1"/>
  <c r="S15" i="16"/>
  <c r="S37" i="16"/>
  <c r="AH37" i="16" s="1"/>
  <c r="S11" i="16"/>
  <c r="AH11" i="16" s="1"/>
  <c r="AK11" i="16" s="1"/>
  <c r="S13" i="16"/>
  <c r="AH13" i="16" s="1"/>
  <c r="AK13" i="16" s="1"/>
  <c r="S24" i="16"/>
  <c r="AH24" i="16" s="1"/>
  <c r="S29" i="16"/>
  <c r="AH29" i="16" s="1"/>
  <c r="S30" i="16"/>
  <c r="AH30" i="16" s="1"/>
  <c r="AK30" i="16" s="1"/>
  <c r="S17" i="16"/>
  <c r="S20" i="16"/>
  <c r="S14" i="16"/>
  <c r="AH14" i="16" s="1"/>
  <c r="AK14" i="16" s="1"/>
  <c r="S35" i="16"/>
  <c r="AH35" i="16" s="1"/>
  <c r="S21" i="16"/>
  <c r="AH21" i="16" s="1"/>
  <c r="S5" i="16"/>
  <c r="AH5" i="16" s="1"/>
  <c r="S16" i="16"/>
  <c r="S3" i="16"/>
  <c r="AH3" i="16" s="1"/>
  <c r="S36" i="16"/>
  <c r="S28" i="16"/>
  <c r="S32" i="16"/>
  <c r="AH32" i="16" s="1"/>
  <c r="S27" i="16"/>
  <c r="AH27" i="16" s="1"/>
  <c r="S7" i="16"/>
  <c r="S6" i="16"/>
  <c r="AH6" i="16" s="1"/>
  <c r="S12" i="16"/>
  <c r="AH12" i="16" s="1"/>
  <c r="S18" i="16"/>
  <c r="AH18" i="16" s="1"/>
  <c r="S10" i="16"/>
  <c r="AH10" i="16" s="1"/>
  <c r="S23" i="16"/>
  <c r="AH23" i="16" s="1"/>
  <c r="S26" i="16"/>
  <c r="S4" i="16"/>
  <c r="AH4" i="16" s="1"/>
  <c r="S9" i="16"/>
  <c r="AH9" i="16" s="1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15" i="16" a="1"/>
  <c r="N3" i="16" a="1"/>
  <c r="N35" i="16" a="1"/>
  <c r="N19" i="16" a="1"/>
  <c r="N13" i="16" a="1"/>
  <c r="N17" i="16" a="1"/>
  <c r="N9" i="16" a="1"/>
  <c r="N21" i="16" a="1"/>
  <c r="N28" i="16" a="1"/>
  <c r="N22" i="16" a="1"/>
  <c r="N5" i="16" a="1"/>
  <c r="N8" i="16" a="1"/>
  <c r="N37" i="16" a="1"/>
  <c r="N20" i="16" a="1"/>
  <c r="N36" i="16" a="1"/>
  <c r="N34" i="16" a="1"/>
  <c r="N26" i="16" a="1"/>
  <c r="N12" i="16" a="1"/>
  <c r="N14" i="16" a="1"/>
  <c r="N25" i="16" a="1"/>
  <c r="N33" i="16" a="1"/>
  <c r="N27" i="16" a="1"/>
  <c r="N6" i="16" a="1"/>
  <c r="N23" i="16" a="1"/>
  <c r="N18" i="16" a="1"/>
  <c r="N11" i="16" a="1"/>
  <c r="N32" i="16" a="1"/>
  <c r="N16" i="16" a="1"/>
  <c r="N29" i="16" a="1"/>
  <c r="N4" i="16" a="1"/>
  <c r="N24" i="16" a="1"/>
  <c r="N30" i="16" a="1"/>
  <c r="N7" i="16" a="1"/>
  <c r="N10" i="16" a="1"/>
  <c r="N31" i="16" a="1"/>
  <c r="AK31" i="16" l="1"/>
  <c r="AK9" i="16"/>
  <c r="AK10" i="16"/>
  <c r="AK3" i="16"/>
  <c r="AK6" i="16"/>
  <c r="AS28" i="16"/>
  <c r="AS24" i="16"/>
  <c r="AK15" i="16"/>
  <c r="AK22" i="16"/>
  <c r="AS36" i="16"/>
  <c r="AS21" i="16"/>
  <c r="AK28" i="16"/>
  <c r="AK8" i="16"/>
  <c r="AK25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<sst xmlns="http://schemas.openxmlformats.org/spreadsheetml/2006/main" count="735" uniqueCount="346">
  <si>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</si>
  <si>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</si>
  <si>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</si>
  <si>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</si>
  <si>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</si>
  <si>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</si>
  <si>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</si>
  <si>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</si>
  <si>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</si>
  <si>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</si>
  <si>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</si>
  <si>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</si>
  <si>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</si>
  <si>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</si>
  <si>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</si>
  <si>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</si>
  <si>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</si>
  <si>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</si>
  <si>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</si>
  <si>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</si>
  <si>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</si>
  <si>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</si>
  <si>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</si>
  <si>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</si>
  <si>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</si>
  <si>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</si>
  <si>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</si>
  <si>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</si>
  <si>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</si>
  <si>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</si>
  <si>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</si>
  <si>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</si>
  <si>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</si>
  <si>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</si>
  <si>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</si>
  <si>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</si>
  <si>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</si>
  <si>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</si>
  <si>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</si>
  <si>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</si>
  <si>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</si>
  <si>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</si>
  <si>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</si>
  <si>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</si>
  <si>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</si>
  <si>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</si>
  <si>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</si>
  <si>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</si>
  <si>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</si>
  <si>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</si>
  <si>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</si>
  <si>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</si>
  <si>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</si>
  <si>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</si>
  <si>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</si>
  <si>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</si>
  <si>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</si>
  <si>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</si>
  <si>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</si>
  <si>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</si>
  <si>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</si>
  <si>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</si>
  <si>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</si>
  <si>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</si>
  <si>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</si>
  <si>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</si>
  <si>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</si>
  <si>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</si>
  <si>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</si>
  <si>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</si>
  <si>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</si>
  <si>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</si>
  <si>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</si>
  <si>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</si>
  <si>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</si>
  <si>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</si>
  <si>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</si>
  <si>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</si>
  <si>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</si>
  <si>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</si>
  <si>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</si>
  <si>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</si>
  <si>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</si>
  <si>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</si>
  <si>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</si>
  <si>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</si>
  <si>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</si>
  <si>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</si>
  <si>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</si>
  <si>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</si>
  <si>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</si>
  <si>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</si>
  <si>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</si>
  <si>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</si>
  <si>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</si>
  <si>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</si>
  <si>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</si>
  <si>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</si>
  <si>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</si>
  <si>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</si>
  <si>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</si>
  <si>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</si>
  <si>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</si>
  <si>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</si>
  <si>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</si>
  <si>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</si>
  <si>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</si>
  <si>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</si>
  <si>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</si>
  <si>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</si>
  <si>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</si>
  <si>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</si>
  <si>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</si>
  <si>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</si>
  <si>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</si>
  <si>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</si>
  <si>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</si>
  <si>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</si>
  <si>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</si>
  <si>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</si>
  <si>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</si>
  <si>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</si>
  <si>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</si>
  <si>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</si>
  <si>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</si>
  <si>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</si>
  <si>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</si>
  <si>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</si>
  <si>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</si>
  <si>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</si>
  <si>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</si>
  <si>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</si>
  <si>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</si>
  <si>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</si>
  <si>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</si>
  <si>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</si>
  <si>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</si>
  <si>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</si>
  <si>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</si>
  <si>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</si>
  <si>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</si>
  <si>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</si>
  <si>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</si>
  <si>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</si>
  <si>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</si>
  <si>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</si>
  <si>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</si>
  <si>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</si>
  <si>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</si>
  <si>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T3a</t>
  </si>
  <si>
    <t>T4a</t>
  </si>
  <si>
    <t>T1</t>
  </si>
  <si>
    <t>T1a</t>
  </si>
  <si>
    <t>T1b</t>
  </si>
  <si>
    <t>T2</t>
  </si>
  <si>
    <t>T3</t>
  </si>
  <si>
    <t>T3b</t>
  </si>
  <si>
    <t>Nx</t>
  </si>
  <si>
    <t>N0</t>
  </si>
  <si>
    <t>N1</t>
  </si>
  <si>
    <t>N1a</t>
  </si>
  <si>
    <t>N1b</t>
  </si>
  <si>
    <t>M0</t>
  </si>
  <si>
    <t>M1</t>
  </si>
  <si>
    <t>intermediate</t>
  </si>
  <si>
    <t>high</t>
  </si>
  <si>
    <t>low</t>
  </si>
  <si>
    <t>LN extent</t>
  </si>
  <si>
    <t>Not identified</t>
  </si>
  <si>
    <t>Nontoxic uninodular goitre</t>
  </si>
  <si>
    <t>Left central compartment</t>
  </si>
  <si>
    <t>2cm</t>
  </si>
  <si>
    <t>6.5cm</t>
  </si>
  <si>
    <t>4cm</t>
  </si>
  <si>
    <t>1.3cm</t>
  </si>
  <si>
    <t>2mm</t>
  </si>
  <si>
    <t>10 mm</t>
  </si>
  <si>
    <t>Absent</t>
  </si>
  <si>
    <t>4.5 mm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</si>
  <si>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</si>
  <si>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</si>
  <si>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</si>
  <si>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</si>
  <si>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</si>
  <si>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</si>
  <si>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</si>
  <si>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</si>
  <si>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</si>
  <si>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</si>
  <si>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</si>
  <si>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</si>
  <si>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</si>
  <si>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</si>
  <si>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</si>
  <si>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oncocytic classic</t>
  </si>
  <si>
    <t>minimally invasive</t>
  </si>
  <si>
    <t>papillary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</si>
  <si>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</si>
  <si>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</si>
  <si>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pT1a</t>
  </si>
  <si>
    <t>pN1a</t>
  </si>
  <si>
    <t>ID</t>
  </si>
  <si>
    <t>Date of clinical note or operation</t>
  </si>
  <si>
    <t>Age of patient</t>
  </si>
  <si>
    <t>Regional lymph node staging (pN)</t>
  </si>
  <si>
    <t>Distant metastasis staging (pM)</t>
  </si>
  <si>
    <t>Number of tumor</t>
  </si>
  <si>
    <t>Gene mutation test performed</t>
  </si>
  <si>
    <t>Gene mutation type identified</t>
  </si>
  <si>
    <t>IDv2</t>
  </si>
  <si>
    <t>Report</t>
  </si>
  <si>
    <t>Focally noted</t>
  </si>
  <si>
    <t>Present (focal)</t>
  </si>
  <si>
    <t>lung, bone</t>
  </si>
  <si>
    <t>left lateral level II, III, IV</t>
  </si>
  <si>
    <t>PATIENT ID</t>
  </si>
  <si>
    <t>NX</t>
  </si>
  <si>
    <t>MX</t>
  </si>
  <si>
    <t>fatty soft tissue at isthmus</t>
  </si>
  <si>
    <t>Invading only strap muscles</t>
  </si>
  <si>
    <t>Present (minimal)</t>
  </si>
  <si>
    <t>Margin</t>
  </si>
  <si>
    <t>16 mm</t>
  </si>
  <si>
    <t>36 x 32 x 26 mm</t>
  </si>
  <si>
    <t>level VI</t>
  </si>
  <si>
    <t>9mm</t>
  </si>
  <si>
    <t>Microscopic extrathyroidal extension to skeletal muscle anterior to the thyroid gland is present</t>
  </si>
  <si>
    <t>isthmus</t>
  </si>
  <si>
    <t>12 mm</t>
  </si>
  <si>
    <t>Primary tumor staging (pT)</t>
  </si>
  <si>
    <t>Site of involved lymph nodes</t>
  </si>
  <si>
    <t>Site of distant metastasis</t>
  </si>
  <si>
    <t>Number of lymph node identified</t>
  </si>
  <si>
    <t>Number of involved lymph node</t>
  </si>
  <si>
    <t>Largest dimension of involved lymph node</t>
  </si>
  <si>
    <t>Histologic type of thyroid cancer</t>
  </si>
  <si>
    <t>Histologic subtype or variant of thyroid cancer</t>
  </si>
  <si>
    <t>Largest dimension of tumor</t>
  </si>
  <si>
    <t>Vascular invasion</t>
  </si>
  <si>
    <t>Extensiveness of vascular invasion</t>
  </si>
  <si>
    <t>Capsular invasion</t>
  </si>
  <si>
    <t>Extrathyroidal extension</t>
  </si>
  <si>
    <t>Margin involved</t>
  </si>
  <si>
    <t>8 mm and 2 mm</t>
  </si>
  <si>
    <t>pT1</t>
  </si>
  <si>
    <t>right central compartment</t>
  </si>
  <si>
    <t>3 mm (block A7), 4 mm (block B4)</t>
  </si>
  <si>
    <t>50 mm and 30 mm respectively</t>
  </si>
  <si>
    <t>40g</t>
  </si>
  <si>
    <t>pN1b</t>
  </si>
  <si>
    <t>1.1 cm</t>
  </si>
  <si>
    <t>BRAF, KRAS or NRAS hot spot mutation</t>
  </si>
  <si>
    <t>Posterior margin: involved by carcinoma (Block A3)</t>
  </si>
  <si>
    <t>1.8 cm superoinferiorly, 1.6 cm mediolaterally and 1.1 cm anteroposteriorly</t>
  </si>
  <si>
    <t>1 cm</t>
  </si>
  <si>
    <t>Close to resection margins</t>
  </si>
  <si>
    <t>7 mm (microscopical dimension)</t>
  </si>
  <si>
    <t>Focally into adjacent fibroadipose tissue (block B3)</t>
  </si>
  <si>
    <t>Focally involved by carcinoma (Block 1)</t>
  </si>
  <si>
    <t>multinodular goitre</t>
  </si>
  <si>
    <t>50 mm</t>
  </si>
  <si>
    <t>follicular</t>
  </si>
  <si>
    <t>pT3b</t>
  </si>
  <si>
    <t>Invading only strap muscles (sternohyoid, sternothyroid, thyrohyoid, or omohyoid muscles)</t>
  </si>
  <si>
    <t>8 mm</t>
  </si>
  <si>
    <t>30 mm (Macroscopic)</t>
  </si>
  <si>
    <t>Hurthle cell</t>
  </si>
  <si>
    <t>5 mm (middle pole; block 1), 2.5 mm (isthmus; block 3)</t>
  </si>
  <si>
    <t>10g</t>
  </si>
  <si>
    <t>pT4a</t>
  </si>
  <si>
    <t>tall cell variant</t>
  </si>
  <si>
    <t>Cannot be assessed</t>
  </si>
  <si>
    <t>Anterior surface : Focally involved by carcinoma (Block 1)</t>
  </si>
  <si>
    <t>Negative</t>
  </si>
  <si>
    <t>Present</t>
  </si>
  <si>
    <t>Touched posterior and lateral margins and involvement of extrathyroid soft tissue</t>
  </si>
  <si>
    <t>20 mm in greatest dimension (Lower pole tumour), 16 mm in greatest dimension (Isthmus tumour)</t>
  </si>
  <si>
    <t>Present, specify: Anterior and Posterior margins involved</t>
  </si>
  <si>
    <t>Invading soft tissue and strap muscles (microscopic extrathyroidal extension present)</t>
  </si>
  <si>
    <t>Anterior margin: Involved by tumour, Posterior margin: Involved by tumour</t>
  </si>
  <si>
    <t>MINIMALLY INVASIVE FOLLICULAR CARCINOMA</t>
  </si>
  <si>
    <t>4 cm vertically, 2 cm to 5 cm transversely and 2 cm anteroposteriorly</t>
  </si>
  <si>
    <t>Tumor is present</t>
  </si>
  <si>
    <t>Margins uninvolved</t>
  </si>
  <si>
    <t>Anterior surface: &lt; 0.1 mm from carcinoma (block 3)</t>
  </si>
  <si>
    <t>left central compartment LN</t>
  </si>
  <si>
    <t>27 x 22 x 17 mm</t>
  </si>
  <si>
    <t>central compartment, bilateral</t>
  </si>
  <si>
    <t>&gt;5</t>
  </si>
  <si>
    <t>not entirely encapsulated</t>
  </si>
  <si>
    <t>EXTENDING TO PERITHYROIDAL ADIPOSE TISSUE</t>
  </si>
  <si>
    <t>Involved by invasive carcinoma (block 5)</t>
  </si>
  <si>
    <t>minimally invasive follicular carcinoma</t>
  </si>
  <si>
    <t>Focal Invasion</t>
  </si>
  <si>
    <t>&lt;4</t>
  </si>
  <si>
    <t>Posterior</t>
  </si>
  <si>
    <t>unilateral, bilateral or contralateral lateral neck lymph nodes (levels I, II, III, IV, or V) or retropharyngeal lymph nodes</t>
  </si>
  <si>
    <t>63 mm (macroscopic)</t>
  </si>
  <si>
    <t>invading into the region of the recurrent laryngeal nerve, Invades: perithyroid skeletal muscle, invades subcutaneous soft tissues, invades larynx, invades trachea, invades esophagus, invades recurrent laryngeal nerve</t>
  </si>
  <si>
    <t>Carcinoma extensively involves</t>
  </si>
  <si>
    <t>Left central compartment LN, Lt IJV / phrenic nerve / CNX</t>
  </si>
  <si>
    <t>Whole left lobe and isthmus, 4cm</t>
  </si>
  <si>
    <t>non-invasive follicular thyroid neoplasm with papillary-like nuclear features</t>
  </si>
  <si>
    <t>40 x 20 x 20 mm</t>
  </si>
  <si>
    <t>Free of tumor</t>
  </si>
  <si>
    <t>Right level III</t>
  </si>
  <si>
    <t>right central compartment, level III</t>
  </si>
  <si>
    <t>unspecified</t>
  </si>
  <si>
    <t>1.5 cm</t>
  </si>
  <si>
    <t>6 mm for the right thyroid, 11 mm for the left thyroid</t>
  </si>
  <si>
    <t>CA</t>
  </si>
  <si>
    <t>Right central compartment</t>
  </si>
  <si>
    <t>Posterior and anterior</t>
  </si>
  <si>
    <t>4.3 cm superoinferiorly, 2.6 cm mediolaterally and 1.3 cm anteroposteriorly</t>
  </si>
  <si>
    <t>Right level 2, 3, 4 lymph node</t>
  </si>
  <si>
    <t>2.7 cm</t>
  </si>
  <si>
    <t>right lateral neck</t>
  </si>
  <si>
    <t>2.5cm length</t>
  </si>
  <si>
    <t>unifocal</t>
  </si>
  <si>
    <t>11 mm (macroscopic)</t>
  </si>
  <si>
    <t>Anterior: 0.2 mm (block B2), Posterior: 1.5 mm (block B2)</t>
  </si>
  <si>
    <t>5 mm (block A5) and 1.5 mm (block A9)</t>
  </si>
  <si>
    <t>Uninvolved for oncocytic adenoma, Uninvolved for papillary carcinoma</t>
  </si>
  <si>
    <t>Posterior: 0.4 mm (block A8) for papillary carcinoma, Anterior: 2.2 mm (block A5) for papillary carcinoma</t>
  </si>
  <si>
    <t>isthmus, posterior margin</t>
  </si>
  <si>
    <t>not involved</t>
  </si>
  <si>
    <t>Left level III LN enlarged</t>
  </si>
  <si>
    <t>4.5 x 3 x 2 cm</t>
  </si>
  <si>
    <t>FOLLICULAR CARCINOMA, WIDELY INVASIVE</t>
  </si>
  <si>
    <t>6 cm superoinferiorly, 3.2 cm transversely and 2.5 cm anteroposteriorly</t>
  </si>
  <si>
    <t>&gt;4</t>
  </si>
  <si>
    <t>Positive</t>
  </si>
  <si>
    <t>microcarcinoma</t>
  </si>
  <si>
    <t>4 or more</t>
  </si>
  <si>
    <t>5.5 cm long, up to 1.2 cm in diameter</t>
  </si>
  <si>
    <t>left lateral neck LNs, left central compartment LN, left level II,III,IV LN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</si>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</sst>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0">
    <xf numFmtId="0" fontId="0" fillId="0" borderId="0"/>
    <xf numFmtId="9" fontId="10" fillId="0" borderId="0" applyFont="0" applyFill="0" applyBorder="0" applyAlignment="0" applyProtection="0"/>
    <xf numFmtId="0" fontId="5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5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5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5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5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5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5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6" fillId="6" borderId="0" applyNumberFormat="0" applyBorder="0" applyAlignment="0" applyProtection="0"/>
    <xf numFmtId="0" fontId="3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9">
    <xf numFmtId="0" fontId="0" fillId="0" borderId="0" xfId="0"/>
    <xf numFmtId="0" fontId="6" fillId="0" borderId="0" xfId="0" applyFont="1"/>
    <xf numFmtId="0" fontId="6" fillId="0" borderId="1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0" fontId="9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1" fillId="0" borderId="5" xfId="0" applyNumberFormat="1" applyFont="1" applyBorder="1" applyAlignment="1">
      <alignment horizontal="center" vertical="center"/>
    </xf>
    <xf numFmtId="1" fontId="11" fillId="0" borderId="1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9" fillId="0" borderId="0" xfId="0" applyFont="1" applyAlignment="1">
      <alignment horizontal="center"/>
    </xf>
    <xf numFmtId="1" fontId="9" fillId="0" borderId="4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1" fontId="9" fillId="0" borderId="15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 wrapText="1"/>
    </xf>
    <xf numFmtId="0" fontId="1" fillId="0" borderId="0" xfId="0" applyFont="1"/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activeCell="A47" sqref="A47:XFD48"/>
      <selection pane="topRight" activeCell="A47" sqref="A47:XFD48"/>
      <selection pane="bottomLeft" activeCell="A47" sqref="A47:XFD48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6"/>
    <col min="4" max="4" width="12.46484375" bestFit="1" customWidth="1"/>
    <col min="5" max="5" width="12.33203125" customWidth="1"/>
    <col min="6" max="6" width="10.796875" style="16"/>
    <col min="8" max="8" width="12.33203125" customWidth="1"/>
    <col min="9" max="9" width="11.796875" style="16" customWidth="1"/>
    <col min="10" max="10" width="12.53125" style="16" bestFit="1" customWidth="1"/>
    <col min="11" max="11" width="12.46484375" style="16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6" customWidth="1"/>
    <col min="21" max="21" width="14.6640625" style="16" hidden="1" customWidth="1"/>
    <col min="22" max="22" width="23.53125" customWidth="1"/>
    <col min="23" max="23" width="11.9296875" customWidth="1"/>
    <col min="25" max="25" width="14.1328125" style="16" customWidth="1"/>
    <col min="26" max="28" width="14.1328125" style="16" hidden="1" customWidth="1"/>
    <col min="29" max="29" width="14.33203125" customWidth="1"/>
    <col min="30" max="30" width="86.73046875" customWidth="1"/>
    <col min="32" max="32" width="10.796875" style="16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4" t="s">
        <v>342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18"/>
      <c r="AG1" s="45" t="s">
        <v>345</v>
      </c>
      <c r="AH1" s="46"/>
      <c r="AI1" s="46"/>
      <c r="AJ1" s="46"/>
      <c r="AK1" s="46"/>
      <c r="AL1" s="45" t="s">
        <v>190</v>
      </c>
      <c r="AM1" s="46"/>
      <c r="AN1" s="46"/>
      <c r="AO1" s="46"/>
      <c r="AP1" s="46"/>
      <c r="AQ1" s="45" t="s">
        <v>191</v>
      </c>
      <c r="AR1" s="46"/>
      <c r="AS1" s="46"/>
      <c r="AT1" s="46"/>
      <c r="AU1" s="47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167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343</v>
      </c>
      <c r="N2" s="42" t="s">
        <v>344</v>
      </c>
      <c r="O2" s="5" t="s">
        <v>13</v>
      </c>
      <c r="P2" s="5" t="s">
        <v>14</v>
      </c>
      <c r="Q2" s="5" t="s">
        <v>15</v>
      </c>
      <c r="R2" s="6" t="s">
        <v>340</v>
      </c>
      <c r="S2" s="42" t="s">
        <v>341</v>
      </c>
      <c r="T2" s="5" t="s">
        <v>16</v>
      </c>
      <c r="U2" s="5" t="s">
        <v>17</v>
      </c>
      <c r="V2" s="5" t="s">
        <v>18</v>
      </c>
      <c r="W2" s="6" t="s">
        <v>198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339</v>
      </c>
      <c r="AE2" s="5" t="s">
        <v>221</v>
      </c>
      <c r="AF2" s="7"/>
      <c r="AG2" s="23" t="s">
        <v>144</v>
      </c>
      <c r="AH2" s="8" t="s">
        <v>145</v>
      </c>
      <c r="AI2" s="8" t="s">
        <v>146</v>
      </c>
      <c r="AJ2" s="8" t="s">
        <v>147</v>
      </c>
      <c r="AK2" s="8" t="s">
        <v>148</v>
      </c>
      <c r="AL2" s="9" t="s">
        <v>144</v>
      </c>
      <c r="AM2" s="8" t="s">
        <v>145</v>
      </c>
      <c r="AN2" s="8" t="s">
        <v>146</v>
      </c>
      <c r="AO2" s="8" t="s">
        <v>147</v>
      </c>
      <c r="AP2" s="8" t="s">
        <v>148</v>
      </c>
      <c r="AQ2" s="9" t="s">
        <v>144</v>
      </c>
      <c r="AR2" s="8" t="s">
        <v>145</v>
      </c>
      <c r="AS2" s="8" t="s">
        <v>146</v>
      </c>
      <c r="AT2" s="8" t="s">
        <v>147</v>
      </c>
      <c r="AU2" s="24" t="s">
        <v>148</v>
      </c>
    </row>
    <row r="3" spans="1:47">
      <c r="A3" s="12">
        <v>1</v>
      </c>
      <c r="B3" s="15"/>
      <c r="C3" s="16">
        <f>_xlfn.MAXIFS('Model output'!C:C,'Model output'!Z:Z,'Classification result'!$A3)</f>
        <v>67</v>
      </c>
      <c r="D3" s="16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6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6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/>
      </c>
      <c r="H3" s="30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/>
      </c>
      <c r="I3" s="16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6">
        <f>IF(IFERROR(INDEX('Model output'!I:I, MATCH(A3, 'Model output'!Z:Z, 0)), "") &lt; K3, "", IFERROR(INDEX('Model output'!I:I, MATCH(A3, 'Model output'!Z:Z, 0)), ""))</f>
        <v>0</v>
      </c>
      <c r="K3" s="16">
        <f>IFERROR(INDEX('Model output'!J:J, MATCH(A3, 'Model output'!Z:Z, 0)), "")</f>
        <v>0</v>
      </c>
      <c r="L3" s="17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6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6" t="str">
        <f>IF(OR(ISNUMBER(SEARCH("soft tissue", AD3)), ISNUMBER(SEARCH("adipose tissue",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6" t="str">
        <f>IF(OR(ISNUMBER(SEARCH("subcutaneous soft tissues", AD3)),ISNUMBER(SEARCH("strap muscle", AD3)), ISNUMBER(SEARCH("larynx", AD3)), ISNUMBER(SEARCH("skeletal muscle",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Not identified</v>
      </c>
      <c r="AE3" s="16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39" t="str">
        <f t="shared" ref="AG3:AG37" si="1"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1" t="str">
        <f t="shared" ref="AH3:AH31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1" t="str">
        <f t="shared" ref="AI3:AI8" si="3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1">
        <f t="shared" ref="AJ3:AJ16" si="4">IF(OR(ISNUMBER(SEARCH("non-invasive follicular",O3,1)),ISNUMBER(SEARCH("non-invasive follicular",P3,1))),"NIFTP",IF(I3="unknown","x",IF(I3="negative",0,1)))</f>
        <v>0</v>
      </c>
      <c r="AK3" s="31" t="str">
        <f t="shared" ref="AK3:AK16" si="5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32" t="s">
        <v>166</v>
      </c>
      <c r="AM3" s="33" t="s">
        <v>183</v>
      </c>
      <c r="AN3" s="33" t="s">
        <v>184</v>
      </c>
      <c r="AO3" s="33">
        <v>0</v>
      </c>
      <c r="AP3" s="33" t="s">
        <v>31</v>
      </c>
      <c r="AQ3" s="32">
        <f t="shared" ref="AQ3:AQ37" si="6">IF(AL3=AG3,1,0)</f>
        <v>1</v>
      </c>
      <c r="AR3" s="33">
        <f t="shared" ref="AR3:AR37" si="7">IF(AM3=AH3,1,0)</f>
        <v>1</v>
      </c>
      <c r="AS3" s="33">
        <f>IF(AI3=AN3,1,IF(OR(AND(AN3="x",AI3=0),AND(AI3="x",AN3=0)),1,0))</f>
        <v>1</v>
      </c>
      <c r="AT3" s="33">
        <f>IF(AO3=AJ3,1,0)</f>
        <v>1</v>
      </c>
      <c r="AU3" s="34">
        <f>IF(AP3=AK3,1,0)</f>
        <v>1</v>
      </c>
    </row>
    <row r="4" spans="1:47">
      <c r="A4" s="12">
        <v>2</v>
      </c>
      <c r="B4" s="15"/>
      <c r="C4" s="16">
        <f>_xlfn.MAXIFS('Model output'!C:C,'Model output'!Z:Z,'Classification result'!$A4)</f>
        <v>39</v>
      </c>
      <c r="D4" s="16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6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6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6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6">
        <f>IF(IFERROR(INDEX('Model output'!I:I, MATCH(A4, 'Model output'!Z:Z, 0)), "") &lt; K4, "", IFERROR(INDEX('Model output'!I:I, MATCH(A4, 'Model output'!Z:Z, 0)), ""))</f>
        <v>0</v>
      </c>
      <c r="K4" s="16">
        <f>IFERROR(INDEX('Model output'!J:J, MATCH(A4, 'Model output'!Z:Z, 0)), "")</f>
        <v>0</v>
      </c>
      <c r="L4" s="17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6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8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6" t="str">
        <f t="shared" ref="Y4:Y37" si="9">IF(OR(ISNUMBER(SEARCH("soft tissue", AD4)), ISNUMBER(SEARCH("adipose tissue", AD4)), 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6" t="str">
        <f t="shared" ref="AC4:AC37" si="10">IF(OR(ISNUMBER(SEARCH("subcutaneous soft tissues", AD4)),ISNUMBER(SEARCH("strap muscle", AD4)), ISNUMBER(SEARCH("larynx", AD4)), ISNUMBER(SEARCH("skeletal muscle",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48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40" t="str">
        <f t="shared" si="1"/>
        <v>low</v>
      </c>
      <c r="AH4" s="31" t="str">
        <f t="shared" si="2"/>
        <v>2</v>
      </c>
      <c r="AI4" s="31" t="str">
        <f t="shared" si="3"/>
        <v>x</v>
      </c>
      <c r="AJ4" s="31">
        <f t="shared" si="4"/>
        <v>0</v>
      </c>
      <c r="AK4" s="31" t="str">
        <f t="shared" si="5"/>
        <v>I</v>
      </c>
      <c r="AL4" s="32" t="s">
        <v>166</v>
      </c>
      <c r="AM4" s="33" t="s">
        <v>336</v>
      </c>
      <c r="AN4" s="33" t="s">
        <v>184</v>
      </c>
      <c r="AO4" s="33">
        <v>0</v>
      </c>
      <c r="AP4" s="33" t="s">
        <v>31</v>
      </c>
      <c r="AQ4" s="32">
        <f t="shared" si="6"/>
        <v>1</v>
      </c>
      <c r="AR4" s="33">
        <f t="shared" si="7"/>
        <v>1</v>
      </c>
      <c r="AS4" s="33">
        <f t="shared" ref="AS4:AS37" si="11">IF(AI4=AN4,1,IF(OR(AND(AN4="x",AI4=0),AND(AI4="x",AN4=0)),1,0))</f>
        <v>1</v>
      </c>
      <c r="AT4" s="33">
        <f t="shared" ref="AT4:AU37" si="12">IF(AO4=AJ4,1,0)</f>
        <v>1</v>
      </c>
      <c r="AU4" s="34">
        <f t="shared" si="12"/>
        <v>1</v>
      </c>
    </row>
    <row r="5" spans="1:47">
      <c r="A5" s="12">
        <v>3</v>
      </c>
      <c r="B5" s="15"/>
      <c r="C5" s="16">
        <f>_xlfn.MAXIFS('Model output'!C:C,'Model output'!Z:Z,'Classification result'!$A5)</f>
        <v>52</v>
      </c>
      <c r="D5" s="16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6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6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6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6">
        <f>IF(IFERROR(INDEX('Model output'!I:I, MATCH(A5, 'Model output'!Z:Z, 0)), "") &lt; K5, "", IFERROR(INDEX('Model output'!I:I, MATCH(A5, 'Model output'!Z:Z, 0)), ""))</f>
        <v>5</v>
      </c>
      <c r="K5" s="16">
        <f>IFERROR(INDEX('Model output'!J:J, MATCH(A5, 'Model output'!Z:Z, 0)), "")</f>
        <v>1</v>
      </c>
      <c r="L5" s="17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8mmand2mm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6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8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positive</v>
      </c>
      <c r="Y5" s="16" t="str">
        <f t="shared" si="9"/>
        <v>positive</v>
      </c>
      <c r="AC5" s="16" t="str">
        <f t="shared" si="10"/>
        <v>negative</v>
      </c>
      <c r="AD5" t="str" cm="1">
        <f t="array" ref="AD5">_xlfn.TEXTJOIN("; ",TRUE,_xlfn._xlws.FILTER('Model output'!S:S,'Model output'!Z:Z=A5))</f>
        <v>Present</v>
      </c>
      <c r="AE5" s="48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40" t="str">
        <f t="shared" si="1"/>
        <v>intermediate</v>
      </c>
      <c r="AH5" s="31" t="str">
        <f t="shared" si="2"/>
        <v>1a</v>
      </c>
      <c r="AI5" s="31" t="str">
        <f t="shared" si="3"/>
        <v>1a</v>
      </c>
      <c r="AJ5" s="31">
        <f t="shared" si="4"/>
        <v>0</v>
      </c>
      <c r="AK5" s="31" t="str">
        <f t="shared" si="5"/>
        <v>I</v>
      </c>
      <c r="AL5" s="32" t="s">
        <v>164</v>
      </c>
      <c r="AM5" s="33" t="s">
        <v>185</v>
      </c>
      <c r="AN5" s="33" t="s">
        <v>185</v>
      </c>
      <c r="AO5" s="33">
        <v>0</v>
      </c>
      <c r="AP5" s="33" t="s">
        <v>31</v>
      </c>
      <c r="AQ5" s="32">
        <f t="shared" si="6"/>
        <v>1</v>
      </c>
      <c r="AR5" s="33">
        <f t="shared" si="7"/>
        <v>1</v>
      </c>
      <c r="AS5" s="33">
        <f t="shared" si="11"/>
        <v>1</v>
      </c>
      <c r="AT5" s="33">
        <f t="shared" si="12"/>
        <v>1</v>
      </c>
      <c r="AU5" s="34">
        <f t="shared" si="12"/>
        <v>1</v>
      </c>
    </row>
    <row r="6" spans="1:47">
      <c r="A6" s="12">
        <v>4</v>
      </c>
      <c r="B6" s="15"/>
      <c r="C6" s="16">
        <f>_xlfn.MAXIFS('Model output'!C:C,'Model output'!Z:Z,'Classification result'!$A6)</f>
        <v>61</v>
      </c>
      <c r="D6" s="16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6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6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6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6">
        <f>IF(IFERROR(INDEX('Model output'!I:I, MATCH(A6, 'Model output'!Z:Z, 0)), "") &lt; K6, "", IFERROR(INDEX('Model output'!I:I, MATCH(A6, 'Model output'!Z:Z, 0)), ""))</f>
        <v>6</v>
      </c>
      <c r="K6" s="16">
        <f>IFERROR(INDEX('Model output'!J:J, MATCH(A6, 'Model output'!Z:Z, 0)), "")</f>
        <v>4</v>
      </c>
      <c r="L6" s="17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6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8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6" t="str">
        <f t="shared" si="9"/>
        <v>positive</v>
      </c>
      <c r="AC6" s="16" t="str">
        <f t="shared" si="10"/>
        <v>negative</v>
      </c>
      <c r="AD6" t="str" cm="1">
        <f t="array" ref="AD6">_xlfn.TEXTJOIN("; ",TRUE,_xlfn._xlws.FILTER('Model output'!S:S,'Model output'!Z:Z=A6))</f>
        <v>fatty soft tissue at isthmus</v>
      </c>
      <c r="AE6" s="48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40" t="str">
        <f t="shared" si="1"/>
        <v>intermediate</v>
      </c>
      <c r="AH6" s="31" t="str">
        <f t="shared" si="2"/>
        <v>1b</v>
      </c>
      <c r="AI6" s="31" t="str">
        <f t="shared" si="3"/>
        <v>1a</v>
      </c>
      <c r="AJ6" s="31">
        <f t="shared" si="4"/>
        <v>0</v>
      </c>
      <c r="AK6" s="31" t="str">
        <f t="shared" si="5"/>
        <v>II</v>
      </c>
      <c r="AL6" s="32" t="s">
        <v>164</v>
      </c>
      <c r="AM6" s="31" t="s">
        <v>183</v>
      </c>
      <c r="AN6" s="33" t="s">
        <v>185</v>
      </c>
      <c r="AO6" s="33">
        <v>0</v>
      </c>
      <c r="AP6" s="33" t="s">
        <v>42</v>
      </c>
      <c r="AQ6" s="32">
        <f t="shared" si="6"/>
        <v>1</v>
      </c>
      <c r="AR6" s="33">
        <f t="shared" si="7"/>
        <v>1</v>
      </c>
      <c r="AS6" s="33">
        <f t="shared" si="11"/>
        <v>1</v>
      </c>
      <c r="AT6" s="33">
        <f t="shared" si="12"/>
        <v>1</v>
      </c>
      <c r="AU6" s="34">
        <f t="shared" si="12"/>
        <v>1</v>
      </c>
    </row>
    <row r="7" spans="1:47">
      <c r="A7" s="12">
        <v>5</v>
      </c>
      <c r="B7" s="15"/>
      <c r="C7" s="16">
        <f>_xlfn.MAXIFS('Model output'!C:C,'Model output'!Z:Z,'Classification result'!$A7)</f>
        <v>34</v>
      </c>
      <c r="D7" s="16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6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6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6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6" t="str">
        <f>IF(IFERROR(INDEX('Model output'!I:I, MATCH(A7, 'Model output'!Z:Z, 0)), "") &lt; K7, "", IFERROR(INDEX('Model output'!I:I, MATCH(A7, 'Model output'!Z:Z, 0)), ""))</f>
        <v/>
      </c>
      <c r="K7" s="16">
        <f>IFERROR(INDEX('Model output'!J:J, MATCH(A7, 'Model output'!Z:Z, 0)), "")</f>
        <v>1</v>
      </c>
      <c r="L7" s="17" t="str" cm="1">
        <f t="array" ref="L7">ReplaceTo(ReplaceAnd(SUBSTITUTE(SUBSTITUTE(_xlfn.TEXTJOIN("; ", TRUE, _xlfn._xlws.FILTER('Model output'!K:K, 'Model output'!Z:Z=A7)), " ", ""), ",", ";")))</f>
        <v>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/>
      </c>
      <c r="S7" t="str" cm="1">
        <f t="array" ref="S7">IF(MaxSize((SplitDimensions(R7)))=0, "", MaxSize((SplitDimensions(R7))))</f>
        <v/>
      </c>
      <c r="T7" s="16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8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6" t="str">
        <f t="shared" si="9"/>
        <v>positive</v>
      </c>
      <c r="AC7" s="16" t="str">
        <f t="shared" si="10"/>
        <v>positive</v>
      </c>
      <c r="AD7" t="str" cm="1">
        <f t="array" ref="AD7">_xlfn.TEXTJOIN("; ",TRUE,_xlfn._xlws.FILTER('Model output'!S:S,'Model output'!Z:Z=A7))</f>
        <v>Invading soft tissue and strap muscles (microscopic extrathyroidal extension present); Present</v>
      </c>
      <c r="AE7" s="48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40" t="str">
        <f t="shared" si="1"/>
        <v>high</v>
      </c>
      <c r="AH7" s="31" t="str">
        <f t="shared" si="2"/>
        <v>4a</v>
      </c>
      <c r="AI7" s="31" t="str">
        <f t="shared" si="3"/>
        <v>1a</v>
      </c>
      <c r="AJ7" s="31">
        <f t="shared" si="4"/>
        <v>0</v>
      </c>
      <c r="AK7" s="31" t="str">
        <f t="shared" si="5"/>
        <v>I</v>
      </c>
      <c r="AL7" s="32" t="s">
        <v>165</v>
      </c>
      <c r="AM7" s="33" t="s">
        <v>186</v>
      </c>
      <c r="AN7" s="33" t="s">
        <v>185</v>
      </c>
      <c r="AO7" s="33">
        <v>0</v>
      </c>
      <c r="AP7" s="33" t="s">
        <v>31</v>
      </c>
      <c r="AQ7" s="32">
        <f t="shared" si="6"/>
        <v>1</v>
      </c>
      <c r="AR7" s="33">
        <f t="shared" si="7"/>
        <v>0</v>
      </c>
      <c r="AS7" s="33">
        <f t="shared" si="11"/>
        <v>1</v>
      </c>
      <c r="AT7" s="33">
        <f t="shared" si="12"/>
        <v>1</v>
      </c>
      <c r="AU7" s="34">
        <f t="shared" si="12"/>
        <v>1</v>
      </c>
    </row>
    <row r="8" spans="1:47">
      <c r="A8" s="12">
        <v>6</v>
      </c>
      <c r="B8" s="15"/>
      <c r="C8" s="16">
        <f>_xlfn.MAXIFS('Model output'!C:C,'Model output'!Z:Z,'Classification result'!$A8)</f>
        <v>66</v>
      </c>
      <c r="D8" s="16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6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6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6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6">
        <f>IF(IFERROR(INDEX('Model output'!I:I, MATCH(A8, 'Model output'!Z:Z, 0)), "") &lt; K8, "", IFERROR(INDEX('Model output'!I:I, MATCH(A8, 'Model output'!Z:Z, 0)), ""))</f>
        <v>0</v>
      </c>
      <c r="K8" s="16">
        <f>IFERROR(INDEX('Model output'!J:J, MATCH(A8, 'Model output'!Z:Z, 0)), "")</f>
        <v>0</v>
      </c>
      <c r="L8" s="17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 follicular carcinoma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/>
      </c>
      <c r="S8" t="str" cm="1">
        <f t="array" ref="S8">IF(MaxSize((SplitDimensions(R8)))=0, "", MaxSize((SplitDimensions(R8))))</f>
        <v/>
      </c>
      <c r="T8" s="16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8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6" t="str">
        <f t="shared" si="9"/>
        <v>negative</v>
      </c>
      <c r="AC8" s="16" t="str">
        <f t="shared" si="10"/>
        <v>negative</v>
      </c>
      <c r="AD8" t="str" cm="1">
        <f t="array" ref="AD8">_xlfn.TEXTJOIN("; ",TRUE,_xlfn._xlws.FILTER('Model output'!S:S,'Model output'!Z:Z=A8))</f>
        <v>Not identified</v>
      </c>
      <c r="AE8" s="48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40" t="str">
        <f t="shared" si="1"/>
        <v>low</v>
      </c>
      <c r="AH8" s="31" t="str">
        <f t="shared" si="2"/>
        <v>1a</v>
      </c>
      <c r="AI8" s="31" t="str">
        <f t="shared" si="3"/>
        <v>x</v>
      </c>
      <c r="AJ8" s="31">
        <f t="shared" si="4"/>
        <v>0</v>
      </c>
      <c r="AK8" s="31" t="str">
        <f t="shared" si="5"/>
        <v>I</v>
      </c>
      <c r="AL8" s="32" t="s">
        <v>166</v>
      </c>
      <c r="AM8" s="31" t="s">
        <v>184</v>
      </c>
      <c r="AN8" s="33" t="s">
        <v>184</v>
      </c>
      <c r="AO8" s="33">
        <v>0</v>
      </c>
      <c r="AP8" s="33" t="s">
        <v>31</v>
      </c>
      <c r="AQ8" s="32">
        <f t="shared" si="6"/>
        <v>1</v>
      </c>
      <c r="AR8" s="33">
        <f t="shared" si="7"/>
        <v>0</v>
      </c>
      <c r="AS8" s="33">
        <f t="shared" si="11"/>
        <v>1</v>
      </c>
      <c r="AT8" s="33">
        <f t="shared" si="12"/>
        <v>1</v>
      </c>
      <c r="AU8" s="34">
        <f t="shared" si="12"/>
        <v>1</v>
      </c>
    </row>
    <row r="9" spans="1:47">
      <c r="A9" s="12">
        <v>7</v>
      </c>
      <c r="B9" s="15"/>
      <c r="C9" s="16">
        <f>_xlfn.MAXIFS('Model output'!C:C,'Model output'!Z:Z,'Classification result'!$A9)</f>
        <v>67</v>
      </c>
      <c r="D9" s="16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6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6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6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6">
        <f>IF(IFERROR(INDEX('Model output'!I:I, MATCH(A9, 'Model output'!Z:Z, 0)), "") &lt; K9, "", IFERROR(INDEX('Model output'!I:I, MATCH(A9, 'Model output'!Z:Z, 0)), ""))</f>
        <v>0</v>
      </c>
      <c r="K9" s="16">
        <f>IFERROR(INDEX('Model output'!J:J, MATCH(A9, 'Model output'!Z:Z, 0)), "")</f>
        <v>0</v>
      </c>
      <c r="L9" s="17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3mm(blockA7),4mm(blockB4)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3mm</v>
      </c>
      <c r="S9" cm="1">
        <f t="array" ref="S9">IF(MaxSize((SplitDimensions(R9)))=0, "", MaxSize((SplitDimensions(R9))))</f>
        <v>0.3</v>
      </c>
      <c r="T9" s="16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8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positive</v>
      </c>
      <c r="Y9" s="16" t="str">
        <f t="shared" si="9"/>
        <v>negative</v>
      </c>
      <c r="AC9" s="16" t="str">
        <f t="shared" si="10"/>
        <v>negative</v>
      </c>
      <c r="AD9" t="str" cm="1">
        <f t="array" ref="AD9">_xlfn.TEXTJOIN("; ",TRUE,_xlfn._xlws.FILTER('Model output'!S:S,'Model output'!Z:Z=A9))</f>
        <v/>
      </c>
      <c r="AE9" s="48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40" t="str">
        <f t="shared" si="1"/>
        <v>low</v>
      </c>
      <c r="AH9" s="31" t="str">
        <f t="shared" si="2"/>
        <v>1a</v>
      </c>
      <c r="AI9" s="31" t="str">
        <f t="shared" ref="AI9:AI15" si="13">IF(OR(ISNUMBER(SEARCH("non-invasive follicular",O9,1)),ISNUMBER(SEARCH("non-invasive follicular",P9,1))),"NIFTP",IF(AND(K9&gt;0,G9="positive",H9="central"),"1a",IF(AND(K9&gt;0,G9="positive",H9="lateral"),"1b",IF(AND(K9=0,J9=0),"x",0))))</f>
        <v>x</v>
      </c>
      <c r="AJ9" s="31">
        <f t="shared" si="4"/>
        <v>0</v>
      </c>
      <c r="AK9" s="31" t="str">
        <f t="shared" si="5"/>
        <v>I</v>
      </c>
      <c r="AL9" s="32" t="s">
        <v>166</v>
      </c>
      <c r="AM9" s="33" t="s">
        <v>185</v>
      </c>
      <c r="AN9" s="33" t="s">
        <v>184</v>
      </c>
      <c r="AO9" s="33">
        <v>0</v>
      </c>
      <c r="AP9" s="33" t="s">
        <v>31</v>
      </c>
      <c r="AQ9" s="32">
        <f t="shared" si="6"/>
        <v>1</v>
      </c>
      <c r="AR9" s="33">
        <f t="shared" si="7"/>
        <v>1</v>
      </c>
      <c r="AS9" s="33">
        <f t="shared" si="11"/>
        <v>1</v>
      </c>
      <c r="AT9" s="33">
        <f t="shared" si="12"/>
        <v>1</v>
      </c>
      <c r="AU9" s="34">
        <f t="shared" si="12"/>
        <v>1</v>
      </c>
    </row>
    <row r="10" spans="1:47">
      <c r="A10" s="12">
        <v>8</v>
      </c>
      <c r="B10" s="15"/>
      <c r="C10" s="16">
        <f>_xlfn.MAXIFS('Model output'!C:C,'Model output'!Z:Z,'Classification result'!$A10)</f>
        <v>78</v>
      </c>
      <c r="D10" s="16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6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6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6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6">
        <f>IF(IFERROR(INDEX('Model output'!I:I, MATCH(A10, 'Model output'!Z:Z, 0)), "") &lt; K10, "", IFERROR(INDEX('Model output'!I:I, MATCH(A10, 'Model output'!Z:Z, 0)), ""))</f>
        <v>0</v>
      </c>
      <c r="K10" s="16">
        <f>IFERROR(INDEX('Model output'!J:J, MATCH(A10, 'Model output'!Z:Z, 0)), "")</f>
        <v>0</v>
      </c>
      <c r="L10" s="17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6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8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Y10" s="16" t="str">
        <f t="shared" si="9"/>
        <v>negative</v>
      </c>
      <c r="AC10" s="16" t="str">
        <f t="shared" si="10"/>
        <v>negative</v>
      </c>
      <c r="AD10" t="str" cm="1">
        <f t="array" ref="AD10">_xlfn.TEXTJOIN("; ",TRUE,_xlfn._xlws.FILTER('Model output'!S:S,'Model output'!Z:Z=A10))</f>
        <v>Not identified</v>
      </c>
      <c r="AE10" s="48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40" t="str">
        <f t="shared" si="1"/>
        <v>low</v>
      </c>
      <c r="AH10" s="31" t="str">
        <f t="shared" si="2"/>
        <v>1b</v>
      </c>
      <c r="AI10" s="31" t="str">
        <f t="shared" si="13"/>
        <v>x</v>
      </c>
      <c r="AJ10" s="31">
        <f t="shared" si="4"/>
        <v>0</v>
      </c>
      <c r="AK10" s="31" t="str">
        <f t="shared" si="5"/>
        <v>I</v>
      </c>
      <c r="AL10" s="32" t="s">
        <v>166</v>
      </c>
      <c r="AM10" s="33" t="s">
        <v>183</v>
      </c>
      <c r="AN10" s="33" t="s">
        <v>184</v>
      </c>
      <c r="AO10" s="33">
        <v>0</v>
      </c>
      <c r="AP10" s="33" t="s">
        <v>31</v>
      </c>
      <c r="AQ10" s="32">
        <f t="shared" si="6"/>
        <v>1</v>
      </c>
      <c r="AR10" s="33">
        <f t="shared" si="7"/>
        <v>1</v>
      </c>
      <c r="AS10" s="33">
        <f t="shared" si="11"/>
        <v>1</v>
      </c>
      <c r="AT10" s="33">
        <f t="shared" si="12"/>
        <v>1</v>
      </c>
      <c r="AU10" s="34">
        <f t="shared" si="12"/>
        <v>1</v>
      </c>
    </row>
    <row r="11" spans="1:47">
      <c r="A11" s="12">
        <v>9</v>
      </c>
      <c r="B11" s="15"/>
      <c r="C11" s="16">
        <f>_xlfn.MAXIFS('Model output'!C:C,'Model output'!Z:Z,'Classification result'!$A11)</f>
        <v>55</v>
      </c>
      <c r="D11" s="16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6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1a</v>
      </c>
      <c r="F11" s="16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6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6">
        <f>IF(IFERROR(INDEX('Model output'!I:I, MATCH(A11, 'Model output'!Z:Z, 0)), "") &lt; K11, "", IFERROR(INDEX('Model output'!I:I, MATCH(A11, 'Model output'!Z:Z, 0)), ""))</f>
        <v>8</v>
      </c>
      <c r="K11" s="16">
        <f>IFERROR(INDEX('Model output'!J:J, MATCH(A11, 'Model output'!Z:Z, 0)), "")</f>
        <v>4</v>
      </c>
      <c r="L11" s="17" t="str" cm="1">
        <f t="array" ref="L11">ReplaceTo(ReplaceAnd(SUBSTITUTE(SUBSTITUTE(_xlfn.TEXTJOIN("; ", TRUE, _xlfn._xlws.FILTER('Model output'!K:K, 'Model output'!Z:Z=A11)), " ", ""), ",", ";")))</f>
        <v/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/>
      </c>
      <c r="N11" t="str" cm="1">
        <f t="array" ref="N11">IF(MaxSize((SplitDimensions(M11)))=0, "", MaxSize((SplitDimensions(M11))))</f>
        <v/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6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8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6" t="str">
        <f t="shared" si="9"/>
        <v>positive</v>
      </c>
      <c r="AC11" s="16" t="str">
        <f t="shared" si="10"/>
        <v>negative</v>
      </c>
      <c r="AD11" t="str" cm="1">
        <f t="array" ref="AD11">_xlfn.TEXTJOIN("; ",TRUE,_xlfn._xlws.FILTER('Model output'!S:S,'Model output'!Z:Z=A11))</f>
        <v>EXTENDING TO PERITHYROIDAL ADIPOSE TISSUE</v>
      </c>
      <c r="AE11" s="48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40" t="str">
        <f t="shared" si="1"/>
        <v>intermediate</v>
      </c>
      <c r="AH11" s="31" t="str">
        <f t="shared" si="2"/>
        <v>2</v>
      </c>
      <c r="AI11" s="31" t="str">
        <f t="shared" si="13"/>
        <v>1a</v>
      </c>
      <c r="AJ11" s="31">
        <f t="shared" si="4"/>
        <v>0</v>
      </c>
      <c r="AK11" s="31" t="str">
        <f t="shared" si="5"/>
        <v>II</v>
      </c>
      <c r="AL11" s="32" t="s">
        <v>164</v>
      </c>
      <c r="AM11" s="33" t="s">
        <v>336</v>
      </c>
      <c r="AN11" s="33" t="s">
        <v>185</v>
      </c>
      <c r="AO11" s="33">
        <v>0</v>
      </c>
      <c r="AP11" s="33" t="s">
        <v>42</v>
      </c>
      <c r="AQ11" s="32">
        <f t="shared" si="6"/>
        <v>1</v>
      </c>
      <c r="AR11" s="33">
        <f t="shared" si="7"/>
        <v>1</v>
      </c>
      <c r="AS11" s="33">
        <f t="shared" si="11"/>
        <v>1</v>
      </c>
      <c r="AT11" s="33">
        <f t="shared" si="12"/>
        <v>1</v>
      </c>
      <c r="AU11" s="34">
        <f t="shared" si="12"/>
        <v>1</v>
      </c>
    </row>
    <row r="12" spans="1:47">
      <c r="A12" s="12">
        <v>10</v>
      </c>
      <c r="B12" s="15"/>
      <c r="C12" s="16">
        <f>_xlfn.MAXIFS('Model output'!C:C,'Model output'!Z:Z,'Classification result'!$A12)</f>
        <v>24</v>
      </c>
      <c r="D12" s="16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6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F12" s="16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6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6">
        <f>IF(IFERROR(INDEX('Model output'!I:I, MATCH(A12, 'Model output'!Z:Z, 0)), "") &lt; K12, "", IFERROR(INDEX('Model output'!I:I, MATCH(A12, 'Model output'!Z:Z, 0)), ""))</f>
        <v>1</v>
      </c>
      <c r="K12" s="16">
        <f>IFERROR(INDEX('Model output'!J:J, MATCH(A12, 'Model output'!Z:Z, 0)), "")</f>
        <v>1</v>
      </c>
      <c r="L12" s="17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6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8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Y12" s="16" t="str">
        <f t="shared" si="9"/>
        <v>negative</v>
      </c>
      <c r="AC12" s="16" t="str">
        <f t="shared" si="10"/>
        <v>negative</v>
      </c>
      <c r="AD12" t="str" cm="1">
        <f t="array" ref="AD12">_xlfn.TEXTJOIN("; ",TRUE,_xlfn._xlws.FILTER('Model output'!S:S,'Model output'!Z:Z=A12))</f>
        <v>Not identified</v>
      </c>
      <c r="AE12" s="48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40" t="str">
        <f t="shared" si="1"/>
        <v>low</v>
      </c>
      <c r="AH12" s="31" t="str">
        <f t="shared" si="2"/>
        <v>1b</v>
      </c>
      <c r="AI12" s="31" t="str">
        <f t="shared" si="13"/>
        <v>1a</v>
      </c>
      <c r="AJ12" s="31">
        <f t="shared" si="4"/>
        <v>0</v>
      </c>
      <c r="AK12" s="31" t="str">
        <f t="shared" si="5"/>
        <v>I</v>
      </c>
      <c r="AL12" s="32" t="s">
        <v>166</v>
      </c>
      <c r="AM12" s="33" t="s">
        <v>183</v>
      </c>
      <c r="AN12" s="33" t="s">
        <v>185</v>
      </c>
      <c r="AO12" s="33">
        <v>0</v>
      </c>
      <c r="AP12" s="33" t="s">
        <v>31</v>
      </c>
      <c r="AQ12" s="32">
        <f t="shared" si="6"/>
        <v>1</v>
      </c>
      <c r="AR12" s="33">
        <f t="shared" si="7"/>
        <v>1</v>
      </c>
      <c r="AS12" s="33">
        <f t="shared" si="11"/>
        <v>1</v>
      </c>
      <c r="AT12" s="33">
        <f t="shared" si="12"/>
        <v>1</v>
      </c>
      <c r="AU12" s="34">
        <f t="shared" si="12"/>
        <v>1</v>
      </c>
    </row>
    <row r="13" spans="1:47">
      <c r="A13" s="12">
        <v>11</v>
      </c>
      <c r="B13" s="15"/>
      <c r="C13" s="16">
        <f>_xlfn.MAXIFS('Model output'!C:C,'Model output'!Z:Z,'Classification result'!$A13)</f>
        <v>70</v>
      </c>
      <c r="D13" s="16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6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6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6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6">
        <f>IF(IFERROR(INDEX('Model output'!I:I, MATCH(A13, 'Model output'!Z:Z, 0)), "") &lt; K13, "", IFERROR(INDEX('Model output'!I:I, MATCH(A13, 'Model output'!Z:Z, 0)), ""))</f>
        <v>0</v>
      </c>
      <c r="K13" s="16">
        <f>IFERROR(INDEX('Model output'!J:J, MATCH(A13, 'Model output'!Z:Z, 0)), "")</f>
        <v>0</v>
      </c>
      <c r="L13" s="17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/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/>
      </c>
      <c r="S13" t="str" cm="1">
        <f t="array" ref="S13">IF(MaxSize((SplitDimensions(R13)))=0, "", MaxSize((SplitDimensions(R13))))</f>
        <v/>
      </c>
      <c r="T13" s="16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8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6" t="str">
        <f t="shared" si="9"/>
        <v>negative</v>
      </c>
      <c r="AC13" s="16" t="str">
        <f t="shared" si="10"/>
        <v>negative</v>
      </c>
      <c r="AD13" t="str" cm="1">
        <f t="array" ref="AD13">_xlfn.TEXTJOIN("; ",TRUE,_xlfn._xlws.FILTER('Model output'!S:S,'Model output'!Z:Z=A13))</f>
        <v>Not identified</v>
      </c>
      <c r="AE13" s="48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40" t="str">
        <f t="shared" si="1"/>
        <v>low</v>
      </c>
      <c r="AH13" s="31" t="str">
        <f t="shared" si="2"/>
        <v>3a</v>
      </c>
      <c r="AI13" s="31" t="str">
        <f t="shared" si="13"/>
        <v>x</v>
      </c>
      <c r="AJ13" s="31">
        <f t="shared" si="4"/>
        <v>0</v>
      </c>
      <c r="AK13" s="31" t="str">
        <f t="shared" si="5"/>
        <v>II</v>
      </c>
      <c r="AL13" s="32" t="s">
        <v>166</v>
      </c>
      <c r="AM13" s="33" t="s">
        <v>187</v>
      </c>
      <c r="AN13" s="33" t="s">
        <v>184</v>
      </c>
      <c r="AO13" s="33">
        <v>0</v>
      </c>
      <c r="AP13" s="33" t="s">
        <v>42</v>
      </c>
      <c r="AQ13" s="32">
        <f t="shared" si="6"/>
        <v>1</v>
      </c>
      <c r="AR13" s="33">
        <f t="shared" si="7"/>
        <v>1</v>
      </c>
      <c r="AS13" s="33">
        <f t="shared" si="11"/>
        <v>1</v>
      </c>
      <c r="AT13" s="33">
        <f t="shared" si="12"/>
        <v>1</v>
      </c>
      <c r="AU13" s="34">
        <f t="shared" si="12"/>
        <v>1</v>
      </c>
    </row>
    <row r="14" spans="1:47">
      <c r="A14" s="12">
        <v>12</v>
      </c>
      <c r="B14" s="15"/>
      <c r="C14" s="16">
        <f>_xlfn.MAXIFS('Model output'!C:C,'Model output'!Z:Z,'Classification result'!$A14)</f>
        <v>67</v>
      </c>
      <c r="D14" s="16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6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F14" s="16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6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6">
        <f>IF(IFERROR(INDEX('Model output'!I:I, MATCH(A14, 'Model output'!Z:Z, 0)), "") &lt; K14, "", IFERROR(INDEX('Model output'!I:I, MATCH(A14, 'Model output'!Z:Z, 0)), ""))</f>
        <v>0</v>
      </c>
      <c r="K14" s="16">
        <f>IFERROR(INDEX('Model output'!J:J, MATCH(A14, 'Model output'!Z:Z, 0)), "")</f>
        <v>0</v>
      </c>
      <c r="L14" s="17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 follicular carcinoma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6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W14" t="str">
        <f t="shared" si="8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6" t="str">
        <f t="shared" si="9"/>
        <v>negative</v>
      </c>
      <c r="AC14" s="16" t="str">
        <f t="shared" si="10"/>
        <v>negative</v>
      </c>
      <c r="AD14" t="str" cm="1">
        <f t="array" ref="AD14">_xlfn.TEXTJOIN("; ",TRUE,_xlfn._xlws.FILTER('Model output'!S:S,'Model output'!Z:Z=A14))</f>
        <v/>
      </c>
      <c r="AE14" s="48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40" t="str">
        <f t="shared" si="1"/>
        <v>low</v>
      </c>
      <c r="AH14" s="31" t="str">
        <f t="shared" si="2"/>
        <v>3a</v>
      </c>
      <c r="AI14" s="31" t="str">
        <f t="shared" si="13"/>
        <v>x</v>
      </c>
      <c r="AJ14" s="31">
        <f t="shared" si="4"/>
        <v>0</v>
      </c>
      <c r="AK14" s="31" t="str">
        <f t="shared" si="5"/>
        <v>II</v>
      </c>
      <c r="AL14" s="32" t="s">
        <v>164</v>
      </c>
      <c r="AM14" s="33" t="s">
        <v>187</v>
      </c>
      <c r="AN14" s="33" t="s">
        <v>184</v>
      </c>
      <c r="AO14" s="33">
        <v>0</v>
      </c>
      <c r="AP14" s="33" t="s">
        <v>42</v>
      </c>
      <c r="AQ14" s="32">
        <f t="shared" si="6"/>
        <v>0</v>
      </c>
      <c r="AR14" s="33">
        <f t="shared" si="7"/>
        <v>1</v>
      </c>
      <c r="AS14" s="33">
        <f t="shared" si="11"/>
        <v>1</v>
      </c>
      <c r="AT14" s="33">
        <f t="shared" si="12"/>
        <v>1</v>
      </c>
      <c r="AU14" s="34">
        <f t="shared" si="12"/>
        <v>1</v>
      </c>
    </row>
    <row r="15" spans="1:47">
      <c r="A15" s="12">
        <v>13</v>
      </c>
      <c r="B15" s="15"/>
      <c r="C15" s="16">
        <f>_xlfn.MAXIFS('Model output'!C:C,'Model output'!Z:Z,'Classification result'!$A15)</f>
        <v>66</v>
      </c>
      <c r="D15" s="16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6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6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6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6">
        <f>IF(IFERROR(INDEX('Model output'!I:I, MATCH(A15, 'Model output'!Z:Z, 0)), "") &lt; K15, "", IFERROR(INDEX('Model output'!I:I, MATCH(A15, 'Model output'!Z:Z, 0)), ""))</f>
        <v>19</v>
      </c>
      <c r="K15" s="16">
        <f>IFERROR(INDEX('Model output'!J:J, MATCH(A15, 'Model output'!Z:Z, 0)), "")</f>
        <v>2</v>
      </c>
      <c r="L15" s="17" t="str" cm="1">
        <f t="array" ref="L15">ReplaceTo(ReplaceAnd(SUBSTITUTE(SUBSTITUTE(_xlfn.TEXTJOIN("; ", TRUE, _xlfn._xlws.FILTER('Model output'!K:K, 'Model output'!Z:Z=A15)), " ", ""), ",", ";")))</f>
        <v>1.1cm;4cm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1.1cm;4cm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63mm(macroscopic)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6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&lt;4</v>
      </c>
      <c r="W15" t="str">
        <f t="shared" si="8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6" t="str">
        <f t="shared" si="9"/>
        <v>positive</v>
      </c>
      <c r="AC15" s="16" t="str">
        <f t="shared" si="10"/>
        <v>positive</v>
      </c>
      <c r="AD15" t="str" cm="1">
        <f t="array" ref="AD15">_xlfn.TEXTJOIN("; ",TRUE,_xlfn._xlws.FILTER('Model output'!S:S,'Model output'!Z:Z=A15))</f>
        <v>invading into the region of the recurrent laryngeal nerve, Invades: perithyroid skeletal muscle, invades subcutaneous soft tissues, invades larynx, invades trachea, invades esophagus, invades recurrent laryngeal nerve; Present</v>
      </c>
      <c r="AE15" s="48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40" t="str">
        <f t="shared" si="1"/>
        <v>high</v>
      </c>
      <c r="AH15" s="31" t="str">
        <f t="shared" si="2"/>
        <v>4a</v>
      </c>
      <c r="AI15" s="31" t="str">
        <f t="shared" si="13"/>
        <v>1b</v>
      </c>
      <c r="AJ15" s="31">
        <f t="shared" si="4"/>
        <v>0</v>
      </c>
      <c r="AK15" s="31" t="str">
        <f t="shared" si="5"/>
        <v>III</v>
      </c>
      <c r="AL15" s="32" t="s">
        <v>165</v>
      </c>
      <c r="AM15" s="33" t="s">
        <v>188</v>
      </c>
      <c r="AN15" s="33" t="s">
        <v>183</v>
      </c>
      <c r="AO15" s="33">
        <v>0</v>
      </c>
      <c r="AP15" s="33" t="s">
        <v>66</v>
      </c>
      <c r="AQ15" s="32">
        <f t="shared" si="6"/>
        <v>1</v>
      </c>
      <c r="AR15" s="33">
        <f t="shared" si="7"/>
        <v>1</v>
      </c>
      <c r="AS15" s="33">
        <f t="shared" si="11"/>
        <v>1</v>
      </c>
      <c r="AT15" s="33">
        <f t="shared" si="12"/>
        <v>1</v>
      </c>
      <c r="AU15" s="34">
        <f t="shared" si="12"/>
        <v>1</v>
      </c>
    </row>
    <row r="16" spans="1:47">
      <c r="A16" s="12">
        <v>14</v>
      </c>
      <c r="B16" s="15"/>
      <c r="C16" s="16">
        <f>_xlfn.MAXIFS('Model output'!C:C,'Model output'!Z:Z,'Classification result'!$A16)</f>
        <v>51</v>
      </c>
      <c r="D16" s="16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6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6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6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6">
        <f>IF(IFERROR(INDEX('Model output'!I:I, MATCH(A16, 'Model output'!Z:Z, 0)), "") &lt; K16, "", IFERROR(INDEX('Model output'!I:I, MATCH(A16, 'Model output'!Z:Z, 0)), ""))</f>
        <v>0</v>
      </c>
      <c r="K16" s="16">
        <f>IFERROR(INDEX('Model output'!J:J, MATCH(A16, 'Model output'!Z:Z, 0)), "")</f>
        <v>0</v>
      </c>
      <c r="L16" s="17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6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W16" t="str">
        <f t="shared" si="8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6" t="str">
        <f t="shared" si="9"/>
        <v>positive</v>
      </c>
      <c r="AC16" s="16" t="str">
        <f t="shared" si="10"/>
        <v>positive</v>
      </c>
      <c r="AD16" t="str" cm="1">
        <f t="array" ref="AD16">_xlfn.TEXTJOIN("; ",TRUE,_xlfn._xlws.FILTER('Model output'!S:S,'Model output'!Z:Z=A16))</f>
        <v>Invading only strap muscles (sternohyoid, sternothyroid, thyrohyoid, or omohyoid muscles)</v>
      </c>
      <c r="AE16" s="48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40" t="str">
        <f t="shared" si="1"/>
        <v>high</v>
      </c>
      <c r="AH16" s="31" t="str">
        <f t="shared" si="2"/>
        <v>3b</v>
      </c>
      <c r="AI16" s="31" t="str">
        <f t="shared" ref="AI16" si="14">IF(OR(ISNUMBER(SEARCH("non-invasive follicular",O16,1)),ISNUMBER(SEARCH("non-invasive follicular",P16,1))),"NIFTP",IF(AND(K16&gt;0,G16="positive",H16="central"),"1a",IF(AND(K16&gt;0,G16="positive",H16="lateral"),"1b",IF(AND(K16=0,J16=0),"x",0))))</f>
        <v>x</v>
      </c>
      <c r="AJ16" s="31">
        <f t="shared" si="4"/>
        <v>0</v>
      </c>
      <c r="AK16" s="31" t="str">
        <f t="shared" si="5"/>
        <v>I</v>
      </c>
      <c r="AL16" s="32" t="s">
        <v>165</v>
      </c>
      <c r="AM16" s="33" t="s">
        <v>186</v>
      </c>
      <c r="AN16" s="33" t="s">
        <v>184</v>
      </c>
      <c r="AO16" s="33">
        <v>0</v>
      </c>
      <c r="AP16" s="33" t="s">
        <v>31</v>
      </c>
      <c r="AQ16" s="32">
        <f t="shared" si="6"/>
        <v>1</v>
      </c>
      <c r="AR16" s="33">
        <f t="shared" si="7"/>
        <v>1</v>
      </c>
      <c r="AS16" s="33">
        <f t="shared" si="11"/>
        <v>1</v>
      </c>
      <c r="AT16" s="33">
        <f t="shared" si="12"/>
        <v>1</v>
      </c>
      <c r="AU16" s="34">
        <f t="shared" si="12"/>
        <v>1</v>
      </c>
    </row>
    <row r="17" spans="1:47">
      <c r="A17" s="12">
        <v>15</v>
      </c>
      <c r="B17" s="15"/>
      <c r="C17" s="16">
        <f>_xlfn.MAXIFS('Model output'!C:C,'Model output'!Z:Z,'Classification result'!$A17)</f>
        <v>64</v>
      </c>
      <c r="D17" s="16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6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6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6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6">
        <f>IF(IFERROR(INDEX('Model output'!I:I, MATCH(A17, 'Model output'!Z:Z, 0)), "") &lt; K17, "", IFERROR(INDEX('Model output'!I:I, MATCH(A17, 'Model output'!Z:Z, 0)), ""))</f>
        <v>0</v>
      </c>
      <c r="K17" s="16">
        <f>IFERROR(INDEX('Model output'!J:J, MATCH(A17, 'Model output'!Z:Z, 0)), "")</f>
        <v>0</v>
      </c>
      <c r="L17" s="17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40x20x20mm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40x20x20mm</v>
      </c>
      <c r="S17" cm="1">
        <f t="array" ref="S17">IF(MaxSize((SplitDimensions(R17)))=0, "", MaxSize((SplitDimensions(R17))))</f>
        <v>4</v>
      </c>
      <c r="T17" s="16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8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6" t="str">
        <f t="shared" si="9"/>
        <v>negative</v>
      </c>
      <c r="AC17" s="16" t="str">
        <f t="shared" si="10"/>
        <v>negative</v>
      </c>
      <c r="AD17" t="str" cm="1">
        <f t="array" ref="AD17">_xlfn.TEXTJOIN("; ",TRUE,_xlfn._xlws.FILTER('Model output'!S:S,'Model output'!Z:Z=A17))</f>
        <v/>
      </c>
      <c r="AE17" s="48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40" t="str">
        <f t="shared" si="1"/>
        <v>NIFTP</v>
      </c>
      <c r="AH17" s="31" t="str">
        <f t="shared" si="2"/>
        <v>NIFTP</v>
      </c>
      <c r="AI17" s="31" t="s">
        <v>72</v>
      </c>
      <c r="AJ17" s="31" t="s">
        <v>72</v>
      </c>
      <c r="AK17" s="31" t="s">
        <v>72</v>
      </c>
      <c r="AL17" s="32" t="s">
        <v>72</v>
      </c>
      <c r="AM17" s="33" t="s">
        <v>72</v>
      </c>
      <c r="AN17" s="33" t="s">
        <v>72</v>
      </c>
      <c r="AO17" s="33" t="s">
        <v>72</v>
      </c>
      <c r="AP17" s="33" t="s">
        <v>72</v>
      </c>
      <c r="AQ17" s="32">
        <f t="shared" si="6"/>
        <v>1</v>
      </c>
      <c r="AR17" s="33">
        <f t="shared" si="7"/>
        <v>1</v>
      </c>
      <c r="AS17" s="33">
        <f t="shared" si="11"/>
        <v>1</v>
      </c>
      <c r="AT17" s="33">
        <f t="shared" si="12"/>
        <v>1</v>
      </c>
      <c r="AU17" s="34">
        <f t="shared" si="12"/>
        <v>1</v>
      </c>
    </row>
    <row r="18" spans="1:47">
      <c r="A18" s="12">
        <v>16</v>
      </c>
      <c r="B18" s="15"/>
      <c r="C18" s="16">
        <f>_xlfn.MAXIFS('Model output'!C:C,'Model output'!Z:Z,'Classification result'!$A18)</f>
        <v>43</v>
      </c>
      <c r="D18" s="16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6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F18" s="16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/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/>
      </c>
      <c r="I18" s="16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6">
        <f>IF(IFERROR(INDEX('Model output'!I:I, MATCH(A18, 'Model output'!Z:Z, 0)), "") &lt; K18, "", IFERROR(INDEX('Model output'!I:I, MATCH(A18, 'Model output'!Z:Z, 0)), ""))</f>
        <v>4</v>
      </c>
      <c r="K18" s="16">
        <f>IFERROR(INDEX('Model output'!J:J, MATCH(A18, 'Model output'!Z:Z, 0)), "")</f>
        <v>0</v>
      </c>
      <c r="L18" s="17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6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8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6" t="str">
        <f t="shared" si="9"/>
        <v>positive</v>
      </c>
      <c r="AC18" s="16" t="str">
        <f t="shared" si="10"/>
        <v>negative</v>
      </c>
      <c r="AD18" t="str" cm="1">
        <f t="array" ref="AD18">_xlfn.TEXTJOIN("; ",TRUE,_xlfn._xlws.FILTER('Model output'!S:S,'Model output'!Z:Z=A18))</f>
        <v>Present</v>
      </c>
      <c r="AE18" s="48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40" t="str">
        <f t="shared" si="1"/>
        <v>intermediate</v>
      </c>
      <c r="AH18" s="31" t="str">
        <f t="shared" si="2"/>
        <v>2</v>
      </c>
      <c r="AI18" s="31">
        <f t="shared" ref="AI18:AI24" si="15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1">
        <f t="shared" ref="AJ18:AJ37" si="16">IF(OR(ISNUMBER(SEARCH("non-invasive follicular",O18,1)),ISNUMBER(SEARCH("non-invasive follicular",P18,1))),"NIFTP",IF(I18="unknown","x",IF(I18="negative",0,1)))</f>
        <v>0</v>
      </c>
      <c r="AK18" s="31" t="str">
        <f t="shared" ref="AK18:AK37" si="17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32" t="s">
        <v>164</v>
      </c>
      <c r="AM18" s="33" t="s">
        <v>336</v>
      </c>
      <c r="AN18" s="33">
        <v>0</v>
      </c>
      <c r="AO18" s="33">
        <v>0</v>
      </c>
      <c r="AP18" s="33" t="s">
        <v>31</v>
      </c>
      <c r="AQ18" s="32">
        <f t="shared" si="6"/>
        <v>1</v>
      </c>
      <c r="AR18" s="33">
        <f t="shared" si="7"/>
        <v>1</v>
      </c>
      <c r="AS18" s="33">
        <f t="shared" si="11"/>
        <v>1</v>
      </c>
      <c r="AT18" s="33">
        <f t="shared" si="12"/>
        <v>1</v>
      </c>
      <c r="AU18" s="34">
        <f t="shared" si="12"/>
        <v>1</v>
      </c>
    </row>
    <row r="19" spans="1:47">
      <c r="A19" s="12">
        <v>17</v>
      </c>
      <c r="B19" s="15"/>
      <c r="C19" s="16">
        <f>_xlfn.MAXIFS('Model output'!C:C,'Model output'!Z:Z,'Classification result'!$A19)</f>
        <v>49</v>
      </c>
      <c r="D19" s="16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6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6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6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6">
        <f>IF(IFERROR(INDEX('Model output'!I:I, MATCH(A19, 'Model output'!Z:Z, 0)), "") &lt; K19, "", IFERROR(INDEX('Model output'!I:I, MATCH(A19, 'Model output'!Z:Z, 0)), ""))</f>
        <v>21</v>
      </c>
      <c r="K19" s="16">
        <f>IFERROR(INDEX('Model output'!J:J, MATCH(A19, 'Model output'!Z:Z, 0)), "")</f>
        <v>5</v>
      </c>
      <c r="L19" s="17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6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8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Y19" s="16" t="str">
        <f t="shared" si="9"/>
        <v>negative</v>
      </c>
      <c r="AC19" s="16" t="str">
        <f t="shared" si="10"/>
        <v>negative</v>
      </c>
      <c r="AD19" t="str" cm="1">
        <f t="array" ref="AD19">_xlfn.TEXTJOIN("; ",TRUE,_xlfn._xlws.FILTER('Model output'!S:S,'Model output'!Z:Z=A19))</f>
        <v/>
      </c>
      <c r="AE19" s="48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40" t="str">
        <f t="shared" si="1"/>
        <v>intermediate</v>
      </c>
      <c r="AH19" s="31" t="str">
        <f t="shared" si="2"/>
        <v>1b</v>
      </c>
      <c r="AI19" s="31" t="str">
        <f t="shared" si="15"/>
        <v>1b</v>
      </c>
      <c r="AJ19" s="31">
        <f t="shared" si="16"/>
        <v>0</v>
      </c>
      <c r="AK19" s="31" t="str">
        <f t="shared" si="17"/>
        <v>I</v>
      </c>
      <c r="AL19" s="32" t="s">
        <v>164</v>
      </c>
      <c r="AM19" s="33" t="s">
        <v>183</v>
      </c>
      <c r="AN19" s="33" t="s">
        <v>183</v>
      </c>
      <c r="AO19" s="33">
        <v>0</v>
      </c>
      <c r="AP19" s="33" t="s">
        <v>31</v>
      </c>
      <c r="AQ19" s="32">
        <f t="shared" si="6"/>
        <v>1</v>
      </c>
      <c r="AR19" s="33">
        <f t="shared" si="7"/>
        <v>1</v>
      </c>
      <c r="AS19" s="33">
        <f t="shared" si="11"/>
        <v>1</v>
      </c>
      <c r="AT19" s="33">
        <f t="shared" si="12"/>
        <v>1</v>
      </c>
      <c r="AU19" s="34">
        <f t="shared" si="12"/>
        <v>1</v>
      </c>
    </row>
    <row r="20" spans="1:47">
      <c r="A20" s="12">
        <v>18</v>
      </c>
      <c r="B20" s="15"/>
      <c r="C20" s="16">
        <f>_xlfn.MAXIFS('Model output'!C:C,'Model output'!Z:Z,'Classification result'!$A20)</f>
        <v>55</v>
      </c>
      <c r="D20" s="16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6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6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6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6">
        <f>IF(IFERROR(INDEX('Model output'!I:I, MATCH(A20, 'Model output'!Z:Z, 0)), "") &lt; K20, "", IFERROR(INDEX('Model output'!I:I, MATCH(A20, 'Model output'!Z:Z, 0)), ""))</f>
        <v>4</v>
      </c>
      <c r="K20" s="16">
        <f>IFERROR(INDEX('Model output'!J:J, MATCH(A20, 'Model output'!Z:Z, 0)), "")</f>
        <v>4</v>
      </c>
      <c r="L20" s="17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30mm(Macroscopic)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6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8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6" t="str">
        <f t="shared" si="9"/>
        <v>positive</v>
      </c>
      <c r="AC20" s="16" t="str">
        <f t="shared" si="10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48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40" t="str">
        <f t="shared" si="1"/>
        <v>high</v>
      </c>
      <c r="AH20" s="31" t="str">
        <f t="shared" si="2"/>
        <v>4a</v>
      </c>
      <c r="AI20" s="31" t="str">
        <f t="shared" si="15"/>
        <v>1a</v>
      </c>
      <c r="AJ20" s="31">
        <f t="shared" si="16"/>
        <v>0</v>
      </c>
      <c r="AK20" s="31" t="str">
        <f t="shared" si="17"/>
        <v>III</v>
      </c>
      <c r="AL20" s="32" t="s">
        <v>165</v>
      </c>
      <c r="AM20" s="33" t="s">
        <v>188</v>
      </c>
      <c r="AN20" s="33" t="s">
        <v>185</v>
      </c>
      <c r="AO20" s="33">
        <v>0</v>
      </c>
      <c r="AP20" s="33" t="s">
        <v>66</v>
      </c>
      <c r="AQ20" s="32">
        <f t="shared" si="6"/>
        <v>1</v>
      </c>
      <c r="AR20" s="33">
        <f t="shared" si="7"/>
        <v>1</v>
      </c>
      <c r="AS20" s="33">
        <f t="shared" si="11"/>
        <v>1</v>
      </c>
      <c r="AT20" s="33">
        <f t="shared" si="12"/>
        <v>1</v>
      </c>
      <c r="AU20" s="34">
        <f t="shared" si="12"/>
        <v>1</v>
      </c>
    </row>
    <row r="21" spans="1:47">
      <c r="A21" s="12">
        <v>19</v>
      </c>
      <c r="B21" s="15"/>
      <c r="C21" s="16">
        <f>_xlfn.MAXIFS('Model output'!C:C,'Model output'!Z:Z,'Classification result'!$A21)</f>
        <v>23</v>
      </c>
      <c r="D21" s="16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6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6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6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6">
        <f>IF(IFERROR(INDEX('Model output'!I:I, MATCH(A21, 'Model output'!Z:Z, 0)), "") &lt; K21, "", IFERROR(INDEX('Model output'!I:I, MATCH(A21, 'Model output'!Z:Z, 0)), ""))</f>
        <v>1</v>
      </c>
      <c r="K21" s="16">
        <f>IFERROR(INDEX('Model output'!J:J, MATCH(A21, 'Model output'!Z:Z, 0)), "")</f>
        <v>0</v>
      </c>
      <c r="L21" s="17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6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8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Y21" s="16" t="str">
        <f t="shared" si="9"/>
        <v>negative</v>
      </c>
      <c r="AC21" s="16" t="str">
        <f t="shared" si="10"/>
        <v>negative</v>
      </c>
      <c r="AD21" t="str" cm="1">
        <f t="array" ref="AD21">_xlfn.TEXTJOIN("; ",TRUE,_xlfn._xlws.FILTER('Model output'!S:S,'Model output'!Z:Z=A21))</f>
        <v>Not identified</v>
      </c>
      <c r="AE21" s="48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40" t="str">
        <f t="shared" si="1"/>
        <v>low</v>
      </c>
      <c r="AH21" s="31" t="str">
        <f t="shared" si="2"/>
        <v>1a</v>
      </c>
      <c r="AI21" s="31">
        <f t="shared" si="15"/>
        <v>0</v>
      </c>
      <c r="AJ21" s="31">
        <f t="shared" si="16"/>
        <v>0</v>
      </c>
      <c r="AK21" s="31" t="str">
        <f t="shared" si="17"/>
        <v>I</v>
      </c>
      <c r="AL21" s="32" t="s">
        <v>166</v>
      </c>
      <c r="AM21" s="33" t="s">
        <v>185</v>
      </c>
      <c r="AN21" s="33">
        <v>0</v>
      </c>
      <c r="AO21" s="33">
        <v>0</v>
      </c>
      <c r="AP21" s="33" t="s">
        <v>31</v>
      </c>
      <c r="AQ21" s="32">
        <f t="shared" si="6"/>
        <v>1</v>
      </c>
      <c r="AR21" s="33">
        <f t="shared" si="7"/>
        <v>1</v>
      </c>
      <c r="AS21" s="33">
        <f t="shared" si="11"/>
        <v>1</v>
      </c>
      <c r="AT21" s="33">
        <f t="shared" si="12"/>
        <v>1</v>
      </c>
      <c r="AU21" s="34">
        <f t="shared" si="12"/>
        <v>1</v>
      </c>
    </row>
    <row r="22" spans="1:47">
      <c r="A22" s="12">
        <v>20</v>
      </c>
      <c r="B22" s="15"/>
      <c r="C22" s="16">
        <f>_xlfn.MAXIFS('Model output'!C:C,'Model output'!Z:Z,'Classification result'!$A22)</f>
        <v>61</v>
      </c>
      <c r="D22" s="16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E22" s="16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/>
      </c>
      <c r="F22" s="16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6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6" t="str">
        <f>IF(IFERROR(INDEX('Model output'!I:I, MATCH(A22, 'Model output'!Z:Z, 0)), "") &lt; K22, "", IFERROR(INDEX('Model output'!I:I, MATCH(A22, 'Model output'!Z:Z, 0)), ""))</f>
        <v/>
      </c>
      <c r="K22" s="16">
        <f>IFERROR(INDEX('Model output'!J:J, MATCH(A22, 'Model output'!Z:Z, 0)), "")</f>
        <v>3</v>
      </c>
      <c r="L22" s="17" t="str" cm="1">
        <f t="array" ref="L22">ReplaceTo(ReplaceAnd(SUBSTITUTE(SUBSTITUTE(_xlfn.TEXTJOIN("; ", TRUE, _xlfn._xlws.FILTER('Model output'!K:K, 'Model output'!Z:Z=A22)), " ", ""), ",", ";")))</f>
        <v>1.5cm</v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>1.5cm</v>
      </c>
      <c r="N22" cm="1">
        <f t="array" ref="N22">IF(MaxSize((SplitDimensions(M22)))=0, "", MaxSize((SplitDimensions(M22))))</f>
        <v>1.5</v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>classic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6mmfortherightthyroid,11mmfortheleftthyroid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6mm</v>
      </c>
      <c r="S22" cm="1">
        <f t="array" ref="S22">IF(MaxSize((SplitDimensions(R22)))=0, "", MaxSize((SplitDimensions(R22))))</f>
        <v>0.6</v>
      </c>
      <c r="T22" s="16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negative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8"/>
        <v>no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Y22" s="16" t="str">
        <f t="shared" si="9"/>
        <v>positive</v>
      </c>
      <c r="AC22" s="16" t="str">
        <f t="shared" si="10"/>
        <v>negative</v>
      </c>
      <c r="AD22" t="str" cm="1">
        <f t="array" ref="AD22">_xlfn.TEXTJOIN("; ",TRUE,_xlfn._xlws.FILTER('Model output'!S:S,'Model output'!Z:Z=A22))</f>
        <v>Present</v>
      </c>
      <c r="AE22" s="48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40" t="str">
        <f t="shared" si="1"/>
        <v>intermediate</v>
      </c>
      <c r="AH22" s="31" t="str">
        <f t="shared" si="2"/>
        <v>1a</v>
      </c>
      <c r="AI22" s="31" t="str">
        <f t="shared" si="15"/>
        <v>1a</v>
      </c>
      <c r="AJ22" s="31">
        <f t="shared" si="16"/>
        <v>0</v>
      </c>
      <c r="AK22" s="31" t="str">
        <f t="shared" si="17"/>
        <v>II</v>
      </c>
      <c r="AL22" s="32" t="s">
        <v>164</v>
      </c>
      <c r="AM22" s="33" t="s">
        <v>183</v>
      </c>
      <c r="AN22" s="33" t="s">
        <v>185</v>
      </c>
      <c r="AO22" s="33">
        <v>0</v>
      </c>
      <c r="AP22" s="33" t="s">
        <v>42</v>
      </c>
      <c r="AQ22" s="32">
        <f t="shared" si="6"/>
        <v>1</v>
      </c>
      <c r="AR22" s="33">
        <f t="shared" si="7"/>
        <v>0</v>
      </c>
      <c r="AS22" s="33">
        <f t="shared" si="11"/>
        <v>1</v>
      </c>
      <c r="AT22" s="33">
        <f t="shared" si="12"/>
        <v>1</v>
      </c>
      <c r="AU22" s="34">
        <f t="shared" si="12"/>
        <v>1</v>
      </c>
    </row>
    <row r="23" spans="1:47">
      <c r="A23" s="12">
        <v>21</v>
      </c>
      <c r="B23" s="15"/>
      <c r="C23" s="16">
        <f>_xlfn.MAXIFS('Model output'!C:C,'Model output'!Z:Z,'Classification result'!$A23)</f>
        <v>51</v>
      </c>
      <c r="D23" s="16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3</v>
      </c>
      <c r="E23" s="16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F23" s="16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6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6">
        <f>IF(IFERROR(INDEX('Model output'!I:I, MATCH(A23, 'Model output'!Z:Z, 0)), "") &lt; K23, "", IFERROR(INDEX('Model output'!I:I, MATCH(A23, 'Model output'!Z:Z, 0)), ""))</f>
        <v>7</v>
      </c>
      <c r="K23" s="16">
        <f>IFERROR(INDEX('Model output'!J:J, MATCH(A23, 'Model output'!Z:Z, 0)), "")</f>
        <v>4</v>
      </c>
      <c r="L23" s="17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/>
      </c>
      <c r="S23" t="str" cm="1">
        <f t="array" ref="S23">IF(MaxSize((SplitDimensions(R23)))=0, "", MaxSize((SplitDimensions(R23))))</f>
        <v/>
      </c>
      <c r="T23" s="16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8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6" t="str">
        <f t="shared" si="9"/>
        <v>positive</v>
      </c>
      <c r="AC23" s="16" t="str">
        <f t="shared" si="10"/>
        <v>negative</v>
      </c>
      <c r="AD23" t="str" cm="1">
        <f t="array" ref="AD23">_xlfn.TEXTJOIN("; ",TRUE,_xlfn._xlws.FILTER('Model output'!S:S,'Model output'!Z:Z=A23))</f>
        <v>Present</v>
      </c>
      <c r="AE23" s="48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40" t="str">
        <f t="shared" si="1"/>
        <v>intermediate</v>
      </c>
      <c r="AH23" s="31" t="str">
        <f t="shared" si="2"/>
        <v>1a</v>
      </c>
      <c r="AI23" s="31" t="str">
        <f t="shared" si="15"/>
        <v>1a</v>
      </c>
      <c r="AJ23" s="31">
        <f t="shared" si="16"/>
        <v>0</v>
      </c>
      <c r="AK23" s="31" t="str">
        <f t="shared" si="17"/>
        <v>I</v>
      </c>
      <c r="AL23" s="32" t="s">
        <v>164</v>
      </c>
      <c r="AM23" s="33" t="s">
        <v>183</v>
      </c>
      <c r="AN23" s="33" t="s">
        <v>185</v>
      </c>
      <c r="AO23" s="33">
        <v>0</v>
      </c>
      <c r="AP23" s="33" t="s">
        <v>31</v>
      </c>
      <c r="AQ23" s="32">
        <f t="shared" si="6"/>
        <v>1</v>
      </c>
      <c r="AR23" s="33">
        <f t="shared" si="7"/>
        <v>0</v>
      </c>
      <c r="AS23" s="33">
        <f t="shared" si="11"/>
        <v>1</v>
      </c>
      <c r="AT23" s="33">
        <f t="shared" si="12"/>
        <v>1</v>
      </c>
      <c r="AU23" s="34">
        <f t="shared" si="12"/>
        <v>1</v>
      </c>
    </row>
    <row r="24" spans="1:47">
      <c r="A24" s="12">
        <v>22</v>
      </c>
      <c r="B24" s="15"/>
      <c r="C24" s="16">
        <f>_xlfn.MAXIFS('Model output'!C:C,'Model output'!Z:Z,'Classification result'!$A24)</f>
        <v>50</v>
      </c>
      <c r="D24" s="16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6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/>
      </c>
      <c r="F24" s="16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6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6">
        <f>IF(IFERROR(INDEX('Model output'!I:I, MATCH(A24, 'Model output'!Z:Z, 0)), "") &lt; K24, "", IFERROR(INDEX('Model output'!I:I, MATCH(A24, 'Model output'!Z:Z, 0)), ""))</f>
        <v>1</v>
      </c>
      <c r="K24" s="16">
        <f>IFERROR(INDEX('Model output'!J:J, MATCH(A24, 'Model output'!Z:Z, 0)), "")</f>
        <v>0</v>
      </c>
      <c r="L24" s="17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6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8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6" t="str">
        <f t="shared" si="9"/>
        <v>negative</v>
      </c>
      <c r="AC24" s="16" t="str">
        <f t="shared" si="10"/>
        <v>negative</v>
      </c>
      <c r="AD24" t="str" cm="1">
        <f t="array" ref="AD24">_xlfn.TEXTJOIN("; ",TRUE,_xlfn._xlws.FILTER('Model output'!S:S,'Model output'!Z:Z=A24))</f>
        <v>Not identified</v>
      </c>
      <c r="AE24" s="48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40" t="str">
        <f t="shared" si="1"/>
        <v>low</v>
      </c>
      <c r="AH24" s="31" t="str">
        <f t="shared" si="2"/>
        <v>1a</v>
      </c>
      <c r="AI24" s="31">
        <f t="shared" si="15"/>
        <v>0</v>
      </c>
      <c r="AJ24" s="31">
        <f t="shared" si="16"/>
        <v>0</v>
      </c>
      <c r="AK24" s="31" t="str">
        <f t="shared" si="17"/>
        <v>I</v>
      </c>
      <c r="AL24" s="32" t="s">
        <v>166</v>
      </c>
      <c r="AM24" s="33" t="s">
        <v>185</v>
      </c>
      <c r="AN24" s="33">
        <v>0</v>
      </c>
      <c r="AO24" s="33">
        <v>0</v>
      </c>
      <c r="AP24" s="33" t="s">
        <v>31</v>
      </c>
      <c r="AQ24" s="32">
        <f t="shared" si="6"/>
        <v>1</v>
      </c>
      <c r="AR24" s="33">
        <f t="shared" si="7"/>
        <v>1</v>
      </c>
      <c r="AS24" s="33">
        <f t="shared" si="11"/>
        <v>1</v>
      </c>
      <c r="AT24" s="33">
        <f t="shared" si="12"/>
        <v>1</v>
      </c>
      <c r="AU24" s="34">
        <f t="shared" si="12"/>
        <v>1</v>
      </c>
    </row>
    <row r="25" spans="1:47">
      <c r="A25" s="12">
        <v>23</v>
      </c>
      <c r="B25" s="15"/>
      <c r="C25" s="16">
        <f>_xlfn.MAXIFS('Model output'!C:C,'Model output'!Z:Z,'Classification result'!$A25)</f>
        <v>61</v>
      </c>
      <c r="D25" s="16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6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6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>positive</v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>central</v>
      </c>
      <c r="I25" s="16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6">
        <f>IF(IFERROR(INDEX('Model output'!I:I, MATCH(A25, 'Model output'!Z:Z, 0)), "") &lt; K25, "", IFERROR(INDEX('Model output'!I:I, MATCH(A25, 'Model output'!Z:Z, 0)), ""))</f>
        <v>7</v>
      </c>
      <c r="K25" s="16">
        <f>IFERROR(INDEX('Model output'!J:J, MATCH(A25, 'Model output'!Z:Z, 0)), "")</f>
        <v>1</v>
      </c>
      <c r="L25" s="17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/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/>
      </c>
      <c r="S25" t="str" cm="1">
        <f t="array" ref="S25">IF(MaxSize((SplitDimensions(R25)))=0, "", MaxSize((SplitDimensions(R25))))</f>
        <v/>
      </c>
      <c r="T25" s="16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8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Y25" s="16" t="str">
        <f t="shared" si="9"/>
        <v>positive</v>
      </c>
      <c r="AC25" s="16" t="str">
        <f t="shared" si="10"/>
        <v>negative</v>
      </c>
      <c r="AD25" t="str" cm="1">
        <f t="array" ref="AD25">_xlfn.TEXTJOIN("; ",TRUE,_xlfn._xlws.FILTER('Model output'!S:S,'Model output'!Z:Z=A25))</f>
        <v>Present</v>
      </c>
      <c r="AE25" s="48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40" t="str">
        <f t="shared" si="1"/>
        <v>intermediate</v>
      </c>
      <c r="AH25" s="31" t="str">
        <f t="shared" si="2"/>
        <v>1a</v>
      </c>
      <c r="AI25" s="31" t="str">
        <f t="shared" ref="AI25:AI27" si="18">IF(OR(ISNUMBER(SEARCH("non-invasive follicular",O25,1)),ISNUMBER(SEARCH("non-invasive follicular",P25,1))),"NIFTP",IF(AND(K25&gt;0,G25="positive",H25="central"),"1a",IF(AND(K25&gt;0,G25="positive",H25="lateral"),"1b",IF(AND(K25=0,J25=0),"x",0))))</f>
        <v>1a</v>
      </c>
      <c r="AJ25" s="31">
        <f t="shared" si="16"/>
        <v>0</v>
      </c>
      <c r="AK25" s="31" t="str">
        <f t="shared" si="17"/>
        <v>II</v>
      </c>
      <c r="AL25" s="32" t="s">
        <v>164</v>
      </c>
      <c r="AM25" s="33" t="s">
        <v>183</v>
      </c>
      <c r="AN25" s="33">
        <v>0</v>
      </c>
      <c r="AO25" s="33">
        <v>0</v>
      </c>
      <c r="AP25" s="33" t="s">
        <v>31</v>
      </c>
      <c r="AQ25" s="32">
        <f t="shared" si="6"/>
        <v>1</v>
      </c>
      <c r="AR25" s="33">
        <f t="shared" si="7"/>
        <v>0</v>
      </c>
      <c r="AS25" s="33">
        <f t="shared" si="11"/>
        <v>0</v>
      </c>
      <c r="AT25" s="33">
        <f t="shared" si="12"/>
        <v>1</v>
      </c>
      <c r="AU25" s="34">
        <f t="shared" si="12"/>
        <v>0</v>
      </c>
    </row>
    <row r="26" spans="1:47">
      <c r="A26" s="12">
        <v>24</v>
      </c>
      <c r="B26" s="15"/>
      <c r="C26" s="16">
        <f>_xlfn.MAXIFS('Model output'!C:C,'Model output'!Z:Z,'Classification result'!$A26)</f>
        <v>55</v>
      </c>
      <c r="D26" s="16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6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F26" s="16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6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6">
        <f>IF(IFERROR(INDEX('Model output'!I:I, MATCH(A26, 'Model output'!Z:Z, 0)), "") &lt; K26, "", IFERROR(INDEX('Model output'!I:I, MATCH(A26, 'Model output'!Z:Z, 0)), ""))</f>
        <v>15</v>
      </c>
      <c r="K26" s="16">
        <f>IFERROR(INDEX('Model output'!J:J, MATCH(A26, 'Model output'!Z:Z, 0)), "")</f>
        <v>9</v>
      </c>
      <c r="L26" s="17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2.7cm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2.7cm</v>
      </c>
      <c r="S26" cm="1">
        <f t="array" ref="S26">IF(MaxSize((SplitDimensions(R26)))=0, "", MaxSize((SplitDimensions(R26))))</f>
        <v>2.7</v>
      </c>
      <c r="T26" s="16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&lt;4</v>
      </c>
      <c r="W26" t="str">
        <f t="shared" si="8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6" t="str">
        <f t="shared" si="9"/>
        <v>positive</v>
      </c>
      <c r="AC26" s="16" t="str">
        <f t="shared" si="10"/>
        <v>negative</v>
      </c>
      <c r="AD26" t="str" cm="1">
        <f t="array" ref="AD26">_xlfn.TEXTJOIN("; ",TRUE,_xlfn._xlws.FILTER('Model output'!S:S,'Model output'!Z:Z=A26))</f>
        <v>Present (minimal); Not identified</v>
      </c>
      <c r="AE26" s="48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40" t="str">
        <f t="shared" si="1"/>
        <v>intermediate</v>
      </c>
      <c r="AH26" s="31" t="str">
        <f t="shared" si="2"/>
        <v>4a</v>
      </c>
      <c r="AI26" s="31" t="str">
        <f t="shared" si="18"/>
        <v>1b</v>
      </c>
      <c r="AJ26" s="31">
        <f t="shared" si="16"/>
        <v>0</v>
      </c>
      <c r="AK26" s="31" t="str">
        <f t="shared" si="17"/>
        <v>III</v>
      </c>
      <c r="AL26" s="32" t="s">
        <v>165</v>
      </c>
      <c r="AM26" s="33" t="s">
        <v>188</v>
      </c>
      <c r="AN26" s="33" t="s">
        <v>183</v>
      </c>
      <c r="AO26" s="33">
        <v>0</v>
      </c>
      <c r="AP26" s="33" t="s">
        <v>66</v>
      </c>
      <c r="AQ26" s="32">
        <f t="shared" si="6"/>
        <v>0</v>
      </c>
      <c r="AR26" s="33">
        <f t="shared" si="7"/>
        <v>1</v>
      </c>
      <c r="AS26" s="33">
        <f t="shared" si="11"/>
        <v>1</v>
      </c>
      <c r="AT26" s="33">
        <f t="shared" si="12"/>
        <v>1</v>
      </c>
      <c r="AU26" s="34">
        <f t="shared" si="12"/>
        <v>1</v>
      </c>
    </row>
    <row r="27" spans="1:47">
      <c r="A27" s="12">
        <v>25</v>
      </c>
      <c r="B27" s="15"/>
      <c r="C27" s="16">
        <f>_xlfn.MAXIFS('Model output'!C:C,'Model output'!Z:Z,'Classification result'!$A27)</f>
        <v>42</v>
      </c>
      <c r="D27" s="16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6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6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6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6">
        <f>IF(IFERROR(INDEX('Model output'!I:I, MATCH(A27, 'Model output'!Z:Z, 0)), "") &lt; K27, "", IFERROR(INDEX('Model output'!I:I, MATCH(A27, 'Model output'!Z:Z, 0)), ""))</f>
        <v>0</v>
      </c>
      <c r="K27" s="16">
        <f>IFERROR(INDEX('Model output'!J:J, MATCH(A27, 'Model output'!Z:Z, 0)), "")</f>
        <v>0</v>
      </c>
      <c r="L27" s="17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6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8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6" t="str">
        <f t="shared" si="9"/>
        <v>negative</v>
      </c>
      <c r="AC27" s="16" t="str">
        <f t="shared" si="10"/>
        <v>negative</v>
      </c>
      <c r="AD27" t="str" cm="1">
        <f t="array" ref="AD27">_xlfn.TEXTJOIN("; ",TRUE,_xlfn._xlws.FILTER('Model output'!S:S,'Model output'!Z:Z=A27))</f>
        <v>Absent</v>
      </c>
      <c r="AE27" s="48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40" t="str">
        <f t="shared" si="1"/>
        <v>low</v>
      </c>
      <c r="AH27" s="31" t="str">
        <f t="shared" si="2"/>
        <v>1a</v>
      </c>
      <c r="AI27" s="31" t="str">
        <f t="shared" si="18"/>
        <v>x</v>
      </c>
      <c r="AJ27" s="31">
        <f t="shared" si="16"/>
        <v>0</v>
      </c>
      <c r="AK27" s="31" t="str">
        <f t="shared" si="17"/>
        <v>I</v>
      </c>
      <c r="AL27" s="32" t="s">
        <v>166</v>
      </c>
      <c r="AM27" s="33" t="s">
        <v>183</v>
      </c>
      <c r="AN27" s="33" t="s">
        <v>184</v>
      </c>
      <c r="AO27" s="33">
        <v>0</v>
      </c>
      <c r="AP27" s="33" t="s">
        <v>31</v>
      </c>
      <c r="AQ27" s="32">
        <f t="shared" si="6"/>
        <v>1</v>
      </c>
      <c r="AR27" s="33">
        <f t="shared" si="7"/>
        <v>0</v>
      </c>
      <c r="AS27" s="33">
        <f t="shared" si="11"/>
        <v>1</v>
      </c>
      <c r="AT27" s="33">
        <f t="shared" si="12"/>
        <v>1</v>
      </c>
      <c r="AU27" s="34">
        <f t="shared" si="12"/>
        <v>1</v>
      </c>
    </row>
    <row r="28" spans="1:47">
      <c r="A28" s="12">
        <v>26</v>
      </c>
      <c r="B28" s="15"/>
      <c r="C28" s="16">
        <f>_xlfn.MAXIFS('Model output'!C:C,'Model output'!Z:Z,'Classification result'!$A28)</f>
        <v>73</v>
      </c>
      <c r="D28" s="16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E28" s="16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F28" s="16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/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/>
      </c>
      <c r="I28" s="16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6">
        <f>IF(IFERROR(INDEX('Model output'!I:I, MATCH(A28, 'Model output'!Z:Z, 0)), "") &lt; K28, "", IFERROR(INDEX('Model output'!I:I, MATCH(A28, 'Model output'!Z:Z, 0)), ""))</f>
        <v>0</v>
      </c>
      <c r="K28" s="16">
        <f>IFERROR(INDEX('Model output'!J:J, MATCH(A28, 'Model output'!Z:Z, 0)), "")</f>
        <v>0</v>
      </c>
      <c r="L28" s="17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11mm(macroscopic)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6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8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6" t="str">
        <f t="shared" si="9"/>
        <v>positive</v>
      </c>
      <c r="AC28" s="16" t="str">
        <f t="shared" si="10"/>
        <v>positive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Present</v>
      </c>
      <c r="AE28" s="48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40" t="str">
        <f t="shared" si="1"/>
        <v>high</v>
      </c>
      <c r="AH28" s="31" t="str">
        <f t="shared" si="2"/>
        <v>3b</v>
      </c>
      <c r="AI28" s="31" t="str">
        <f>IF(OR(ISNUMBER(SEARCH("non-invasive follicular",O28,1)),ISNUMBER(SEARCH("non-invasive follicular",P28,1))),"NIFTP",IF(AND(K28&gt;0,G28="positive",H28="central"),"1a",IF(AND(K28&gt;0,G28="positive",H28="lateral"),"1b",IF(AND(K28=0,J28=0),"x",0))))</f>
        <v>x</v>
      </c>
      <c r="AJ28" s="31">
        <f t="shared" si="16"/>
        <v>0</v>
      </c>
      <c r="AK28" s="31" t="str">
        <f t="shared" si="17"/>
        <v>II</v>
      </c>
      <c r="AL28" s="32" t="s">
        <v>165</v>
      </c>
      <c r="AM28" s="33" t="s">
        <v>186</v>
      </c>
      <c r="AN28" s="33" t="s">
        <v>184</v>
      </c>
      <c r="AO28" s="33">
        <v>0</v>
      </c>
      <c r="AP28" s="33" t="s">
        <v>42</v>
      </c>
      <c r="AQ28" s="32">
        <f t="shared" si="6"/>
        <v>1</v>
      </c>
      <c r="AR28" s="33">
        <f t="shared" si="7"/>
        <v>1</v>
      </c>
      <c r="AS28" s="33">
        <f t="shared" si="11"/>
        <v>1</v>
      </c>
      <c r="AT28" s="33">
        <f t="shared" si="12"/>
        <v>1</v>
      </c>
      <c r="AU28" s="34">
        <f t="shared" si="12"/>
        <v>1</v>
      </c>
    </row>
    <row r="29" spans="1:47">
      <c r="A29" s="12">
        <v>27</v>
      </c>
      <c r="B29" s="15"/>
      <c r="C29" s="16">
        <f>_xlfn.MAXIFS('Model output'!C:C,'Model output'!Z:Z,'Classification result'!$A29)</f>
        <v>39</v>
      </c>
      <c r="D29" s="16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6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/>
      </c>
      <c r="F29" s="16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6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6">
        <f>IF(IFERROR(INDEX('Model output'!I:I, MATCH(A29, 'Model output'!Z:Z, 0)), "") &lt; K29, "", IFERROR(INDEX('Model output'!I:I, MATCH(A29, 'Model output'!Z:Z, 0)), ""))</f>
        <v>2</v>
      </c>
      <c r="K29" s="16">
        <f>IFERROR(INDEX('Model output'!J:J, MATCH(A29, 'Model output'!Z:Z, 0)), "")</f>
        <v>1</v>
      </c>
      <c r="L29" s="17" t="str" cm="1">
        <f t="array" ref="L29">ReplaceTo(ReplaceAnd(SUBSTITUTE(SUBSTITUTE(_xlfn.TEXTJOIN("; ", TRUE, _xlfn._xlws.FILTER('Model output'!K:K, 'Model output'!Z:Z=A29)), " ", ""), ",", ";")))</f>
        <v/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/>
      </c>
      <c r="N29" t="str" cm="1">
        <f t="array" ref="N29">IF(MaxSize((SplitDimensions(M29)))=0, "", MaxSize((SplitDimensions(M29))))</f>
        <v/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5mm(blockA5)and1.5mm(blockA9)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6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8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6" t="str">
        <f t="shared" si="9"/>
        <v>negative</v>
      </c>
      <c r="AC29" s="16" t="str">
        <f t="shared" si="10"/>
        <v>negative</v>
      </c>
      <c r="AD29" t="str" cm="1">
        <f t="array" ref="AD29">_xlfn.TEXTJOIN("; ",TRUE,_xlfn._xlws.FILTER('Model output'!S:S,'Model output'!Z:Z=A29))</f>
        <v>Not identified</v>
      </c>
      <c r="AE29" s="48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40" t="str">
        <f t="shared" si="1"/>
        <v>low</v>
      </c>
      <c r="AH29" s="31" t="str">
        <f t="shared" si="2"/>
        <v>1a</v>
      </c>
      <c r="AI29" s="31" t="str">
        <f t="shared" ref="AI29:AI37" si="19">IF(OR(ISNUMBER(SEARCH("non-invasive follicular",O29,1)),ISNUMBER(SEARCH("non-invasive follicular",P29,1))),"NIFTP",IF(AND(K29&gt;0,G29="positive",H29="central"),"1a",IF(AND(K29&gt;0,G29="positive",H29="lateral"),"1b",IF(AND(K29=0,J29=0),"x",0))))</f>
        <v>1a</v>
      </c>
      <c r="AJ29" s="31">
        <f t="shared" si="16"/>
        <v>0</v>
      </c>
      <c r="AK29" s="31" t="str">
        <f t="shared" si="17"/>
        <v>I</v>
      </c>
      <c r="AL29" s="32" t="s">
        <v>166</v>
      </c>
      <c r="AM29" s="33" t="s">
        <v>185</v>
      </c>
      <c r="AN29" s="33" t="s">
        <v>185</v>
      </c>
      <c r="AO29" s="33">
        <v>0</v>
      </c>
      <c r="AP29" s="33" t="s">
        <v>31</v>
      </c>
      <c r="AQ29" s="32">
        <f t="shared" si="6"/>
        <v>1</v>
      </c>
      <c r="AR29" s="33">
        <f t="shared" si="7"/>
        <v>1</v>
      </c>
      <c r="AS29" s="33">
        <f t="shared" si="11"/>
        <v>1</v>
      </c>
      <c r="AT29" s="33">
        <f t="shared" si="12"/>
        <v>1</v>
      </c>
      <c r="AU29" s="34">
        <f t="shared" si="12"/>
        <v>1</v>
      </c>
    </row>
    <row r="30" spans="1:47">
      <c r="A30" s="12">
        <v>28</v>
      </c>
      <c r="B30" s="15"/>
      <c r="C30" s="16">
        <f>_xlfn.MAXIFS('Model output'!C:C,'Model output'!Z:Z,'Classification result'!$A30)</f>
        <v>57</v>
      </c>
      <c r="D30" s="16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6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6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6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6">
        <f>IF(IFERROR(INDEX('Model output'!I:I, MATCH(A30, 'Model output'!Z:Z, 0)), "") &lt; K30, "", IFERROR(INDEX('Model output'!I:I, MATCH(A30, 'Model output'!Z:Z, 0)), ""))</f>
        <v>5</v>
      </c>
      <c r="K30" s="16">
        <f>IFERROR(INDEX('Model output'!J:J, MATCH(A30, 'Model output'!Z:Z, 0)), "")</f>
        <v>1</v>
      </c>
      <c r="L30" s="17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/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/>
      </c>
      <c r="S30" t="str" cm="1">
        <f t="array" ref="S30">IF(MaxSize((SplitDimensions(R30)))=0, "", MaxSize((SplitDimensions(R30))))</f>
        <v/>
      </c>
      <c r="T30" s="16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8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positive</v>
      </c>
      <c r="Y30" s="16" t="str">
        <f t="shared" si="9"/>
        <v>negative</v>
      </c>
      <c r="AC30" s="16" t="str">
        <f t="shared" si="10"/>
        <v>negative</v>
      </c>
      <c r="AD30" t="str" cm="1">
        <f t="array" ref="AD30">_xlfn.TEXTJOIN("; ",TRUE,_xlfn._xlws.FILTER('Model output'!S:S,'Model output'!Z:Z=A30))</f>
        <v>Not identified</v>
      </c>
      <c r="AE30" s="48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40" t="str">
        <f t="shared" si="1"/>
        <v>low</v>
      </c>
      <c r="AH30" s="31" t="str">
        <f t="shared" si="2"/>
        <v>1a</v>
      </c>
      <c r="AI30" s="31" t="str">
        <f t="shared" si="19"/>
        <v>1a</v>
      </c>
      <c r="AJ30" s="31">
        <f t="shared" si="16"/>
        <v>0</v>
      </c>
      <c r="AK30" s="31" t="str">
        <f t="shared" si="17"/>
        <v>II</v>
      </c>
      <c r="AL30" s="32" t="s">
        <v>166</v>
      </c>
      <c r="AM30" s="33" t="s">
        <v>185</v>
      </c>
      <c r="AN30" s="33" t="s">
        <v>185</v>
      </c>
      <c r="AO30" s="33">
        <v>0</v>
      </c>
      <c r="AP30" s="33" t="s">
        <v>42</v>
      </c>
      <c r="AQ30" s="32">
        <f t="shared" si="6"/>
        <v>1</v>
      </c>
      <c r="AR30" s="33">
        <f t="shared" si="7"/>
        <v>1</v>
      </c>
      <c r="AS30" s="33">
        <f t="shared" si="11"/>
        <v>1</v>
      </c>
      <c r="AT30" s="33">
        <f t="shared" si="12"/>
        <v>1</v>
      </c>
      <c r="AU30" s="34">
        <f t="shared" si="12"/>
        <v>1</v>
      </c>
    </row>
    <row r="31" spans="1:47">
      <c r="A31" s="12">
        <v>29</v>
      </c>
      <c r="B31" s="15"/>
      <c r="C31" s="16">
        <f>_xlfn.MAXIFS('Model output'!C:C,'Model output'!Z:Z,'Classification result'!$A31)</f>
        <v>63</v>
      </c>
      <c r="D31" s="16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6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6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6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6">
        <f>IF(IFERROR(INDEX('Model output'!I:I, MATCH(A31, 'Model output'!Z:Z, 0)), "") &lt; K31, "", IFERROR(INDEX('Model output'!I:I, MATCH(A31, 'Model output'!Z:Z, 0)), ""))</f>
        <v>0</v>
      </c>
      <c r="K31" s="16">
        <f>IFERROR(INDEX('Model output'!J:J, MATCH(A31, 'Model output'!Z:Z, 0)), "")</f>
        <v>0</v>
      </c>
      <c r="L31" s="17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6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8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6" t="str">
        <f t="shared" si="9"/>
        <v>negative</v>
      </c>
      <c r="AC31" s="16" t="str">
        <f t="shared" si="10"/>
        <v>negative</v>
      </c>
      <c r="AD31" t="str" cm="1">
        <f t="array" ref="AD31">_xlfn.TEXTJOIN("; ",TRUE,_xlfn._xlws.FILTER('Model output'!S:S,'Model output'!Z:Z=A31))</f>
        <v>Not identified</v>
      </c>
      <c r="AE31" s="48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40" t="str">
        <f t="shared" si="1"/>
        <v>low</v>
      </c>
      <c r="AH31" s="31" t="str">
        <f t="shared" si="2"/>
        <v>1a</v>
      </c>
      <c r="AI31" s="31" t="str">
        <f t="shared" si="19"/>
        <v>x</v>
      </c>
      <c r="AJ31" s="31">
        <f t="shared" si="16"/>
        <v>0</v>
      </c>
      <c r="AK31" s="31" t="str">
        <f t="shared" si="17"/>
        <v>I</v>
      </c>
      <c r="AL31" s="32" t="s">
        <v>166</v>
      </c>
      <c r="AM31" s="33" t="s">
        <v>185</v>
      </c>
      <c r="AN31" s="33" t="s">
        <v>184</v>
      </c>
      <c r="AO31" s="33">
        <v>0</v>
      </c>
      <c r="AP31" s="33" t="s">
        <v>31</v>
      </c>
      <c r="AQ31" s="32">
        <f t="shared" si="6"/>
        <v>1</v>
      </c>
      <c r="AR31" s="33">
        <f t="shared" si="7"/>
        <v>1</v>
      </c>
      <c r="AS31" s="33">
        <f t="shared" si="11"/>
        <v>1</v>
      </c>
      <c r="AT31" s="33">
        <f t="shared" si="12"/>
        <v>1</v>
      </c>
      <c r="AU31" s="34">
        <f t="shared" si="12"/>
        <v>1</v>
      </c>
    </row>
    <row r="32" spans="1:47">
      <c r="A32" s="12">
        <v>30</v>
      </c>
      <c r="B32" s="15"/>
      <c r="C32" s="16">
        <f>_xlfn.MAXIFS('Model output'!C:C,'Model output'!Z:Z,'Classification result'!$A32)</f>
        <v>39</v>
      </c>
      <c r="D32" s="16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6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6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6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6">
        <f>IF(IFERROR(INDEX('Model output'!I:I, MATCH(A32, 'Model output'!Z:Z, 0)), "") &lt; K32, "", IFERROR(INDEX('Model output'!I:I, MATCH(A32, 'Model output'!Z:Z, 0)), ""))</f>
        <v>24</v>
      </c>
      <c r="K32" s="16">
        <f>IFERROR(INDEX('Model output'!J:J, MATCH(A32, 'Model output'!Z:Z, 0)), "")</f>
        <v>3</v>
      </c>
      <c r="L32" s="17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6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8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Y32" s="16" t="str">
        <f t="shared" si="9"/>
        <v>negative</v>
      </c>
      <c r="AC32" s="16" t="str">
        <f t="shared" si="10"/>
        <v>negative</v>
      </c>
      <c r="AD32" t="str" cm="1">
        <f t="array" ref="AD32">_xlfn.TEXTJOIN("; ",TRUE,_xlfn._xlws.FILTER('Model output'!S:S,'Model output'!Z:Z=A32))</f>
        <v>Not identified</v>
      </c>
      <c r="AE32" s="48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40" t="str">
        <f t="shared" si="1"/>
        <v>intermediate</v>
      </c>
      <c r="AH32" s="31" t="str">
        <f t="shared" ref="AH32:AH37" si="20">IF(OR(ISNUMBER(SEARCH("non-invasive follicular",O32)),ISNUMBER(SEARCH("papillary-like nuclear features",O32)),ISNUMBER(SEARCH("non-invasive follicular",P32)),ISNUMBER(SEARCH("papillary-like nuclear features",P32))),"NIFTP", IF(OR(D32="4b",AND(AC32="positive",OR(ISNUMBER(SEARCH("prevertebral",AD32)),ISNUMBER(SEARCH("fascia",AD32)),ISNUMBER(SEARCH("carotid artery",AD32)),ISNUMBER(SEARCH("mediastinal",AD32))))),"4b",IF(OR(D32="4a",AND(AC32="positive",OR(ISNUMBER(SEARCH("soft tissue",AD32)),ISNUMBER(SEARCH("larynx",AD32)),ISNUMBER(SEARCH("trachea",AD32)),ISNUMBER(SEARCH("esophagus",AD32)),ISNUMBER(SEARCH("recurrent laryngeal nerve",AD32)),ISNUMBER(SEARCH("RLN",AD32))))),"4a", IF(OR(D32="3b", AC32="positive",ISNUMBER(SEARCH("strap",AD32)),ISNUMBER(SEARCH("sternothyroid",AD32)),ISNUMBER(SEARCH("sternohyoid",AD32)),ISNUMBER(SEARCH("thyrohyoid",AD32)),ISNUMBER(SEARCH("omohyoid",AD32))),"3b",IF(OR(D32="3a", AND(S32&lt;&gt;"",S32&gt;4)),"3a",IF(AND(S32&lt;&gt;"", S32&lt;=4,S32&gt;2),"2",IF(AND(S32&lt;&gt;"",S32&lt;=2,S32&gt;1),"1b",IF(AND(S32&lt;&gt;"",S32&lt;=1),"1a","1a"))))))))</f>
        <v>1b</v>
      </c>
      <c r="AI32" s="31" t="str">
        <f t="shared" si="19"/>
        <v>1b</v>
      </c>
      <c r="AJ32" s="31">
        <f t="shared" si="16"/>
        <v>0</v>
      </c>
      <c r="AK32" s="31" t="str">
        <f t="shared" si="17"/>
        <v>I</v>
      </c>
      <c r="AL32" s="32" t="s">
        <v>164</v>
      </c>
      <c r="AM32" s="33" t="s">
        <v>183</v>
      </c>
      <c r="AN32" s="33" t="s">
        <v>183</v>
      </c>
      <c r="AO32" s="33">
        <v>0</v>
      </c>
      <c r="AP32" s="33" t="s">
        <v>31</v>
      </c>
      <c r="AQ32" s="32">
        <f t="shared" si="6"/>
        <v>1</v>
      </c>
      <c r="AR32" s="33">
        <f t="shared" si="7"/>
        <v>1</v>
      </c>
      <c r="AS32" s="33">
        <f t="shared" si="11"/>
        <v>1</v>
      </c>
      <c r="AT32" s="33">
        <f t="shared" si="12"/>
        <v>1</v>
      </c>
      <c r="AU32" s="34">
        <f t="shared" si="12"/>
        <v>1</v>
      </c>
    </row>
    <row r="33" spans="1:48">
      <c r="A33" s="12">
        <v>31</v>
      </c>
      <c r="B33" s="15"/>
      <c r="C33" s="16">
        <f>_xlfn.MAXIFS('Model output'!C:C,'Model output'!Z:Z,'Classification result'!$A33)</f>
        <v>60</v>
      </c>
      <c r="D33" s="16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E33" s="16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/>
      </c>
      <c r="F33" s="16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6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6" t="str">
        <f>IF(IFERROR(INDEX('Model output'!I:I, MATCH(A33, 'Model output'!Z:Z, 0)), "") &lt; K33, "", IFERROR(INDEX('Model output'!I:I, MATCH(A33, 'Model output'!Z:Z, 0)), ""))</f>
        <v/>
      </c>
      <c r="K33" s="16">
        <f>IFERROR(INDEX('Model output'!J:J, MATCH(A33, 'Model output'!Z:Z, 0)), "")</f>
        <v>1</v>
      </c>
      <c r="L33" s="17" t="str" cm="1">
        <f t="array" ref="L33">ReplaceTo(ReplaceAnd(SUBSTITUTE(SUBSTITUTE(_xlfn.TEXTJOIN("; ", TRUE, _xlfn._xlws.FILTER('Model output'!K:K, 'Model output'!Z:Z=A33)), " ", ""), ",", ";")))</f>
        <v/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/>
      </c>
      <c r="N33" t="str" cm="1">
        <f t="array" ref="N33">IF(MaxSize((SplitDimensions(M33)))=0, "", MaxSize((SplitDimensions(M33))))</f>
        <v/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6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8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6" t="str">
        <f t="shared" si="9"/>
        <v>positive</v>
      </c>
      <c r="AC33" s="16" t="str">
        <f t="shared" si="10"/>
        <v>negative</v>
      </c>
      <c r="AD33" t="str" cm="1">
        <f t="array" ref="AD33">_xlfn.TEXTJOIN("; ",TRUE,_xlfn._xlws.FILTER('Model output'!S:S,'Model output'!Z:Z=A33))</f>
        <v>Present</v>
      </c>
      <c r="AE33" s="48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40" t="str">
        <f t="shared" si="1"/>
        <v>intermediate</v>
      </c>
      <c r="AH33" s="31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31" t="str">
        <f t="shared" si="19"/>
        <v>1a</v>
      </c>
      <c r="AJ33" s="31">
        <f t="shared" si="16"/>
        <v>0</v>
      </c>
      <c r="AK33" s="31" t="str">
        <f t="shared" si="17"/>
        <v>II</v>
      </c>
      <c r="AL33" s="32" t="s">
        <v>165</v>
      </c>
      <c r="AM33" s="33" t="s">
        <v>189</v>
      </c>
      <c r="AN33" s="33" t="s">
        <v>185</v>
      </c>
      <c r="AO33" s="33">
        <v>0</v>
      </c>
      <c r="AP33" s="33" t="s">
        <v>337</v>
      </c>
      <c r="AQ33" s="32">
        <f t="shared" si="6"/>
        <v>0</v>
      </c>
      <c r="AR33" s="33">
        <f t="shared" si="7"/>
        <v>0</v>
      </c>
      <c r="AS33" s="33">
        <f t="shared" si="11"/>
        <v>1</v>
      </c>
      <c r="AT33" s="33">
        <f t="shared" si="12"/>
        <v>1</v>
      </c>
      <c r="AU33" s="34">
        <f t="shared" si="12"/>
        <v>0</v>
      </c>
    </row>
    <row r="34" spans="1:48">
      <c r="A34" s="12">
        <v>32</v>
      </c>
      <c r="B34" s="15"/>
      <c r="C34" s="16">
        <f>_xlfn.MAXIFS('Model output'!C:C,'Model output'!Z:Z,'Classification result'!$A34)</f>
        <v>72</v>
      </c>
      <c r="D34" s="16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4a</v>
      </c>
      <c r="E34" s="16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1b</v>
      </c>
      <c r="F34" s="16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6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6" t="str">
        <f>IF(IFERROR(INDEX('Model output'!I:I, MATCH(A34, 'Model output'!Z:Z, 0)), "") &lt; K34, "", IFERROR(INDEX('Model output'!I:I, MATCH(A34, 'Model output'!Z:Z, 0)), ""))</f>
        <v/>
      </c>
      <c r="K34" s="16">
        <f>IFERROR(INDEX('Model output'!J:J, MATCH(A34, 'Model output'!Z:Z, 0)), "")</f>
        <v>2</v>
      </c>
      <c r="L34" s="17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>follicular carcinoma, widely invasive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6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W34" t="str">
        <f t="shared" si="8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6" t="str">
        <f t="shared" si="9"/>
        <v>positive</v>
      </c>
      <c r="AC34" s="16" t="str">
        <f t="shared" si="10"/>
        <v>negative</v>
      </c>
      <c r="AD34" t="str" cm="1">
        <f t="array" ref="AD34">_xlfn.TEXTJOIN("; ",TRUE,_xlfn._xlws.FILTER('Model output'!S:S,'Model output'!Z:Z=A34))</f>
        <v>Focally into adjacent fibroadipose tissue (block B3)</v>
      </c>
      <c r="AE34" s="48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40" t="str">
        <f t="shared" si="1"/>
        <v>high</v>
      </c>
      <c r="AH34" s="31" t="str">
        <f t="shared" si="20"/>
        <v>4a</v>
      </c>
      <c r="AI34" s="31" t="str">
        <f t="shared" si="19"/>
        <v>1a</v>
      </c>
      <c r="AJ34" s="31">
        <f t="shared" si="16"/>
        <v>0</v>
      </c>
      <c r="AK34" s="31" t="str">
        <f t="shared" si="17"/>
        <v>III</v>
      </c>
      <c r="AL34" s="32" t="s">
        <v>165</v>
      </c>
      <c r="AM34" s="33" t="s">
        <v>187</v>
      </c>
      <c r="AN34" s="33">
        <v>0</v>
      </c>
      <c r="AO34" s="33">
        <v>0</v>
      </c>
      <c r="AP34" s="33" t="s">
        <v>42</v>
      </c>
      <c r="AQ34" s="32">
        <f t="shared" si="6"/>
        <v>1</v>
      </c>
      <c r="AR34" s="33">
        <f t="shared" si="7"/>
        <v>0</v>
      </c>
      <c r="AS34" s="33">
        <f t="shared" si="11"/>
        <v>0</v>
      </c>
      <c r="AT34" s="33">
        <f t="shared" si="12"/>
        <v>1</v>
      </c>
      <c r="AU34" s="34">
        <f t="shared" si="12"/>
        <v>0</v>
      </c>
    </row>
    <row r="35" spans="1:48">
      <c r="A35" s="12">
        <v>33</v>
      </c>
      <c r="B35" s="15"/>
      <c r="C35" s="16">
        <f>_xlfn.MAXIFS('Model output'!C:C,'Model output'!Z:Z,'Classification result'!$A35)</f>
        <v>41</v>
      </c>
      <c r="D35" s="16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6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6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6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6">
        <f>IF(IFERROR(INDEX('Model output'!I:I, MATCH(A35, 'Model output'!Z:Z, 0)), "") &lt; K35, "", IFERROR(INDEX('Model output'!I:I, MATCH(A35, 'Model output'!Z:Z, 0)), ""))</f>
        <v>0</v>
      </c>
      <c r="K35" s="16">
        <f>IFERROR(INDEX('Model output'!J:J, MATCH(A35, 'Model output'!Z:Z, 0)), "")</f>
        <v>0</v>
      </c>
      <c r="L35" s="17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6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8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Y35" s="16" t="str">
        <f t="shared" si="9"/>
        <v>negative</v>
      </c>
      <c r="AC35" s="16" t="str">
        <f t="shared" si="10"/>
        <v>negative</v>
      </c>
      <c r="AD35" t="str" cm="1">
        <f t="array" ref="AD35">_xlfn.TEXTJOIN("; ",TRUE,_xlfn._xlws.FILTER('Model output'!S:S,'Model output'!Z:Z=A35))</f>
        <v/>
      </c>
      <c r="AE35" s="48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40" t="str">
        <f t="shared" si="1"/>
        <v>high</v>
      </c>
      <c r="AH35" s="31" t="str">
        <f t="shared" si="20"/>
        <v>1a</v>
      </c>
      <c r="AI35" s="31" t="str">
        <f t="shared" si="19"/>
        <v>x</v>
      </c>
      <c r="AJ35" s="31">
        <f t="shared" si="16"/>
        <v>1</v>
      </c>
      <c r="AK35" s="31" t="str">
        <f t="shared" si="17"/>
        <v>II</v>
      </c>
      <c r="AL35" s="32" t="s">
        <v>165</v>
      </c>
      <c r="AM35" s="33" t="s">
        <v>185</v>
      </c>
      <c r="AN35" s="33" t="s">
        <v>184</v>
      </c>
      <c r="AO35" s="33">
        <v>1</v>
      </c>
      <c r="AP35" s="33" t="s">
        <v>42</v>
      </c>
      <c r="AQ35" s="32">
        <f t="shared" si="6"/>
        <v>1</v>
      </c>
      <c r="AR35" s="33">
        <f t="shared" si="7"/>
        <v>1</v>
      </c>
      <c r="AS35" s="33">
        <f t="shared" si="11"/>
        <v>1</v>
      </c>
      <c r="AT35" s="33">
        <f t="shared" si="12"/>
        <v>1</v>
      </c>
      <c r="AU35" s="34">
        <f t="shared" si="12"/>
        <v>1</v>
      </c>
    </row>
    <row r="36" spans="1:48">
      <c r="A36" s="12">
        <v>34</v>
      </c>
      <c r="B36" s="15"/>
      <c r="C36" s="16">
        <f>_xlfn.MAXIFS('Model output'!C:C,'Model output'!Z:Z,'Classification result'!$A36)</f>
        <v>63</v>
      </c>
      <c r="D36" s="16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6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6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>positive</v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>central</v>
      </c>
      <c r="I36" s="16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6" t="str">
        <f>IF(IFERROR(INDEX('Model output'!I:I, MATCH(A36, 'Model output'!Z:Z, 0)), "") &lt; K36, "", IFERROR(INDEX('Model output'!I:I, MATCH(A36, 'Model output'!Z:Z, 0)), ""))</f>
        <v/>
      </c>
      <c r="K36" s="16">
        <f>IFERROR(INDEX('Model output'!J:J, MATCH(A36, 'Model output'!Z:Z, 0)), "")</f>
        <v>1</v>
      </c>
      <c r="L36" s="17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6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4 or more</v>
      </c>
      <c r="W36" t="str">
        <f t="shared" si="8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6" t="str">
        <f t="shared" si="9"/>
        <v>positive</v>
      </c>
      <c r="AC36" s="16" t="str">
        <f t="shared" si="10"/>
        <v>negative</v>
      </c>
      <c r="AD36" t="str" cm="1">
        <f t="array" ref="AD36">_xlfn.TEXTJOIN("; ",TRUE,_xlfn._xlws.FILTER('Model output'!S:S,'Model output'!Z:Z=A36))</f>
        <v>Present; Present</v>
      </c>
      <c r="AE36" s="48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40" t="str">
        <f t="shared" si="1"/>
        <v>intermediate</v>
      </c>
      <c r="AH36" s="31" t="str">
        <f t="shared" si="20"/>
        <v>4a</v>
      </c>
      <c r="AI36" s="31" t="str">
        <f t="shared" si="19"/>
        <v>1a</v>
      </c>
      <c r="AJ36" s="31">
        <f t="shared" si="16"/>
        <v>0</v>
      </c>
      <c r="AK36" s="31" t="str">
        <f t="shared" si="17"/>
        <v>III</v>
      </c>
      <c r="AL36" s="32" t="s">
        <v>165</v>
      </c>
      <c r="AM36" s="33" t="s">
        <v>188</v>
      </c>
      <c r="AN36" s="33">
        <v>0</v>
      </c>
      <c r="AO36" s="33">
        <v>0</v>
      </c>
      <c r="AP36" s="33" t="s">
        <v>66</v>
      </c>
      <c r="AQ36" s="32">
        <f t="shared" si="6"/>
        <v>0</v>
      </c>
      <c r="AR36" s="33">
        <f t="shared" si="7"/>
        <v>1</v>
      </c>
      <c r="AS36" s="33">
        <f t="shared" si="11"/>
        <v>0</v>
      </c>
      <c r="AT36" s="33">
        <f t="shared" si="12"/>
        <v>1</v>
      </c>
      <c r="AU36" s="34">
        <f t="shared" si="12"/>
        <v>1</v>
      </c>
    </row>
    <row r="37" spans="1:48">
      <c r="A37" s="25">
        <v>35</v>
      </c>
      <c r="B37" s="26"/>
      <c r="C37" s="27">
        <f>_xlfn.MAXIFS('Model output'!C:C,'Model output'!Z:Z,'Classification result'!$A37)</f>
        <v>62</v>
      </c>
      <c r="D37" s="27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27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1a</v>
      </c>
      <c r="F37" s="27" cm="1">
        <f t="array" ref="F37">IF(AND(SUBSTITUTE(_xlfn.TEXTJOIN("/", TRUE, _xlfn._xlws.FILTER('Model output'!F:F, 'Model output'!Z:Z=A37)),"M", "")="", I37="negative"),0,IF(I37="positive",1,0))</f>
        <v>1</v>
      </c>
      <c r="G37" s="28" t="str">
        <f t="shared" si="0"/>
        <v>positive</v>
      </c>
      <c r="H37" s="28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7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7">
        <f>IF(IFERROR(INDEX('Model output'!I:I, MATCH(A37, 'Model output'!Z:Z, 0)), "") &lt; K37, "", IFERROR(INDEX('Model output'!I:I, MATCH(A37, 'Model output'!Z:Z, 0)), ""))</f>
        <v>35</v>
      </c>
      <c r="K37" s="27">
        <f>IFERROR(INDEX('Model output'!J:J, MATCH(A37, 'Model output'!Z:Z, 0)), "")</f>
        <v>7</v>
      </c>
      <c r="L37" s="29" t="str" cm="1">
        <f t="array" ref="L37">ReplaceTo(ReplaceAnd(SUBSTITUTE(SUBSTITUTE(_xlfn.TEXTJOIN("; ", TRUE, _xlfn._xlws.FILTER('Model output'!K:K, 'Model output'!Z:Z=A37)), " ", ""), ",", ";")))</f>
        <v/>
      </c>
      <c r="M37" s="28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28" t="str" cm="1">
        <f t="array" ref="N37">IF(MaxSize((SplitDimensions(M37)))=0, "", MaxSize((SplitDimensions(M37))))</f>
        <v/>
      </c>
      <c r="O37" s="28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28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28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5.5cmlong,upto1.2cmindiameter</v>
      </c>
      <c r="R37" s="28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</v>
      </c>
      <c r="S37" s="28" cm="1">
        <f t="array" ref="S37">IF(MaxSize((SplitDimensions(R37)))=0, "", MaxSize((SplitDimensions(R37))))</f>
        <v>5.5</v>
      </c>
      <c r="T37" s="27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27"/>
      <c r="V37" s="28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&lt;4</v>
      </c>
      <c r="W37" s="28" t="str">
        <f t="shared" si="8"/>
        <v>minimal</v>
      </c>
      <c r="X37" s="28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7" t="str">
        <f t="shared" si="9"/>
        <v>positive</v>
      </c>
      <c r="Z37" s="27"/>
      <c r="AA37" s="27"/>
      <c r="AB37" s="27"/>
      <c r="AC37" s="27" t="str">
        <f t="shared" si="10"/>
        <v>negative</v>
      </c>
      <c r="AD37" s="28" t="str" cm="1">
        <f t="array" ref="AD37">_xlfn.TEXTJOIN("; ",TRUE,_xlfn._xlws.FILTER('Model output'!S:S,'Model output'!Z:Z=A37))</f>
        <v>Present</v>
      </c>
      <c r="AE37" s="27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27"/>
      <c r="AG37" s="41" t="str">
        <f t="shared" si="1"/>
        <v>high</v>
      </c>
      <c r="AH37" s="35" t="str">
        <f t="shared" si="20"/>
        <v>3a</v>
      </c>
      <c r="AI37" s="35" t="str">
        <f t="shared" si="19"/>
        <v>1b</v>
      </c>
      <c r="AJ37" s="35">
        <f t="shared" si="16"/>
        <v>1</v>
      </c>
      <c r="AK37" s="35" t="str">
        <f t="shared" si="17"/>
        <v>IVB</v>
      </c>
      <c r="AL37" s="36" t="s">
        <v>165</v>
      </c>
      <c r="AM37" s="37" t="s">
        <v>336</v>
      </c>
      <c r="AN37" s="37" t="s">
        <v>183</v>
      </c>
      <c r="AO37" s="37">
        <v>1</v>
      </c>
      <c r="AP37" s="37" t="s">
        <v>338</v>
      </c>
      <c r="AQ37" s="36">
        <f t="shared" si="6"/>
        <v>1</v>
      </c>
      <c r="AR37" s="37">
        <f t="shared" si="7"/>
        <v>0</v>
      </c>
      <c r="AS37" s="37">
        <f t="shared" si="11"/>
        <v>1</v>
      </c>
      <c r="AT37" s="37">
        <f t="shared" si="12"/>
        <v>1</v>
      </c>
      <c r="AU37" s="38">
        <f t="shared" si="12"/>
        <v>1</v>
      </c>
    </row>
    <row r="38" spans="1:48">
      <c r="A38" s="12"/>
    </row>
    <row r="39" spans="1:48">
      <c r="A39" s="12"/>
      <c r="D39" s="17"/>
      <c r="E39" s="17"/>
      <c r="X39" s="11"/>
      <c r="AQ39" s="10"/>
      <c r="AR39" s="20"/>
      <c r="AS39" s="20"/>
      <c r="AT39" s="20"/>
      <c r="AU39" s="20"/>
      <c r="AV39" s="11"/>
    </row>
    <row r="40" spans="1:48">
      <c r="A40" s="12"/>
      <c r="D40" s="17"/>
      <c r="E40" t="str">
        <f>IF(ISNUMBER(SEARCH("N",E3,1)),FIND("N",E3,1), "")</f>
        <v/>
      </c>
      <c r="AP40" s="11"/>
      <c r="AQ40" s="19"/>
      <c r="AR40" s="19"/>
      <c r="AS40" s="19"/>
      <c r="AT40" s="19"/>
      <c r="AU40" s="19"/>
    </row>
    <row r="41" spans="1:48">
      <c r="A41" s="12"/>
      <c r="D41" s="17"/>
      <c r="E41" t="str">
        <f>IF(ISNUMBER(SEARCH("N",E4,1)),FIND("N",E4,1), "")</f>
        <v/>
      </c>
    </row>
    <row r="42" spans="1:48">
      <c r="A42" s="12"/>
      <c r="D42" s="17"/>
    </row>
    <row r="43" spans="1:48">
      <c r="A43" s="12"/>
      <c r="D43" s="17"/>
    </row>
    <row r="44" spans="1:48">
      <c r="A44" s="12"/>
      <c r="D44" s="17"/>
    </row>
    <row r="45" spans="1:48">
      <c r="A45" s="12"/>
      <c r="D45" s="17"/>
    </row>
    <row r="46" spans="1:48">
      <c r="A46" s="12"/>
      <c r="D46" s="17"/>
    </row>
    <row r="47" spans="1:48">
      <c r="A47" s="12"/>
      <c r="D47" s="17"/>
    </row>
    <row r="48" spans="1:48">
      <c r="A48" s="12"/>
      <c r="D48" s="17"/>
    </row>
    <row r="49" spans="1:4">
      <c r="A49" s="12"/>
      <c r="D49" s="17"/>
    </row>
    <row r="50" spans="1:4">
      <c r="A50" s="12"/>
    </row>
    <row r="51" spans="1:4">
      <c r="A51" s="12"/>
    </row>
    <row r="52" spans="1:4">
      <c r="A52" s="12"/>
    </row>
    <row r="53" spans="1:4">
      <c r="A53" s="12"/>
    </row>
    <row r="54" spans="1:4">
      <c r="A54" s="12"/>
    </row>
    <row r="55" spans="1:4">
      <c r="A55" s="12"/>
    </row>
    <row r="56" spans="1:4">
      <c r="A56" s="12"/>
    </row>
    <row r="57" spans="1:4">
      <c r="A57" s="12"/>
    </row>
    <row r="58" spans="1:4">
      <c r="A58" s="12"/>
    </row>
    <row r="59" spans="1:4">
      <c r="A59" s="12"/>
    </row>
    <row r="60" spans="1:4">
      <c r="A60" s="12"/>
    </row>
    <row r="61" spans="1:4">
      <c r="A61" s="12"/>
    </row>
    <row r="62" spans="1:4">
      <c r="A62" s="12"/>
    </row>
    <row r="63" spans="1:4">
      <c r="A63" s="12"/>
    </row>
    <row r="64" spans="1:4">
      <c r="A64" s="12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r:id="rId1"/>
  <ignoredErrors>
    <ignoredError sqref="AS3:AS37" formula="1"/>
    <ignoredError sqref="AM4:AP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A47" sqref="A47:XFD48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4" hidden="1" customWidth="1"/>
  </cols>
  <sheetData>
    <row r="1" spans="1:26">
      <c r="A1" s="43" t="s">
        <v>201</v>
      </c>
      <c r="B1" t="s">
        <v>202</v>
      </c>
      <c r="C1" t="s">
        <v>203</v>
      </c>
      <c r="D1" t="s">
        <v>229</v>
      </c>
      <c r="E1" t="s">
        <v>204</v>
      </c>
      <c r="F1" t="s">
        <v>205</v>
      </c>
      <c r="G1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  <c r="N1" t="s">
        <v>237</v>
      </c>
      <c r="O1" t="s">
        <v>206</v>
      </c>
      <c r="P1" t="s">
        <v>238</v>
      </c>
      <c r="Q1" t="s">
        <v>239</v>
      </c>
      <c r="R1" t="s">
        <v>240</v>
      </c>
      <c r="S1" t="s">
        <v>241</v>
      </c>
      <c r="T1" t="s">
        <v>207</v>
      </c>
      <c r="U1" t="s">
        <v>208</v>
      </c>
      <c r="V1" t="s">
        <v>242</v>
      </c>
      <c r="W1" t="s">
        <v>209</v>
      </c>
      <c r="X1" t="s">
        <v>210</v>
      </c>
      <c r="Z1" s="13" t="s">
        <v>215</v>
      </c>
    </row>
    <row r="2" spans="1:26">
      <c r="A2" t="s">
        <v>30</v>
      </c>
      <c r="B2" s="21"/>
      <c r="C2">
        <v>67</v>
      </c>
      <c r="D2" t="s">
        <v>153</v>
      </c>
      <c r="L2" t="s">
        <v>32</v>
      </c>
      <c r="M2" t="s">
        <v>33</v>
      </c>
      <c r="N2" t="s">
        <v>192</v>
      </c>
      <c r="O2">
        <v>2</v>
      </c>
      <c r="P2" t="s">
        <v>168</v>
      </c>
      <c r="R2" t="s">
        <v>271</v>
      </c>
      <c r="S2" t="s">
        <v>168</v>
      </c>
      <c r="W2">
        <v>1</v>
      </c>
      <c r="X2">
        <v>1</v>
      </c>
      <c r="Z2" s="14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L3" t="s">
        <v>196</v>
      </c>
      <c r="O3">
        <v>2</v>
      </c>
      <c r="W3">
        <v>1</v>
      </c>
      <c r="X3">
        <v>2</v>
      </c>
      <c r="Z3" s="14" cm="1">
        <f t="array" ref="Z3">VALUE(LEFT(A3, MIN(IFERROR(FIND({"o","p"}, A3), LEN(A3)+1))-1))</f>
        <v>1</v>
      </c>
    </row>
    <row r="4" spans="1:26">
      <c r="A4" t="s">
        <v>35</v>
      </c>
      <c r="B4" s="21"/>
      <c r="C4">
        <v>39</v>
      </c>
      <c r="D4" t="s">
        <v>154</v>
      </c>
      <c r="L4" t="s">
        <v>196</v>
      </c>
      <c r="M4" t="s">
        <v>193</v>
      </c>
      <c r="N4" t="s">
        <v>36</v>
      </c>
      <c r="O4">
        <v>1</v>
      </c>
      <c r="P4" t="s">
        <v>168</v>
      </c>
      <c r="R4" t="s">
        <v>258</v>
      </c>
      <c r="S4" t="s">
        <v>168</v>
      </c>
      <c r="V4" t="s">
        <v>272</v>
      </c>
      <c r="W4">
        <v>2</v>
      </c>
      <c r="X4">
        <v>1</v>
      </c>
      <c r="Z4" s="14" cm="1">
        <f t="array" ref="Z4">VALUE(LEFT(A4, MIN(IFERROR(FIND({"o","p"}, A4), LEN(A4)+1))-1))</f>
        <v>2</v>
      </c>
    </row>
    <row r="5" spans="1:26">
      <c r="A5" t="s">
        <v>37</v>
      </c>
      <c r="C5">
        <v>39</v>
      </c>
      <c r="L5" t="s">
        <v>196</v>
      </c>
      <c r="W5">
        <v>2</v>
      </c>
      <c r="X5">
        <v>2</v>
      </c>
      <c r="Z5" s="14" cm="1">
        <f t="array" ref="Z5">VALUE(LEFT(A5, MIN(IFERROR(FIND({"o","p"}, A5), LEN(A5)+1))-1))</f>
        <v>2</v>
      </c>
    </row>
    <row r="6" spans="1:26">
      <c r="A6" t="s">
        <v>38</v>
      </c>
      <c r="B6" s="21"/>
      <c r="D6" t="s">
        <v>152</v>
      </c>
      <c r="E6" t="s">
        <v>160</v>
      </c>
      <c r="I6">
        <v>5</v>
      </c>
      <c r="J6">
        <v>1</v>
      </c>
      <c r="K6" t="s">
        <v>39</v>
      </c>
      <c r="L6" t="s">
        <v>196</v>
      </c>
      <c r="M6" t="s">
        <v>33</v>
      </c>
      <c r="N6" t="s">
        <v>243</v>
      </c>
      <c r="O6">
        <v>2</v>
      </c>
      <c r="R6" t="s">
        <v>273</v>
      </c>
      <c r="S6" t="s">
        <v>274</v>
      </c>
      <c r="V6" t="s">
        <v>273</v>
      </c>
      <c r="W6">
        <v>3</v>
      </c>
      <c r="X6">
        <v>1</v>
      </c>
      <c r="Z6" s="14" cm="1">
        <f t="array" ref="Z6">VALUE(LEFT(A6, MIN(IFERROR(FIND({"o","p"}, A6), LEN(A6)+1))-1))</f>
        <v>3</v>
      </c>
    </row>
    <row r="7" spans="1:26">
      <c r="A7" t="s">
        <v>40</v>
      </c>
      <c r="C7">
        <v>52</v>
      </c>
      <c r="W7">
        <v>3</v>
      </c>
      <c r="X7">
        <v>2</v>
      </c>
      <c r="Z7" s="14" cm="1">
        <f t="array" ref="Z7">VALUE(LEFT(A7, MIN(IFERROR(FIND({"o","p"}, A7), LEN(A7)+1))-1))</f>
        <v>3</v>
      </c>
    </row>
    <row r="8" spans="1:26">
      <c r="A8" t="s">
        <v>41</v>
      </c>
      <c r="B8" s="21"/>
      <c r="D8" t="s">
        <v>244</v>
      </c>
      <c r="E8" t="s">
        <v>200</v>
      </c>
      <c r="G8" t="s">
        <v>245</v>
      </c>
      <c r="I8">
        <v>6</v>
      </c>
      <c r="J8">
        <v>4</v>
      </c>
      <c r="K8" t="s">
        <v>43</v>
      </c>
      <c r="L8" t="s">
        <v>196</v>
      </c>
      <c r="M8" t="s">
        <v>193</v>
      </c>
      <c r="N8" t="s">
        <v>44</v>
      </c>
      <c r="O8">
        <v>1</v>
      </c>
      <c r="R8" t="s">
        <v>274</v>
      </c>
      <c r="S8" t="s">
        <v>218</v>
      </c>
      <c r="V8" t="s">
        <v>275</v>
      </c>
      <c r="W8">
        <v>4</v>
      </c>
      <c r="X8">
        <v>1</v>
      </c>
      <c r="Z8" s="14" cm="1">
        <f t="array" ref="Z8">VALUE(LEFT(A8, MIN(IFERROR(FIND({"o","p"}, A8), LEN(A8)+1))-1))</f>
        <v>4</v>
      </c>
    </row>
    <row r="9" spans="1:26">
      <c r="A9" t="s">
        <v>45</v>
      </c>
      <c r="C9">
        <v>61</v>
      </c>
      <c r="G9" t="s">
        <v>245</v>
      </c>
      <c r="L9" t="s">
        <v>196</v>
      </c>
      <c r="W9">
        <v>4</v>
      </c>
      <c r="X9">
        <v>2</v>
      </c>
      <c r="Z9" s="14" cm="1">
        <f t="array" ref="Z9">VALUE(LEFT(A9, MIN(IFERROR(FIND({"o","p"}, A9), LEN(A9)+1))-1))</f>
        <v>4</v>
      </c>
    </row>
    <row r="10" spans="1:26">
      <c r="A10" t="s">
        <v>46</v>
      </c>
      <c r="B10" s="21"/>
      <c r="C10">
        <v>34</v>
      </c>
      <c r="D10" t="s">
        <v>156</v>
      </c>
      <c r="E10" t="s">
        <v>160</v>
      </c>
      <c r="J10">
        <v>1</v>
      </c>
      <c r="L10" t="s">
        <v>32</v>
      </c>
      <c r="M10" t="s">
        <v>194</v>
      </c>
      <c r="N10" t="s">
        <v>276</v>
      </c>
      <c r="O10">
        <v>2</v>
      </c>
      <c r="P10" t="s">
        <v>211</v>
      </c>
      <c r="R10" t="s">
        <v>277</v>
      </c>
      <c r="S10" t="s">
        <v>278</v>
      </c>
      <c r="V10" t="s">
        <v>279</v>
      </c>
      <c r="W10">
        <v>5</v>
      </c>
      <c r="X10">
        <v>1</v>
      </c>
      <c r="Z10" s="14" cm="1">
        <f t="array" ref="Z10">VALUE(LEFT(A10, MIN(IFERROR(FIND({"o","p"}, A10), LEN(A10)+1))-1))</f>
        <v>5</v>
      </c>
    </row>
    <row r="11" spans="1:26">
      <c r="A11" t="s">
        <v>48</v>
      </c>
      <c r="B11" s="21"/>
      <c r="C11">
        <v>34</v>
      </c>
      <c r="E11" t="s">
        <v>160</v>
      </c>
      <c r="G11" t="s">
        <v>170</v>
      </c>
      <c r="I11">
        <v>2</v>
      </c>
      <c r="J11">
        <v>1</v>
      </c>
      <c r="K11" t="s">
        <v>47</v>
      </c>
      <c r="L11" t="s">
        <v>196</v>
      </c>
      <c r="W11">
        <v>5</v>
      </c>
      <c r="X11">
        <v>1</v>
      </c>
      <c r="Z11" s="14" cm="1">
        <f t="array" ref="Z11">VALUE(LEFT(A11, MIN(IFERROR(FIND({"o","p"}, A11), LEN(A11)+1))-1))</f>
        <v>5</v>
      </c>
    </row>
    <row r="12" spans="1:26">
      <c r="A12" t="s">
        <v>49</v>
      </c>
      <c r="C12">
        <v>34</v>
      </c>
      <c r="L12" t="s">
        <v>196</v>
      </c>
      <c r="P12" t="s">
        <v>274</v>
      </c>
      <c r="R12" t="s">
        <v>274</v>
      </c>
      <c r="S12" t="s">
        <v>274</v>
      </c>
      <c r="W12">
        <v>5</v>
      </c>
      <c r="X12">
        <v>2</v>
      </c>
      <c r="Z12" s="14" cm="1">
        <f t="array" ref="Z12">VALUE(LEFT(A12, MIN(IFERROR(FIND({"o","p"}, A12), LEN(A12)+1))-1))</f>
        <v>5</v>
      </c>
    </row>
    <row r="13" spans="1:26">
      <c r="A13" t="s">
        <v>50</v>
      </c>
      <c r="B13" s="21"/>
      <c r="C13">
        <v>66</v>
      </c>
      <c r="L13" t="s">
        <v>110</v>
      </c>
      <c r="M13" t="s">
        <v>280</v>
      </c>
      <c r="N13" t="s">
        <v>281</v>
      </c>
      <c r="O13">
        <v>1</v>
      </c>
      <c r="P13" t="s">
        <v>168</v>
      </c>
      <c r="R13" t="s">
        <v>274</v>
      </c>
      <c r="V13" t="s">
        <v>282</v>
      </c>
      <c r="W13">
        <v>6</v>
      </c>
      <c r="X13">
        <v>1</v>
      </c>
      <c r="Z13" s="14" cm="1">
        <f t="array" ref="Z13">VALUE(LEFT(A13, MIN(IFERROR(FIND({"o","p"}, A13), LEN(A13)+1))-1))</f>
        <v>6</v>
      </c>
    </row>
    <row r="14" spans="1:26">
      <c r="A14" t="s">
        <v>51</v>
      </c>
      <c r="C14">
        <v>66</v>
      </c>
      <c r="L14" t="s">
        <v>196</v>
      </c>
      <c r="N14" t="s">
        <v>171</v>
      </c>
      <c r="O14">
        <v>1</v>
      </c>
      <c r="P14" t="s">
        <v>168</v>
      </c>
      <c r="R14" t="s">
        <v>177</v>
      </c>
      <c r="S14" t="s">
        <v>168</v>
      </c>
      <c r="V14" t="s">
        <v>283</v>
      </c>
      <c r="W14">
        <v>6</v>
      </c>
      <c r="X14">
        <v>2</v>
      </c>
      <c r="Z14" s="14" cm="1">
        <f t="array" ref="Z14">VALUE(LEFT(A14, MIN(IFERROR(FIND({"o","p"}, A14), LEN(A14)+1))-1))</f>
        <v>6</v>
      </c>
    </row>
    <row r="15" spans="1:26">
      <c r="A15" t="s">
        <v>52</v>
      </c>
      <c r="B15" s="21"/>
      <c r="C15">
        <v>67</v>
      </c>
      <c r="D15" t="s">
        <v>152</v>
      </c>
      <c r="L15" t="s">
        <v>196</v>
      </c>
      <c r="M15" t="s">
        <v>33</v>
      </c>
      <c r="N15" t="s">
        <v>246</v>
      </c>
      <c r="O15">
        <v>2</v>
      </c>
      <c r="R15" t="s">
        <v>273</v>
      </c>
      <c r="V15" t="s">
        <v>273</v>
      </c>
      <c r="W15">
        <v>7</v>
      </c>
      <c r="X15">
        <v>1</v>
      </c>
      <c r="Z15" s="14" cm="1">
        <f t="array" ref="Z15">VALUE(LEFT(A15, MIN(IFERROR(FIND({"o","p"}, A15), LEN(A15)+1))-1))</f>
        <v>7</v>
      </c>
    </row>
    <row r="16" spans="1:26">
      <c r="A16" t="s">
        <v>53</v>
      </c>
      <c r="C16">
        <v>67</v>
      </c>
      <c r="L16" t="s">
        <v>259</v>
      </c>
      <c r="W16">
        <v>7</v>
      </c>
      <c r="X16">
        <v>2</v>
      </c>
      <c r="Z16" s="14" cm="1">
        <f t="array" ref="Z16">VALUE(LEFT(A16, MIN(IFERROR(FIND({"o","p"}, A16), LEN(A16)+1))-1))</f>
        <v>7</v>
      </c>
    </row>
    <row r="17" spans="1:26">
      <c r="A17" t="s">
        <v>54</v>
      </c>
      <c r="B17" s="21"/>
      <c r="C17">
        <v>78</v>
      </c>
      <c r="D17" t="s">
        <v>153</v>
      </c>
      <c r="L17" t="s">
        <v>196</v>
      </c>
      <c r="M17" t="s">
        <v>193</v>
      </c>
      <c r="N17" t="s">
        <v>55</v>
      </c>
      <c r="O17">
        <v>1</v>
      </c>
      <c r="P17" t="s">
        <v>168</v>
      </c>
      <c r="R17" t="s">
        <v>274</v>
      </c>
      <c r="S17" t="s">
        <v>168</v>
      </c>
      <c r="V17" t="s">
        <v>284</v>
      </c>
      <c r="W17">
        <v>8</v>
      </c>
      <c r="X17">
        <v>1</v>
      </c>
      <c r="Z17" s="14" cm="1">
        <f t="array" ref="Z17">VALUE(LEFT(A17, MIN(IFERROR(FIND({"o","p"}, A17), LEN(A17)+1))-1))</f>
        <v>8</v>
      </c>
    </row>
    <row r="18" spans="1:26">
      <c r="A18" t="s">
        <v>56</v>
      </c>
      <c r="C18">
        <v>78</v>
      </c>
      <c r="W18">
        <v>8</v>
      </c>
      <c r="X18">
        <v>2</v>
      </c>
      <c r="Z18" s="14" cm="1">
        <f t="array" ref="Z18">VALUE(LEFT(A18, MIN(IFERROR(FIND({"o","p"}, A18), LEN(A18)+1))-1))</f>
        <v>8</v>
      </c>
    </row>
    <row r="19" spans="1:26">
      <c r="A19" t="s">
        <v>57</v>
      </c>
      <c r="B19" s="21"/>
      <c r="C19">
        <v>55</v>
      </c>
      <c r="D19" t="s">
        <v>154</v>
      </c>
      <c r="E19" t="s">
        <v>160</v>
      </c>
      <c r="G19" t="s">
        <v>285</v>
      </c>
      <c r="I19">
        <v>8</v>
      </c>
      <c r="J19">
        <v>4</v>
      </c>
      <c r="L19" t="s">
        <v>196</v>
      </c>
      <c r="M19" t="s">
        <v>193</v>
      </c>
      <c r="N19" t="s">
        <v>286</v>
      </c>
      <c r="O19">
        <v>3</v>
      </c>
      <c r="R19" t="s">
        <v>274</v>
      </c>
      <c r="W19">
        <v>9</v>
      </c>
      <c r="X19">
        <v>1</v>
      </c>
      <c r="Z19" s="14" cm="1">
        <f t="array" ref="Z19">VALUE(LEFT(A19, MIN(IFERROR(FIND({"o","p"}, A19), LEN(A19)+1))-1))</f>
        <v>9</v>
      </c>
    </row>
    <row r="20" spans="1:26">
      <c r="A20" t="s">
        <v>58</v>
      </c>
      <c r="C20">
        <v>55</v>
      </c>
      <c r="E20" t="s">
        <v>159</v>
      </c>
      <c r="G20" t="s">
        <v>287</v>
      </c>
      <c r="I20" t="s">
        <v>288</v>
      </c>
      <c r="L20" t="s">
        <v>196</v>
      </c>
      <c r="O20">
        <v>2</v>
      </c>
      <c r="P20" t="s">
        <v>168</v>
      </c>
      <c r="R20" t="s">
        <v>289</v>
      </c>
      <c r="S20" t="s">
        <v>290</v>
      </c>
      <c r="V20" t="s">
        <v>273</v>
      </c>
      <c r="W20">
        <v>9</v>
      </c>
      <c r="X20">
        <v>2</v>
      </c>
      <c r="Z20" s="14" cm="1">
        <f t="array" ref="Z20">VALUE(LEFT(A20, MIN(IFERROR(FIND({"o","p"}, A20), LEN(A20)+1))-1))</f>
        <v>9</v>
      </c>
    </row>
    <row r="21" spans="1:26">
      <c r="A21" t="s">
        <v>59</v>
      </c>
      <c r="B21" s="21"/>
      <c r="C21">
        <v>24</v>
      </c>
      <c r="D21" t="s">
        <v>153</v>
      </c>
      <c r="I21">
        <v>1</v>
      </c>
      <c r="J21">
        <v>1</v>
      </c>
      <c r="L21" t="s">
        <v>196</v>
      </c>
      <c r="M21" t="s">
        <v>193</v>
      </c>
      <c r="N21" t="s">
        <v>222</v>
      </c>
      <c r="O21">
        <v>1</v>
      </c>
      <c r="P21" t="s">
        <v>168</v>
      </c>
      <c r="R21" t="s">
        <v>274</v>
      </c>
      <c r="S21" t="s">
        <v>168</v>
      </c>
      <c r="V21" t="s">
        <v>291</v>
      </c>
      <c r="W21">
        <v>10</v>
      </c>
      <c r="X21">
        <v>1</v>
      </c>
      <c r="Z21" s="14" cm="1">
        <f t="array" ref="Z21">VALUE(LEFT(A21, MIN(IFERROR(FIND({"o","p"}, A21), LEN(A21)+1))-1))</f>
        <v>10</v>
      </c>
    </row>
    <row r="22" spans="1:26">
      <c r="A22" t="s">
        <v>60</v>
      </c>
      <c r="C22">
        <v>24</v>
      </c>
      <c r="L22" t="s">
        <v>196</v>
      </c>
      <c r="W22">
        <v>10</v>
      </c>
      <c r="X22">
        <v>2</v>
      </c>
      <c r="Z22" s="14" cm="1">
        <f t="array" ref="Z22">VALUE(LEFT(A22, MIN(IFERROR(FIND({"o","p"}, A22), LEN(A22)+1))-1))</f>
        <v>10</v>
      </c>
    </row>
    <row r="23" spans="1:26">
      <c r="A23" t="s">
        <v>61</v>
      </c>
      <c r="B23" s="21"/>
      <c r="C23">
        <v>70</v>
      </c>
      <c r="D23" t="s">
        <v>149</v>
      </c>
      <c r="L23" t="s">
        <v>261</v>
      </c>
      <c r="M23" t="s">
        <v>195</v>
      </c>
      <c r="N23" t="s">
        <v>247</v>
      </c>
      <c r="O23">
        <v>2</v>
      </c>
      <c r="P23" t="s">
        <v>168</v>
      </c>
      <c r="R23" t="s">
        <v>273</v>
      </c>
      <c r="S23" t="s">
        <v>168</v>
      </c>
      <c r="V23" t="s">
        <v>273</v>
      </c>
      <c r="W23">
        <v>11</v>
      </c>
      <c r="X23">
        <v>1</v>
      </c>
      <c r="Z23" s="14" cm="1">
        <f t="array" ref="Z23">VALUE(LEFT(A23, MIN(IFERROR(FIND({"o","p"}, A23), LEN(A23)+1))-1))</f>
        <v>11</v>
      </c>
    </row>
    <row r="24" spans="1:26">
      <c r="A24" t="s">
        <v>62</v>
      </c>
      <c r="B24" s="22"/>
      <c r="C24">
        <v>70</v>
      </c>
      <c r="L24" t="s">
        <v>169</v>
      </c>
      <c r="N24" t="s">
        <v>248</v>
      </c>
      <c r="O24">
        <v>1</v>
      </c>
      <c r="W24">
        <v>11</v>
      </c>
      <c r="X24">
        <v>2</v>
      </c>
      <c r="Z24" s="14" cm="1">
        <f t="array" ref="Z24">VALUE(LEFT(A24, MIN(IFERROR(FIND({"o","p"}, A24), LEN(A24)+1))-1))</f>
        <v>11</v>
      </c>
    </row>
    <row r="25" spans="1:26">
      <c r="A25" t="s">
        <v>63</v>
      </c>
      <c r="B25" s="21"/>
      <c r="C25">
        <v>67</v>
      </c>
      <c r="D25" t="s">
        <v>149</v>
      </c>
      <c r="L25" t="s">
        <v>261</v>
      </c>
      <c r="M25" t="s">
        <v>292</v>
      </c>
      <c r="N25" t="s">
        <v>260</v>
      </c>
      <c r="O25">
        <v>2</v>
      </c>
      <c r="P25" t="s">
        <v>293</v>
      </c>
      <c r="Q25" t="s">
        <v>294</v>
      </c>
      <c r="R25" t="s">
        <v>274</v>
      </c>
      <c r="V25" t="s">
        <v>295</v>
      </c>
      <c r="W25">
        <v>12</v>
      </c>
      <c r="X25">
        <v>1</v>
      </c>
      <c r="Z25" s="14" cm="1">
        <f t="array" ref="Z25">VALUE(LEFT(A25, MIN(IFERROR(FIND({"o","p"}, A25), LEN(A25)+1))-1))</f>
        <v>12</v>
      </c>
    </row>
    <row r="26" spans="1:26">
      <c r="A26" t="s">
        <v>64</v>
      </c>
      <c r="C26">
        <v>67</v>
      </c>
      <c r="L26" t="s">
        <v>261</v>
      </c>
      <c r="N26" t="s">
        <v>172</v>
      </c>
      <c r="O26">
        <v>2</v>
      </c>
      <c r="W26">
        <v>12</v>
      </c>
      <c r="X26">
        <v>2</v>
      </c>
      <c r="Z26" s="14" cm="1">
        <f t="array" ref="Z26">VALUE(LEFT(A26, MIN(IFERROR(FIND({"o","p"}, A26), LEN(A26)+1))-1))</f>
        <v>12</v>
      </c>
    </row>
    <row r="27" spans="1:26">
      <c r="A27" t="s">
        <v>65</v>
      </c>
      <c r="B27" s="21"/>
      <c r="C27">
        <v>66</v>
      </c>
      <c r="E27" t="s">
        <v>249</v>
      </c>
      <c r="G27" t="s">
        <v>296</v>
      </c>
      <c r="I27">
        <v>19</v>
      </c>
      <c r="J27">
        <v>2</v>
      </c>
      <c r="K27" t="s">
        <v>250</v>
      </c>
      <c r="L27" t="s">
        <v>196</v>
      </c>
      <c r="M27" t="s">
        <v>193</v>
      </c>
      <c r="N27" t="s">
        <v>297</v>
      </c>
      <c r="O27">
        <v>2</v>
      </c>
      <c r="R27" t="s">
        <v>274</v>
      </c>
      <c r="S27" t="s">
        <v>298</v>
      </c>
      <c r="V27" t="s">
        <v>299</v>
      </c>
      <c r="W27">
        <v>13</v>
      </c>
      <c r="X27">
        <v>1</v>
      </c>
      <c r="Z27" s="14" cm="1">
        <f t="array" ref="Z27">VALUE(LEFT(A27, MIN(IFERROR(FIND({"o","p"}, A27), LEN(A27)+1))-1))</f>
        <v>13</v>
      </c>
    </row>
    <row r="28" spans="1:26">
      <c r="A28" t="s">
        <v>67</v>
      </c>
      <c r="C28">
        <v>66</v>
      </c>
      <c r="E28" t="s">
        <v>159</v>
      </c>
      <c r="G28" t="s">
        <v>300</v>
      </c>
      <c r="J28">
        <v>1</v>
      </c>
      <c r="K28" t="s">
        <v>173</v>
      </c>
      <c r="L28" t="s">
        <v>196</v>
      </c>
      <c r="N28" t="s">
        <v>301</v>
      </c>
      <c r="O28">
        <v>1</v>
      </c>
      <c r="P28" t="s">
        <v>274</v>
      </c>
      <c r="Q28" t="s">
        <v>294</v>
      </c>
      <c r="R28" t="s">
        <v>274</v>
      </c>
      <c r="S28" t="s">
        <v>274</v>
      </c>
      <c r="V28" t="s">
        <v>283</v>
      </c>
      <c r="W28">
        <v>13</v>
      </c>
      <c r="X28">
        <v>2</v>
      </c>
      <c r="Z28" s="14" cm="1">
        <f t="array" ref="Z28">VALUE(LEFT(A28, MIN(IFERROR(FIND({"o","p"}, A28), LEN(A28)+1))-1))</f>
        <v>13</v>
      </c>
    </row>
    <row r="29" spans="1:26">
      <c r="A29" t="s">
        <v>68</v>
      </c>
      <c r="B29" s="21"/>
      <c r="C29">
        <v>51</v>
      </c>
      <c r="D29" t="s">
        <v>262</v>
      </c>
      <c r="L29" t="s">
        <v>196</v>
      </c>
      <c r="M29" t="s">
        <v>193</v>
      </c>
      <c r="N29" t="s">
        <v>69</v>
      </c>
      <c r="O29">
        <v>1</v>
      </c>
      <c r="P29" t="s">
        <v>274</v>
      </c>
      <c r="Q29" t="s">
        <v>294</v>
      </c>
      <c r="R29" t="s">
        <v>274</v>
      </c>
      <c r="S29" t="s">
        <v>263</v>
      </c>
      <c r="V29" t="s">
        <v>273</v>
      </c>
      <c r="W29">
        <v>14</v>
      </c>
      <c r="X29">
        <v>1</v>
      </c>
      <c r="Z29" s="14" cm="1">
        <f t="array" ref="Z29">VALUE(LEFT(A29, MIN(IFERROR(FIND({"o","p"}, A29), LEN(A29)+1))-1))</f>
        <v>14</v>
      </c>
    </row>
    <row r="30" spans="1:26">
      <c r="A30" t="s">
        <v>70</v>
      </c>
      <c r="C30">
        <v>51</v>
      </c>
      <c r="L30" t="s">
        <v>196</v>
      </c>
      <c r="W30">
        <v>14</v>
      </c>
      <c r="X30">
        <v>2</v>
      </c>
      <c r="Z30" s="14" cm="1">
        <f t="array" ref="Z30">VALUE(LEFT(A30, MIN(IFERROR(FIND({"o","p"}, A30), LEN(A30)+1))-1))</f>
        <v>14</v>
      </c>
    </row>
    <row r="31" spans="1:26">
      <c r="A31" t="s">
        <v>71</v>
      </c>
      <c r="C31">
        <v>64</v>
      </c>
      <c r="L31" t="s">
        <v>261</v>
      </c>
      <c r="M31" t="s">
        <v>302</v>
      </c>
      <c r="N31" t="s">
        <v>303</v>
      </c>
      <c r="O31">
        <v>1</v>
      </c>
      <c r="R31" t="s">
        <v>273</v>
      </c>
      <c r="T31" t="s">
        <v>251</v>
      </c>
      <c r="V31" t="s">
        <v>304</v>
      </c>
      <c r="W31">
        <v>15</v>
      </c>
      <c r="X31">
        <v>1</v>
      </c>
      <c r="Z31" s="14" cm="1">
        <f t="array" ref="Z31">VALUE(LEFT(A31, MIN(IFERROR(FIND({"o","p"}, A31), LEN(A31)+1))-1))</f>
        <v>15</v>
      </c>
    </row>
    <row r="32" spans="1:26">
      <c r="A32" t="s">
        <v>73</v>
      </c>
      <c r="C32">
        <v>64</v>
      </c>
      <c r="L32" t="s">
        <v>196</v>
      </c>
      <c r="W32">
        <v>15</v>
      </c>
      <c r="X32">
        <v>2</v>
      </c>
      <c r="Z32" s="14" cm="1">
        <f t="array" ref="Z32">VALUE(LEFT(A32, MIN(IFERROR(FIND({"o","p"}, A32), LEN(A32)+1))-1))</f>
        <v>15</v>
      </c>
    </row>
    <row r="33" spans="1:26">
      <c r="A33" t="s">
        <v>74</v>
      </c>
      <c r="B33" s="21"/>
      <c r="D33" t="s">
        <v>154</v>
      </c>
      <c r="I33">
        <v>4</v>
      </c>
      <c r="J33">
        <v>0</v>
      </c>
      <c r="L33" t="s">
        <v>196</v>
      </c>
      <c r="M33" t="s">
        <v>193</v>
      </c>
      <c r="N33" t="s">
        <v>223</v>
      </c>
      <c r="O33">
        <v>2</v>
      </c>
      <c r="R33" t="s">
        <v>274</v>
      </c>
      <c r="W33">
        <v>16</v>
      </c>
      <c r="X33">
        <v>1</v>
      </c>
      <c r="Z33" s="14" cm="1">
        <f t="array" ref="Z33">VALUE(LEFT(A33, MIN(IFERROR(FIND({"o","p"}, A33), LEN(A33)+1))-1))</f>
        <v>16</v>
      </c>
    </row>
    <row r="34" spans="1:26">
      <c r="A34" t="s">
        <v>75</v>
      </c>
      <c r="C34">
        <v>43</v>
      </c>
      <c r="L34" t="s">
        <v>196</v>
      </c>
      <c r="P34" t="s">
        <v>274</v>
      </c>
      <c r="R34" t="s">
        <v>274</v>
      </c>
      <c r="S34" t="s">
        <v>274</v>
      </c>
      <c r="W34">
        <v>16</v>
      </c>
      <c r="X34">
        <v>2</v>
      </c>
      <c r="Z34" s="14" cm="1">
        <f t="array" ref="Z34">VALUE(LEFT(A34, MIN(IFERROR(FIND({"o","p"}, A34), LEN(A34)+1))-1))</f>
        <v>16</v>
      </c>
    </row>
    <row r="35" spans="1:26">
      <c r="A35" t="s">
        <v>76</v>
      </c>
      <c r="B35" s="21"/>
      <c r="C35">
        <v>49</v>
      </c>
      <c r="D35" t="s">
        <v>153</v>
      </c>
      <c r="E35" t="s">
        <v>161</v>
      </c>
      <c r="G35" t="s">
        <v>305</v>
      </c>
      <c r="I35">
        <v>21</v>
      </c>
      <c r="J35">
        <v>5</v>
      </c>
      <c r="K35" t="s">
        <v>264</v>
      </c>
      <c r="L35" t="s">
        <v>196</v>
      </c>
      <c r="M35" t="s">
        <v>193</v>
      </c>
      <c r="N35" t="s">
        <v>77</v>
      </c>
      <c r="O35">
        <v>2</v>
      </c>
      <c r="R35" t="s">
        <v>274</v>
      </c>
      <c r="W35">
        <v>17</v>
      </c>
      <c r="X35">
        <v>1</v>
      </c>
      <c r="Z35" s="14" cm="1">
        <f t="array" ref="Z35">VALUE(LEFT(A35, MIN(IFERROR(FIND({"o","p"}, A35), LEN(A35)+1))-1))</f>
        <v>17</v>
      </c>
    </row>
    <row r="36" spans="1:26">
      <c r="A36" t="s">
        <v>78</v>
      </c>
      <c r="C36">
        <v>49</v>
      </c>
      <c r="E36" t="s">
        <v>158</v>
      </c>
      <c r="G36" t="s">
        <v>306</v>
      </c>
      <c r="I36">
        <v>2</v>
      </c>
      <c r="J36">
        <v>1</v>
      </c>
      <c r="L36" t="s">
        <v>196</v>
      </c>
      <c r="N36" t="s">
        <v>174</v>
      </c>
      <c r="O36">
        <v>1</v>
      </c>
      <c r="P36" t="s">
        <v>168</v>
      </c>
      <c r="R36" t="s">
        <v>177</v>
      </c>
      <c r="V36" t="s">
        <v>273</v>
      </c>
      <c r="W36">
        <v>17</v>
      </c>
      <c r="X36">
        <v>2</v>
      </c>
      <c r="Z36" s="14" cm="1">
        <f t="array" ref="Z36">VALUE(LEFT(A36, MIN(IFERROR(FIND({"o","p"}, A36), LEN(A36)+1))-1))</f>
        <v>17</v>
      </c>
    </row>
    <row r="37" spans="1:26">
      <c r="A37" t="s">
        <v>79</v>
      </c>
      <c r="B37" s="21"/>
      <c r="C37">
        <v>55</v>
      </c>
      <c r="D37" t="s">
        <v>150</v>
      </c>
      <c r="E37" t="s">
        <v>160</v>
      </c>
      <c r="G37" t="s">
        <v>224</v>
      </c>
      <c r="I37">
        <v>4</v>
      </c>
      <c r="J37">
        <v>4</v>
      </c>
      <c r="L37" t="s">
        <v>196</v>
      </c>
      <c r="M37" t="s">
        <v>193</v>
      </c>
      <c r="N37" t="s">
        <v>265</v>
      </c>
      <c r="O37">
        <v>1</v>
      </c>
      <c r="P37" t="s">
        <v>168</v>
      </c>
      <c r="R37" t="s">
        <v>252</v>
      </c>
      <c r="S37" t="s">
        <v>219</v>
      </c>
      <c r="V37" t="s">
        <v>252</v>
      </c>
      <c r="W37">
        <v>18</v>
      </c>
      <c r="X37">
        <v>1</v>
      </c>
      <c r="Z37" s="14" cm="1">
        <f t="array" ref="Z37">VALUE(LEFT(A37, MIN(IFERROR(FIND({"o","p"}, A37), LEN(A37)+1))-1))</f>
        <v>18</v>
      </c>
    </row>
    <row r="38" spans="1:26">
      <c r="A38" t="s">
        <v>80</v>
      </c>
      <c r="C38">
        <v>55</v>
      </c>
      <c r="L38" t="s">
        <v>196</v>
      </c>
      <c r="P38" t="s">
        <v>274</v>
      </c>
      <c r="R38" t="s">
        <v>274</v>
      </c>
      <c r="S38" t="s">
        <v>274</v>
      </c>
      <c r="W38">
        <v>18</v>
      </c>
      <c r="X38">
        <v>2</v>
      </c>
      <c r="Z38" s="14" cm="1">
        <f t="array" ref="Z38">VALUE(LEFT(A38, MIN(IFERROR(FIND({"o","p"}, A38), LEN(A38)+1))-1))</f>
        <v>18</v>
      </c>
    </row>
    <row r="39" spans="1:26">
      <c r="A39" t="s">
        <v>81</v>
      </c>
      <c r="B39" s="21"/>
      <c r="C39">
        <v>23</v>
      </c>
      <c r="I39">
        <v>1</v>
      </c>
      <c r="J39">
        <v>0</v>
      </c>
      <c r="L39" t="s">
        <v>196</v>
      </c>
      <c r="M39" t="s">
        <v>193</v>
      </c>
      <c r="N39" t="s">
        <v>175</v>
      </c>
      <c r="O39">
        <v>1</v>
      </c>
      <c r="P39" t="s">
        <v>168</v>
      </c>
      <c r="R39" t="s">
        <v>273</v>
      </c>
      <c r="S39" t="s">
        <v>168</v>
      </c>
      <c r="V39" t="s">
        <v>273</v>
      </c>
      <c r="W39">
        <v>19</v>
      </c>
      <c r="X39">
        <v>1</v>
      </c>
      <c r="Z39" s="14" cm="1">
        <f t="array" ref="Z39">VALUE(LEFT(A39, MIN(IFERROR(FIND({"o","p"}, A39), LEN(A39)+1))-1))</f>
        <v>19</v>
      </c>
    </row>
    <row r="40" spans="1:26">
      <c r="A40" t="s">
        <v>82</v>
      </c>
      <c r="C40">
        <v>23</v>
      </c>
      <c r="L40" t="s">
        <v>307</v>
      </c>
      <c r="W40">
        <v>19</v>
      </c>
      <c r="X40">
        <v>2</v>
      </c>
      <c r="Z40" s="14" cm="1">
        <f t="array" ref="Z40">VALUE(LEFT(A40, MIN(IFERROR(FIND({"o","p"}, A40), LEN(A40)+1))-1))</f>
        <v>19</v>
      </c>
    </row>
    <row r="41" spans="1:26">
      <c r="A41" t="s">
        <v>83</v>
      </c>
      <c r="B41" s="21"/>
      <c r="C41">
        <v>61</v>
      </c>
      <c r="J41">
        <v>3</v>
      </c>
      <c r="K41" t="s">
        <v>308</v>
      </c>
      <c r="L41" t="s">
        <v>196</v>
      </c>
      <c r="M41" t="s">
        <v>193</v>
      </c>
      <c r="N41" t="s">
        <v>309</v>
      </c>
      <c r="O41">
        <v>2</v>
      </c>
      <c r="R41" t="s">
        <v>274</v>
      </c>
      <c r="S41" t="s">
        <v>274</v>
      </c>
      <c r="W41">
        <v>20</v>
      </c>
      <c r="X41">
        <v>1</v>
      </c>
      <c r="Z41" s="14" cm="1">
        <f t="array" ref="Z41">VALUE(LEFT(A41, MIN(IFERROR(FIND({"o","p"}, A41), LEN(A41)+1))-1))</f>
        <v>20</v>
      </c>
    </row>
    <row r="42" spans="1:26">
      <c r="A42" t="s">
        <v>84</v>
      </c>
      <c r="C42">
        <v>61</v>
      </c>
      <c r="L42" t="s">
        <v>310</v>
      </c>
      <c r="W42">
        <v>20</v>
      </c>
      <c r="X42">
        <v>2</v>
      </c>
      <c r="Z42" s="14" cm="1">
        <f t="array" ref="Z42">VALUE(LEFT(A42, MIN(IFERROR(FIND({"o","p"}, A42), LEN(A42)+1))-1))</f>
        <v>20</v>
      </c>
    </row>
    <row r="43" spans="1:26">
      <c r="A43" t="s">
        <v>85</v>
      </c>
      <c r="B43" s="21"/>
      <c r="C43">
        <v>51</v>
      </c>
      <c r="D43" t="s">
        <v>155</v>
      </c>
      <c r="E43" t="s">
        <v>160</v>
      </c>
      <c r="G43" t="s">
        <v>311</v>
      </c>
      <c r="I43">
        <v>7</v>
      </c>
      <c r="J43">
        <v>4</v>
      </c>
      <c r="L43" t="s">
        <v>196</v>
      </c>
      <c r="M43" t="s">
        <v>193</v>
      </c>
      <c r="N43" t="s">
        <v>253</v>
      </c>
      <c r="O43">
        <v>1</v>
      </c>
      <c r="P43" t="s">
        <v>274</v>
      </c>
      <c r="R43" t="s">
        <v>274</v>
      </c>
      <c r="S43" t="s">
        <v>274</v>
      </c>
      <c r="V43" t="s">
        <v>312</v>
      </c>
      <c r="W43">
        <v>21</v>
      </c>
      <c r="X43">
        <v>1</v>
      </c>
      <c r="Z43" s="14" cm="1">
        <f t="array" ref="Z43">VALUE(LEFT(A43, MIN(IFERROR(FIND({"o","p"}, A43), LEN(A43)+1))-1))</f>
        <v>21</v>
      </c>
    </row>
    <row r="44" spans="1:26">
      <c r="A44" t="s">
        <v>86</v>
      </c>
      <c r="C44">
        <v>51</v>
      </c>
      <c r="E44" t="s">
        <v>157</v>
      </c>
      <c r="L44" t="s">
        <v>196</v>
      </c>
      <c r="N44" t="s">
        <v>268</v>
      </c>
      <c r="O44">
        <v>1</v>
      </c>
      <c r="P44" t="s">
        <v>168</v>
      </c>
      <c r="R44" t="s">
        <v>273</v>
      </c>
      <c r="V44" t="s">
        <v>283</v>
      </c>
      <c r="W44">
        <v>21</v>
      </c>
      <c r="X44">
        <v>2</v>
      </c>
      <c r="Z44" s="14" cm="1">
        <f t="array" ref="Z44">VALUE(LEFT(A44, MIN(IFERROR(FIND({"o","p"}, A44), LEN(A44)+1))-1))</f>
        <v>21</v>
      </c>
    </row>
    <row r="45" spans="1:26">
      <c r="A45" t="s">
        <v>87</v>
      </c>
      <c r="B45" s="21"/>
      <c r="C45">
        <v>50</v>
      </c>
      <c r="D45" t="s">
        <v>199</v>
      </c>
      <c r="I45">
        <v>1</v>
      </c>
      <c r="J45">
        <v>0</v>
      </c>
      <c r="L45" t="s">
        <v>196</v>
      </c>
      <c r="M45" t="s">
        <v>193</v>
      </c>
      <c r="N45" t="s">
        <v>176</v>
      </c>
      <c r="O45">
        <v>1</v>
      </c>
      <c r="R45" t="s">
        <v>273</v>
      </c>
      <c r="V45" t="s">
        <v>273</v>
      </c>
      <c r="W45">
        <v>22</v>
      </c>
      <c r="X45">
        <v>1</v>
      </c>
      <c r="Z45" s="14" cm="1">
        <f t="array" ref="Z45">VALUE(LEFT(A45, MIN(IFERROR(FIND({"o","p"}, A45), LEN(A45)+1))-1))</f>
        <v>22</v>
      </c>
    </row>
    <row r="46" spans="1:26">
      <c r="A46" t="s">
        <v>88</v>
      </c>
      <c r="C46">
        <v>50</v>
      </c>
      <c r="D46" t="s">
        <v>151</v>
      </c>
      <c r="E46" t="s">
        <v>158</v>
      </c>
      <c r="F46" t="s">
        <v>162</v>
      </c>
      <c r="L46" t="s">
        <v>196</v>
      </c>
      <c r="P46" t="s">
        <v>168</v>
      </c>
      <c r="R46" t="s">
        <v>177</v>
      </c>
      <c r="S46" t="s">
        <v>168</v>
      </c>
      <c r="V46" t="s">
        <v>273</v>
      </c>
      <c r="W46">
        <v>22</v>
      </c>
      <c r="X46">
        <v>2</v>
      </c>
      <c r="Z46" s="14" cm="1">
        <f t="array" ref="Z46">VALUE(LEFT(A46, MIN(IFERROR(FIND({"o","p"}, A46), LEN(A46)+1))-1))</f>
        <v>22</v>
      </c>
    </row>
    <row r="47" spans="1:26">
      <c r="A47" t="s">
        <v>89</v>
      </c>
      <c r="B47" s="21"/>
      <c r="C47">
        <v>61</v>
      </c>
      <c r="I47">
        <v>7</v>
      </c>
      <c r="J47">
        <v>1</v>
      </c>
      <c r="L47" t="s">
        <v>196</v>
      </c>
      <c r="M47" t="s">
        <v>33</v>
      </c>
      <c r="N47" t="s">
        <v>313</v>
      </c>
      <c r="O47">
        <v>2</v>
      </c>
      <c r="P47" t="s">
        <v>168</v>
      </c>
      <c r="R47" t="s">
        <v>274</v>
      </c>
      <c r="S47" t="s">
        <v>274</v>
      </c>
      <c r="V47" t="s">
        <v>273</v>
      </c>
      <c r="W47">
        <v>23</v>
      </c>
      <c r="X47">
        <v>1</v>
      </c>
      <c r="Z47" s="14" cm="1">
        <f t="array" ref="Z47">VALUE(LEFT(A47, MIN(IFERROR(FIND({"o","p"}, A47), LEN(A47)+1))-1))</f>
        <v>23</v>
      </c>
    </row>
    <row r="48" spans="1:26">
      <c r="A48" t="s">
        <v>90</v>
      </c>
      <c r="C48">
        <v>61</v>
      </c>
      <c r="L48" t="s">
        <v>261</v>
      </c>
      <c r="W48">
        <v>23</v>
      </c>
      <c r="X48">
        <v>2</v>
      </c>
      <c r="Z48" s="14" cm="1">
        <f t="array" ref="Z48">VALUE(LEFT(A48, MIN(IFERROR(FIND({"o","p"}, A48), LEN(A48)+1))-1))</f>
        <v>23</v>
      </c>
    </row>
    <row r="49" spans="1:26">
      <c r="A49" t="s">
        <v>91</v>
      </c>
      <c r="B49" s="21"/>
      <c r="C49">
        <v>55</v>
      </c>
      <c r="D49" t="s">
        <v>150</v>
      </c>
      <c r="E49" t="s">
        <v>161</v>
      </c>
      <c r="G49" t="s">
        <v>314</v>
      </c>
      <c r="I49">
        <v>15</v>
      </c>
      <c r="J49">
        <v>9</v>
      </c>
      <c r="K49" t="s">
        <v>225</v>
      </c>
      <c r="L49" t="s">
        <v>196</v>
      </c>
      <c r="M49" t="s">
        <v>193</v>
      </c>
      <c r="N49" t="s">
        <v>315</v>
      </c>
      <c r="O49">
        <v>3</v>
      </c>
      <c r="P49" t="s">
        <v>220</v>
      </c>
      <c r="Q49" t="s">
        <v>294</v>
      </c>
      <c r="R49" t="s">
        <v>212</v>
      </c>
      <c r="S49" t="s">
        <v>220</v>
      </c>
      <c r="V49" t="s">
        <v>295</v>
      </c>
      <c r="W49">
        <v>24</v>
      </c>
      <c r="X49">
        <v>1</v>
      </c>
      <c r="Z49" s="14" cm="1">
        <f t="array" ref="Z49">VALUE(LEFT(A49, MIN(IFERROR(FIND({"o","p"}, A49), LEN(A49)+1))-1))</f>
        <v>24</v>
      </c>
    </row>
    <row r="50" spans="1:26">
      <c r="A50" t="s">
        <v>92</v>
      </c>
      <c r="C50">
        <v>55</v>
      </c>
      <c r="G50" t="s">
        <v>316</v>
      </c>
      <c r="L50" t="s">
        <v>310</v>
      </c>
      <c r="N50" t="s">
        <v>317</v>
      </c>
      <c r="O50">
        <v>2</v>
      </c>
      <c r="P50" t="s">
        <v>274</v>
      </c>
      <c r="R50" t="s">
        <v>274</v>
      </c>
      <c r="S50" t="s">
        <v>168</v>
      </c>
      <c r="V50" t="s">
        <v>299</v>
      </c>
      <c r="W50">
        <v>24</v>
      </c>
      <c r="X50">
        <v>2</v>
      </c>
      <c r="Z50" s="14" cm="1">
        <f t="array" ref="Z50">VALUE(LEFT(A50, MIN(IFERROR(FIND({"o","p"}, A50), LEN(A50)+1))-1))</f>
        <v>24</v>
      </c>
    </row>
    <row r="51" spans="1:26">
      <c r="A51" t="s">
        <v>93</v>
      </c>
      <c r="B51" s="21"/>
      <c r="C51">
        <v>42</v>
      </c>
      <c r="D51" t="s">
        <v>153</v>
      </c>
      <c r="L51" t="s">
        <v>196</v>
      </c>
      <c r="M51" t="s">
        <v>193</v>
      </c>
      <c r="N51" t="s">
        <v>254</v>
      </c>
      <c r="O51" t="s">
        <v>318</v>
      </c>
      <c r="P51" t="s">
        <v>177</v>
      </c>
      <c r="R51" t="s">
        <v>177</v>
      </c>
      <c r="S51" t="s">
        <v>177</v>
      </c>
      <c r="V51" t="s">
        <v>273</v>
      </c>
      <c r="W51">
        <v>25</v>
      </c>
      <c r="X51">
        <v>1</v>
      </c>
      <c r="Z51" s="14" cm="1">
        <f t="array" ref="Z51">VALUE(LEFT(A51, MIN(IFERROR(FIND({"o","p"}, A51), LEN(A51)+1))-1))</f>
        <v>25</v>
      </c>
    </row>
    <row r="52" spans="1:26">
      <c r="A52" t="s">
        <v>94</v>
      </c>
      <c r="C52">
        <v>42</v>
      </c>
      <c r="L52" t="s">
        <v>196</v>
      </c>
      <c r="W52">
        <v>25</v>
      </c>
      <c r="X52">
        <v>2</v>
      </c>
      <c r="Z52" s="14" cm="1">
        <f t="array" ref="Z52">VALUE(LEFT(A52, MIN(IFERROR(FIND({"o","p"}, A52), LEN(A52)+1))-1))</f>
        <v>25</v>
      </c>
    </row>
    <row r="53" spans="1:26">
      <c r="A53" t="s">
        <v>96</v>
      </c>
      <c r="B53" s="21"/>
      <c r="C53">
        <v>73</v>
      </c>
      <c r="D53" t="s">
        <v>151</v>
      </c>
      <c r="E53" t="s">
        <v>216</v>
      </c>
      <c r="F53" t="s">
        <v>217</v>
      </c>
      <c r="L53" t="s">
        <v>196</v>
      </c>
      <c r="M53" t="s">
        <v>193</v>
      </c>
      <c r="N53" t="s">
        <v>319</v>
      </c>
      <c r="O53">
        <v>1</v>
      </c>
      <c r="P53" t="s">
        <v>168</v>
      </c>
      <c r="R53" t="s">
        <v>274</v>
      </c>
      <c r="S53" t="s">
        <v>226</v>
      </c>
      <c r="V53" t="s">
        <v>320</v>
      </c>
      <c r="W53">
        <v>26</v>
      </c>
      <c r="X53">
        <v>1</v>
      </c>
      <c r="Z53" s="14" cm="1">
        <f t="array" ref="Z53">VALUE(LEFT(A53, MIN(IFERROR(FIND({"o","p"}, A53), LEN(A53)+1))-1))</f>
        <v>26</v>
      </c>
    </row>
    <row r="54" spans="1:26">
      <c r="A54" t="s">
        <v>97</v>
      </c>
      <c r="C54">
        <v>73</v>
      </c>
      <c r="L54" t="s">
        <v>196</v>
      </c>
      <c r="N54" t="s">
        <v>95</v>
      </c>
      <c r="O54">
        <v>2</v>
      </c>
      <c r="P54" t="s">
        <v>168</v>
      </c>
      <c r="R54" t="s">
        <v>274</v>
      </c>
      <c r="S54" t="s">
        <v>274</v>
      </c>
      <c r="V54" t="s">
        <v>283</v>
      </c>
      <c r="W54">
        <v>26</v>
      </c>
      <c r="X54">
        <v>2</v>
      </c>
      <c r="Z54" s="14" cm="1">
        <f t="array" ref="Z54">VALUE(LEFT(A54, MIN(IFERROR(FIND({"o","p"}, A54), LEN(A54)+1))-1))</f>
        <v>26</v>
      </c>
    </row>
    <row r="55" spans="1:26">
      <c r="A55" t="s">
        <v>98</v>
      </c>
      <c r="C55">
        <v>39</v>
      </c>
      <c r="D55" t="s">
        <v>199</v>
      </c>
      <c r="G55" t="s">
        <v>227</v>
      </c>
      <c r="I55">
        <v>2</v>
      </c>
      <c r="J55">
        <v>1</v>
      </c>
      <c r="L55" t="s">
        <v>196</v>
      </c>
      <c r="N55" t="s">
        <v>321</v>
      </c>
      <c r="O55">
        <v>2</v>
      </c>
      <c r="P55" t="s">
        <v>168</v>
      </c>
      <c r="R55" t="s">
        <v>322</v>
      </c>
      <c r="S55" t="s">
        <v>168</v>
      </c>
      <c r="V55" t="s">
        <v>323</v>
      </c>
      <c r="W55">
        <v>27</v>
      </c>
      <c r="X55">
        <v>1</v>
      </c>
      <c r="Z55" s="14" cm="1">
        <f t="array" ref="Z55">VALUE(LEFT(A55, MIN(IFERROR(FIND({"o","p"}, A55), LEN(A55)+1))-1))</f>
        <v>27</v>
      </c>
    </row>
    <row r="56" spans="1:26">
      <c r="A56" t="s">
        <v>99</v>
      </c>
      <c r="C56">
        <v>39</v>
      </c>
      <c r="L56" t="s">
        <v>266</v>
      </c>
      <c r="O56">
        <v>1</v>
      </c>
      <c r="W56">
        <v>27</v>
      </c>
      <c r="X56">
        <v>2</v>
      </c>
      <c r="Z56" s="14" cm="1">
        <f t="array" ref="Z56">VALUE(LEFT(A56, MIN(IFERROR(FIND({"o","p"}, A56), LEN(A56)+1))-1))</f>
        <v>27</v>
      </c>
    </row>
    <row r="57" spans="1:26">
      <c r="A57" t="s">
        <v>100</v>
      </c>
      <c r="B57" s="21"/>
      <c r="C57">
        <v>57</v>
      </c>
      <c r="D57" t="s">
        <v>199</v>
      </c>
      <c r="E57" t="s">
        <v>200</v>
      </c>
      <c r="G57" t="s">
        <v>324</v>
      </c>
      <c r="I57">
        <v>5</v>
      </c>
      <c r="J57">
        <v>1</v>
      </c>
      <c r="K57" t="s">
        <v>101</v>
      </c>
      <c r="L57" t="s">
        <v>196</v>
      </c>
      <c r="N57" t="s">
        <v>267</v>
      </c>
      <c r="O57">
        <v>2</v>
      </c>
      <c r="P57" t="s">
        <v>168</v>
      </c>
      <c r="R57" t="s">
        <v>255</v>
      </c>
      <c r="S57" t="s">
        <v>168</v>
      </c>
      <c r="V57" t="s">
        <v>255</v>
      </c>
      <c r="W57">
        <v>28</v>
      </c>
      <c r="X57">
        <v>1</v>
      </c>
      <c r="Z57" s="14" cm="1">
        <f t="array" ref="Z57">VALUE(LEFT(A57, MIN(IFERROR(FIND({"o","p"}, A57), LEN(A57)+1))-1))</f>
        <v>28</v>
      </c>
    </row>
    <row r="58" spans="1:26">
      <c r="A58" t="s">
        <v>102</v>
      </c>
      <c r="C58">
        <v>57</v>
      </c>
      <c r="L58" t="s">
        <v>310</v>
      </c>
      <c r="W58">
        <v>28</v>
      </c>
      <c r="X58">
        <v>2</v>
      </c>
      <c r="Z58" s="14" cm="1">
        <f t="array" ref="Z58">VALUE(LEFT(A58, MIN(IFERROR(FIND({"o","p"}, A58), LEN(A58)+1))-1))</f>
        <v>28</v>
      </c>
    </row>
    <row r="59" spans="1:26">
      <c r="A59" t="s">
        <v>103</v>
      </c>
      <c r="B59" s="21"/>
      <c r="C59">
        <v>63</v>
      </c>
      <c r="D59" t="s">
        <v>199</v>
      </c>
      <c r="L59" t="s">
        <v>32</v>
      </c>
      <c r="M59" t="s">
        <v>193</v>
      </c>
      <c r="N59" t="s">
        <v>256</v>
      </c>
      <c r="O59">
        <v>1</v>
      </c>
      <c r="P59" t="s">
        <v>168</v>
      </c>
      <c r="R59" t="s">
        <v>325</v>
      </c>
      <c r="S59" t="s">
        <v>168</v>
      </c>
      <c r="V59" t="s">
        <v>273</v>
      </c>
      <c r="W59">
        <v>29</v>
      </c>
      <c r="X59">
        <v>1</v>
      </c>
      <c r="Z59" s="14" cm="1">
        <f t="array" ref="Z59">VALUE(LEFT(A59, MIN(IFERROR(FIND({"o","p"}, A59), LEN(A59)+1))-1))</f>
        <v>29</v>
      </c>
    </row>
    <row r="60" spans="1:26">
      <c r="A60" t="s">
        <v>104</v>
      </c>
      <c r="C60">
        <v>63</v>
      </c>
      <c r="L60" t="s">
        <v>196</v>
      </c>
      <c r="W60">
        <v>29</v>
      </c>
      <c r="X60">
        <v>2</v>
      </c>
      <c r="Z60" s="14" cm="1">
        <f t="array" ref="Z60">VALUE(LEFT(A60, MIN(IFERROR(FIND({"o","p"}, A60), LEN(A60)+1))-1))</f>
        <v>29</v>
      </c>
    </row>
    <row r="61" spans="1:26">
      <c r="A61" t="s">
        <v>105</v>
      </c>
      <c r="B61" s="21"/>
      <c r="C61">
        <v>39</v>
      </c>
      <c r="D61" t="s">
        <v>153</v>
      </c>
      <c r="I61">
        <v>24</v>
      </c>
      <c r="J61">
        <v>3</v>
      </c>
      <c r="K61" t="s">
        <v>178</v>
      </c>
      <c r="L61" t="s">
        <v>196</v>
      </c>
      <c r="M61" t="s">
        <v>33</v>
      </c>
      <c r="N61" t="s">
        <v>228</v>
      </c>
      <c r="O61">
        <v>3</v>
      </c>
      <c r="R61" t="s">
        <v>273</v>
      </c>
      <c r="V61" t="s">
        <v>273</v>
      </c>
      <c r="W61">
        <v>30</v>
      </c>
      <c r="X61">
        <v>1</v>
      </c>
      <c r="Z61" s="14" cm="1">
        <f t="array" ref="Z61">VALUE(LEFT(A61, MIN(IFERROR(FIND({"o","p"}, A61), LEN(A61)+1))-1))</f>
        <v>30</v>
      </c>
    </row>
    <row r="62" spans="1:26">
      <c r="A62" t="s">
        <v>106</v>
      </c>
      <c r="C62">
        <v>39</v>
      </c>
      <c r="E62" t="s">
        <v>159</v>
      </c>
      <c r="G62" t="s">
        <v>326</v>
      </c>
      <c r="L62" t="s">
        <v>196</v>
      </c>
      <c r="P62" t="s">
        <v>168</v>
      </c>
      <c r="R62" t="s">
        <v>274</v>
      </c>
      <c r="S62" t="s">
        <v>168</v>
      </c>
      <c r="W62">
        <v>30</v>
      </c>
      <c r="X62">
        <v>2</v>
      </c>
      <c r="Z62" s="14" cm="1">
        <f t="array" ref="Z62">VALUE(LEFT(A62, MIN(IFERROR(FIND({"o","p"}, A62), LEN(A62)+1))-1))</f>
        <v>30</v>
      </c>
    </row>
    <row r="63" spans="1:26">
      <c r="A63" t="s">
        <v>107</v>
      </c>
      <c r="B63" s="21"/>
      <c r="J63">
        <v>1</v>
      </c>
      <c r="L63" t="s">
        <v>196</v>
      </c>
      <c r="M63" t="s">
        <v>33</v>
      </c>
      <c r="N63" t="s">
        <v>327</v>
      </c>
      <c r="O63">
        <v>2</v>
      </c>
      <c r="R63" t="s">
        <v>274</v>
      </c>
      <c r="W63">
        <v>31</v>
      </c>
      <c r="X63">
        <v>1</v>
      </c>
      <c r="Z63" s="14" cm="1">
        <f t="array" ref="Z63">VALUE(LEFT(A63, MIN(IFERROR(FIND({"o","p"}, A63), LEN(A63)+1))-1))</f>
        <v>31</v>
      </c>
    </row>
    <row r="64" spans="1:26">
      <c r="A64" t="s">
        <v>108</v>
      </c>
      <c r="B64" s="22"/>
      <c r="C64">
        <v>60</v>
      </c>
      <c r="L64" t="s">
        <v>196</v>
      </c>
      <c r="N64" t="s">
        <v>173</v>
      </c>
      <c r="O64">
        <v>1</v>
      </c>
      <c r="P64" t="s">
        <v>274</v>
      </c>
      <c r="R64" t="s">
        <v>274</v>
      </c>
      <c r="S64" t="s">
        <v>274</v>
      </c>
      <c r="W64">
        <v>31</v>
      </c>
      <c r="X64">
        <v>2</v>
      </c>
      <c r="Z64" s="14" cm="1">
        <f t="array" ref="Z64">VALUE(LEFT(A64, MIN(IFERROR(FIND({"o","p"}, A64), LEN(A64)+1))-1))</f>
        <v>31</v>
      </c>
    </row>
    <row r="65" spans="1:26">
      <c r="A65" t="s">
        <v>109</v>
      </c>
      <c r="B65" s="21"/>
      <c r="D65" t="s">
        <v>150</v>
      </c>
      <c r="E65" t="s">
        <v>161</v>
      </c>
      <c r="J65">
        <v>2</v>
      </c>
      <c r="L65" t="s">
        <v>261</v>
      </c>
      <c r="M65" t="s">
        <v>328</v>
      </c>
      <c r="N65" t="s">
        <v>329</v>
      </c>
      <c r="O65">
        <v>1</v>
      </c>
      <c r="P65" t="s">
        <v>274</v>
      </c>
      <c r="Q65" t="s">
        <v>330</v>
      </c>
      <c r="R65" t="s">
        <v>274</v>
      </c>
      <c r="S65" t="s">
        <v>257</v>
      </c>
      <c r="V65" t="s">
        <v>331</v>
      </c>
      <c r="W65">
        <v>32</v>
      </c>
      <c r="X65">
        <v>1</v>
      </c>
      <c r="Z65" s="14" cm="1">
        <f t="array" ref="Z65">VALUE(LEFT(A65, MIN(IFERROR(FIND({"o","p"}, A65), LEN(A65)+1))-1))</f>
        <v>32</v>
      </c>
    </row>
    <row r="66" spans="1:26">
      <c r="A66" t="s">
        <v>111</v>
      </c>
      <c r="B66" s="21"/>
      <c r="C66">
        <v>72</v>
      </c>
      <c r="L66" t="s">
        <v>261</v>
      </c>
      <c r="O66">
        <v>2</v>
      </c>
      <c r="W66">
        <v>32</v>
      </c>
      <c r="X66">
        <v>2</v>
      </c>
      <c r="Z66" s="14" cm="1">
        <f t="array" ref="Z66">VALUE(LEFT(A66, MIN(IFERROR(FIND({"o","p"}, A66), LEN(A66)+1))-1))</f>
        <v>32</v>
      </c>
    </row>
    <row r="67" spans="1:26">
      <c r="A67" t="s">
        <v>112</v>
      </c>
      <c r="B67" s="21"/>
      <c r="D67" t="s">
        <v>199</v>
      </c>
      <c r="L67" t="s">
        <v>196</v>
      </c>
      <c r="M67" t="s">
        <v>332</v>
      </c>
      <c r="N67" t="s">
        <v>47</v>
      </c>
      <c r="O67">
        <v>1</v>
      </c>
      <c r="P67" t="s">
        <v>168</v>
      </c>
      <c r="R67" t="s">
        <v>273</v>
      </c>
      <c r="W67">
        <v>33</v>
      </c>
      <c r="X67">
        <v>1</v>
      </c>
      <c r="Z67" s="14" cm="1">
        <f t="array" ref="Z67">VALUE(LEFT(A67, MIN(IFERROR(FIND({"o","p"}, A67), LEN(A67)+1))-1))</f>
        <v>33</v>
      </c>
    </row>
    <row r="68" spans="1:26">
      <c r="A68" t="s">
        <v>113</v>
      </c>
      <c r="B68" s="21"/>
      <c r="C68">
        <v>41</v>
      </c>
      <c r="F68" t="s">
        <v>163</v>
      </c>
      <c r="H68" t="s">
        <v>213</v>
      </c>
      <c r="L68" t="s">
        <v>179</v>
      </c>
      <c r="W68">
        <v>33</v>
      </c>
      <c r="X68">
        <v>2</v>
      </c>
      <c r="Z68" s="14" cm="1">
        <f t="array" ref="Z68">VALUE(LEFT(A68, MIN(IFERROR(FIND({"o","p"}, A68), LEN(A68)+1))-1))</f>
        <v>33</v>
      </c>
    </row>
    <row r="69" spans="1:26">
      <c r="A69" t="s">
        <v>114</v>
      </c>
      <c r="B69" s="21"/>
      <c r="D69" t="s">
        <v>269</v>
      </c>
      <c r="E69" t="s">
        <v>158</v>
      </c>
      <c r="J69">
        <v>1</v>
      </c>
      <c r="L69" t="s">
        <v>32</v>
      </c>
      <c r="M69" t="s">
        <v>270</v>
      </c>
      <c r="N69" t="s">
        <v>180</v>
      </c>
      <c r="O69">
        <v>3</v>
      </c>
      <c r="P69" t="s">
        <v>274</v>
      </c>
      <c r="Q69" t="s">
        <v>333</v>
      </c>
      <c r="R69" t="s">
        <v>274</v>
      </c>
      <c r="S69" t="s">
        <v>274</v>
      </c>
      <c r="V69" t="s">
        <v>331</v>
      </c>
      <c r="W69">
        <v>34</v>
      </c>
      <c r="X69">
        <v>1</v>
      </c>
      <c r="Z69" s="14" cm="1">
        <f t="array" ref="Z69">VALUE(LEFT(A69, MIN(IFERROR(FIND({"o","p"}, A69), LEN(A69)+1))-1))</f>
        <v>34</v>
      </c>
    </row>
    <row r="70" spans="1:26">
      <c r="A70" t="s">
        <v>115</v>
      </c>
      <c r="B70" s="22"/>
      <c r="C70">
        <v>63</v>
      </c>
      <c r="L70" t="s">
        <v>196</v>
      </c>
      <c r="N70" t="s">
        <v>181</v>
      </c>
      <c r="O70">
        <v>1</v>
      </c>
      <c r="P70" t="s">
        <v>274</v>
      </c>
      <c r="R70" t="s">
        <v>274</v>
      </c>
      <c r="S70" t="s">
        <v>274</v>
      </c>
      <c r="W70">
        <v>34</v>
      </c>
      <c r="X70">
        <v>2</v>
      </c>
      <c r="Z70" s="14" cm="1">
        <f t="array" ref="Z70">VALUE(LEFT(A70, MIN(IFERROR(FIND({"o","p"}, A70), LEN(A70)+1))-1))</f>
        <v>34</v>
      </c>
    </row>
    <row r="71" spans="1:26">
      <c r="A71" t="s">
        <v>116</v>
      </c>
      <c r="B71" s="21"/>
      <c r="E71" t="s">
        <v>160</v>
      </c>
      <c r="G71" t="s">
        <v>214</v>
      </c>
      <c r="I71">
        <v>35</v>
      </c>
      <c r="J71">
        <v>7</v>
      </c>
      <c r="L71" t="s">
        <v>196</v>
      </c>
      <c r="M71" t="s">
        <v>197</v>
      </c>
      <c r="N71" t="s">
        <v>334</v>
      </c>
      <c r="O71">
        <v>3</v>
      </c>
      <c r="P71" t="s">
        <v>274</v>
      </c>
      <c r="Q71" t="s">
        <v>294</v>
      </c>
      <c r="R71" t="s">
        <v>274</v>
      </c>
      <c r="S71" t="s">
        <v>274</v>
      </c>
      <c r="V71" t="s">
        <v>331</v>
      </c>
      <c r="W71">
        <v>35</v>
      </c>
      <c r="X71">
        <v>1</v>
      </c>
      <c r="Z71" s="14" cm="1">
        <f t="array" ref="Z71">VALUE(LEFT(A71, MIN(IFERROR(FIND({"o","p"}, A71), LEN(A71)+1))-1))</f>
        <v>35</v>
      </c>
    </row>
    <row r="72" spans="1:26">
      <c r="A72" t="s">
        <v>117</v>
      </c>
      <c r="B72" s="22"/>
      <c r="C72">
        <v>62</v>
      </c>
      <c r="E72" t="s">
        <v>159</v>
      </c>
      <c r="F72" t="s">
        <v>163</v>
      </c>
      <c r="G72" t="s">
        <v>335</v>
      </c>
      <c r="H72" t="s">
        <v>182</v>
      </c>
      <c r="L72" t="s">
        <v>179</v>
      </c>
      <c r="W72">
        <v>35</v>
      </c>
      <c r="X72">
        <v>2</v>
      </c>
      <c r="Z72" s="14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118</v>
      </c>
      <c r="B1" s="2" t="s">
        <v>119</v>
      </c>
    </row>
    <row r="2" spans="1:2">
      <c r="A2" s="1" t="s">
        <v>2</v>
      </c>
      <c r="B2" s="1" t="s">
        <v>120</v>
      </c>
    </row>
    <row r="3" spans="1:2">
      <c r="A3" s="1" t="s">
        <v>3</v>
      </c>
      <c r="B3" s="1" t="s">
        <v>121</v>
      </c>
    </row>
    <row r="4" spans="1:2">
      <c r="A4" s="1" t="s">
        <v>4</v>
      </c>
      <c r="B4" s="1" t="s">
        <v>122</v>
      </c>
    </row>
    <row r="5" spans="1:2">
      <c r="A5" s="1" t="s">
        <v>5</v>
      </c>
      <c r="B5" s="1" t="s">
        <v>123</v>
      </c>
    </row>
    <row r="6" spans="1:2">
      <c r="A6" s="1" t="s">
        <v>6</v>
      </c>
      <c r="B6" s="1" t="s">
        <v>124</v>
      </c>
    </row>
    <row r="7" spans="1:2">
      <c r="A7" s="1" t="s">
        <v>7</v>
      </c>
      <c r="B7" s="1" t="s">
        <v>125</v>
      </c>
    </row>
    <row r="8" spans="1:2">
      <c r="A8" s="1" t="s">
        <v>10</v>
      </c>
      <c r="B8" s="1" t="s">
        <v>126</v>
      </c>
    </row>
    <row r="9" spans="1:2">
      <c r="A9" s="1" t="s">
        <v>12</v>
      </c>
      <c r="B9" s="1" t="s">
        <v>127</v>
      </c>
    </row>
    <row r="10" spans="1:2">
      <c r="A10" s="1" t="s">
        <v>13</v>
      </c>
      <c r="B10" s="1" t="s">
        <v>128</v>
      </c>
    </row>
    <row r="11" spans="1:2">
      <c r="A11" s="1" t="s">
        <v>14</v>
      </c>
      <c r="B11" s="1" t="s">
        <v>129</v>
      </c>
    </row>
    <row r="12" spans="1:2">
      <c r="A12" s="1" t="s">
        <v>15</v>
      </c>
      <c r="B12" s="1" t="s">
        <v>130</v>
      </c>
    </row>
    <row r="13" spans="1:2">
      <c r="A13" s="1" t="s">
        <v>16</v>
      </c>
      <c r="B13" s="1" t="s">
        <v>131</v>
      </c>
    </row>
    <row r="14" spans="1:2">
      <c r="A14" s="1" t="s">
        <v>18</v>
      </c>
      <c r="B14" s="1" t="s">
        <v>132</v>
      </c>
    </row>
    <row r="15" spans="1:2">
      <c r="A15" s="1" t="s">
        <v>19</v>
      </c>
      <c r="B15" s="1" t="s">
        <v>133</v>
      </c>
    </row>
    <row r="16" spans="1:2">
      <c r="A16" s="1" t="s">
        <v>20</v>
      </c>
      <c r="B16" s="1" t="s">
        <v>134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135</v>
      </c>
    </row>
    <row r="19" spans="1:2">
      <c r="A19" s="1" t="s">
        <v>23</v>
      </c>
      <c r="B19" s="1" t="s">
        <v>136</v>
      </c>
    </row>
    <row r="20" spans="1:2">
      <c r="A20" s="1" t="s">
        <v>24</v>
      </c>
      <c r="B20" s="1" t="s">
        <v>137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138</v>
      </c>
    </row>
    <row r="23" spans="1:2">
      <c r="A23" s="1" t="s">
        <v>27</v>
      </c>
      <c r="B23" s="1" t="s">
        <v>139</v>
      </c>
    </row>
    <row r="24" spans="1:2">
      <c r="A24" s="1" t="s">
        <v>28</v>
      </c>
      <c r="B24" s="1" t="s">
        <v>140</v>
      </c>
    </row>
    <row r="25" spans="1:2">
      <c r="A25" s="2" t="s">
        <v>29</v>
      </c>
      <c r="B25" s="2" t="s">
        <v>141</v>
      </c>
    </row>
    <row r="27" spans="1:2">
      <c r="A27" s="1" t="s">
        <v>142</v>
      </c>
    </row>
    <row r="28" spans="1:2">
      <c r="A28" s="1" t="s">
        <v>143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2024-12-12T14:41:32Z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