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qwen\"/>
    </mc:Choice>
  </mc:AlternateContent>
  <xr:revisionPtr revIDLastSave="0" documentId="13_ncr:1_{119AF3A5-0670-4BFF-9A98-14A48CB8F4A4}" xr6:coauthVersionLast="47" xr6:coauthVersionMax="47" xr10:uidLastSave="{00000000-0000-0000-0000-000000000000}"/>
  <bookViews>
    <workbookView xWindow="-98" yWindow="-98" windowWidth="21795" windowHeight="11625" xr2:uid="{00000000-000D-0000-FFFF-FFFF00000000}"/>
  </bookViews>
  <sheets>
    <sheet name="Classification rule" sheetId="16" r:id="rId1"/>
    <sheet name="Model output" sheetId="15" r:id="rId2"/>
    <sheet name="Schema" sheetId="2" state="hidden" r:id="rId3"/>
  </sheets>
  <functionGroups builtInGroupCount="19"/>
  <definedNames>
    <definedName name="_xlnm._FilterDatabase" localSheetId="0" hidden="1">'Classification rule'!$A$2:$AU$37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5" i="16" l="1" a="1"/>
  <c r="AE5" i="16" s="1"/>
  <c r="AE6" i="16" a="1"/>
  <c r="AE6" i="16" s="1"/>
  <c r="AE7" i="16" a="1"/>
  <c r="AE7" i="16" s="1"/>
  <c r="AE8" i="16" a="1"/>
  <c r="AE8" i="16" s="1"/>
  <c r="AE9" i="16" a="1"/>
  <c r="AE9" i="16" s="1"/>
  <c r="AE10" i="16" a="1"/>
  <c r="AE10" i="16" s="1"/>
  <c r="AE11" i="16" a="1"/>
  <c r="AE11" i="16" s="1"/>
  <c r="AE12" i="16" a="1"/>
  <c r="AE12" i="16" s="1"/>
  <c r="AE13" i="16" a="1"/>
  <c r="AE13" i="16" s="1"/>
  <c r="AE14" i="16" a="1"/>
  <c r="AE14" i="16" s="1"/>
  <c r="AE15" i="16" a="1"/>
  <c r="AE15" i="16" s="1"/>
  <c r="AE16" i="16" a="1"/>
  <c r="AE16" i="16" s="1"/>
  <c r="AE17" i="16" a="1"/>
  <c r="AE17" i="16" s="1"/>
  <c r="AE18" i="16" a="1"/>
  <c r="AE18" i="16" s="1"/>
  <c r="AE19" i="16" a="1"/>
  <c r="AE19" i="16" s="1"/>
  <c r="AE20" i="16" a="1"/>
  <c r="AE20" i="16" s="1"/>
  <c r="AE21" i="16" a="1"/>
  <c r="AE21" i="16" s="1"/>
  <c r="AE22" i="16" a="1"/>
  <c r="AE22" i="16" s="1"/>
  <c r="AE23" i="16" a="1"/>
  <c r="AE23" i="16" s="1"/>
  <c r="AE24" i="16" a="1"/>
  <c r="AE24" i="16" s="1"/>
  <c r="AE25" i="16" a="1"/>
  <c r="AE25" i="16" s="1"/>
  <c r="AE26" i="16" a="1"/>
  <c r="AE26" i="16" s="1"/>
  <c r="AE27" i="16" a="1"/>
  <c r="AE27" i="16" s="1"/>
  <c r="AE28" i="16" a="1"/>
  <c r="AE28" i="16" s="1"/>
  <c r="AE29" i="16" a="1"/>
  <c r="AE29" i="16" s="1"/>
  <c r="AE30" i="16" a="1"/>
  <c r="AE30" i="16" s="1"/>
  <c r="AE31" i="16" a="1"/>
  <c r="AE31" i="16" s="1"/>
  <c r="AE32" i="16" a="1"/>
  <c r="AE32" i="16" s="1"/>
  <c r="AE33" i="16" a="1"/>
  <c r="AE33" i="16" s="1"/>
  <c r="AE34" i="16" a="1"/>
  <c r="AE34" i="16" s="1"/>
  <c r="AE35" i="16" a="1"/>
  <c r="AE35" i="16" s="1"/>
  <c r="AE36" i="16" a="1"/>
  <c r="AE36" i="16" s="1"/>
  <c r="AE37" i="16" a="1"/>
  <c r="AE37" i="16" s="1"/>
  <c r="AE3" i="16" a="1"/>
  <c r="AE3" i="16" s="1"/>
  <c r="AE4" i="16" a="1"/>
  <c r="AE4" i="16" s="1"/>
  <c r="AA3"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s="1"/>
  <c r="Z37" i="15" a="1"/>
  <c r="Z37" i="15" s="1"/>
  <c r="Z38" i="15" a="1"/>
  <c r="Z38" i="15" s="1"/>
  <c r="Z39" i="15" a="1"/>
  <c r="Z39" i="15" s="1"/>
  <c r="Z40" i="15" a="1"/>
  <c r="Z40" i="15" s="1"/>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s="1"/>
  <c r="Z71" i="15" a="1"/>
  <c r="Z71" i="15" s="1"/>
  <c r="Z72" i="15" a="1"/>
  <c r="Z72" i="15" s="1"/>
  <c r="Z2" i="15" a="1"/>
  <c r="Z2" i="15" s="1"/>
  <c r="T13" i="16" l="1" a="1"/>
  <c r="T13" i="16" s="1"/>
  <c r="W13" i="16" s="1"/>
  <c r="T33" i="16" a="1"/>
  <c r="T33" i="16" s="1"/>
  <c r="T14" i="16" a="1"/>
  <c r="T14" i="16" s="1"/>
  <c r="T34" i="16" a="1"/>
  <c r="T34" i="16" s="1"/>
  <c r="T15" i="16" a="1"/>
  <c r="T15" i="16" s="1"/>
  <c r="T35" i="16" a="1"/>
  <c r="T35" i="16" s="1"/>
  <c r="W35" i="16" s="1"/>
  <c r="T16" i="16" a="1"/>
  <c r="T16" i="16" s="1"/>
  <c r="T36" i="16" a="1"/>
  <c r="T36" i="16" s="1"/>
  <c r="T17" i="16" a="1"/>
  <c r="T17" i="16" s="1"/>
  <c r="W17" i="16" s="1"/>
  <c r="T37" i="16" a="1"/>
  <c r="T37" i="16" s="1"/>
  <c r="T18" i="16" a="1"/>
  <c r="T18" i="16" s="1"/>
  <c r="T3" i="16" a="1"/>
  <c r="T3" i="16" s="1"/>
  <c r="W3" i="16" s="1"/>
  <c r="T19" i="16" a="1"/>
  <c r="T19" i="16" s="1"/>
  <c r="W19" i="16" s="1"/>
  <c r="T24" i="16" a="1"/>
  <c r="T24" i="16" s="1"/>
  <c r="W24" i="16" s="1"/>
  <c r="T20" i="16" a="1"/>
  <c r="T20" i="16" s="1"/>
  <c r="W20" i="16" s="1"/>
  <c r="T21" i="16" a="1"/>
  <c r="T21" i="16" s="1"/>
  <c r="W21" i="16" s="1"/>
  <c r="T28" i="16" a="1"/>
  <c r="T28" i="16" s="1"/>
  <c r="W28" i="16" s="1"/>
  <c r="T22" i="16" a="1"/>
  <c r="T22" i="16" s="1"/>
  <c r="T32" i="16" a="1"/>
  <c r="T32" i="16" s="1"/>
  <c r="W32" i="16" s="1"/>
  <c r="T23" i="16" a="1"/>
  <c r="T23" i="16" s="1"/>
  <c r="W23" i="16" s="1"/>
  <c r="T31" i="16" a="1"/>
  <c r="T31" i="16" s="1"/>
  <c r="W31" i="16" s="1"/>
  <c r="T4" i="16" a="1"/>
  <c r="T4" i="16" s="1"/>
  <c r="W4" i="16" s="1"/>
  <c r="T25" i="16" a="1"/>
  <c r="T25" i="16" s="1"/>
  <c r="W25" i="16" s="1"/>
  <c r="T5" i="16" a="1"/>
  <c r="T5" i="16" s="1"/>
  <c r="W5" i="16" s="1"/>
  <c r="T6" i="16" a="1"/>
  <c r="T6" i="16" s="1"/>
  <c r="W6" i="16" s="1"/>
  <c r="T26" i="16" a="1"/>
  <c r="T26" i="16" s="1"/>
  <c r="T7" i="16" a="1"/>
  <c r="T7" i="16" s="1"/>
  <c r="T27" i="16" a="1"/>
  <c r="T27" i="16" s="1"/>
  <c r="W27" i="16" s="1"/>
  <c r="T8" i="16" a="1"/>
  <c r="T8" i="16" s="1"/>
  <c r="T29" i="16" a="1"/>
  <c r="T29" i="16" s="1"/>
  <c r="W29" i="16" s="1"/>
  <c r="T9" i="16" a="1"/>
  <c r="T9" i="16" s="1"/>
  <c r="W9" i="16" s="1"/>
  <c r="T10" i="16" a="1"/>
  <c r="T10" i="16" s="1"/>
  <c r="W10" i="16" s="1"/>
  <c r="T30" i="16" a="1"/>
  <c r="T30" i="16" s="1"/>
  <c r="W30" i="16" s="1"/>
  <c r="T11" i="16" a="1"/>
  <c r="T11" i="16" s="1"/>
  <c r="W11" i="16" s="1"/>
  <c r="T12" i="16" a="1"/>
  <c r="T12" i="16" s="1"/>
  <c r="W12" i="16" s="1"/>
  <c r="D7" i="16" a="1"/>
  <c r="D7" i="16" s="1"/>
  <c r="D27" i="16" a="1"/>
  <c r="D27" i="16" s="1"/>
  <c r="D31" i="16" a="1"/>
  <c r="D31" i="16" s="1"/>
  <c r="D3" i="16" a="1"/>
  <c r="D3" i="16" s="1"/>
  <c r="D8" i="16" a="1"/>
  <c r="D8" i="16" s="1"/>
  <c r="D28" i="16" a="1"/>
  <c r="D28" i="16" s="1"/>
  <c r="D9" i="16" a="1"/>
  <c r="D9" i="16" s="1"/>
  <c r="D29" i="16" a="1"/>
  <c r="D29" i="16" s="1"/>
  <c r="D5" i="16" a="1"/>
  <c r="D5" i="16" s="1"/>
  <c r="D10" i="16" a="1"/>
  <c r="D10" i="16" s="1"/>
  <c r="D30" i="16" a="1"/>
  <c r="D30" i="16" s="1"/>
  <c r="D11" i="16" a="1"/>
  <c r="D11" i="16" s="1"/>
  <c r="D32" i="16" a="1"/>
  <c r="D32" i="16" s="1"/>
  <c r="D12" i="16" a="1"/>
  <c r="D12" i="16" s="1"/>
  <c r="D13" i="16" a="1"/>
  <c r="D13" i="16" s="1"/>
  <c r="D14" i="16" a="1"/>
  <c r="D14" i="16" s="1"/>
  <c r="D34" i="16" a="1"/>
  <c r="D34" i="16" s="1"/>
  <c r="D15" i="16" a="1"/>
  <c r="D15" i="16" s="1"/>
  <c r="D4" i="16" a="1"/>
  <c r="D4" i="16" s="1"/>
  <c r="D16" i="16" a="1"/>
  <c r="D16" i="16" s="1"/>
  <c r="D36" i="16" a="1"/>
  <c r="D36" i="16" s="1"/>
  <c r="D17" i="16" a="1"/>
  <c r="D17" i="16" s="1"/>
  <c r="D37" i="16" a="1"/>
  <c r="D37" i="16" s="1"/>
  <c r="D18" i="16" a="1"/>
  <c r="D18" i="16" s="1"/>
  <c r="D19" i="16" a="1"/>
  <c r="D19" i="16" s="1"/>
  <c r="D20" i="16" a="1"/>
  <c r="D20" i="16" s="1"/>
  <c r="D21" i="16" a="1"/>
  <c r="D21" i="16" s="1"/>
  <c r="D22" i="16" a="1"/>
  <c r="D22" i="16" s="1"/>
  <c r="D23" i="16" a="1"/>
  <c r="D23" i="16" s="1"/>
  <c r="D35" i="16" a="1"/>
  <c r="D35" i="16" s="1"/>
  <c r="D24" i="16" a="1"/>
  <c r="D24" i="16" s="1"/>
  <c r="D33" i="16" a="1"/>
  <c r="D33" i="16" s="1"/>
  <c r="D25" i="16" a="1"/>
  <c r="D25" i="16" s="1"/>
  <c r="D26" i="16" a="1"/>
  <c r="D26" i="16" s="1"/>
  <c r="D6" i="16" a="1"/>
  <c r="D6" i="16" s="1"/>
  <c r="I4" i="16" a="1"/>
  <c r="I4" i="16" s="1"/>
  <c r="I24" i="16" a="1"/>
  <c r="I24" i="16" s="1"/>
  <c r="AD8" i="16" a="1"/>
  <c r="AD8" i="16" s="1"/>
  <c r="AD27" i="16" a="1"/>
  <c r="AD27" i="16" s="1"/>
  <c r="I5" i="16" a="1"/>
  <c r="I5" i="16" s="1"/>
  <c r="F5" i="16" s="1" a="1"/>
  <c r="F5" i="16" s="1"/>
  <c r="I25" i="16" a="1"/>
  <c r="I25" i="16" s="1"/>
  <c r="AD28" i="16" a="1"/>
  <c r="AD28" i="16" s="1"/>
  <c r="AD29" i="16" a="1"/>
  <c r="AD29" i="16" s="1"/>
  <c r="I6" i="16" a="1"/>
  <c r="I6" i="16" s="1"/>
  <c r="F6" i="16" s="1" a="1"/>
  <c r="F6" i="16" s="1"/>
  <c r="I26" i="16" a="1"/>
  <c r="I26" i="16" s="1"/>
  <c r="F26" i="16" s="1" a="1"/>
  <c r="F26" i="16" s="1"/>
  <c r="AD9" i="16" a="1"/>
  <c r="AD9" i="16" s="1"/>
  <c r="I7" i="16" a="1"/>
  <c r="I7" i="16" s="1"/>
  <c r="F7" i="16" s="1" a="1"/>
  <c r="F7" i="16" s="1"/>
  <c r="I27" i="16" a="1"/>
  <c r="I27" i="16" s="1"/>
  <c r="F27" i="16" s="1" a="1"/>
  <c r="F27" i="16" s="1"/>
  <c r="AD10" i="16" a="1"/>
  <c r="AD10" i="16" s="1"/>
  <c r="AD30" i="16" a="1"/>
  <c r="AD30" i="16" s="1"/>
  <c r="I8" i="16" a="1"/>
  <c r="I8" i="16" s="1"/>
  <c r="F8" i="16" s="1" a="1"/>
  <c r="F8" i="16" s="1"/>
  <c r="I28" i="16" a="1"/>
  <c r="I28" i="16" s="1"/>
  <c r="F28" i="16" s="1" a="1"/>
  <c r="F28" i="16" s="1"/>
  <c r="AD11" i="16" a="1"/>
  <c r="AD11" i="16" s="1"/>
  <c r="AD31" i="16" a="1"/>
  <c r="AD31" i="16" s="1"/>
  <c r="I9" i="16" a="1"/>
  <c r="I9" i="16" s="1"/>
  <c r="F9" i="16" s="1" a="1"/>
  <c r="F9" i="16" s="1"/>
  <c r="I29" i="16" a="1"/>
  <c r="I29" i="16" s="1"/>
  <c r="F29" i="16" s="1" a="1"/>
  <c r="F29" i="16" s="1"/>
  <c r="AD12" i="16" a="1"/>
  <c r="AD12" i="16" s="1"/>
  <c r="AD32" i="16" a="1"/>
  <c r="AD32" i="16" s="1"/>
  <c r="I10" i="16" a="1"/>
  <c r="I10" i="16" s="1"/>
  <c r="I30" i="16" a="1"/>
  <c r="I30" i="16" s="1"/>
  <c r="F30" i="16" s="1" a="1"/>
  <c r="F30" i="16" s="1"/>
  <c r="AD13" i="16" a="1"/>
  <c r="AD13" i="16" s="1"/>
  <c r="AD33" i="16" a="1"/>
  <c r="AD33" i="16" s="1"/>
  <c r="I11" i="16" a="1"/>
  <c r="I11" i="16" s="1"/>
  <c r="I31" i="16" a="1"/>
  <c r="I31" i="16" s="1"/>
  <c r="AD14" i="16" a="1"/>
  <c r="AD14" i="16" s="1"/>
  <c r="AD34" i="16" a="1"/>
  <c r="AD34" i="16" s="1"/>
  <c r="I12" i="16" a="1"/>
  <c r="I12" i="16" s="1"/>
  <c r="F12" i="16" s="1" a="1"/>
  <c r="F12" i="16" s="1"/>
  <c r="I32" i="16" a="1"/>
  <c r="I32" i="16" s="1"/>
  <c r="F32" i="16" s="1" a="1"/>
  <c r="F32" i="16" s="1"/>
  <c r="AD15" i="16" a="1"/>
  <c r="AD15" i="16" s="1"/>
  <c r="AD35" i="16" a="1"/>
  <c r="AD35" i="16" s="1"/>
  <c r="I13" i="16" a="1"/>
  <c r="I13" i="16" s="1"/>
  <c r="I33" i="16" a="1"/>
  <c r="I33" i="16" s="1"/>
  <c r="AD16" i="16" a="1"/>
  <c r="AD16" i="16" s="1"/>
  <c r="AD36" i="16" a="1"/>
  <c r="AD36" i="16" s="1"/>
  <c r="AD3" i="16" a="1"/>
  <c r="AD3" i="16" s="1"/>
  <c r="I14" i="16" a="1"/>
  <c r="I14" i="16" s="1"/>
  <c r="F14" i="16" s="1" a="1"/>
  <c r="F14" i="16" s="1"/>
  <c r="I34" i="16" a="1"/>
  <c r="I34" i="16" s="1"/>
  <c r="AD17" i="16" a="1"/>
  <c r="AD17" i="16" s="1"/>
  <c r="AD37" i="16" a="1"/>
  <c r="AD37" i="16" s="1"/>
  <c r="I15" i="16" a="1"/>
  <c r="I15" i="16" s="1"/>
  <c r="I35" i="16" a="1"/>
  <c r="I35" i="16" s="1"/>
  <c r="AD18" i="16" a="1"/>
  <c r="AD18" i="16" s="1"/>
  <c r="I16" i="16" a="1"/>
  <c r="I16" i="16" s="1"/>
  <c r="F16" i="16" s="1" a="1"/>
  <c r="F16" i="16" s="1"/>
  <c r="I36" i="16" a="1"/>
  <c r="I36" i="16" s="1"/>
  <c r="F36" i="16" s="1" a="1"/>
  <c r="F36" i="16" s="1"/>
  <c r="AD19" i="16" a="1"/>
  <c r="AD19" i="16" s="1"/>
  <c r="Z3" i="16"/>
  <c r="I17" i="16" a="1"/>
  <c r="I17" i="16" s="1"/>
  <c r="F17" i="16" s="1" a="1"/>
  <c r="F17" i="16" s="1"/>
  <c r="I37" i="16" a="1"/>
  <c r="I37" i="16" s="1"/>
  <c r="AD20" i="16" a="1"/>
  <c r="AD20" i="16" s="1"/>
  <c r="I18" i="16" a="1"/>
  <c r="I18" i="16" s="1"/>
  <c r="F18" i="16" s="1" a="1"/>
  <c r="F18" i="16" s="1"/>
  <c r="I3" i="16" a="1"/>
  <c r="I3" i="16" s="1"/>
  <c r="AD21" i="16" a="1"/>
  <c r="AD21" i="16" s="1"/>
  <c r="I19" i="16" a="1"/>
  <c r="I19" i="16" s="1"/>
  <c r="F19" i="16" s="1" a="1"/>
  <c r="F19" i="16" s="1"/>
  <c r="AD22" i="16" a="1"/>
  <c r="AD22" i="16" s="1"/>
  <c r="I20" i="16" a="1"/>
  <c r="I20" i="16" s="1"/>
  <c r="AD4" i="16" a="1"/>
  <c r="AD4" i="16" s="1"/>
  <c r="AD23" i="16" a="1"/>
  <c r="AD23" i="16" s="1"/>
  <c r="I21" i="16" a="1"/>
  <c r="I21" i="16" s="1"/>
  <c r="F21" i="16" s="1" a="1"/>
  <c r="F21" i="16" s="1"/>
  <c r="AD5" i="16" a="1"/>
  <c r="AD5" i="16" s="1"/>
  <c r="AD24" i="16" a="1"/>
  <c r="AD24" i="16" s="1"/>
  <c r="I22" i="16" a="1"/>
  <c r="I22" i="16" s="1"/>
  <c r="F22" i="16" s="1" a="1"/>
  <c r="F22" i="16" s="1"/>
  <c r="AD6" i="16" a="1"/>
  <c r="AD6" i="16" s="1"/>
  <c r="AD25" i="16" a="1"/>
  <c r="AD25" i="16" s="1"/>
  <c r="I23" i="16" a="1"/>
  <c r="I23" i="16" s="1"/>
  <c r="F23" i="16" s="1" a="1"/>
  <c r="F23" i="16" s="1"/>
  <c r="AD7" i="16" a="1"/>
  <c r="AD7" i="16" s="1"/>
  <c r="AD26" i="16" a="1"/>
  <c r="AD26" i="16" s="1"/>
  <c r="C19" i="16"/>
  <c r="X16" i="16" a="1"/>
  <c r="X16" i="16" s="1"/>
  <c r="O35" i="16" a="1"/>
  <c r="O35" i="16" s="1"/>
  <c r="O37" i="16" a="1"/>
  <c r="O37" i="16" s="1"/>
  <c r="C9" i="16"/>
  <c r="C29" i="16"/>
  <c r="C20" i="16"/>
  <c r="C10" i="16"/>
  <c r="C30" i="16"/>
  <c r="C4" i="16"/>
  <c r="C24" i="16"/>
  <c r="C23" i="16"/>
  <c r="C6" i="16"/>
  <c r="C26" i="16"/>
  <c r="C8" i="16"/>
  <c r="C28" i="16"/>
  <c r="O33" i="16" a="1"/>
  <c r="O33" i="16" s="1"/>
  <c r="O13" i="16" a="1"/>
  <c r="O13" i="16" s="1"/>
  <c r="X23" i="16" a="1"/>
  <c r="X23" i="16" s="1"/>
  <c r="C25" i="16"/>
  <c r="C5" i="16"/>
  <c r="O32" i="16" a="1"/>
  <c r="O32" i="16" s="1"/>
  <c r="O12" i="16" a="1"/>
  <c r="O12" i="16" s="1"/>
  <c r="X22" i="16" a="1"/>
  <c r="X22" i="16" s="1"/>
  <c r="O31" i="16" a="1"/>
  <c r="O31" i="16" s="1"/>
  <c r="O11" i="16" a="1"/>
  <c r="O11" i="16" s="1"/>
  <c r="X21" i="16" a="1"/>
  <c r="X21" i="16" s="1"/>
  <c r="O30" i="16" a="1"/>
  <c r="O30" i="16" s="1"/>
  <c r="O10" i="16" a="1"/>
  <c r="O10" i="16" s="1"/>
  <c r="F25" i="16" a="1"/>
  <c r="F25" i="16" s="1"/>
  <c r="X20" i="16" a="1"/>
  <c r="X20" i="16" s="1"/>
  <c r="C22" i="16"/>
  <c r="O29" i="16" a="1"/>
  <c r="O29" i="16" s="1"/>
  <c r="O9" i="16" a="1"/>
  <c r="O9" i="16" s="1"/>
  <c r="F24" i="16" a="1"/>
  <c r="F24" i="16" s="1"/>
  <c r="F4" i="16" a="1"/>
  <c r="F4" i="16" s="1"/>
  <c r="X19" i="16" a="1"/>
  <c r="X19" i="16" s="1"/>
  <c r="C21" i="16"/>
  <c r="O28" i="16" a="1"/>
  <c r="O28" i="16" s="1"/>
  <c r="O8" i="16" a="1"/>
  <c r="O8" i="16" s="1"/>
  <c r="X3" i="16" a="1"/>
  <c r="X3" i="16" s="1"/>
  <c r="X18" i="16" a="1"/>
  <c r="X18" i="16" s="1"/>
  <c r="O27" i="16" a="1"/>
  <c r="O27" i="16" s="1"/>
  <c r="O7" i="16" a="1"/>
  <c r="O7" i="16" s="1"/>
  <c r="X37" i="16" a="1"/>
  <c r="X37" i="16" s="1"/>
  <c r="X17" i="16" a="1"/>
  <c r="X17" i="16" s="1"/>
  <c r="O26" i="16" a="1"/>
  <c r="O26" i="16" s="1"/>
  <c r="O6" i="16" a="1"/>
  <c r="O6"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K3" i="16"/>
  <c r="H3" i="16" s="1" a="1"/>
  <c r="H3"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P26" i="16" a="1"/>
  <c r="P26" i="16" s="1"/>
  <c r="E14" i="16" a="1"/>
  <c r="E14" i="16" s="1"/>
  <c r="Q23" i="16" a="1"/>
  <c r="Q23" i="16" s="1"/>
  <c r="P7" i="16" a="1"/>
  <c r="P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P28" i="16" a="1"/>
  <c r="P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AJ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V26" i="16" a="1"/>
  <c r="V26" i="16" s="1"/>
  <c r="V7" i="16" a="1"/>
  <c r="V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V13" i="16" a="1"/>
  <c r="V13" i="16" s="1"/>
  <c r="V33" i="16" a="1"/>
  <c r="V33" i="16" s="1"/>
  <c r="V14" i="16" a="1"/>
  <c r="V14" i="16" s="1"/>
  <c r="V34" i="16" a="1"/>
  <c r="V34" i="16" s="1"/>
  <c r="V15" i="16" a="1"/>
  <c r="V15" i="16" s="1"/>
  <c r="V35" i="16" a="1"/>
  <c r="V35" i="16" s="1"/>
  <c r="V16" i="16" a="1"/>
  <c r="V16" i="16" s="1"/>
  <c r="V36" i="16" a="1"/>
  <c r="V36" i="16" s="1"/>
  <c r="V17" i="16" a="1"/>
  <c r="V17" i="16" s="1"/>
  <c r="V37" i="16" a="1"/>
  <c r="V37" i="16" s="1"/>
  <c r="V18" i="16" a="1"/>
  <c r="V18" i="16" s="1"/>
  <c r="V3" i="16" a="1"/>
  <c r="V3" i="16" s="1"/>
  <c r="V19" i="16" a="1"/>
  <c r="V19" i="16" s="1"/>
  <c r="V20" i="16" a="1"/>
  <c r="V20" i="16" s="1"/>
  <c r="V21" i="16" a="1"/>
  <c r="V21" i="16" s="1"/>
  <c r="V22" i="16" a="1"/>
  <c r="V22" i="16" s="1"/>
  <c r="V23" i="16" a="1"/>
  <c r="V23" i="16" s="1"/>
  <c r="C3" i="16"/>
  <c r="C18" i="16"/>
  <c r="O5" i="16" a="1"/>
  <c r="O5" i="16" s="1"/>
  <c r="F20" i="16" a="1"/>
  <c r="F20" i="16" s="1"/>
  <c r="X35" i="16" a="1"/>
  <c r="X35" i="16" s="1"/>
  <c r="X15" i="16" a="1"/>
  <c r="X15" i="16" s="1"/>
  <c r="O25" i="16" a="1"/>
  <c r="O25" i="16" s="1"/>
  <c r="C37" i="16"/>
  <c r="C17" i="16"/>
  <c r="O24" i="16" a="1"/>
  <c r="O24" i="16" s="1"/>
  <c r="O4" i="16" a="1"/>
  <c r="O4" i="16" s="1"/>
  <c r="X34" i="16" a="1"/>
  <c r="X34" i="16" s="1"/>
  <c r="X14" i="16" a="1"/>
  <c r="X14" i="16" s="1"/>
  <c r="O23" i="16" a="1"/>
  <c r="O23" i="16" s="1"/>
  <c r="F3" i="16" a="1"/>
  <c r="F3" i="16" s="1"/>
  <c r="X33" i="16" a="1"/>
  <c r="X33" i="16" s="1"/>
  <c r="X13" i="16" a="1"/>
  <c r="X13" i="16" s="1"/>
  <c r="O22" i="16" a="1"/>
  <c r="O22" i="16" s="1"/>
  <c r="F37" i="16" a="1"/>
  <c r="F37" i="16" s="1"/>
  <c r="X32" i="16" a="1"/>
  <c r="X32" i="16" s="1"/>
  <c r="X12" i="16" a="1"/>
  <c r="X12" i="16" s="1"/>
  <c r="C36" i="16"/>
  <c r="C16" i="16"/>
  <c r="C34" i="16"/>
  <c r="C14" i="16"/>
  <c r="O21" i="16" a="1"/>
  <c r="O21" i="16" s="1"/>
  <c r="X31" i="16" a="1"/>
  <c r="X31" i="16" s="1"/>
  <c r="X11" i="16" a="1"/>
  <c r="X11" i="16" s="1"/>
  <c r="C35" i="16"/>
  <c r="C15" i="16"/>
  <c r="C33" i="16"/>
  <c r="C13" i="16"/>
  <c r="O20" i="16" a="1"/>
  <c r="O20" i="16" s="1"/>
  <c r="F35" i="16" a="1"/>
  <c r="F35" i="16" s="1"/>
  <c r="F15" i="16" a="1"/>
  <c r="F15" i="16" s="1"/>
  <c r="X30" i="16" a="1"/>
  <c r="X30" i="16" s="1"/>
  <c r="X10" i="16" a="1"/>
  <c r="X10" i="16" s="1"/>
  <c r="C32" i="16"/>
  <c r="C12" i="16"/>
  <c r="O19" i="16" a="1"/>
  <c r="O19" i="16" s="1"/>
  <c r="F34" i="16" a="1"/>
  <c r="F34" i="16" s="1"/>
  <c r="X29" i="16" a="1"/>
  <c r="X29" i="16" s="1"/>
  <c r="X9" i="16" a="1"/>
  <c r="X9" i="16" s="1"/>
  <c r="C31" i="16"/>
  <c r="C11" i="16"/>
  <c r="O3" i="16" a="1"/>
  <c r="O3" i="16" s="1"/>
  <c r="O18" i="16" a="1"/>
  <c r="O18" i="16" s="1"/>
  <c r="F33" i="16" a="1"/>
  <c r="F33" i="16" s="1"/>
  <c r="F13" i="16" a="1"/>
  <c r="F13" i="16" s="1"/>
  <c r="X28" i="16" a="1"/>
  <c r="X28" i="16" s="1"/>
  <c r="X8" i="16" a="1"/>
  <c r="X8" i="16" s="1"/>
  <c r="O17" i="16" a="1"/>
  <c r="O17" i="16" s="1"/>
  <c r="X27" i="16" a="1"/>
  <c r="X27" i="16" s="1"/>
  <c r="X7" i="16" a="1"/>
  <c r="X7" i="16" s="1"/>
  <c r="O36" i="16" a="1"/>
  <c r="O36" i="16" s="1"/>
  <c r="O16" i="16" a="1"/>
  <c r="O16" i="16" s="1"/>
  <c r="F31" i="16" a="1"/>
  <c r="F31" i="16" s="1"/>
  <c r="F11" i="16" a="1"/>
  <c r="F11" i="16" s="1"/>
  <c r="X26" i="16" a="1"/>
  <c r="X26" i="16" s="1"/>
  <c r="X6" i="16" a="1"/>
  <c r="X6" i="16" s="1"/>
  <c r="O15" i="16" a="1"/>
  <c r="O15" i="16" s="1"/>
  <c r="F10" i="16" a="1"/>
  <c r="F10" i="16" s="1"/>
  <c r="X25" i="16" a="1"/>
  <c r="X25" i="16" s="1"/>
  <c r="X5" i="16" a="1"/>
  <c r="X5" i="16" s="1"/>
  <c r="C27" i="16"/>
  <c r="C7" i="16"/>
  <c r="O34" i="16" a="1"/>
  <c r="O34" i="16" s="1"/>
  <c r="O14" i="16" a="1"/>
  <c r="O14" i="16" s="1"/>
  <c r="X24" i="16" a="1"/>
  <c r="X24" i="16" s="1"/>
  <c r="X4" i="16" a="1"/>
  <c r="X4" i="16" s="1"/>
  <c r="AJ27" i="16"/>
  <c r="L20" i="16" a="1"/>
  <c r="L25" i="16" a="1"/>
  <c r="R24" i="16" a="1"/>
  <c r="R36" i="16" a="1"/>
  <c r="R12" i="16" a="1"/>
  <c r="L34" i="16" a="1"/>
  <c r="L22" i="16" a="1"/>
  <c r="R11" i="16" a="1"/>
  <c r="R5" i="16" a="1"/>
  <c r="R22" i="16" a="1"/>
  <c r="L19" i="16" a="1"/>
  <c r="L10" i="16" a="1"/>
  <c r="R10" i="16" a="1"/>
  <c r="R17" i="16" a="1"/>
  <c r="L14" i="16" a="1"/>
  <c r="L3" i="16" a="1"/>
  <c r="R31" i="16" a="1"/>
  <c r="R4" i="16" a="1"/>
  <c r="L37" i="16" a="1"/>
  <c r="L33" i="16" a="1"/>
  <c r="L32" i="16" a="1"/>
  <c r="L26" i="16" a="1"/>
  <c r="R27" i="16" a="1"/>
  <c r="R9" i="16" a="1"/>
  <c r="R8" i="16" a="1"/>
  <c r="L11" i="16" a="1"/>
  <c r="L6" i="16" a="1"/>
  <c r="R20" i="16" a="1"/>
  <c r="R15" i="16" a="1"/>
  <c r="L27" i="16" a="1"/>
  <c r="L35" i="16" a="1"/>
  <c r="L36" i="16" a="1"/>
  <c r="R14" i="16" a="1"/>
  <c r="R33" i="16" a="1"/>
  <c r="L9" i="16" a="1"/>
  <c r="R30" i="16" a="1"/>
  <c r="L15" i="16" a="1"/>
  <c r="L13" i="16" a="1"/>
  <c r="R25" i="16" a="1"/>
  <c r="R13" i="16" a="1"/>
  <c r="R18" i="16" a="1"/>
  <c r="L8" i="16" a="1"/>
  <c r="R16" i="16" a="1"/>
  <c r="L23" i="16" a="1"/>
  <c r="R6" i="16" a="1"/>
  <c r="R23" i="16" a="1"/>
  <c r="L7" i="16" a="1"/>
  <c r="R28" i="16" a="1"/>
  <c r="R32" i="16" a="1"/>
  <c r="L30" i="16" a="1"/>
  <c r="L16" i="16" a="1"/>
  <c r="L29" i="16" a="1"/>
  <c r="L28" i="16" a="1"/>
  <c r="R37" i="16" a="1"/>
  <c r="L21" i="16" a="1"/>
  <c r="R7" i="16" a="1"/>
  <c r="L12" i="16" a="1"/>
  <c r="L17" i="16" a="1"/>
  <c r="R26" i="16" a="1"/>
  <c r="L4" i="16" a="1"/>
  <c r="L18" i="16" a="1"/>
  <c r="R3" i="16" a="1"/>
  <c r="R21" i="16" a="1"/>
  <c r="L31" i="16" a="1"/>
  <c r="R19" i="16" a="1"/>
  <c r="R35" i="16" a="1"/>
  <c r="L5" i="16" a="1"/>
  <c r="L24" i="16" a="1"/>
  <c r="R29" i="16" a="1"/>
  <c r="R34" i="16" a="1"/>
  <c r="AJ12" i="16" l="1"/>
  <c r="AJ6" i="16"/>
  <c r="AG17" i="16"/>
  <c r="AJ28" i="16"/>
  <c r="AJ26" i="16"/>
  <c r="AC19" i="16"/>
  <c r="Y19" i="16"/>
  <c r="AC35" i="16"/>
  <c r="Y35" i="16"/>
  <c r="AC15" i="16"/>
  <c r="AH15" i="16" s="1"/>
  <c r="Y15" i="16"/>
  <c r="W22" i="16"/>
  <c r="AC31" i="16"/>
  <c r="Y31" i="16"/>
  <c r="AH17" i="16"/>
  <c r="AC11" i="16"/>
  <c r="Y11" i="16"/>
  <c r="Y23" i="16"/>
  <c r="AC23" i="16"/>
  <c r="AH23" i="16" s="1"/>
  <c r="Y4" i="16"/>
  <c r="AC4" i="16"/>
  <c r="AC18" i="16"/>
  <c r="Y18" i="16"/>
  <c r="AC34" i="16"/>
  <c r="AH34" i="16" s="1"/>
  <c r="Y34" i="16"/>
  <c r="Y27" i="16"/>
  <c r="AC27" i="16"/>
  <c r="AJ24" i="16"/>
  <c r="AC14" i="16"/>
  <c r="Y14" i="16"/>
  <c r="AC8" i="16"/>
  <c r="Y8" i="16"/>
  <c r="Y26" i="16"/>
  <c r="AC26" i="16"/>
  <c r="AH26" i="16" s="1"/>
  <c r="AK26" i="16" s="1"/>
  <c r="AC22" i="16"/>
  <c r="Y22" i="16"/>
  <c r="AC30" i="16"/>
  <c r="Y30" i="16"/>
  <c r="Y7" i="16"/>
  <c r="AC7" i="16"/>
  <c r="AH7" i="16" s="1"/>
  <c r="AC10" i="16"/>
  <c r="Y10" i="16"/>
  <c r="W18" i="16"/>
  <c r="AC37" i="16"/>
  <c r="AH37" i="16" s="1"/>
  <c r="Y37" i="16"/>
  <c r="W37" i="16"/>
  <c r="AC17" i="16"/>
  <c r="Y17" i="16"/>
  <c r="W8" i="16"/>
  <c r="AC21" i="16"/>
  <c r="Y21" i="16"/>
  <c r="AC33" i="16"/>
  <c r="Y33" i="16"/>
  <c r="W36" i="16"/>
  <c r="AC13" i="16"/>
  <c r="Y13" i="16"/>
  <c r="AC9" i="16"/>
  <c r="Y9" i="16"/>
  <c r="W7" i="16"/>
  <c r="W16" i="16"/>
  <c r="Y25" i="16"/>
  <c r="AC25" i="16"/>
  <c r="AH33" i="16"/>
  <c r="Y6" i="16"/>
  <c r="AC6" i="16"/>
  <c r="W26" i="16"/>
  <c r="AC3" i="16"/>
  <c r="Y3" i="16"/>
  <c r="W15" i="16"/>
  <c r="AC32" i="16"/>
  <c r="Y32" i="16"/>
  <c r="AC29" i="16"/>
  <c r="Y29" i="16"/>
  <c r="W34" i="16"/>
  <c r="Y24" i="16"/>
  <c r="AC24" i="16"/>
  <c r="AC20" i="16"/>
  <c r="AH20" i="16" s="1"/>
  <c r="Y20" i="16"/>
  <c r="AC36" i="16"/>
  <c r="AH36" i="16" s="1"/>
  <c r="Y36" i="16"/>
  <c r="AC12" i="16"/>
  <c r="Y12" i="16"/>
  <c r="W14" i="16"/>
  <c r="Y5" i="16"/>
  <c r="AC5" i="16"/>
  <c r="AC16" i="16"/>
  <c r="AH16" i="16" s="1"/>
  <c r="Y16" i="16"/>
  <c r="W33" i="16"/>
  <c r="AC28" i="16"/>
  <c r="AH28" i="16" s="1"/>
  <c r="Y28" i="16"/>
  <c r="AJ8" i="16"/>
  <c r="AJ7" i="16"/>
  <c r="AK7" i="16" s="1"/>
  <c r="AK32" i="16"/>
  <c r="AK27" i="16"/>
  <c r="AK24" i="16"/>
  <c r="AK12" i="16"/>
  <c r="AJ29" i="16"/>
  <c r="AK29" i="16" s="1"/>
  <c r="P3" i="16" a="1"/>
  <c r="P3" i="16" s="1"/>
  <c r="AJ9" i="16"/>
  <c r="AJ25" i="16"/>
  <c r="AJ20" i="16"/>
  <c r="AJ36" i="16"/>
  <c r="AJ21" i="16"/>
  <c r="AK21" i="16" s="1"/>
  <c r="AJ4" i="16"/>
  <c r="AK4" i="16" s="1"/>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AI26" i="16" s="1"/>
  <c r="J26" i="16"/>
  <c r="G6" i="16"/>
  <c r="AI6" i="16" s="1"/>
  <c r="J6" i="16"/>
  <c r="G25" i="16"/>
  <c r="J25" i="16"/>
  <c r="G20" i="16"/>
  <c r="AI20" i="16" s="1"/>
  <c r="J20" i="16"/>
  <c r="J21" i="16"/>
  <c r="G21" i="16"/>
  <c r="G5" i="16"/>
  <c r="AI5" i="16" s="1"/>
  <c r="J5" i="16"/>
  <c r="J37" i="16"/>
  <c r="G37" i="16"/>
  <c r="AI37" i="16" s="1"/>
  <c r="G23" i="16"/>
  <c r="AI23" i="16" s="1"/>
  <c r="J23" i="16"/>
  <c r="G17" i="16"/>
  <c r="J17" i="16"/>
  <c r="G34" i="16"/>
  <c r="J34" i="16"/>
  <c r="AJ11" i="16"/>
  <c r="G14" i="16"/>
  <c r="J14" i="16"/>
  <c r="G19" i="16"/>
  <c r="AI19" i="16" s="1"/>
  <c r="J19" i="16"/>
  <c r="J31" i="16"/>
  <c r="G31" i="16"/>
  <c r="G30" i="16"/>
  <c r="AI30" i="16" s="1"/>
  <c r="J30" i="16"/>
  <c r="J29" i="16"/>
  <c r="G29" i="16"/>
  <c r="AI29" i="16" s="1"/>
  <c r="G13" i="16"/>
  <c r="J13" i="16"/>
  <c r="J22" i="16"/>
  <c r="G22" i="16"/>
  <c r="AI22" i="16" s="1"/>
  <c r="G36" i="16"/>
  <c r="J36" i="16"/>
  <c r="G3" i="16"/>
  <c r="J3" i="16"/>
  <c r="J18" i="16"/>
  <c r="G18" i="16"/>
  <c r="J33" i="16"/>
  <c r="G33" i="16"/>
  <c r="AI33" i="16" s="1"/>
  <c r="G35" i="16"/>
  <c r="J35" i="16"/>
  <c r="G32" i="16"/>
  <c r="AI32" i="16" s="1"/>
  <c r="J32" i="16"/>
  <c r="G15" i="16"/>
  <c r="AI15" i="16" s="1"/>
  <c r="J15" i="16"/>
  <c r="G12" i="16"/>
  <c r="J12" i="16"/>
  <c r="G24" i="16"/>
  <c r="J24" i="16"/>
  <c r="G8" i="16"/>
  <c r="J8" i="16"/>
  <c r="J11" i="16"/>
  <c r="G11" i="16"/>
  <c r="AI11" i="16" s="1"/>
  <c r="G16" i="16"/>
  <c r="J16" i="16"/>
  <c r="AJ31" i="16"/>
  <c r="J4" i="16"/>
  <c r="G4" i="16"/>
  <c r="G28" i="16"/>
  <c r="J28" i="16"/>
  <c r="AJ33" i="16"/>
  <c r="AJ34" i="16"/>
  <c r="J27" i="16"/>
  <c r="G27" i="16"/>
  <c r="G10" i="16"/>
  <c r="J10" i="16"/>
  <c r="G9" i="16"/>
  <c r="J9" i="16"/>
  <c r="G7" i="16"/>
  <c r="AI7" i="16" s="1"/>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M37" i="16" a="1"/>
  <c r="S5" i="16" a="1"/>
  <c r="S29" i="16" a="1"/>
  <c r="S20" i="16" a="1"/>
  <c r="S14" i="16" a="1"/>
  <c r="M22" i="16" a="1"/>
  <c r="M9" i="16" a="1"/>
  <c r="S23" i="16" a="1"/>
  <c r="S32" i="16" a="1"/>
  <c r="S33" i="16" a="1"/>
  <c r="M34" i="16" a="1"/>
  <c r="S34" i="16" a="1"/>
  <c r="M29" i="16" a="1"/>
  <c r="S30" i="16" a="1"/>
  <c r="M24" i="16" a="1"/>
  <c r="S8" i="16" a="1"/>
  <c r="M26" i="16" a="1"/>
  <c r="S35" i="16" a="1"/>
  <c r="S13" i="16" a="1"/>
  <c r="M28" i="16" a="1"/>
  <c r="S3" i="16" a="1"/>
  <c r="S7" i="16" a="1"/>
  <c r="M36" i="16" a="1"/>
  <c r="S27" i="16" a="1"/>
  <c r="S9" i="16" a="1"/>
  <c r="M19" i="16" a="1"/>
  <c r="M3" i="16" a="1"/>
  <c r="S18" i="16" a="1"/>
  <c r="M18" i="16" a="1"/>
  <c r="S28" i="16" a="1"/>
  <c r="M10" i="16" a="1"/>
  <c r="M12" i="16" a="1"/>
  <c r="S22" i="16" a="1"/>
  <c r="M5" i="16" a="1"/>
  <c r="M16" i="16" a="1"/>
  <c r="S21" i="16" a="1"/>
  <c r="M20" i="16" a="1"/>
  <c r="S19" i="16" a="1"/>
  <c r="M27" i="16" a="1"/>
  <c r="M4" i="16" a="1"/>
  <c r="M15" i="16" a="1"/>
  <c r="M6" i="16" a="1"/>
  <c r="M8" i="16" a="1"/>
  <c r="M14" i="16" a="1"/>
  <c r="S6" i="16" a="1"/>
  <c r="M35" i="16" a="1"/>
  <c r="M30" i="16" a="1"/>
  <c r="M11" i="16" a="1"/>
  <c r="M32" i="16" a="1"/>
  <c r="M31" i="16" a="1"/>
  <c r="S37" i="16" a="1"/>
  <c r="M23" i="16" a="1"/>
  <c r="M7" i="16" a="1"/>
  <c r="M13" i="16" a="1"/>
  <c r="S25" i="16" a="1"/>
  <c r="S24" i="16" a="1"/>
  <c r="S4" i="16" a="1"/>
  <c r="S36" i="16" a="1"/>
  <c r="S31" i="16" a="1"/>
  <c r="M17" i="16" a="1"/>
  <c r="S10" i="16" a="1"/>
  <c r="M33" i="16" a="1"/>
  <c r="M25" i="16" a="1"/>
  <c r="S11" i="16" a="1"/>
  <c r="S12" i="16" a="1"/>
  <c r="M21" i="16" a="1"/>
  <c r="S26" i="16" a="1"/>
  <c r="S16" i="16" a="1"/>
  <c r="S15" i="16" a="1"/>
  <c r="S17" i="16" a="1"/>
  <c r="AI34" i="16" l="1"/>
  <c r="AK34" i="16"/>
  <c r="AK36" i="16"/>
  <c r="AK20" i="16"/>
  <c r="AK33" i="16"/>
  <c r="AI35" i="16"/>
  <c r="AI18" i="16"/>
  <c r="AI12" i="16"/>
  <c r="AI31" i="16"/>
  <c r="AI4" i="16"/>
  <c r="AI16" i="16"/>
  <c r="AI14" i="16"/>
  <c r="AI8" i="16"/>
  <c r="AI27" i="16"/>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S8" i="16"/>
  <c r="S33" i="16"/>
  <c r="S31" i="16"/>
  <c r="AH31" i="16" s="1"/>
  <c r="S19" i="16"/>
  <c r="S22" i="16"/>
  <c r="S15" i="16"/>
  <c r="S37" i="16"/>
  <c r="S11" i="16"/>
  <c r="S13" i="16"/>
  <c r="S24" i="16"/>
  <c r="S29" i="16"/>
  <c r="S30" i="16"/>
  <c r="S17" i="16"/>
  <c r="S20" i="16"/>
  <c r="S14" i="16"/>
  <c r="S35" i="16"/>
  <c r="S21" i="16"/>
  <c r="S5" i="16"/>
  <c r="S16" i="16"/>
  <c r="S3" i="16"/>
  <c r="AH3" i="16" s="1"/>
  <c r="S36" i="16"/>
  <c r="S28" i="16"/>
  <c r="S32" i="16"/>
  <c r="S27" i="16"/>
  <c r="AH27" i="16" s="1"/>
  <c r="S7" i="16"/>
  <c r="S6" i="16"/>
  <c r="AH6" i="16" s="1"/>
  <c r="S12" i="16"/>
  <c r="S18" i="16"/>
  <c r="S10" i="16"/>
  <c r="S23" i="16"/>
  <c r="S26" i="16"/>
  <c r="S4" i="16"/>
  <c r="S9" i="16"/>
  <c r="S34" i="16"/>
  <c r="AT37" i="16"/>
  <c r="AS37" i="16"/>
  <c r="AT36" i="16"/>
  <c r="AT35" i="16"/>
  <c r="AT34" i="16"/>
  <c r="AS34" i="16"/>
  <c r="AT33" i="16"/>
  <c r="AS33" i="16"/>
  <c r="AS32" i="16"/>
  <c r="AT31" i="16"/>
  <c r="AT30" i="16"/>
  <c r="AS30" i="16"/>
  <c r="AS29" i="16"/>
  <c r="AT28" i="16"/>
  <c r="AT27" i="16"/>
  <c r="AT26" i="16"/>
  <c r="AS26" i="16"/>
  <c r="AT25" i="16"/>
  <c r="AS23" i="16"/>
  <c r="AT22" i="16"/>
  <c r="AS22" i="16"/>
  <c r="AT20" i="16"/>
  <c r="AS20" i="16"/>
  <c r="AS19" i="16"/>
  <c r="AS18" i="16"/>
  <c r="N7" i="16" a="1"/>
  <c r="N35" i="16" a="1"/>
  <c r="N30" i="16" a="1"/>
  <c r="N26" i="16" a="1"/>
  <c r="N11" i="16" a="1"/>
  <c r="N36" i="16" a="1"/>
  <c r="N5" i="16" a="1"/>
  <c r="N8" i="16" a="1"/>
  <c r="N17" i="16" a="1"/>
  <c r="N16" i="16" a="1"/>
  <c r="N20" i="16" a="1"/>
  <c r="N12" i="16" a="1"/>
  <c r="N3" i="16" a="1"/>
  <c r="N31" i="16" a="1"/>
  <c r="N15" i="16" a="1"/>
  <c r="N21" i="16" a="1"/>
  <c r="N4" i="16" a="1"/>
  <c r="N19" i="16" a="1"/>
  <c r="N13" i="16" a="1"/>
  <c r="N14" i="16" a="1"/>
  <c r="N23" i="16" a="1"/>
  <c r="N34" i="16" a="1"/>
  <c r="N10" i="16" a="1"/>
  <c r="N22" i="16" a="1"/>
  <c r="N33" i="16" a="1"/>
  <c r="N28" i="16" a="1"/>
  <c r="N6" i="16" a="1"/>
  <c r="N27" i="16" a="1"/>
  <c r="N25" i="16" a="1"/>
  <c r="N32" i="16" a="1"/>
  <c r="N9" i="16" a="1"/>
  <c r="N29" i="16" a="1"/>
  <c r="N24" i="16" a="1"/>
  <c r="N37" i="16" a="1"/>
  <c r="N18" i="16" a="1"/>
  <c r="AK31" i="16" l="1"/>
  <c r="AS35" i="16"/>
  <c r="AS27" i="16"/>
  <c r="AH25" i="16"/>
  <c r="AH21" i="16"/>
  <c r="AH35" i="16"/>
  <c r="AH18" i="16"/>
  <c r="AH14" i="16"/>
  <c r="AK14" i="16" s="1"/>
  <c r="AH8" i="16"/>
  <c r="AK8" i="16" s="1"/>
  <c r="AH11" i="16"/>
  <c r="AK11" i="16" s="1"/>
  <c r="AH30" i="16"/>
  <c r="AK30" i="16" s="1"/>
  <c r="AH9" i="16"/>
  <c r="AK9" i="16" s="1"/>
  <c r="AH29" i="16"/>
  <c r="AH4" i="16"/>
  <c r="AH24" i="16"/>
  <c r="AH10" i="16"/>
  <c r="AK10" i="16" s="1"/>
  <c r="AH5" i="16"/>
  <c r="AH13" i="16"/>
  <c r="AK13" i="16" s="1"/>
  <c r="AH12" i="16"/>
  <c r="AH32" i="16"/>
  <c r="AH19" i="16"/>
  <c r="AH22" i="16"/>
  <c r="AK22" i="16" s="1"/>
  <c r="AS31" i="16"/>
  <c r="AK3" i="16"/>
  <c r="AK6" i="16"/>
  <c r="AS28" i="16"/>
  <c r="AS24" i="16"/>
  <c r="AK15" i="16"/>
  <c r="AS36" i="16"/>
  <c r="AS21" i="16"/>
  <c r="AK2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G3" i="16" l="1"/>
  <c r="AB3" i="16" s="1"/>
  <c r="AR33" i="16"/>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<sst xmlns="http://schemas.openxmlformats.org/spreadsheetml/2006/main" count="770" uniqueCount="416">
  <si>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</si>
  <si>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</si>
  <si>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</si>
  <si>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</si>
  <si>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</si>
  <si>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</si>
  <si>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</si>
  <si>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</si>
  <si>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</si>
  <si>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</si>
  <si>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</si>
  <si>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</si>
  <si>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</si>
  <si>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</si>
  <si>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</si>
  <si>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</si>
  <si>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</si>
  <si>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</si>
  <si>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</si>
  <si>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</si>
  <si>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</si>
  <si>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</si>
  <si>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</si>
  <si>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</si>
  <si>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</si>
  <si>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</si>
  <si>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</si>
  <si>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</si>
  <si>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</si>
  <si>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</si>
  <si>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</si>
  <si>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</si>
  <si>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</si>
  <si>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</si>
  <si>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</si>
  <si>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yes</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</si>
  <si>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</si>
  <si>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</si>
  <si>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</si>
  <si>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</si>
  <si>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</si>
  <si>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</si>
  <si>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</si>
  <si>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</si>
  <si>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</si>
  <si>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</si>
  <si>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</si>
  <si>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</si>
  <si>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</si>
  <si>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</si>
  <si>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</si>
  <si>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</si>
  <si>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</si>
  <si>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</si>
  <si>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</si>
  <si>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</si>
  <si>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</si>
  <si>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</si>
  <si>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</si>
  <si>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</si>
  <si>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</si>
  <si>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</si>
  <si>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</si>
  <si>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10o</t>
  </si>
  <si>
    <t>11p</t>
  </si>
  <si>
    <t>Minimally invasive</t>
  </si>
  <si>
    <t>11o</t>
  </si>
  <si>
    <t>12p</t>
  </si>
  <si>
    <t>12o</t>
  </si>
  <si>
    <t>13p</t>
  </si>
  <si>
    <t>III</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</si>
  <si>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</si>
  <si>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</si>
  <si>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</si>
  <si>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</si>
  <si>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</si>
  <si>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</si>
  <si>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</si>
  <si>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</si>
  <si>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</si>
  <si>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</si>
  <si>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</si>
  <si>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</si>
  <si>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</si>
  <si>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</si>
  <si>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</si>
  <si>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</si>
  <si>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</si>
  <si>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</si>
  <si>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</si>
  <si>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</si>
  <si>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</si>
  <si>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</si>
  <si>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</si>
  <si>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</si>
  <si>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</si>
  <si>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</si>
  <si>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</si>
  <si>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</si>
  <si>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</si>
  <si>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</si>
  <si>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</si>
  <si>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</si>
  <si>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</si>
  <si>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</si>
  <si>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</si>
  <si>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</si>
  <si>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</si>
  <si>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</si>
  <si>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</si>
  <si>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</si>
  <si>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</si>
  <si>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</si>
  <si>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</si>
  <si>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</si>
  <si>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</si>
  <si>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</si>
  <si>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</si>
  <si>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</si>
  <si>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</si>
  <si>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</si>
  <si>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</si>
  <si>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</si>
  <si>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</si>
  <si>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</si>
  <si>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</si>
  <si>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</si>
  <si>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</si>
  <si>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</si>
  <si>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</si>
  <si>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</si>
  <si>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</si>
  <si>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</si>
  <si>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</si>
  <si>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</si>
  <si>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</si>
  <si>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</si>
  <si>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</si>
  <si>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</si>
  <si>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</si>
  <si>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</si>
  <si>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</si>
  <si>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</si>
  <si>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</si>
  <si>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</si>
  <si>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</si>
  <si>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</si>
  <si>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</si>
  <si>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</si>
  <si>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</si>
  <si>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</si>
  <si>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</si>
  <si>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</si>
  <si>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</si>
  <si>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T3a</t>
  </si>
  <si>
    <t>T4a</t>
  </si>
  <si>
    <t>T1</t>
  </si>
  <si>
    <t>T1a</t>
  </si>
  <si>
    <t>T1b</t>
  </si>
  <si>
    <t>T2</t>
  </si>
  <si>
    <t>T3</t>
  </si>
  <si>
    <t>T3b</t>
  </si>
  <si>
    <t>T4</t>
  </si>
  <si>
    <t>N0</t>
  </si>
  <si>
    <t>N1</t>
  </si>
  <si>
    <t>N1a</t>
  </si>
  <si>
    <t>N1b</t>
  </si>
  <si>
    <t>M0</t>
  </si>
  <si>
    <t>M1</t>
  </si>
  <si>
    <t>2.5cm</t>
  </si>
  <si>
    <t>intermediate</t>
  </si>
  <si>
    <t>high</t>
  </si>
  <si>
    <t>low</t>
  </si>
  <si>
    <t>LN extent</t>
  </si>
  <si>
    <t>Papillary carcinoma</t>
  </si>
  <si>
    <t>Not identified</t>
  </si>
  <si>
    <t>infiltrative follicular subtype</t>
  </si>
  <si>
    <t>Nontoxic uninodular goitre</t>
  </si>
  <si>
    <t>Left central compartment</t>
  </si>
  <si>
    <t>2cm</t>
  </si>
  <si>
    <t>Minimally invasive follicular carcinoma</t>
  </si>
  <si>
    <t>6.5cm</t>
  </si>
  <si>
    <t>4cm</t>
  </si>
  <si>
    <t>1.3cm</t>
  </si>
  <si>
    <t>2mm</t>
  </si>
  <si>
    <t>10 mm</t>
  </si>
  <si>
    <t>Absent</t>
  </si>
  <si>
    <t>Focal involvement by invasive carcinoma at posterior surface</t>
  </si>
  <si>
    <t>4.5 mm</t>
  </si>
  <si>
    <t>CA thyroid</t>
  </si>
  <si>
    <t>24.5 mm</t>
  </si>
  <si>
    <t>3cm</t>
  </si>
  <si>
    <t>lung</t>
  </si>
  <si>
    <t>1b</t>
  </si>
  <si>
    <t>x</t>
  </si>
  <si>
    <t>1a</t>
  </si>
  <si>
    <t>3b</t>
  </si>
  <si>
    <t>3a</t>
  </si>
  <si>
    <t>4a</t>
  </si>
  <si>
    <t>4b</t>
  </si>
  <si>
    <t>GROUND TRUTH</t>
  </si>
  <si>
    <t>PERFORMANCE</t>
  </si>
  <si>
    <t>13 mm</t>
  </si>
  <si>
    <t>classic</t>
  </si>
  <si>
    <t>63 mm</t>
  </si>
  <si>
    <t>papillary</t>
  </si>
  <si>
    <t>Extensive (= or &gt; 4 vessels)</t>
  </si>
  <si>
    <t>tall cell</t>
  </si>
  <si>
    <r>
      <t>NoFociVIFTC</t>
    </r>
    <r>
      <rPr>
        <b/>
        <sz val="11"/>
        <rFont val="Calibri (Body)"/>
      </rPr>
      <t xml:space="preserve"> (extensive/minimal)</t>
    </r>
  </si>
  <si>
    <t>pT1a</t>
  </si>
  <si>
    <t>pN1a</t>
  </si>
  <si>
    <t>ID</t>
  </si>
  <si>
    <t>Date of clinical note or operation</t>
  </si>
  <si>
    <t>Age of patient</t>
  </si>
  <si>
    <t>Regional lymph node staging (pN)</t>
  </si>
  <si>
    <t>Distant metastasis staging (pM)</t>
  </si>
  <si>
    <t>Number of tumor</t>
  </si>
  <si>
    <t>Gene mutation test performed</t>
  </si>
  <si>
    <t>Gene mutation type identified</t>
  </si>
  <si>
    <t>IDv2</t>
  </si>
  <si>
    <t>Report</t>
  </si>
  <si>
    <t>Focally noted</t>
  </si>
  <si>
    <t>Focal (&lt; 4 vessels)</t>
  </si>
  <si>
    <t>Suspicious foci</t>
  </si>
  <si>
    <t>Present (focal)</t>
  </si>
  <si>
    <t>lung, bone</t>
  </si>
  <si>
    <t>left lateral level II, III, IV</t>
  </si>
  <si>
    <t>PATIENT ID</t>
  </si>
  <si>
    <t>NX</t>
  </si>
  <si>
    <t>MX</t>
  </si>
  <si>
    <t>Uninvolved by carcinoma</t>
  </si>
  <si>
    <t>fatty soft tissue at isthmus</t>
  </si>
  <si>
    <t>Invading only strap muscles</t>
  </si>
  <si>
    <t>Clear</t>
  </si>
  <si>
    <t>Present (minimal)</t>
  </si>
  <si>
    <t>Inferior, Lateral, Superior, Posterior</t>
  </si>
  <si>
    <t>Margin</t>
  </si>
  <si>
    <t>27g</t>
  </si>
  <si>
    <t>16 mm</t>
  </si>
  <si>
    <t>25 x 15 x 15 mm</t>
  </si>
  <si>
    <t>36 x 32 x 26 mm</t>
  </si>
  <si>
    <t>level VI</t>
  </si>
  <si>
    <t>Uninvolved by carcinoma, closest 3mm from anterior margin.</t>
  </si>
  <si>
    <t>9mm</t>
  </si>
  <si>
    <t>Classic</t>
  </si>
  <si>
    <t>Microscopic extrathyroidal extension to skeletal muscle anterior to the thyroid gland is present</t>
  </si>
  <si>
    <t>2.2mm</t>
  </si>
  <si>
    <t>isthmus</t>
  </si>
  <si>
    <t>12 mm</t>
  </si>
  <si>
    <t>28g</t>
  </si>
  <si>
    <t>Primary tumor staging (pT)</t>
  </si>
  <si>
    <t>Site of involved lymph nodes</t>
  </si>
  <si>
    <t>Site of distant metastasis</t>
  </si>
  <si>
    <t>Number of lymph node identified</t>
  </si>
  <si>
    <t>Number of involved lymph node</t>
  </si>
  <si>
    <t>Largest dimension of involved lymph node</t>
  </si>
  <si>
    <t>Histologic type of thyroid cancer</t>
  </si>
  <si>
    <t>Histologic subtype or variant of thyroid cancer</t>
  </si>
  <si>
    <t>Largest dimension of tumor</t>
  </si>
  <si>
    <t>Vascular invasion</t>
  </si>
  <si>
    <t>Extensiveness of vascular invasion</t>
  </si>
  <si>
    <t>Capsular invasion</t>
  </si>
  <si>
    <t>Extrathyroidal extension</t>
  </si>
  <si>
    <t>Margin involved</t>
  </si>
  <si>
    <t>Infiltrative follicular subtype</t>
  </si>
  <si>
    <t>Focally, the tumor is separated from the surgical margin by thin fibrous tissue (0.6 mm).</t>
  </si>
  <si>
    <t>8 mm and 2 mm</t>
  </si>
  <si>
    <t>pT1</t>
  </si>
  <si>
    <t>right central compartment</t>
  </si>
  <si>
    <t>14g</t>
  </si>
  <si>
    <t>Oncocytic classic subtype</t>
  </si>
  <si>
    <t>20 mm (Lower pole tumour), 16 mm (Isthmus tumour)</t>
  </si>
  <si>
    <t>Focally noted in B1</t>
  </si>
  <si>
    <t>Invading soft tissue and strap muscles (microscopic)</t>
  </si>
  <si>
    <t>Anterior margin: Involved by tumour; Posterior margin: Involved by tumour; Lateral margin: Less than 0.1 mm</t>
  </si>
  <si>
    <t>Middle thyroid vein ligated and divided, Superior thyroid vessels doubly ligated and divided</t>
  </si>
  <si>
    <t>To overlying strap muscle</t>
  </si>
  <si>
    <t>4 cm vertically, 2-5 cm transversely and 2 cm anteroposteriorly</t>
  </si>
  <si>
    <t>Anterior margins (block 4)</t>
  </si>
  <si>
    <t>3 mm (block A7), 4 mm (block B4)</t>
  </si>
  <si>
    <t>&lt; 0.1 mm from carcinoma (block 3)</t>
  </si>
  <si>
    <t>Isthmic margin: Not involved by carcinoma; Anterior surface: &lt; 0.1 mm from carcinoma (block 3); Posterior surface: Not involved by carcinoma</t>
  </si>
  <si>
    <t>left central compartment</t>
  </si>
  <si>
    <t>invaded through the fibrous capsule, with tumor cells found in the adjacent thyroid parenchyma</t>
  </si>
  <si>
    <t>clear</t>
  </si>
  <si>
    <t>central compartment</t>
  </si>
  <si>
    <t>Anterior margin: Involved by invasive carcinoma (block 5)</t>
  </si>
  <si>
    <t>50 mm and 30 mm respectively</t>
  </si>
  <si>
    <t>Uninvolved</t>
  </si>
  <si>
    <t>40g</t>
  </si>
  <si>
    <t>Invading perithyroid soft tissue</t>
  </si>
  <si>
    <t>Posterior margin(B2), Isthmus margin : close and clear by 0.05 mm, Lateral margin : close and clear by 0.3 mm.</t>
  </si>
  <si>
    <t>pN1b</t>
  </si>
  <si>
    <t>1.1 cm</t>
  </si>
  <si>
    <t>&lt; 4 vessels</t>
  </si>
  <si>
    <t>Non-invasive follicular thyroid neoplasm with papillary-like nuclear features</t>
  </si>
  <si>
    <t>BRAF, KRAS or NRAS hot spot mutation</t>
  </si>
  <si>
    <t>No evidence of BRAF, KRAS or NRAS hot spot mutation</t>
  </si>
  <si>
    <t>Extrathyroidal extension with invasion to overlying strap muscles</t>
  </si>
  <si>
    <t>The carcinoma reaches the anterior and anterolateral capsule without breaching the capsule. It extends to 1 mm from posterior margin.</t>
  </si>
  <si>
    <t>Posterior margin: involved by carcinoma (Block A3)</t>
  </si>
  <si>
    <t>Anterior margin : 0.3 mm (Block A5)
Posterior margin: involved by carcinoma (Block A3)
Lateral margin  : less than 0.1 mm (Block A5)</t>
  </si>
  <si>
    <t>Extrathyroidal extension with involvement of right cricothyroid and inferior constrictor muscle</t>
  </si>
  <si>
    <t>1.8 cm superoinferiorly, 1.6 cm mediolaterally and 1.1 cm anteroposteriorly</t>
  </si>
  <si>
    <t>The anterior, posterior and lateral surfaces are clear by 0.4 mm, 0.9 mm and 1.5 mm respectively (Block 2). The superior and inferior surfaces are grossly well clear. The isthmic margin is clear (Block 1).</t>
  </si>
  <si>
    <t>0.1 mm from the anterior margin</t>
  </si>
  <si>
    <t>2.7cm</t>
  </si>
  <si>
    <t>Perineural invasion: Present, Angioinvasion: Absent</t>
  </si>
  <si>
    <t>extensive perineural invasion</t>
  </si>
  <si>
    <t>CA</t>
  </si>
  <si>
    <t>Complete encasement of right RLN by tumour at laryngeal entry point</t>
  </si>
  <si>
    <t>1 cm</t>
  </si>
  <si>
    <t>Absence</t>
  </si>
  <si>
    <t>Clear, 1 mm from the peri-thyroid soft tissue margin</t>
  </si>
  <si>
    <t>Anterior: 0.2 mm, Posterior: 1.5 mm</t>
  </si>
  <si>
    <t>No definite capsular invasion is seen despite serial deeper levels.</t>
  </si>
  <si>
    <t>Close to resection margins</t>
  </si>
  <si>
    <t>7 mm (microscopical dimension)</t>
  </si>
  <si>
    <t>Left level III LN</t>
  </si>
  <si>
    <t>Anterior and posterior margins focally involved</t>
  </si>
  <si>
    <t>Rich vascular anastomosis identified</t>
  </si>
  <si>
    <t>Follicular carcinoma</t>
  </si>
  <si>
    <t>6 m superoinferiorly, 3.2 cm transversely and 2.5 cm anteroposteriorly</t>
  </si>
  <si>
    <t>Focally into adjacent fibroadipose tissue (block B3)</t>
  </si>
  <si>
    <t>Free of involvement</t>
  </si>
  <si>
    <t>Tall cell variant</t>
  </si>
  <si>
    <t>Extensive (= or &gt;4 vessels)</t>
  </si>
  <si>
    <t>The tumor nodule appears being completely excised.</t>
  </si>
  <si>
    <t>Focally involved by carcinoma (Block 1)</t>
  </si>
  <si>
    <t>Anterior surface: Focally involved by carcinoma (Block 1); Posterior surface: Clear by more than 5 mm; Isthmic margin: Clear by 15.5 mm (Block 9)</t>
  </si>
  <si>
    <t>23g</t>
  </si>
  <si>
    <t>perithyroidal fibradipose tissue</t>
  </si>
  <si>
    <t>uninodular goitre</t>
  </si>
  <si>
    <t>right central compartment, level unspecified</t>
  </si>
  <si>
    <t>posterior and lateral margins</t>
  </si>
  <si>
    <t>Present, anterior and posterior margins involved by carcinoma</t>
  </si>
  <si>
    <t>2.5 cm</t>
  </si>
  <si>
    <t>Perithyroidal fibradipose tissue, skeletal muscle</t>
  </si>
  <si>
    <t>Not specified in the note</t>
  </si>
  <si>
    <t>Not mentioned</t>
  </si>
  <si>
    <t>Uninvolved by carcinoma (A), Carcinoma reaches the anterior surface (B)</t>
  </si>
  <si>
    <t>15g</t>
  </si>
  <si>
    <t>Unifocal</t>
  </si>
  <si>
    <t>27 mm x 22 mm x 17 mm</t>
  </si>
  <si>
    <t>8g</t>
  </si>
  <si>
    <t>Penetration through the thin fibrous capsule</t>
  </si>
  <si>
    <t>Positive vagal signal post procedure</t>
  </si>
  <si>
    <t>50 mm</t>
  </si>
  <si>
    <t>follicular</t>
  </si>
  <si>
    <t>levels I, II, III, IV, or V</t>
  </si>
  <si>
    <t>skeletal muscle, posteriorly adherent to trachea and esophagus at cricoid level</t>
  </si>
  <si>
    <t>&lt;0.1 mm</t>
  </si>
  <si>
    <t>level II-VB, left central compartment</t>
  </si>
  <si>
    <t>whole left lobe and isthmus, 4cm</t>
  </si>
  <si>
    <t>to surrounding muscles, posteriorly adherent to trachea and esophagus</t>
  </si>
  <si>
    <t>perithyroidal fibradipose tissue, skeletal muscle, subcutaneous soft tissues, larynx, trachea, esophagus, recurrent laryngeal nerve, RLN</t>
  </si>
  <si>
    <t>Invading only strap muscles (sternohyoid, sternothyroid, thyrohyoid, or omohyoid muscles)</t>
  </si>
  <si>
    <t>10 cm</t>
  </si>
  <si>
    <t>perithyroidal fibradipose tissue, larynx (RLN)</t>
  </si>
  <si>
    <t>Perithyroidal fibradipose tissue</t>
  </si>
  <si>
    <t>level III</t>
  </si>
  <si>
    <t>8 mm</t>
  </si>
  <si>
    <t>Isthmic margin is clear.</t>
  </si>
  <si>
    <t>Right level III LNs</t>
  </si>
  <si>
    <t>30 mm (Macroscopic)</t>
  </si>
  <si>
    <t>12g</t>
  </si>
  <si>
    <t>perithyroidal fibradipose tissue, skeletal muscle</t>
  </si>
  <si>
    <t>isthmic side resection end</t>
  </si>
  <si>
    <t>papillary carcinoma</t>
  </si>
  <si>
    <t>lymphovascular permeation is present</t>
  </si>
  <si>
    <t>peripheral margins are clear, with a minimal microscopic clearance of &lt;1 mm from both the anterior and posterior surfaces. Lymphovascular permeation is present.</t>
  </si>
  <si>
    <t>clear, with a minimal microscopic clearance of &lt;1 mm from the anterior surface</t>
  </si>
  <si>
    <t>skeletal muscle</t>
  </si>
  <si>
    <t>posterior and anterior margins, measuring 0.3 mm and 0.5 mm, respectively</t>
  </si>
  <si>
    <t>10g</t>
  </si>
  <si>
    <t>4.3 cm superoinferiorly, 2.6 cm mediolaterally and 1.3 cm anteroposteriorly</t>
  </si>
  <si>
    <t>perithyroidal adipose tissue</t>
  </si>
  <si>
    <t>6g</t>
  </si>
  <si>
    <t>central neck, right level 2, 3, 4</t>
  </si>
  <si>
    <t>right lateral neck level II,III,IV</t>
  </si>
  <si>
    <t>Classic (usual, conventional)</t>
  </si>
  <si>
    <t>To strap muscle</t>
  </si>
  <si>
    <t>5mm (block A5) and 1.5mm (block A9)</t>
  </si>
  <si>
    <t>Anterior: 0.2 mm (block A3), Posterior: 1 mm (block A4), Superior: 20 mm (macroscopic), Inferior: 0.2 mm (block A2)</t>
  </si>
  <si>
    <t>Hurthle cell</t>
  </si>
  <si>
    <t>5 mm (middle pole; block 1), 2.5 mm (isthmus; block 3)</t>
  </si>
  <si>
    <t>left central compartment, left level 2, 3, 4 cervical</t>
  </si>
  <si>
    <t>0.5 mm, anterior and posterior aspects of isthmus</t>
  </si>
  <si>
    <t>4.5 x 3 x 2cm</t>
  </si>
  <si>
    <t>1 (left) + 1 (right)</t>
  </si>
  <si>
    <t>Perithyroidal fibradipose tissue, skeletal muscle, subcutaneous soft tissues, larynx, trachea, esophagus, recurrent laryngeal nerve (RLN)</t>
  </si>
  <si>
    <t>Focal capsular invasion and extension into normal parenchyma</t>
  </si>
  <si>
    <t>Microcarcinoma</t>
  </si>
  <si>
    <t>pT4a</t>
  </si>
  <si>
    <t>Invading subcutaneous soft tissues, larynx, trachea, esophagus, or recurrent laryngeal nerve</t>
  </si>
  <si>
    <t>Deep margin: Involved (block A1, A7, A8)
Superior pole margin: Involved (A1)
Anterior margin: Clear, 0.2 mm (A8)</t>
  </si>
  <si>
    <t>larynx and part of carotid sheath</t>
  </si>
  <si>
    <t>Positive nerve signals after idssection</t>
  </si>
  <si>
    <t>perithyroidal fibradipose tissue, larynx, trachea, esophagus, recurrent laryngeal nerve, RLN</t>
  </si>
  <si>
    <t>1.2 cm</t>
  </si>
  <si>
    <t>5.5 cm</t>
  </si>
  <si>
    <t>Peri-thyroidal adipose tissue, extra-thyroidal adipose tissue</t>
  </si>
  <si>
    <t>Present in anterior aspect of inferior pole</t>
  </si>
  <si>
    <t>perithyroidal fibradipose tissue, skeletal muscle, subcutaneous soft tissues</t>
  </si>
  <si>
    <t>Inferior: Tumour present in extrathyroidal adipose tissue and involves the cauterized margin of antero-inferior pole; Anteromedial: Tumour reaches capsule but margin not involved; Anterolateral: Tumour lymphovascular permeation involving extra-thyroidal adipose tissue</t>
  </si>
  <si>
    <t>left lateral neck LNs, left central compartment LN, left level II, III, IV LN</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</si>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</sst>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s>
  <cellStyleXfs count="60">
    <xf numFmtId="0" fontId="0" fillId="0" borderId="0"/>
    <xf numFmtId="9" fontId="9" fillId="0" borderId="0" applyFont="0" applyFill="0" applyBorder="0" applyAlignment="0" applyProtection="0"/>
    <xf numFmtId="0" fontId="4" fillId="0" borderId="0"/>
    <xf numFmtId="0" fontId="3" fillId="0" borderId="0"/>
    <xf numFmtId="0" fontId="12" fillId="0" borderId="0" applyNumberFormat="0" applyFill="0" applyBorder="0" applyAlignment="0" applyProtection="0"/>
    <xf numFmtId="0" fontId="13" fillId="0" borderId="6" applyNumberFormat="0" applyFill="0" applyAlignment="0" applyProtection="0"/>
    <xf numFmtId="0" fontId="14" fillId="0" borderId="7" applyNumberFormat="0" applyFill="0" applyAlignment="0" applyProtection="0"/>
    <xf numFmtId="0" fontId="15" fillId="0" borderId="8"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9" applyNumberFormat="0" applyAlignment="0" applyProtection="0"/>
    <xf numFmtId="0" fontId="19" fillId="8" borderId="10" applyNumberFormat="0" applyAlignment="0" applyProtection="0"/>
    <xf numFmtId="0" fontId="20" fillId="8" borderId="9" applyNumberFormat="0" applyAlignment="0" applyProtection="0"/>
    <xf numFmtId="0" fontId="21" fillId="0" borderId="11" applyNumberFormat="0" applyFill="0" applyAlignment="0" applyProtection="0"/>
    <xf numFmtId="0" fontId="22" fillId="9" borderId="12"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6" fillId="0" borderId="14" applyNumberFormat="0" applyFill="0" applyAlignment="0" applyProtection="0"/>
    <xf numFmtId="0" fontId="24"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4"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4"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4"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4"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4"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5" fillId="6" borderId="0" applyNumberFormat="0" applyBorder="0" applyAlignment="0" applyProtection="0"/>
    <xf numFmtId="0" fontId="2" fillId="10" borderId="13"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xf numFmtId="0" fontId="1" fillId="0" borderId="0"/>
    <xf numFmtId="0" fontId="1" fillId="10" borderId="13" applyNumberFormat="0" applyFont="0" applyAlignment="0" applyProtection="0"/>
    <xf numFmtId="0" fontId="1" fillId="12"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cellStyleXfs>
  <cellXfs count="48">
    <xf numFmtId="0" fontId="0" fillId="0" borderId="0" xfId="0"/>
    <xf numFmtId="0" fontId="5" fillId="0" borderId="0" xfId="0" applyFont="1"/>
    <xf numFmtId="0" fontId="5" fillId="0" borderId="1" xfId="0" applyFont="1" applyBorder="1"/>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5" xfId="0" applyNumberFormat="1" applyFont="1" applyBorder="1" applyAlignment="1">
      <alignment horizontal="center" vertical="center" wrapText="1"/>
    </xf>
    <xf numFmtId="10" fontId="8"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3" fillId="0" borderId="0" xfId="1" applyNumberFormat="1" applyFont="1" applyFill="1" applyBorder="1"/>
    <xf numFmtId="14" fontId="0" fillId="0" borderId="0" xfId="0" applyNumberFormat="1"/>
    <xf numFmtId="15" fontId="0" fillId="0" borderId="0" xfId="0" applyNumberFormat="1"/>
    <xf numFmtId="0" fontId="0" fillId="0" borderId="0" xfId="0" applyAlignment="1">
      <alignment wrapText="1"/>
    </xf>
    <xf numFmtId="1" fontId="10" fillId="0" borderId="5" xfId="0" applyNumberFormat="1" applyFont="1" applyBorder="1" applyAlignment="1">
      <alignment horizontal="center" vertical="center"/>
    </xf>
    <xf numFmtId="1" fontId="10" fillId="0" borderId="16" xfId="0" applyNumberFormat="1" applyFont="1" applyBorder="1" applyAlignment="1">
      <alignment horizontal="center" vertical="center"/>
    </xf>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0" fillId="0" borderId="3" xfId="0" applyBorder="1"/>
    <xf numFmtId="0" fontId="8" fillId="0" borderId="0" xfId="0" applyFont="1" applyAlignment="1">
      <alignment horizontal="center"/>
    </xf>
    <xf numFmtId="1" fontId="8" fillId="0" borderId="4" xfId="0" applyNumberFormat="1" applyFont="1" applyBorder="1" applyAlignment="1">
      <alignment horizontal="center"/>
    </xf>
    <xf numFmtId="1" fontId="8" fillId="0" borderId="0" xfId="0" applyNumberFormat="1" applyFont="1" applyAlignment="1">
      <alignment horizontal="center"/>
    </xf>
    <xf numFmtId="1" fontId="8" fillId="0" borderId="15" xfId="0" applyNumberFormat="1" applyFont="1" applyBorder="1" applyAlignment="1">
      <alignment horizontal="center"/>
    </xf>
    <xf numFmtId="0" fontId="8" fillId="0" borderId="2" xfId="0" applyFont="1" applyBorder="1" applyAlignment="1">
      <alignment horizontal="center"/>
    </xf>
    <xf numFmtId="1" fontId="8" fillId="0" borderId="5" xfId="0" applyNumberFormat="1" applyFont="1" applyBorder="1" applyAlignment="1">
      <alignment horizontal="center"/>
    </xf>
    <xf numFmtId="1" fontId="8" fillId="0" borderId="2" xfId="0" applyNumberFormat="1" applyFont="1" applyBorder="1" applyAlignment="1">
      <alignment horizontal="center"/>
    </xf>
    <xf numFmtId="1" fontId="8" fillId="0" borderId="16" xfId="0" applyNumberFormat="1" applyFont="1"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2" fontId="10" fillId="0" borderId="2" xfId="0" applyNumberFormat="1" applyFont="1" applyBorder="1" applyAlignment="1">
      <alignment horizontal="center" vertical="center" wrapText="1"/>
    </xf>
    <xf numFmtId="0" fontId="10" fillId="2" borderId="0" xfId="0" applyFont="1" applyFill="1" applyAlignment="1">
      <alignment horizontal="center"/>
    </xf>
    <xf numFmtId="1" fontId="10" fillId="3" borderId="4" xfId="0" applyNumberFormat="1" applyFont="1" applyFill="1" applyBorder="1" applyAlignment="1">
      <alignment horizontal="center"/>
    </xf>
    <xf numFmtId="1" fontId="10" fillId="3" borderId="0" xfId="0" applyNumberFormat="1" applyFont="1" applyFill="1" applyAlignment="1">
      <alignment horizontal="center"/>
    </xf>
    <xf numFmtId="1" fontId="10" fillId="3" borderId="15" xfId="0" applyNumberFormat="1" applyFont="1" applyFill="1" applyBorder="1" applyAlignment="1">
      <alignment horizontal="center"/>
    </xf>
    <xf numFmtId="0" fontId="0" fillId="0" borderId="0" xfId="0" applyBorder="1" applyAlignment="1">
      <alignment horizontal="center"/>
    </xf>
  </cellXfs>
  <cellStyles count="60">
    <cellStyle name="20% - Accent1" xfId="20" builtinId="30" customBuiltin="1"/>
    <cellStyle name="20% - Accent1 2" xfId="48" xr:uid="{C6084956-82D1-4B85-9997-3B0BC22CAE19}"/>
    <cellStyle name="20% - Accent2" xfId="23" builtinId="34" customBuiltin="1"/>
    <cellStyle name="20% - Accent2 2" xfId="50" xr:uid="{C2F6999E-535F-4888-B8A7-7D52E3B81E6C}"/>
    <cellStyle name="20% - Accent3" xfId="26" builtinId="38" customBuiltin="1"/>
    <cellStyle name="20% - Accent3 2" xfId="52" xr:uid="{7404AF2F-FD4C-46D9-90B4-0E4410A4C58D}"/>
    <cellStyle name="20% - Accent4" xfId="29" builtinId="42" customBuiltin="1"/>
    <cellStyle name="20% - Accent4 2" xfId="54" xr:uid="{FC242126-89F6-4D2F-A9C5-21B887E05AD3}"/>
    <cellStyle name="20% - Accent5" xfId="32" builtinId="46" customBuiltin="1"/>
    <cellStyle name="20% - Accent5 2" xfId="56" xr:uid="{E7B82DE4-6654-4ACA-80CB-64CDA5F63B3D}"/>
    <cellStyle name="20% - Accent6" xfId="35" builtinId="50" customBuiltin="1"/>
    <cellStyle name="20% - Accent6 2" xfId="58" xr:uid="{3C076D3A-743A-49B6-B001-0F36000999EB}"/>
    <cellStyle name="40% - Accent1" xfId="21" builtinId="31" customBuiltin="1"/>
    <cellStyle name="40% - Accent1 2" xfId="49" xr:uid="{437A604B-7877-4FD5-8F8B-2CA73632073A}"/>
    <cellStyle name="40% - Accent2" xfId="24" builtinId="35" customBuiltin="1"/>
    <cellStyle name="40% - Accent2 2" xfId="51" xr:uid="{983F6F68-2BE4-468D-A5DA-CC8BE36E9FB7}"/>
    <cellStyle name="40% - Accent3" xfId="27" builtinId="39" customBuiltin="1"/>
    <cellStyle name="40% - Accent3 2" xfId="53" xr:uid="{A7FA94C8-BE9C-4C79-B744-3DC566A05A15}"/>
    <cellStyle name="40% - Accent4" xfId="30" builtinId="43" customBuiltin="1"/>
    <cellStyle name="40% - Accent4 2" xfId="55" xr:uid="{506DA936-E2C9-42D0-A701-27B6B38CA556}"/>
    <cellStyle name="40% - Accent5" xfId="33" builtinId="47" customBuiltin="1"/>
    <cellStyle name="40% - Accent5 2" xfId="57" xr:uid="{558E0A5D-6872-4EF1-977B-A018FE613706}"/>
    <cellStyle name="40% - Accent6" xfId="36" builtinId="51" customBuiltin="1"/>
    <cellStyle name="40% - Accent6 2" xfId="59" xr:uid="{4C1115E6-51C9-4D22-89FD-A9A19D8132C2}"/>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rmal 5" xfId="46" xr:uid="{0EFCBCE9-D550-4135-A335-58343EB0BC5E}"/>
    <cellStyle name="Note 2" xfId="39" xr:uid="{229BDDF4-8816-40CB-B8F6-A1B6E2DC4ADF}"/>
    <cellStyle name="Note 3" xfId="47" xr:uid="{F49FA41D-8387-400A-92A6-1328AE10848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activeCell="N58" sqref="N58"/>
      <selection pane="topRight" activeCell="N58" sqref="N58"/>
      <selection pane="bottomLeft" activeCell="N58" sqref="N58"/>
      <selection pane="bottomRight" activeCell="AG1" sqref="AG1:AK1"/>
    </sheetView>
  </sheetViews>
  <sheetFormatPr defaultColWidth="10.6640625" defaultRowHeight="14.25"/>
  <cols>
    <col min="2" max="2" width="11.33203125" hidden="1" customWidth="1"/>
    <col min="3" max="3" width="10.796875" style="16"/>
    <col min="4" max="4" width="12.46484375" bestFit="1" customWidth="1"/>
    <col min="5" max="5" width="10.6640625" customWidth="1"/>
    <col min="6" max="6" width="10.796875" style="16"/>
    <col min="8" max="8" width="12.33203125" customWidth="1"/>
    <col min="9" max="9" width="11.796875" style="16" customWidth="1"/>
    <col min="10" max="10" width="12.53125" style="16" bestFit="1" customWidth="1"/>
    <col min="11" max="11" width="12.46484375" style="16" bestFit="1" customWidth="1"/>
    <col min="12" max="12" width="10.796875" hidden="1" customWidth="1"/>
    <col min="13" max="13" width="13.33203125" hidden="1" customWidth="1"/>
    <col min="14" max="14" width="9.6640625" customWidth="1"/>
    <col min="15" max="15" width="32.73046875" bestFit="1" customWidth="1"/>
    <col min="16" max="16" width="25.1328125" bestFit="1" customWidth="1"/>
    <col min="17" max="17" width="17.6640625" hidden="1" customWidth="1"/>
    <col min="18" max="18" width="0" hidden="1" customWidth="1"/>
    <col min="20" max="20" width="14.6640625" style="16" customWidth="1"/>
    <col min="21" max="21" width="14.6640625" style="16" hidden="1" customWidth="1"/>
    <col min="22" max="22" width="23.53125" customWidth="1"/>
    <col min="23" max="23" width="12.19921875" customWidth="1"/>
    <col min="25" max="25" width="14.1328125" style="16" customWidth="1"/>
    <col min="26" max="28" width="14.1328125" style="16" hidden="1" customWidth="1"/>
    <col min="29" max="29" width="14.33203125" customWidth="1"/>
    <col min="30" max="30" width="86.73046875" customWidth="1"/>
    <col min="32" max="32" width="10.796875" style="16"/>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3" t="s">
        <v>412</v>
      </c>
      <c r="B1" s="43"/>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18"/>
      <c r="AG1" s="44" t="s">
        <v>415</v>
      </c>
      <c r="AH1" s="45"/>
      <c r="AI1" s="45"/>
      <c r="AJ1" s="45"/>
      <c r="AK1" s="45"/>
      <c r="AL1" s="44" t="s">
        <v>200</v>
      </c>
      <c r="AM1" s="45"/>
      <c r="AN1" s="45"/>
      <c r="AO1" s="45"/>
      <c r="AP1" s="45"/>
      <c r="AQ1" s="44" t="s">
        <v>201</v>
      </c>
      <c r="AR1" s="45"/>
      <c r="AS1" s="45"/>
      <c r="AT1" s="45"/>
      <c r="AU1" s="46"/>
    </row>
    <row r="2" spans="1:47" s="3" customFormat="1" ht="42">
      <c r="A2" s="5" t="s">
        <v>0</v>
      </c>
      <c r="B2" s="5" t="s">
        <v>1</v>
      </c>
      <c r="C2" s="5" t="s">
        <v>4</v>
      </c>
      <c r="D2" s="5" t="s">
        <v>5</v>
      </c>
      <c r="E2" s="5" t="s">
        <v>6</v>
      </c>
      <c r="F2" s="5" t="s">
        <v>7</v>
      </c>
      <c r="G2" s="5" t="s">
        <v>8</v>
      </c>
      <c r="H2" s="5" t="s">
        <v>173</v>
      </c>
      <c r="I2" s="5" t="s">
        <v>9</v>
      </c>
      <c r="J2" s="5" t="s">
        <v>10</v>
      </c>
      <c r="K2" s="5" t="s">
        <v>11</v>
      </c>
      <c r="L2" s="5" t="s">
        <v>12</v>
      </c>
      <c r="M2" s="5" t="s">
        <v>413</v>
      </c>
      <c r="N2" s="42" t="s">
        <v>414</v>
      </c>
      <c r="O2" s="5" t="s">
        <v>13</v>
      </c>
      <c r="P2" s="5" t="s">
        <v>14</v>
      </c>
      <c r="Q2" s="5" t="s">
        <v>15</v>
      </c>
      <c r="R2" s="6" t="s">
        <v>410</v>
      </c>
      <c r="S2" s="42" t="s">
        <v>411</v>
      </c>
      <c r="T2" s="5" t="s">
        <v>16</v>
      </c>
      <c r="U2" s="5" t="s">
        <v>17</v>
      </c>
      <c r="V2" s="5" t="s">
        <v>18</v>
      </c>
      <c r="W2" s="6" t="s">
        <v>208</v>
      </c>
      <c r="X2" s="5" t="s">
        <v>19</v>
      </c>
      <c r="Y2" s="5" t="s">
        <v>20</v>
      </c>
      <c r="Z2" s="5" t="s">
        <v>21</v>
      </c>
      <c r="AA2" s="5" t="s">
        <v>22</v>
      </c>
      <c r="AB2" s="6" t="s">
        <v>23</v>
      </c>
      <c r="AC2" s="5" t="s">
        <v>24</v>
      </c>
      <c r="AD2" s="6" t="s">
        <v>409</v>
      </c>
      <c r="AE2" s="5" t="s">
        <v>236</v>
      </c>
      <c r="AF2" s="7"/>
      <c r="AG2" s="24" t="s">
        <v>148</v>
      </c>
      <c r="AH2" s="8" t="s">
        <v>149</v>
      </c>
      <c r="AI2" s="8" t="s">
        <v>150</v>
      </c>
      <c r="AJ2" s="8" t="s">
        <v>151</v>
      </c>
      <c r="AK2" s="8" t="s">
        <v>152</v>
      </c>
      <c r="AL2" s="9" t="s">
        <v>148</v>
      </c>
      <c r="AM2" s="8" t="s">
        <v>149</v>
      </c>
      <c r="AN2" s="8" t="s">
        <v>150</v>
      </c>
      <c r="AO2" s="8" t="s">
        <v>151</v>
      </c>
      <c r="AP2" s="8" t="s">
        <v>152</v>
      </c>
      <c r="AQ2" s="9" t="s">
        <v>148</v>
      </c>
      <c r="AR2" s="8" t="s">
        <v>149</v>
      </c>
      <c r="AS2" s="8" t="s">
        <v>150</v>
      </c>
      <c r="AT2" s="8" t="s">
        <v>151</v>
      </c>
      <c r="AU2" s="25" t="s">
        <v>152</v>
      </c>
    </row>
    <row r="3" spans="1:47">
      <c r="A3" s="12">
        <v>1</v>
      </c>
      <c r="B3" s="15"/>
      <c r="C3" s="16">
        <f>_xlfn.MAXIFS('Model output'!C:C,'Model output'!Z:Z,'Classification rule'!$A3)</f>
        <v>67</v>
      </c>
      <c r="D3" s="16"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6"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6" cm="1">
        <f t="array" ref="F3">IF(AND(SUBSTITUTE(_xlfn.TEXTJOIN("/", TRUE, _xlfn._xlws.FILTER('Model output'!F:F, 'Model output'!Z:Z=A3)),"M", "")="", I3="negative"),0,IF(I3="positive",1,0))</f>
        <v>0</v>
      </c>
      <c r="G3" t="str">
        <f t="shared" ref="G3:G37" si="0">IF(OR(H3&lt;&gt;"",AND(K3&lt;&gt;"",K3&gt;0)),"positive","")</f>
        <v>positive</v>
      </c>
      <c r="H3" s="31"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central</v>
      </c>
      <c r="I3" s="16"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6">
        <f>IF(IFERROR(INDEX('Model output'!I:I, MATCH(A3, 'Model output'!Z:Z, 0)), "") &lt; K3, "", IFERROR(INDEX('Model output'!I:I, MATCH(A3, 'Model output'!Z:Z, 0)), ""))</f>
        <v>0</v>
      </c>
      <c r="K3" s="16">
        <f>IFERROR(INDEX('Model output'!J:J, MATCH(A3, 'Model output'!Z:Z, 0)), "")</f>
        <v>0</v>
      </c>
      <c r="L3" s="17"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 carcinoma</v>
      </c>
      <c r="P3" t="str" cm="1">
        <f t="array" ref="P3">O3 &amp; " " &amp;IF(ISERROR(INDEX(_xlfn._xlws.FILTER('Model output'!M:M, ('Model output'!Z:Z=A3)*('Model output'!M:M&lt;&gt;"")), 1)), " ", LOWER(INDEX(_xlfn._xlws.FILTER('Model output'!M:M, ('Model output'!Z:Z=A3)*('Model output'!M:M&lt;&gt;"")), 1)))</f>
        <v>papillary carcinoma infiltrative follicular subtype</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6"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output'!P:P&lt;&gt;"")),1),1)),ISNUMBER(SEARCH("present",INDEX(_xlfn._xlws.FILTER('Model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Y3" s="16" t="str">
        <f>IF(OR(ISNUMBER(SEARCH("soft tissue", AD3)), ISNUMBER(SEARCH("adipose tissue", AD3)), ISNUMBER(SEARCH("adipose tissue", AD3)), ISNUMBER(SEARCH("muscles", AD3)), ISNUMBER(SEARCH("microscopic", AD3)), ISNUMBER(SEARCH("minimal", AD3)), ISNUMBER(SEARCH("surrounding fat", AD3)), ISNUMBER(SEARCH("present", AD3)), ISNUMBER(SEARCH("yes", AD3))), "positive", "negative")</f>
        <v>negative</v>
      </c>
      <c r="Z3" s="16" t="str">
        <f t="shared" ref="Z3:AB3" si="1">IF(OR(ISNUMBER(SEARCH("soft tissue", AE3)), ISNUMBER(SEARCH("soft tissue", AE3)), ISNUMBER(SEARCH("muscles", AE3)), ISNUMBER(SEARCH("microscopic", AE3)), ISNUMBER(SEARCH("minimal", AE3)), ISNUMBER(SEARCH("present", AE3)), ISNUMBER(SEARCH("yes", AE3))), "positive", "negative")</f>
        <v>negative</v>
      </c>
      <c r="AA3" s="16" t="str">
        <f t="shared" si="1"/>
        <v>negative</v>
      </c>
      <c r="AB3" s="16" t="str">
        <f t="shared" si="1"/>
        <v>negative</v>
      </c>
      <c r="AC3" s="16" t="str">
        <f>IF(OR(ISNUMBER(SEARCH("subcutaneous soft tissues", AD3)),ISNUMBER(SEARCH("strap muscle", AD3)), ISNUMBER(SEARCH("larynx", AD3)), ISNUMBER(SEARCH("skeletal muscle", AD3)), ISNUMBER(SEARCH("trachea", AD3)),ISNUMBER(SEARCH("esophagus", AD3)), ISNUMBER(SEARCH("recurrent laryngeal nerve", AD3)), ISNUMBER(SEARCH("RLN", AD3))), "positive", "negative")</f>
        <v>negative</v>
      </c>
      <c r="AD3" t="str" cm="1">
        <f t="array" ref="AD3">_xlfn.TEXTJOIN("; ",TRUE,_xlfn._xlws.FILTER('Model output'!S:S,'Model output'!Z:Z=A3))</f>
        <v>Not identified</v>
      </c>
      <c r="AE3" s="16"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output'!Z:Z=A3)),1))),"negative",IF(ISNUMBER(SEARCH("cannot be assessed",_xlfn.TEXTJOIN("; ",TRUE,_xlfn._xlws.FILTER('Model output'!V:V,'Model output'!Z:Z=A3)),1)),"negative","negative"))</f>
        <v>negative</v>
      </c>
      <c r="AG3" s="40" t="str">
        <f t="shared" ref="AG3:AG37" si="2">IF(OR(ISNUMBER(SEARCH("non-invasive follicular",O3,1)), ISNUMBER(SEARCH("papillary-like nuclear features",P3,1)), ISNUMBER(SEARCH("non-invasive follicular",P3,1)),ISNUMBER(SEARCH("papillary-like nuclear features",P3,1))),"NIFTP", IF(OR(I3="positive",AC3="positive",AND(OR(ISNUMBER(SEARCH("follicular", O3)),ISNUMBER(SEARCH("FTC", O3))),W3="extensive"),AND(G3="positive",ISNUMBER(N3),N3&gt;3),AI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32" t="str">
        <f t="shared" ref="AH3:AH32" si="3">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32" t="str">
        <f t="shared" ref="AI3:AI8" si="4">IF(OR(ISNUMBER(SEARCH("non-invasive follicular",O3,1)),ISNUMBER(SEARCH("non-invasive follicular",P3,1))),"NIFTP",IF(AND(K3&gt;0,G3="positive",H3="central"),"1a",IF(AND(K3&gt;0,G3="positive",H3="lateral"),"1b",IF(AND(K3=0,J3=0),"x",0))))</f>
        <v>x</v>
      </c>
      <c r="AJ3" s="32">
        <f t="shared" ref="AJ3:AJ16" si="5">IF(OR(ISNUMBER(SEARCH("non-invasive follicular",O3,1)),ISNUMBER(SEARCH("non-invasive follicular",P3,1))),"NIFTP",IF(I3="unknown","x",IF(I3="negative",0,1)))</f>
        <v>0</v>
      </c>
      <c r="AK3" s="32" t="str">
        <f t="shared" ref="AK3:AK16" si="6">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33" t="s">
        <v>172</v>
      </c>
      <c r="AM3" s="34" t="s">
        <v>193</v>
      </c>
      <c r="AN3" s="34" t="s">
        <v>194</v>
      </c>
      <c r="AO3" s="34">
        <v>0</v>
      </c>
      <c r="AP3" s="34" t="s">
        <v>31</v>
      </c>
      <c r="AQ3" s="33">
        <f t="shared" ref="AQ3:AQ37" si="7">IF(AL3=AG3,1,0)</f>
        <v>1</v>
      </c>
      <c r="AR3" s="34">
        <f t="shared" ref="AR3:AR37" si="8">IF(AM3=AH3,1,0)</f>
        <v>1</v>
      </c>
      <c r="AS3" s="34">
        <f>IF(AI3=AN3,1,IF(OR(AND(AN3="x",AI3=0),AND(AI3="x",AN3=0)),1,0))</f>
        <v>1</v>
      </c>
      <c r="AT3" s="34">
        <f>IF(AO3=AJ3,1,0)</f>
        <v>1</v>
      </c>
      <c r="AU3" s="35">
        <f>IF(AP3=AK3,1,0)</f>
        <v>1</v>
      </c>
    </row>
    <row r="4" spans="1:47">
      <c r="A4" s="12">
        <v>2</v>
      </c>
      <c r="B4" s="15"/>
      <c r="C4" s="16">
        <f>_xlfn.MAXIFS('Model output'!C:C,'Model output'!Z:Z,'Classification rule'!$A4)</f>
        <v>39</v>
      </c>
      <c r="D4" s="16"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6"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6"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6"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6">
        <f>IF(IFERROR(INDEX('Model output'!I:I, MATCH(A4, 'Model output'!Z:Z, 0)), "") &lt; K4, "", IFERROR(INDEX('Model output'!I:I, MATCH(A4, 'Model output'!Z:Z, 0)), ""))</f>
        <v>0</v>
      </c>
      <c r="K4" s="16">
        <f>IFERROR(INDEX('Model output'!J:J, MATCH(A4, 'Model output'!Z:Z, 0)), "")</f>
        <v>0</v>
      </c>
      <c r="L4" s="17" t="str" cm="1">
        <f t="array" ref="L4">ReplaceTo(ReplaceAnd(SUBSTITUTE(SUBSTITUTE(_xlfn.TEXTJOIN("; ", TRUE, _xlfn._xlws.FILTER('Model output'!K:K, 'Model output'!Z:Z=A4)), " ", ""), ",", ";")))</f>
        <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 carcinoma</v>
      </c>
      <c r="P4" t="str" cm="1">
        <f t="array" ref="P4">IF(ISERROR(INDEX(_xlfn._xlws.FILTER('Model output'!M:M, ('Model output'!Z:Z=A4)*('Model output'!M:M&lt;&gt;"")), 1)), " ", LOWER(INDEX(_xlfn._xlws.FILTER('Model output'!M:M, ('Model output'!Z:Z=A4)*('Model output'!M:M&lt;&gt;"")), 1)))</f>
        <v>classic</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6"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output'!P:P&lt;&gt;"")),1),1)),ISNUMBER(SEARCH("yes",INDEX(_xlfn._xlws.FILTER('Model output'!P:P,('Model output'!Z:Z=A4)*('Model output'!P:P&lt;&gt;"")),1),1)),ISNUMBER(SEARCH("present",INDEX(_xlfn._xlws.FILTER('Model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
      </c>
      <c r="W4" t="str">
        <f t="shared" ref="W4:W37" si="9">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6" t="str">
        <f t="shared" ref="Y4:Y37" si="10">IF(OR(ISNUMBER(SEARCH("soft tissue", AD4)), ISNUMBER(SEARCH("adipose tissue", AD4)), ISNUMBER(SEARCH("adipose tissue", AD4)), ISNUMBER(SEARCH("muscles", AD4)), ISNUMBER(SEARCH("microscopic", AD4)), ISNUMBER(SEARCH("minimal", AD4)), ISNUMBER(SEARCH("surrounding fat", AD4)), ISNUMBER(SEARCH("present", AD4)), ISNUMBER(SEARCH("yes", AD4))), "positive", "negative")</f>
        <v>negative</v>
      </c>
      <c r="AC4" s="16" t="str">
        <f t="shared" ref="AC4:AC37" si="11">IF(OR(ISNUMBER(SEARCH("subcutaneous soft tissues", AD4)),ISNUMBER(SEARCH("strap muscle", AD4)), ISNUMBER(SEARCH("larynx", AD4)), ISNUMBER(SEARCH("skeletal muscle", AD4)), ISNUMBER(SEARCH("trachea", AD4)),ISNUMBER(SEARCH("esophagus", AD4)), ISNUMBER(SEARCH("recurrent laryngeal nerve", AD4)), ISNUMBER(SEARCH("RLN", AD4))), "positive", "negative")</f>
        <v>negative</v>
      </c>
      <c r="AD4" t="str" cm="1">
        <f t="array" ref="AD4">_xlfn.TEXTJOIN("; ",TRUE,_xlfn._xlws.FILTER('Model output'!S:S,'Model output'!Z:Z=A4))</f>
        <v>Not identified</v>
      </c>
      <c r="AE4" s="47"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output'!Z:Z=A4)),1)),"negative","negative"))</f>
        <v>negative</v>
      </c>
      <c r="AG4" s="40" t="str">
        <f t="shared" si="2"/>
        <v>low</v>
      </c>
      <c r="AH4" s="32" t="str">
        <f t="shared" si="3"/>
        <v>2</v>
      </c>
      <c r="AI4" s="32" t="str">
        <f t="shared" si="4"/>
        <v>x</v>
      </c>
      <c r="AJ4" s="32">
        <f t="shared" si="5"/>
        <v>0</v>
      </c>
      <c r="AK4" s="32" t="str">
        <f t="shared" si="6"/>
        <v>I</v>
      </c>
      <c r="AL4" s="33" t="s">
        <v>172</v>
      </c>
      <c r="AM4" s="34" t="s">
        <v>406</v>
      </c>
      <c r="AN4" s="34" t="s">
        <v>194</v>
      </c>
      <c r="AO4" s="34">
        <v>0</v>
      </c>
      <c r="AP4" s="34" t="s">
        <v>31</v>
      </c>
      <c r="AQ4" s="33">
        <f t="shared" si="7"/>
        <v>1</v>
      </c>
      <c r="AR4" s="34">
        <f t="shared" si="8"/>
        <v>1</v>
      </c>
      <c r="AS4" s="34">
        <f t="shared" ref="AS4:AS37" si="12">IF(AI4=AN4,1,IF(OR(AND(AN4="x",AI4=0),AND(AI4="x",AN4=0)),1,0))</f>
        <v>1</v>
      </c>
      <c r="AT4" s="34">
        <f t="shared" ref="AT4:AU37" si="13">IF(AO4=AJ4,1,0)</f>
        <v>1</v>
      </c>
      <c r="AU4" s="35">
        <f t="shared" si="13"/>
        <v>1</v>
      </c>
    </row>
    <row r="5" spans="1:47">
      <c r="A5" s="12">
        <v>3</v>
      </c>
      <c r="B5" s="15"/>
      <c r="C5" s="16">
        <f>_xlfn.MAXIFS('Model output'!C:C,'Model output'!Z:Z,'Classification rule'!$A5)</f>
        <v>52</v>
      </c>
      <c r="D5" s="16"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6"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6"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6"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6">
        <f>IF(IFERROR(INDEX('Model output'!I:I, MATCH(A5, 'Model output'!Z:Z, 0)), "") &lt; K5, "", IFERROR(INDEX('Model output'!I:I, MATCH(A5, 'Model output'!Z:Z, 0)), ""))</f>
        <v>5</v>
      </c>
      <c r="K5" s="16">
        <f>IFERROR(INDEX('Model output'!J:J, MATCH(A5, 'Model output'!Z:Z, 0)), "")</f>
        <v>1</v>
      </c>
      <c r="L5" s="17"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8mmand2mm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6"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output'!P:P&lt;&gt;"")),1),1)),ISNUMBER(SEARCH("yes",INDEX(_xlfn._xlws.FILTER('Model output'!P:P,('Model output'!Z:Z=A5)*('Model output'!P:P&lt;&gt;"")),1),1)),ISNUMBER(SEARCH("present",INDEX(_xlfn._xlws.FILTER('Model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9"/>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6" t="str">
        <f t="shared" si="10"/>
        <v>positive</v>
      </c>
      <c r="AC5" s="16" t="str">
        <f t="shared" si="11"/>
        <v>negative</v>
      </c>
      <c r="AD5" t="str" cm="1">
        <f t="array" ref="AD5">_xlfn.TEXTJOIN("; ",TRUE,_xlfn._xlws.FILTER('Model output'!S:S,'Model output'!Z:Z=A5))</f>
        <v>perithyroidal fibradipose tissue</v>
      </c>
      <c r="AE5" s="47"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output'!Z:Z=A5)),1)),"negative","negative"))</f>
        <v>negative</v>
      </c>
      <c r="AG5" s="40" t="str">
        <f t="shared" si="2"/>
        <v>intermediate</v>
      </c>
      <c r="AH5" s="32" t="str">
        <f t="shared" si="3"/>
        <v>1a</v>
      </c>
      <c r="AI5" s="32" t="str">
        <f t="shared" si="4"/>
        <v>1a</v>
      </c>
      <c r="AJ5" s="32">
        <f t="shared" si="5"/>
        <v>0</v>
      </c>
      <c r="AK5" s="32" t="str">
        <f t="shared" si="6"/>
        <v>I</v>
      </c>
      <c r="AL5" s="33" t="s">
        <v>170</v>
      </c>
      <c r="AM5" s="34" t="s">
        <v>195</v>
      </c>
      <c r="AN5" s="34" t="s">
        <v>195</v>
      </c>
      <c r="AO5" s="34">
        <v>0</v>
      </c>
      <c r="AP5" s="34" t="s">
        <v>31</v>
      </c>
      <c r="AQ5" s="33">
        <f t="shared" si="7"/>
        <v>1</v>
      </c>
      <c r="AR5" s="34">
        <f t="shared" si="8"/>
        <v>1</v>
      </c>
      <c r="AS5" s="34">
        <f t="shared" si="12"/>
        <v>1</v>
      </c>
      <c r="AT5" s="34">
        <f t="shared" si="13"/>
        <v>1</v>
      </c>
      <c r="AU5" s="35">
        <f t="shared" si="13"/>
        <v>1</v>
      </c>
    </row>
    <row r="6" spans="1:47">
      <c r="A6" s="12">
        <v>4</v>
      </c>
      <c r="B6" s="15"/>
      <c r="C6" s="16">
        <f>_xlfn.MAXIFS('Model output'!C:C,'Model output'!Z:Z,'Classification rule'!$A6)</f>
        <v>61</v>
      </c>
      <c r="D6" s="16"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6"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6"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6"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6">
        <f>IF(IFERROR(INDEX('Model output'!I:I, MATCH(A6, 'Model output'!Z:Z, 0)), "") &lt; K6, "", IFERROR(INDEX('Model output'!I:I, MATCH(A6, 'Model output'!Z:Z, 0)), ""))</f>
        <v>6</v>
      </c>
      <c r="K6" s="16">
        <f>IFERROR(INDEX('Model output'!J:J, MATCH(A6, 'Model output'!Z:Z, 0)), "")</f>
        <v>4</v>
      </c>
      <c r="L6" s="17" t="str" cm="1">
        <f t="array" ref="L6">ReplaceTo(ReplaceAnd(SUBSTITUTE(SUBSTITUTE(_xlfn.TEXTJOIN("; ", TRUE, _xlfn._xlws.FILTER('Model output'!K:K, 'Model output'!Z:Z=A6)), " ", ""), ",", ";")))</f>
        <v>9.5mm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v>
      </c>
      <c r="P6" t="str" cm="1">
        <f t="array" ref="P6">IF(ISERROR(INDEX(_xlfn._xlws.FILTER('Model output'!M:M, ('Model output'!Z:Z=A6)*('Model output'!M:M&lt;&gt;"")), 1)), " ", LOWER(INDEX(_xlfn._xlws.FILTER('Model output'!M:M, ('Model output'!Z:Z=A6)*('Model output'!M:M&lt;&gt;"")), 1)))</f>
        <v>classic</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6"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output'!P:P&lt;&gt;"")),1),1)),ISNUMBER(SEARCH("yes",INDEX(_xlfn._xlws.FILTER('Model output'!P:P,('Model output'!Z:Z=A6)*('Model output'!P:P&lt;&gt;"")),1),1)),ISNUMBER(SEARCH("present",INDEX(_xlfn._xlws.FILTER('Model output'!P:P,('Model output'!Z:Z=A6)*('Model output'!P:P&lt;&gt;"")),1),1))),"positive","negative"))</f>
        <v>negative</v>
      </c>
      <c r="V6" t="str" cm="1">
        <f t="array" ref="V6">IF(ISNUMBER(SEARCH("4",INDEX(_xlfn._xlws.FILTER('Model output'!P:P,('Model output'!Z:Z=A6)*('Model output'!P:P&lt;&gt;"")),1),1)),INDEX(_xlfn._xlws.FILTER('Model output'!P:P,('Model output'!Z:Z=A6)*('Model output'!P:P&lt;&gt;"")),1),"") &amp; _xlfn.TEXTJOIN("",TRUE,_xlfn._xlws.FILTER('Model output'!Q:Q,'Model output'!Z:Z=A6))</f>
        <v/>
      </c>
      <c r="W6" t="str">
        <f t="shared" si="9"/>
        <v>no</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Y6" s="16" t="str">
        <f t="shared" si="10"/>
        <v>positive</v>
      </c>
      <c r="AC6" s="16" t="str">
        <f t="shared" si="11"/>
        <v>negative</v>
      </c>
      <c r="AD6" t="str" cm="1">
        <f t="array" ref="AD6">_xlfn.TEXTJOIN("; ",TRUE,_xlfn._xlws.FILTER('Model output'!S:S,'Model output'!Z:Z=A6))</f>
        <v>fatty soft tissue at isthmus</v>
      </c>
      <c r="AE6" s="47"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output'!Z:Z=A6)),1)),"negative","negative"))</f>
        <v>negative</v>
      </c>
      <c r="AG6" s="40" t="str">
        <f t="shared" si="2"/>
        <v>intermediate</v>
      </c>
      <c r="AH6" s="32" t="str">
        <f t="shared" si="3"/>
        <v>1b</v>
      </c>
      <c r="AI6" s="32" t="str">
        <f t="shared" si="4"/>
        <v>1a</v>
      </c>
      <c r="AJ6" s="32">
        <f t="shared" si="5"/>
        <v>0</v>
      </c>
      <c r="AK6" s="32" t="str">
        <f t="shared" si="6"/>
        <v>II</v>
      </c>
      <c r="AL6" s="33" t="s">
        <v>170</v>
      </c>
      <c r="AM6" s="32" t="s">
        <v>193</v>
      </c>
      <c r="AN6" s="34" t="s">
        <v>195</v>
      </c>
      <c r="AO6" s="34">
        <v>0</v>
      </c>
      <c r="AP6" s="34" t="s">
        <v>45</v>
      </c>
      <c r="AQ6" s="33">
        <f t="shared" si="7"/>
        <v>1</v>
      </c>
      <c r="AR6" s="34">
        <f t="shared" si="8"/>
        <v>1</v>
      </c>
      <c r="AS6" s="34">
        <f t="shared" si="12"/>
        <v>1</v>
      </c>
      <c r="AT6" s="34">
        <f t="shared" si="13"/>
        <v>1</v>
      </c>
      <c r="AU6" s="35">
        <f t="shared" si="13"/>
        <v>1</v>
      </c>
    </row>
    <row r="7" spans="1:47">
      <c r="A7" s="12">
        <v>5</v>
      </c>
      <c r="B7" s="15"/>
      <c r="C7" s="16">
        <f>_xlfn.MAXIFS('Model output'!C:C,'Model output'!Z:Z,'Classification rule'!$A7)</f>
        <v>34</v>
      </c>
      <c r="D7" s="16"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6"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6"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6"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6">
        <f>IF(IFERROR(INDEX('Model output'!I:I, MATCH(A7, 'Model output'!Z:Z, 0)), "") &lt; K7, "", IFERROR(INDEX('Model output'!I:I, MATCH(A7, 'Model output'!Z:Z, 0)), ""))</f>
        <v>5</v>
      </c>
      <c r="K7" s="16">
        <f>IFERROR(INDEX('Model output'!J:J, MATCH(A7, 'Model output'!Z:Z, 0)), "")</f>
        <v>1</v>
      </c>
      <c r="L7" s="17" t="str" cm="1">
        <f t="array" ref="L7">ReplaceTo(ReplaceAnd(SUBSTITUTE(SUBSTITUTE(_xlfn.TEXTJOIN("; ", TRUE, _xlfn._xlws.FILTER('Model output'!K:K, 'Model output'!Z:Z=A7)), " ", ""), ",", ";")))</f>
        <v>0.6mm;0.6mm</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v>
      </c>
      <c r="P7" t="str" cm="1">
        <f t="array" ref="P7">IF(ISERROR(INDEX(_xlfn._xlws.FILTER('Model output'!M:M, ('Model output'!Z:Z=A7)*('Model output'!M:M&lt;&gt;"")), 1)), " ", LOWER(INDEX(_xlfn._xlws.FILTER('Model output'!M:M, ('Model output'!Z:Z=A7)*('Model output'!M:M&lt;&gt;"")), 1)))</f>
        <v>oncocytic classic subtype</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6"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output'!P:P&lt;&gt;"")),1),1)),ISNUMBER(SEARCH("yes",INDEX(_xlfn._xlws.FILTER('Model output'!P:P,('Model output'!Z:Z=A7)*('Model output'!P:P&lt;&gt;"")),1),1)),ISNUMBER(SEARCH("present",INDEX(_xlfn._xlws.FILTER('Model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To overlying strap muscle</v>
      </c>
      <c r="W7" t="str">
        <f t="shared" si="9"/>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Y7" s="16" t="str">
        <f t="shared" si="10"/>
        <v>positive</v>
      </c>
      <c r="AC7" s="16" t="str">
        <f t="shared" si="11"/>
        <v>positive</v>
      </c>
      <c r="AD7" t="str" cm="1">
        <f t="array" ref="AD7">_xlfn.TEXTJOIN("; ",TRUE,_xlfn._xlws.FILTER('Model output'!S:S,'Model output'!Z:Z=A7))</f>
        <v>Invading soft tissue and strap muscles (microscopic); Perithyroidal fibradipose tissue, skeletal muscle</v>
      </c>
      <c r="AE7" s="47"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output'!Z:Z=A7)),1)),"negative","negative"))</f>
        <v>negative</v>
      </c>
      <c r="AG7" s="40" t="str">
        <f t="shared" si="2"/>
        <v>high</v>
      </c>
      <c r="AH7" s="32" t="str">
        <f t="shared" si="3"/>
        <v>4a</v>
      </c>
      <c r="AI7" s="32" t="str">
        <f t="shared" si="4"/>
        <v>1a</v>
      </c>
      <c r="AJ7" s="32">
        <f t="shared" si="5"/>
        <v>0</v>
      </c>
      <c r="AK7" s="32" t="str">
        <f t="shared" si="6"/>
        <v>I</v>
      </c>
      <c r="AL7" s="33" t="s">
        <v>171</v>
      </c>
      <c r="AM7" s="34" t="s">
        <v>196</v>
      </c>
      <c r="AN7" s="34" t="s">
        <v>195</v>
      </c>
      <c r="AO7" s="34">
        <v>0</v>
      </c>
      <c r="AP7" s="34" t="s">
        <v>31</v>
      </c>
      <c r="AQ7" s="33">
        <f t="shared" si="7"/>
        <v>1</v>
      </c>
      <c r="AR7" s="34">
        <f t="shared" si="8"/>
        <v>0</v>
      </c>
      <c r="AS7" s="34">
        <f t="shared" si="12"/>
        <v>1</v>
      </c>
      <c r="AT7" s="34">
        <f t="shared" si="13"/>
        <v>1</v>
      </c>
      <c r="AU7" s="35">
        <f t="shared" si="13"/>
        <v>1</v>
      </c>
    </row>
    <row r="8" spans="1:47">
      <c r="A8" s="12">
        <v>6</v>
      </c>
      <c r="B8" s="15"/>
      <c r="C8" s="16">
        <f>_xlfn.MAXIFS('Model output'!C:C,'Model output'!Z:Z,'Classification rule'!$A8)</f>
        <v>66</v>
      </c>
      <c r="D8" s="16"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E8" s="16"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6" cm="1">
        <f t="array" ref="F8">IF(AND(SUBSTITUTE(_xlfn.TEXTJOIN("/", TRUE, _xlfn._xlws.FILTER('Model output'!F:F, 'Model output'!Z:Z=A8)),"M", "")="", I8="negative"),0,IF(I8="positive",1,0))</f>
        <v>0</v>
      </c>
      <c r="G8" t="str">
        <f t="shared" si="0"/>
        <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
      </c>
      <c r="I8" s="16"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6">
        <f>IF(IFERROR(INDEX('Model output'!I:I, MATCH(A8, 'Model output'!Z:Z, 0)), "") &lt; K8, "", IFERROR(INDEX('Model output'!I:I, MATCH(A8, 'Model output'!Z:Z, 0)), ""))</f>
        <v>0</v>
      </c>
      <c r="K8" s="16">
        <f>IFERROR(INDEX('Model output'!J:J, MATCH(A8, 'Model output'!Z:Z, 0)), "")</f>
        <v>0</v>
      </c>
      <c r="L8" s="17" t="str" cm="1">
        <f t="array" ref="L8">ReplaceTo(ReplaceAnd(SUBSTITUTE(SUBSTITUTE(_xlfn.TEXTJOIN("; ", TRUE, _xlfn._xlws.FILTER('Model output'!K:K, 'Model output'!Z:Z=A8)), " ", ""), ",", ";")))</f>
        <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
      </c>
      <c r="N8" t="str" cm="1">
        <f t="array" ref="N8">IF(MaxSize((SplitDimensions(M8)))=0, "", MaxSize((SplitDimensions(M8))))</f>
        <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minimally invasive follicular carcinoma</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
      </c>
      <c r="S8" t="str" cm="1">
        <f t="array" ref="S8">IF(MaxSize((SplitDimensions(R8)))=0, "", MaxSize((SplitDimensions(R8))))</f>
        <v/>
      </c>
      <c r="T8" s="16"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output'!P:P&lt;&gt;"")),1),1)),ISNUMBER(SEARCH("yes",INDEX(_xlfn._xlws.FILTER('Model output'!P:P,('Model output'!Z:Z=A8)*('Model output'!P:P&lt;&gt;"")),1),1)),ISNUMBER(SEARCH("present",INDEX(_xlfn._xlws.FILTER('Model output'!P:P,('Model output'!Z:Z=A8)*('Model output'!P:P&lt;&gt;"")),1),1))),"positive","negative"))</f>
        <v>positive</v>
      </c>
      <c r="V8" t="str" cm="1">
        <f t="array" ref="V8">IF(ISNUMBER(SEARCH("4",INDEX(_xlfn._xlws.FILTER('Model output'!P:P,('Model output'!Z:Z=A8)*('Model output'!P:P&lt;&gt;"")),1),1)),INDEX(_xlfn._xlws.FILTER('Model output'!P:P,('Model output'!Z:Z=A8)*('Model output'!P:P&lt;&gt;"")),1),"") &amp; _xlfn.TEXTJOIN("",TRUE,_xlfn._xlws.FILTER('Model output'!Q:Q,'Model output'!Z:Z=A8))</f>
        <v>Not specified in the note</v>
      </c>
      <c r="W8" t="str">
        <f t="shared" si="9"/>
        <v>minimal</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Y8" s="16" t="str">
        <f t="shared" si="10"/>
        <v>negative</v>
      </c>
      <c r="AC8" s="16" t="str">
        <f t="shared" si="11"/>
        <v>negative</v>
      </c>
      <c r="AD8" t="str" cm="1">
        <f t="array" ref="AD8">_xlfn.TEXTJOIN("; ",TRUE,_xlfn._xlws.FILTER('Model output'!S:S,'Model output'!Z:Z=A8))</f>
        <v/>
      </c>
      <c r="AE8" s="47"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output'!Z:Z=A8)),1)),"negative","negative"))</f>
        <v>negative</v>
      </c>
      <c r="AG8" s="40" t="str">
        <f t="shared" si="2"/>
        <v>low</v>
      </c>
      <c r="AH8" s="32" t="str">
        <f t="shared" si="3"/>
        <v>1a</v>
      </c>
      <c r="AI8" s="32" t="str">
        <f t="shared" si="4"/>
        <v>x</v>
      </c>
      <c r="AJ8" s="32">
        <f t="shared" si="5"/>
        <v>0</v>
      </c>
      <c r="AK8" s="32" t="str">
        <f t="shared" si="6"/>
        <v>I</v>
      </c>
      <c r="AL8" s="33" t="s">
        <v>172</v>
      </c>
      <c r="AM8" s="34" t="s">
        <v>194</v>
      </c>
      <c r="AN8" s="34" t="s">
        <v>194</v>
      </c>
      <c r="AO8" s="34">
        <v>0</v>
      </c>
      <c r="AP8" s="34" t="s">
        <v>31</v>
      </c>
      <c r="AQ8" s="33">
        <f t="shared" si="7"/>
        <v>1</v>
      </c>
      <c r="AR8" s="34">
        <f t="shared" si="8"/>
        <v>0</v>
      </c>
      <c r="AS8" s="34">
        <f t="shared" si="12"/>
        <v>1</v>
      </c>
      <c r="AT8" s="34">
        <f t="shared" si="13"/>
        <v>1</v>
      </c>
      <c r="AU8" s="35">
        <f t="shared" si="13"/>
        <v>1</v>
      </c>
    </row>
    <row r="9" spans="1:47">
      <c r="A9" s="12">
        <v>7</v>
      </c>
      <c r="B9" s="15"/>
      <c r="C9" s="16">
        <f>_xlfn.MAXIFS('Model output'!C:C,'Model output'!Z:Z,'Classification rule'!$A9)</f>
        <v>67</v>
      </c>
      <c r="D9" s="16"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6"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6"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6"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6">
        <f>IF(IFERROR(INDEX('Model output'!I:I, MATCH(A9, 'Model output'!Z:Z, 0)), "") &lt; K9, "", IFERROR(INDEX('Model output'!I:I, MATCH(A9, 'Model output'!Z:Z, 0)), ""))</f>
        <v>0</v>
      </c>
      <c r="K9" s="16">
        <f>IFERROR(INDEX('Model output'!J:J, MATCH(A9, 'Model output'!Z:Z, 0)), "")</f>
        <v>0</v>
      </c>
      <c r="L9" s="17" t="str" cm="1">
        <f t="array" ref="L9">ReplaceTo(ReplaceAnd(SUBSTITUTE(SUBSTITUTE(_xlfn.TEXTJOIN("; ", TRUE, _xlfn._xlws.FILTER('Model output'!K:K, 'Model output'!Z:Z=A9)), " ", ""), ",", ";")))</f>
        <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 carcinoma</v>
      </c>
      <c r="P9" t="str" cm="1">
        <f t="array" ref="P9">IF(ISERROR(INDEX(_xlfn._xlws.FILTER('Model output'!M:M, ('Model output'!Z:Z=A9)*('Model output'!M:M&lt;&gt;"")), 1)), " ", LOWER(INDEX(_xlfn._xlws.FILTER('Model output'!M:M, ('Model output'!Z:Z=A9)*('Model output'!M:M&lt;&gt;"")), 1)))</f>
        <v>infiltrative follicular subtype</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3mm(blockA7),4mm(blockB4)</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cm="1">
        <f t="array" ref="S9">IF(MaxSize((SplitDimensions(R9)))=0, "", MaxSize((SplitDimensions(R9))))</f>
        <v>0.3</v>
      </c>
      <c r="T9" s="16"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output'!P:P&lt;&gt;"")),1),1)),ISNUMBER(SEARCH("yes",INDEX(_xlfn._xlws.FILTER('Model output'!P:P,('Model output'!Z:Z=A9)*('Model output'!P:P&lt;&gt;"")),1),1)),ISNUMBER(SEARCH("present",INDEX(_xlfn._xlws.FILTER('Model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
      </c>
      <c r="W9" t="str">
        <f t="shared" si="9"/>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6" t="str">
        <f t="shared" si="10"/>
        <v>negative</v>
      </c>
      <c r="AC9" s="16" t="str">
        <f t="shared" si="11"/>
        <v>negative</v>
      </c>
      <c r="AD9" t="str" cm="1">
        <f t="array" ref="AD9">_xlfn.TEXTJOIN("; ",TRUE,_xlfn._xlws.FILTER('Model output'!S:S,'Model output'!Z:Z=A9))</f>
        <v/>
      </c>
      <c r="AE9" s="47"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output'!Z:Z=A9)),1)),"negative","negative"))</f>
        <v>negative</v>
      </c>
      <c r="AG9" s="40" t="str">
        <f t="shared" si="2"/>
        <v>low</v>
      </c>
      <c r="AH9" s="32" t="str">
        <f t="shared" si="3"/>
        <v>1a</v>
      </c>
      <c r="AI9" s="32" t="str">
        <f t="shared" ref="AI9:AI15" si="14">IF(OR(ISNUMBER(SEARCH("non-invasive follicular",O9,1)),ISNUMBER(SEARCH("non-invasive follicular",P9,1))),"NIFTP",IF(AND(K9&gt;0,G9="positive",H9="central"),"1a",IF(AND(K9&gt;0,G9="positive",H9="lateral"),"1b",IF(AND(K9=0,J9=0),"x",0))))</f>
        <v>x</v>
      </c>
      <c r="AJ9" s="32">
        <f t="shared" si="5"/>
        <v>0</v>
      </c>
      <c r="AK9" s="32" t="str">
        <f t="shared" si="6"/>
        <v>I</v>
      </c>
      <c r="AL9" s="33" t="s">
        <v>172</v>
      </c>
      <c r="AM9" s="34" t="s">
        <v>195</v>
      </c>
      <c r="AN9" s="34" t="s">
        <v>194</v>
      </c>
      <c r="AO9" s="34">
        <v>0</v>
      </c>
      <c r="AP9" s="34" t="s">
        <v>31</v>
      </c>
      <c r="AQ9" s="33">
        <f t="shared" si="7"/>
        <v>1</v>
      </c>
      <c r="AR9" s="34">
        <f t="shared" si="8"/>
        <v>1</v>
      </c>
      <c r="AS9" s="34">
        <f t="shared" si="12"/>
        <v>1</v>
      </c>
      <c r="AT9" s="34">
        <f t="shared" si="13"/>
        <v>1</v>
      </c>
      <c r="AU9" s="35">
        <f t="shared" si="13"/>
        <v>1</v>
      </c>
    </row>
    <row r="10" spans="1:47">
      <c r="A10" s="12">
        <v>8</v>
      </c>
      <c r="B10" s="15"/>
      <c r="C10" s="16">
        <f>_xlfn.MAXIFS('Model output'!C:C,'Model output'!Z:Z,'Classification rule'!$A10)</f>
        <v>78</v>
      </c>
      <c r="D10" s="16"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6"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6"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6"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6">
        <f>IF(IFERROR(INDEX('Model output'!I:I, MATCH(A10, 'Model output'!Z:Z, 0)), "") &lt; K10, "", IFERROR(INDEX('Model output'!I:I, MATCH(A10, 'Model output'!Z:Z, 0)), ""))</f>
        <v>0</v>
      </c>
      <c r="K10" s="16">
        <f>IFERROR(INDEX('Model output'!J:J, MATCH(A10, 'Model output'!Z:Z, 0)), "")</f>
        <v>0</v>
      </c>
      <c r="L10" s="17" t="str" cm="1">
        <f t="array" ref="L10">ReplaceTo(ReplaceAnd(SUBSTITUTE(SUBSTITUTE(_xlfn.TEXTJOIN("; ", TRUE, _xlfn._xlws.FILTER('Model output'!K:K, 'Model output'!Z:Z=A10)), " ", ""), ",", ";")))</f>
        <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 carcinoma</v>
      </c>
      <c r="P10" t="str" cm="1">
        <f t="array" ref="P10">IF(ISERROR(INDEX(_xlfn._xlws.FILTER('Model output'!M:M, ('Model output'!Z:Z=A10)*('Model output'!M:M&lt;&gt;"")), 1)), " ", LOWER(INDEX(_xlfn._xlws.FILTER('Model output'!M:M, ('Model output'!Z:Z=A10)*('Model output'!M:M&lt;&gt;"")), 1)))</f>
        <v>classic</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6"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output'!P:P&lt;&gt;"")),1),1)),ISNUMBER(SEARCH("yes",INDEX(_xlfn._xlws.FILTER('Model output'!P:P,('Model output'!Z:Z=A10)*('Model output'!P:P&lt;&gt;"")),1),1)),ISNUMBER(SEARCH("present",INDEX(_xlfn._xlws.FILTER('Model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9"/>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6" t="str">
        <f t="shared" si="10"/>
        <v>negative</v>
      </c>
      <c r="AC10" s="16" t="str">
        <f t="shared" si="11"/>
        <v>negative</v>
      </c>
      <c r="AD10" t="str" cm="1">
        <f t="array" ref="AD10">_xlfn.TEXTJOIN("; ",TRUE,_xlfn._xlws.FILTER('Model output'!S:S,'Model output'!Z:Z=A10))</f>
        <v>Not identified</v>
      </c>
      <c r="AE10" s="47"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output'!Z:Z=A10)),1)),"negative","negative"))</f>
        <v>negative</v>
      </c>
      <c r="AG10" s="40" t="str">
        <f t="shared" si="2"/>
        <v>low</v>
      </c>
      <c r="AH10" s="32" t="str">
        <f t="shared" si="3"/>
        <v>1b</v>
      </c>
      <c r="AI10" s="32" t="str">
        <f t="shared" si="14"/>
        <v>x</v>
      </c>
      <c r="AJ10" s="32">
        <f t="shared" si="5"/>
        <v>0</v>
      </c>
      <c r="AK10" s="32" t="str">
        <f t="shared" si="6"/>
        <v>I</v>
      </c>
      <c r="AL10" s="33" t="s">
        <v>172</v>
      </c>
      <c r="AM10" s="34" t="s">
        <v>193</v>
      </c>
      <c r="AN10" s="34" t="s">
        <v>194</v>
      </c>
      <c r="AO10" s="34">
        <v>0</v>
      </c>
      <c r="AP10" s="34" t="s">
        <v>31</v>
      </c>
      <c r="AQ10" s="33">
        <f t="shared" si="7"/>
        <v>1</v>
      </c>
      <c r="AR10" s="34">
        <f t="shared" si="8"/>
        <v>1</v>
      </c>
      <c r="AS10" s="34">
        <f t="shared" si="12"/>
        <v>1</v>
      </c>
      <c r="AT10" s="34">
        <f t="shared" si="13"/>
        <v>1</v>
      </c>
      <c r="AU10" s="35">
        <f t="shared" si="13"/>
        <v>1</v>
      </c>
    </row>
    <row r="11" spans="1:47">
      <c r="A11" s="12">
        <v>9</v>
      </c>
      <c r="B11" s="15"/>
      <c r="C11" s="16">
        <f>_xlfn.MAXIFS('Model output'!C:C,'Model output'!Z:Z,'Classification rule'!$A11)</f>
        <v>55</v>
      </c>
      <c r="D11" s="16"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6"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1a</v>
      </c>
      <c r="F11" s="16"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6"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6">
        <f>IF(IFERROR(INDEX('Model output'!I:I, MATCH(A11, 'Model output'!Z:Z, 0)), "") &lt; K11, "", IFERROR(INDEX('Model output'!I:I, MATCH(A11, 'Model output'!Z:Z, 0)), ""))</f>
        <v>8</v>
      </c>
      <c r="K11" s="16">
        <f>IFERROR(INDEX('Model output'!J:J, MATCH(A11, 'Model output'!Z:Z, 0)), "")</f>
        <v>4</v>
      </c>
      <c r="L11" s="17" t="str" cm="1">
        <f t="array" ref="L11">ReplaceTo(ReplaceAnd(SUBSTITUTE(SUBSTITUTE(_xlfn.TEXTJOIN("; ", TRUE, _xlfn._xlws.FILTER('Model output'!K:K, 'Model output'!Z:Z=A11)), " ", ""), ",", ";")))</f>
        <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
      </c>
      <c r="N11" t="str" cm="1">
        <f t="array" ref="N11">IF(MaxSize((SplitDimensions(M11)))=0, "", MaxSize((SplitDimensions(M11))))</f>
        <v/>
      </c>
      <c r="O11" t="str" cm="1">
        <f t="array" ref="O11">IF(ISERROR(INDEX(_xlfn._xlws.FILTER('Model output'!L:L, ('Model output'!Z:Z=A11)*('Model output'!L:L&lt;&gt;"")), 1)), " ", LOWER(INDEX(_xlfn._xlws.FILTER('Model output'!L:L, ('Model output'!Z:Z=A11)*('Model output'!L:L&lt;&gt;"")), 1)))</f>
        <v>papillary carcinoma</v>
      </c>
      <c r="P11" t="str" cm="1">
        <f t="array" ref="P11">IF(ISERROR(INDEX(_xlfn._xlws.FILTER('Model output'!M:M, ('Model output'!Z:Z=A11)*('Model output'!M:M&lt;&gt;"")), 1)), " ", LOWER(INDEX(_xlfn._xlws.FILTER('Model output'!M:M, ('Model output'!Z:Z=A11)*('Model output'!M:M&lt;&gt;"")), 1)))</f>
        <v>classic</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27mmx22mmx17mm</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27mm</v>
      </c>
      <c r="S11" cm="1">
        <f t="array" ref="S11">IF(MaxSize((SplitDimensions(R11)))=0, "", MaxSize((SplitDimensions(R11))))</f>
        <v>2.7</v>
      </c>
      <c r="T11" s="16"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output'!P:P&lt;&gt;"")),1),1)),ISNUMBER(SEARCH("yes",INDEX(_xlfn._xlws.FILTER('Model output'!P:P,('Model output'!Z:Z=A11)*('Model output'!P:P&lt;&gt;"")),1),1)),ISNUMBER(SEARCH("present",INDEX(_xlfn._xlws.FILTER('Model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9"/>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Y11" s="16" t="str">
        <f t="shared" si="10"/>
        <v>negative</v>
      </c>
      <c r="AC11" s="16" t="str">
        <f t="shared" si="11"/>
        <v>negative</v>
      </c>
      <c r="AD11" t="str" cm="1">
        <f t="array" ref="AD11">_xlfn.TEXTJOIN("; ",TRUE,_xlfn._xlws.FILTER('Model output'!S:S,'Model output'!Z:Z=A11))</f>
        <v>Not identified</v>
      </c>
      <c r="AE11" s="47"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output'!Z:Z=A11)),1)),"negative","negative"))</f>
        <v>negative</v>
      </c>
      <c r="AG11" s="40" t="str">
        <f t="shared" si="2"/>
        <v>low</v>
      </c>
      <c r="AH11" s="32" t="str">
        <f t="shared" si="3"/>
        <v>2</v>
      </c>
      <c r="AI11" s="32" t="str">
        <f t="shared" si="14"/>
        <v>1a</v>
      </c>
      <c r="AJ11" s="32">
        <f t="shared" si="5"/>
        <v>0</v>
      </c>
      <c r="AK11" s="32" t="str">
        <f t="shared" si="6"/>
        <v>II</v>
      </c>
      <c r="AL11" s="33" t="s">
        <v>170</v>
      </c>
      <c r="AM11" s="34" t="s">
        <v>406</v>
      </c>
      <c r="AN11" s="34" t="s">
        <v>195</v>
      </c>
      <c r="AO11" s="34">
        <v>0</v>
      </c>
      <c r="AP11" s="34" t="s">
        <v>45</v>
      </c>
      <c r="AQ11" s="33">
        <f t="shared" si="7"/>
        <v>0</v>
      </c>
      <c r="AR11" s="34">
        <f t="shared" si="8"/>
        <v>1</v>
      </c>
      <c r="AS11" s="34">
        <f t="shared" si="12"/>
        <v>1</v>
      </c>
      <c r="AT11" s="34">
        <f t="shared" si="13"/>
        <v>1</v>
      </c>
      <c r="AU11" s="35">
        <f t="shared" si="13"/>
        <v>1</v>
      </c>
    </row>
    <row r="12" spans="1:47">
      <c r="A12" s="12">
        <v>10</v>
      </c>
      <c r="B12" s="15"/>
      <c r="C12" s="16">
        <f>_xlfn.MAXIFS('Model output'!C:C,'Model output'!Z:Z,'Classification rule'!$A12)</f>
        <v>24</v>
      </c>
      <c r="D12" s="16"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6"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6" cm="1">
        <f t="array" ref="F12">IF(AND(SUBSTITUTE(_xlfn.TEXTJOIN("/", TRUE, _xlfn._xlws.FILTER('Model output'!F:F, 'Model output'!Z:Z=A12)),"M", "")="", I12="negative"),0,IF(I12="positive",1,0))</f>
        <v>0</v>
      </c>
      <c r="G12" t="str">
        <f t="shared" si="0"/>
        <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
      </c>
      <c r="I12" s="16"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6">
        <f>IF(IFERROR(INDEX('Model output'!I:I, MATCH(A12, 'Model output'!Z:Z, 0)), "") &lt; K12, "", IFERROR(INDEX('Model output'!I:I, MATCH(A12, 'Model output'!Z:Z, 0)), ""))</f>
        <v>0</v>
      </c>
      <c r="K12" s="16">
        <f>IFERROR(INDEX('Model output'!J:J, MATCH(A12, 'Model output'!Z:Z, 0)), "")</f>
        <v>0</v>
      </c>
      <c r="L12" s="17"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 carcinoma</v>
      </c>
      <c r="P12" t="str" cm="1">
        <f t="array" ref="P12">IF(ISERROR(INDEX(_xlfn._xlws.FILTER('Model output'!M:M, ('Model output'!Z:Z=A12)*('Model output'!M:M&lt;&gt;"")), 1)), " ", LOWER(INDEX(_xlfn._xlws.FILTER('Model output'!M:M, ('Model output'!Z:Z=A12)*('Model output'!M:M&lt;&gt;"")), 1)))</f>
        <v>classic</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16mm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16mm</v>
      </c>
      <c r="S12" cm="1">
        <f t="array" ref="S12">IF(MaxSize((SplitDimensions(R12)))=0, "", MaxSize((SplitDimensions(R12))))</f>
        <v>1.6</v>
      </c>
      <c r="T12" s="16"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output'!P:P&lt;&gt;"")),1),1)),ISNUMBER(SEARCH("yes",INDEX(_xlfn._xlws.FILTER('Model output'!P:P,('Model output'!Z:Z=A12)*('Model output'!P:P&lt;&gt;"")),1),1)),ISNUMBER(SEARCH("present",INDEX(_xlfn._xlws.FILTER('Model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
      </c>
      <c r="W12" t="str">
        <f t="shared" si="9"/>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6" t="str">
        <f t="shared" si="10"/>
        <v>negative</v>
      </c>
      <c r="AC12" s="16" t="str">
        <f t="shared" si="11"/>
        <v>negative</v>
      </c>
      <c r="AD12" t="str" cm="1">
        <f t="array" ref="AD12">_xlfn.TEXTJOIN("; ",TRUE,_xlfn._xlws.FILTER('Model output'!S:S,'Model output'!Z:Z=A12))</f>
        <v/>
      </c>
      <c r="AE12" s="47"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output'!Z:Z=A12)),1)),"negative","negative"))</f>
        <v>negative</v>
      </c>
      <c r="AG12" s="40" t="str">
        <f t="shared" si="2"/>
        <v>low</v>
      </c>
      <c r="AH12" s="32" t="str">
        <f t="shared" si="3"/>
        <v>1b</v>
      </c>
      <c r="AI12" s="32" t="str">
        <f t="shared" si="14"/>
        <v>x</v>
      </c>
      <c r="AJ12" s="32">
        <f t="shared" si="5"/>
        <v>0</v>
      </c>
      <c r="AK12" s="32" t="str">
        <f t="shared" si="6"/>
        <v>I</v>
      </c>
      <c r="AL12" s="33" t="s">
        <v>172</v>
      </c>
      <c r="AM12" s="34" t="s">
        <v>193</v>
      </c>
      <c r="AN12" s="34" t="s">
        <v>195</v>
      </c>
      <c r="AO12" s="34">
        <v>0</v>
      </c>
      <c r="AP12" s="34" t="s">
        <v>31</v>
      </c>
      <c r="AQ12" s="33">
        <f t="shared" si="7"/>
        <v>1</v>
      </c>
      <c r="AR12" s="34">
        <f t="shared" si="8"/>
        <v>1</v>
      </c>
      <c r="AS12" s="34">
        <f t="shared" si="12"/>
        <v>0</v>
      </c>
      <c r="AT12" s="34">
        <f t="shared" si="13"/>
        <v>1</v>
      </c>
      <c r="AU12" s="35">
        <f t="shared" si="13"/>
        <v>1</v>
      </c>
    </row>
    <row r="13" spans="1:47">
      <c r="A13" s="12">
        <v>11</v>
      </c>
      <c r="B13" s="15"/>
      <c r="C13" s="16">
        <f>_xlfn.MAXIFS('Model output'!C:C,'Model output'!Z:Z,'Classification rule'!$A13)</f>
        <v>70</v>
      </c>
      <c r="D13" s="16"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6"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6"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6"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6">
        <f>IF(IFERROR(INDEX('Model output'!I:I, MATCH(A13, 'Model output'!Z:Z, 0)), "") &lt; K13, "", IFERROR(INDEX('Model output'!I:I, MATCH(A13, 'Model output'!Z:Z, 0)), ""))</f>
        <v>0</v>
      </c>
      <c r="K13" s="16">
        <f>IFERROR(INDEX('Model output'!J:J, MATCH(A13, 'Model output'!Z:Z, 0)), "")</f>
        <v>0</v>
      </c>
      <c r="L13" s="17"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follicular carcinoma</v>
      </c>
      <c r="P13" t="str" cm="1">
        <f t="array" ref="P13">IF(ISERROR(INDEX(_xlfn._xlws.FILTER('Model output'!M:M, ('Model output'!Z:Z=A13)*('Model output'!M:M&lt;&gt;"")), 1)), " ", LOWER(INDEX(_xlfn._xlws.FILTER('Model output'!M:M, ('Model output'!Z:Z=A13)*('Model output'!M:M&lt;&gt;"")), 1)))</f>
        <v>minimally invasive</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6"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output'!P:P&lt;&gt;"")),1),1)),ISNUMBER(SEARCH("yes",INDEX(_xlfn._xlws.FILTER('Model output'!P:P,('Model output'!Z:Z=A13)*('Model output'!P:P&lt;&gt;"")),1),1)),ISNUMBER(SEARCH("present",INDEX(_xlfn._xlws.FILTER('Model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9"/>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Y13" s="16" t="str">
        <f t="shared" si="10"/>
        <v>negative</v>
      </c>
      <c r="AC13" s="16" t="str">
        <f t="shared" si="11"/>
        <v>negative</v>
      </c>
      <c r="AD13" t="str" cm="1">
        <f t="array" ref="AD13">_xlfn.TEXTJOIN("; ",TRUE,_xlfn._xlws.FILTER('Model output'!S:S,'Model output'!Z:Z=A13))</f>
        <v>Not identified</v>
      </c>
      <c r="AE13" s="47"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output'!Z:Z=A13)),1)),"negative","negative"))</f>
        <v>negative</v>
      </c>
      <c r="AG13" s="40" t="str">
        <f t="shared" si="2"/>
        <v>low</v>
      </c>
      <c r="AH13" s="32" t="str">
        <f t="shared" si="3"/>
        <v>3a</v>
      </c>
      <c r="AI13" s="32" t="str">
        <f t="shared" si="14"/>
        <v>x</v>
      </c>
      <c r="AJ13" s="32">
        <f t="shared" si="5"/>
        <v>0</v>
      </c>
      <c r="AK13" s="32" t="str">
        <f t="shared" si="6"/>
        <v>II</v>
      </c>
      <c r="AL13" s="33" t="s">
        <v>172</v>
      </c>
      <c r="AM13" s="34" t="s">
        <v>197</v>
      </c>
      <c r="AN13" s="34" t="s">
        <v>194</v>
      </c>
      <c r="AO13" s="34">
        <v>0</v>
      </c>
      <c r="AP13" s="34" t="s">
        <v>45</v>
      </c>
      <c r="AQ13" s="33">
        <f t="shared" si="7"/>
        <v>1</v>
      </c>
      <c r="AR13" s="34">
        <f t="shared" si="8"/>
        <v>1</v>
      </c>
      <c r="AS13" s="34">
        <f t="shared" si="12"/>
        <v>1</v>
      </c>
      <c r="AT13" s="34">
        <f t="shared" si="13"/>
        <v>1</v>
      </c>
      <c r="AU13" s="35">
        <f t="shared" si="13"/>
        <v>1</v>
      </c>
    </row>
    <row r="14" spans="1:47">
      <c r="A14" s="12">
        <v>12</v>
      </c>
      <c r="B14" s="15"/>
      <c r="C14" s="16">
        <f>_xlfn.MAXIFS('Model output'!C:C,'Model output'!Z:Z,'Classification rule'!$A14)</f>
        <v>67</v>
      </c>
      <c r="D14" s="16"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6"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6" cm="1">
        <f t="array" ref="F14">IF(AND(SUBSTITUTE(_xlfn.TEXTJOIN("/", TRUE, _xlfn._xlws.FILTER('Model output'!F:F, 'Model output'!Z:Z=A14)),"M", "")="", I14="negative"),0,IF(I14="positive",1,0))</f>
        <v>0</v>
      </c>
      <c r="G14" t="str">
        <f t="shared" si="0"/>
        <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
      </c>
      <c r="I14" s="16"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6">
        <f>IF(IFERROR(INDEX('Model output'!I:I, MATCH(A14, 'Model output'!Z:Z, 0)), "") &lt; K14, "", IFERROR(INDEX('Model output'!I:I, MATCH(A14, 'Model output'!Z:Z, 0)), ""))</f>
        <v>0</v>
      </c>
      <c r="K14" s="16">
        <f>IFERROR(INDEX('Model output'!J:J, MATCH(A14, 'Model output'!Z:Z, 0)), "")</f>
        <v>0</v>
      </c>
      <c r="L14" s="17" t="str" cm="1">
        <f t="array" ref="L14">ReplaceTo(ReplaceAnd(SUBSTITUTE(SUBSTITUTE(_xlfn.TEXTJOIN("; ", TRUE, _xlfn._xlws.FILTER('Model output'!K:K, 'Model output'!Z:Z=A14)), " ", ""), ",", ";")))</f>
        <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
      </c>
      <c r="N14" t="str" cm="1">
        <f t="array" ref="N14">IF(MaxSize((SplitDimensions(M14)))=0, "", MaxSize((SplitDimensions(M14))))</f>
        <v/>
      </c>
      <c r="O14" t="str" cm="1">
        <f t="array" ref="O14">IF(ISERROR(INDEX(_xlfn._xlws.FILTER('Model output'!L:L, ('Model output'!Z:Z=A14)*('Model output'!L:L&lt;&gt;"")), 1)), " ", LOWER(INDEX(_xlfn._xlws.FILTER('Model output'!L:L, ('Model output'!Z:Z=A14)*('Model output'!L:L&lt;&gt;"")), 1)))</f>
        <v>minimally invasive follicular carcinoma</v>
      </c>
      <c r="P14" t="str" cm="1">
        <f t="array" ref="P14">IF(ISERROR(INDEX(_xlfn._xlws.FILTER('Model output'!M:M, ('Model output'!Z:Z=A14)*('Model output'!M:M&lt;&gt;"")), 1)), " ", LOWER(INDEX(_xlfn._xlws.FILTER('Model output'!M:M, ('Model output'!Z:Z=A14)*('Model output'!M:M&lt;&gt;"")), 1)))</f>
        <v xml:space="preserve"> </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6"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output'!P:P&lt;&gt;"")),1),1)),ISNUMBER(SEARCH("yes",INDEX(_xlfn._xlws.FILTER('Model output'!P:P,('Model output'!Z:Z=A14)*('Model output'!P:P&lt;&gt;"")),1),1)),ISNUMBER(SEARCH("present",INDEX(_xlfn._xlws.FILTER('Model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vessels)&lt; 4 vessels</v>
      </c>
      <c r="W14" t="str">
        <f t="shared" si="9"/>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Y14" s="16" t="str">
        <f t="shared" si="10"/>
        <v>positive</v>
      </c>
      <c r="AC14" s="16" t="str">
        <f t="shared" si="11"/>
        <v>negative</v>
      </c>
      <c r="AD14" t="str" cm="1">
        <f t="array" ref="AD14">_xlfn.TEXTJOIN("; ",TRUE,_xlfn._xlws.FILTER('Model output'!S:S,'Model output'!Z:Z=A14))</f>
        <v>Invading perithyroid soft tissue</v>
      </c>
      <c r="AE14" s="47"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output'!Z:Z=A14)),1)),"negative","negative"))</f>
        <v>negative</v>
      </c>
      <c r="AG14" s="40" t="str">
        <f t="shared" si="2"/>
        <v>intermediate</v>
      </c>
      <c r="AH14" s="32" t="str">
        <f t="shared" si="3"/>
        <v>3a</v>
      </c>
      <c r="AI14" s="32" t="str">
        <f t="shared" si="14"/>
        <v>x</v>
      </c>
      <c r="AJ14" s="32">
        <f t="shared" si="5"/>
        <v>0</v>
      </c>
      <c r="AK14" s="32" t="str">
        <f t="shared" si="6"/>
        <v>II</v>
      </c>
      <c r="AL14" s="33" t="s">
        <v>170</v>
      </c>
      <c r="AM14" s="34" t="s">
        <v>197</v>
      </c>
      <c r="AN14" s="34" t="s">
        <v>194</v>
      </c>
      <c r="AO14" s="34">
        <v>0</v>
      </c>
      <c r="AP14" s="34" t="s">
        <v>45</v>
      </c>
      <c r="AQ14" s="33">
        <f t="shared" si="7"/>
        <v>1</v>
      </c>
      <c r="AR14" s="34">
        <f t="shared" si="8"/>
        <v>1</v>
      </c>
      <c r="AS14" s="34">
        <f t="shared" si="12"/>
        <v>1</v>
      </c>
      <c r="AT14" s="34">
        <f t="shared" si="13"/>
        <v>1</v>
      </c>
      <c r="AU14" s="35">
        <f t="shared" si="13"/>
        <v>1</v>
      </c>
    </row>
    <row r="15" spans="1:47">
      <c r="A15" s="12">
        <v>13</v>
      </c>
      <c r="B15" s="15"/>
      <c r="C15" s="16">
        <f>_xlfn.MAXIFS('Model output'!C:C,'Model output'!Z:Z,'Classification rule'!$A15)</f>
        <v>66</v>
      </c>
      <c r="D15" s="16"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3</v>
      </c>
      <c r="E15" s="16"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6"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lateral</v>
      </c>
      <c r="I15" s="16"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6">
        <f>IF(IFERROR(INDEX('Model output'!I:I, MATCH(A15, 'Model output'!Z:Z, 0)), "") &lt; K15, "", IFERROR(INDEX('Model output'!I:I, MATCH(A15, 'Model output'!Z:Z, 0)), ""))</f>
        <v>19</v>
      </c>
      <c r="K15" s="16">
        <f>IFERROR(INDEX('Model output'!J:J, MATCH(A15, 'Model output'!Z:Z, 0)), "")</f>
        <v>2</v>
      </c>
      <c r="L15" s="17" t="str" cm="1">
        <f t="array" ref="L15">ReplaceTo(ReplaceAnd(SUBSTITUTE(SUBSTITUTE(_xlfn.TEXTJOIN("; ", TRUE, _xlfn._xlws.FILTER('Model output'!K:K, 'Model output'!Z:Z=A15)), " ", ""), ",", ";")))</f>
        <v>1.1cm;4cm</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1.1cm;4cm</v>
      </c>
      <c r="N15"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 carcinoma</v>
      </c>
      <c r="P15" t="str" cm="1">
        <f t="array" ref="P15">IF(ISERROR(INDEX(_xlfn._xlws.FILTER('Model output'!M:M, ('Model output'!Z:Z=A15)*('Model output'!M:M&lt;&gt;"")), 1)), " ", LOWER(INDEX(_xlfn._xlws.FILTER('Model output'!M:M, ('Model output'!Z:Z=A15)*('Model output'!M:M&lt;&gt;"")), 1)))</f>
        <v>classic</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6"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output'!P:P&lt;&gt;"")),1),1)),ISNUMBER(SEARCH("yes",INDEX(_xlfn._xlws.FILTER('Model output'!P:P,('Model output'!Z:Z=A15)*('Model output'!P:P&lt;&gt;"")),1),1)),ISNUMBER(SEARCH("present",INDEX(_xlfn._xlws.FILTER('Model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to surrounding muscles, posteriorly adherent to trachea and esophagus</v>
      </c>
      <c r="W15" t="str">
        <f t="shared" si="9"/>
        <v>minimal</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6" t="str">
        <f t="shared" si="10"/>
        <v>positive</v>
      </c>
      <c r="AC15" s="16" t="str">
        <f t="shared" si="11"/>
        <v>positive</v>
      </c>
      <c r="AD15" t="str" cm="1">
        <f t="array" ref="AD15">_xlfn.TEXTJOIN("; ",TRUE,_xlfn._xlws.FILTER('Model output'!S:S,'Model output'!Z:Z=A15))</f>
        <v>skeletal muscle, posteriorly adherent to trachea and esophagus at cricoid level; perithyroidal fibradipose tissue, skeletal muscle, subcutaneous soft tissues, larynx, trachea, esophagus, recurrent laryngeal nerve, RLN</v>
      </c>
      <c r="AE15" s="47"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output'!Z:Z=A15)),1)),"negative","negative"))</f>
        <v>negative</v>
      </c>
      <c r="AG15" s="40" t="str">
        <f t="shared" si="2"/>
        <v>high</v>
      </c>
      <c r="AH15" s="32" t="str">
        <f t="shared" si="3"/>
        <v>4a</v>
      </c>
      <c r="AI15" s="32" t="str">
        <f t="shared" si="14"/>
        <v>1b</v>
      </c>
      <c r="AJ15" s="32">
        <f t="shared" si="5"/>
        <v>0</v>
      </c>
      <c r="AK15" s="32" t="str">
        <f t="shared" si="6"/>
        <v>III</v>
      </c>
      <c r="AL15" s="33" t="s">
        <v>171</v>
      </c>
      <c r="AM15" s="34" t="s">
        <v>198</v>
      </c>
      <c r="AN15" s="34" t="s">
        <v>193</v>
      </c>
      <c r="AO15" s="34">
        <v>0</v>
      </c>
      <c r="AP15" s="34" t="s">
        <v>70</v>
      </c>
      <c r="AQ15" s="33">
        <f t="shared" si="7"/>
        <v>1</v>
      </c>
      <c r="AR15" s="34">
        <f t="shared" si="8"/>
        <v>1</v>
      </c>
      <c r="AS15" s="34">
        <f t="shared" si="12"/>
        <v>1</v>
      </c>
      <c r="AT15" s="34">
        <f t="shared" si="13"/>
        <v>1</v>
      </c>
      <c r="AU15" s="35">
        <f t="shared" si="13"/>
        <v>1</v>
      </c>
    </row>
    <row r="16" spans="1:47">
      <c r="A16" s="12">
        <v>14</v>
      </c>
      <c r="B16" s="15"/>
      <c r="C16" s="16">
        <f>_xlfn.MAXIFS('Model output'!C:C,'Model output'!Z:Z,'Classification rule'!$A16)</f>
        <v>51</v>
      </c>
      <c r="D16" s="16"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6"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6" cm="1">
        <f t="array" ref="F16">IF(AND(SUBSTITUTE(_xlfn.TEXTJOIN("/", TRUE, _xlfn._xlws.FILTER('Model output'!F:F, 'Model output'!Z:Z=A16)),"M", "")="", I16="negative"),0,IF(I16="positive",1,0))</f>
        <v>0</v>
      </c>
      <c r="G16" t="str">
        <f t="shared" si="0"/>
        <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
      </c>
      <c r="I16" s="16"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6">
        <f>IF(IFERROR(INDEX('Model output'!I:I, MATCH(A16, 'Model output'!Z:Z, 0)), "") &lt; K16, "", IFERROR(INDEX('Model output'!I:I, MATCH(A16, 'Model output'!Z:Z, 0)), ""))</f>
        <v>0</v>
      </c>
      <c r="K16" s="16">
        <f>IFERROR(INDEX('Model output'!J:J, MATCH(A16, 'Model output'!Z:Z, 0)), "")</f>
        <v>0</v>
      </c>
      <c r="L16" s="17" t="str" cm="1">
        <f t="array" ref="L16">ReplaceTo(ReplaceAnd(SUBSTITUTE(SUBSTITUTE(_xlfn.TEXTJOIN("; ", TRUE, _xlfn._xlws.FILTER('Model output'!K:K, 'Model output'!Z:Z=A16)), " ", ""), ",", ";")))</f>
        <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 carcinoma</v>
      </c>
      <c r="P16" t="str" cm="1">
        <f t="array" ref="P16">IF(ISERROR(INDEX(_xlfn._xlws.FILTER('Model output'!M:M, ('Model output'!Z:Z=A16)*('Model output'!M:M&lt;&gt;"")), 1)), " ", LOWER(INDEX(_xlfn._xlws.FILTER('Model output'!M:M, ('Model output'!Z:Z=A16)*('Model output'!M:M&lt;&gt;"")), 1)))</f>
        <v>classic</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6"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output'!P:P&lt;&gt;"")),1),1)),ISNUMBER(SEARCH("yes",INDEX(_xlfn._xlws.FILTER('Model output'!P:P,('Model output'!Z:Z=A16)*('Model output'!P:P&lt;&gt;"")),1),1)),ISNUMBER(SEARCH("present",INDEX(_xlfn._xlws.FILTER('Model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&lt; 4 vessels</v>
      </c>
      <c r="W16" t="str">
        <f t="shared" si="9"/>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6" t="str">
        <f t="shared" si="10"/>
        <v>positive</v>
      </c>
      <c r="AC16" s="16" t="str">
        <f t="shared" si="11"/>
        <v>positive</v>
      </c>
      <c r="AD16" t="str" cm="1">
        <f t="array" ref="AD16">_xlfn.TEXTJOIN("; ",TRUE,_xlfn._xlws.FILTER('Model output'!S:S,'Model output'!Z:Z=A16))</f>
        <v>Invading only strap muscles (sternohyoid, sternothyroid, thyrohyoid, or omohyoid muscles); perithyroidal fibradipose tissue, larynx (RLN)</v>
      </c>
      <c r="AE16" s="47"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output'!Z:Z=A16)),1)),"negative","negative"))</f>
        <v>negative</v>
      </c>
      <c r="AG16" s="40" t="str">
        <f t="shared" si="2"/>
        <v>high</v>
      </c>
      <c r="AH16" s="32" t="str">
        <f t="shared" si="3"/>
        <v>4a</v>
      </c>
      <c r="AI16" s="32" t="str">
        <f t="shared" ref="AI16" si="15">IF(OR(ISNUMBER(SEARCH("non-invasive follicular",O16,1)),ISNUMBER(SEARCH("non-invasive follicular",P16,1))),"NIFTP",IF(AND(K16&gt;0,G16="positive",H16="central"),"1a",IF(AND(K16&gt;0,G16="positive",H16="lateral"),"1b",IF(AND(K16=0,J16=0),"x",0))))</f>
        <v>x</v>
      </c>
      <c r="AJ16" s="32">
        <f t="shared" si="5"/>
        <v>0</v>
      </c>
      <c r="AK16" s="32" t="str">
        <f t="shared" si="6"/>
        <v>I</v>
      </c>
      <c r="AL16" s="33" t="s">
        <v>171</v>
      </c>
      <c r="AM16" s="34" t="s">
        <v>196</v>
      </c>
      <c r="AN16" s="34" t="s">
        <v>194</v>
      </c>
      <c r="AO16" s="34">
        <v>0</v>
      </c>
      <c r="AP16" s="34" t="s">
        <v>31</v>
      </c>
      <c r="AQ16" s="33">
        <f t="shared" si="7"/>
        <v>1</v>
      </c>
      <c r="AR16" s="34">
        <f t="shared" si="8"/>
        <v>0</v>
      </c>
      <c r="AS16" s="34">
        <f t="shared" si="12"/>
        <v>1</v>
      </c>
      <c r="AT16" s="34">
        <f t="shared" si="13"/>
        <v>1</v>
      </c>
      <c r="AU16" s="35">
        <f t="shared" si="13"/>
        <v>1</v>
      </c>
    </row>
    <row r="17" spans="1:47">
      <c r="A17" s="12">
        <v>15</v>
      </c>
      <c r="B17" s="15"/>
      <c r="C17" s="16">
        <f>_xlfn.MAXIFS('Model output'!C:C,'Model output'!Z:Z,'Classification rule'!$A17)</f>
        <v>64</v>
      </c>
      <c r="D17" s="16"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6"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6" cm="1">
        <f t="array" ref="F17">IF(AND(SUBSTITUTE(_xlfn.TEXTJOIN("/", TRUE, _xlfn._xlws.FILTER('Model output'!F:F, 'Model output'!Z:Z=A17)),"M", "")="", I17="negative"),0,IF(I17="positive",1,0))</f>
        <v>0</v>
      </c>
      <c r="G17" t="str">
        <f t="shared" si="0"/>
        <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
      </c>
      <c r="I17" s="16"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6">
        <f>IF(IFERROR(INDEX('Model output'!I:I, MATCH(A17, 'Model output'!Z:Z, 0)), "") &lt; K17, "", IFERROR(INDEX('Model output'!I:I, MATCH(A17, 'Model output'!Z:Z, 0)), ""))</f>
        <v>0</v>
      </c>
      <c r="K17" s="16">
        <f>IFERROR(INDEX('Model output'!J:J, MATCH(A17, 'Model output'!Z:Z, 0)), "")</f>
        <v>0</v>
      </c>
      <c r="L17" s="17"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follicular</v>
      </c>
      <c r="P17" t="str" cm="1">
        <f t="array" ref="P17">IF(ISERROR(INDEX(_xlfn._xlws.FILTER('Model output'!M:M, ('Model output'!Z:Z=A17)*('Model output'!M:M&lt;&gt;"")), 1)), " ", LOWER(INDEX(_xlfn._xlws.FILTER('Model output'!M:M, ('Model output'!Z:Z=A17)*('Model output'!M:M&lt;&gt;"")), 1)))</f>
        <v>non-invasive follicular thyroid neoplasm with papillary-like nuclear features</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25x15x15mm</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25x15x15mm</v>
      </c>
      <c r="S17" cm="1">
        <f t="array" ref="S17">IF(MaxSize((SplitDimensions(R17)))=0, "", MaxSize((SplitDimensions(R17))))</f>
        <v>2.5</v>
      </c>
      <c r="T17" s="16"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output'!P:P&lt;&gt;"")),1),1)),ISNUMBER(SEARCH("yes",INDEX(_xlfn._xlws.FILTER('Model output'!P:P,('Model output'!Z:Z=A17)*('Model output'!P:P&lt;&gt;"")),1),1)),ISNUMBER(SEARCH("present",INDEX(_xlfn._xlws.FILTER('Model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9"/>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6" t="str">
        <f t="shared" si="10"/>
        <v>negative</v>
      </c>
      <c r="AC17" s="16" t="str">
        <f t="shared" si="11"/>
        <v>negative</v>
      </c>
      <c r="AD17" t="str" cm="1">
        <f t="array" ref="AD17">_xlfn.TEXTJOIN("; ",TRUE,_xlfn._xlws.FILTER('Model output'!S:S,'Model output'!Z:Z=A17))</f>
        <v/>
      </c>
      <c r="AE17" s="47"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output'!Z:Z=A17)),1)),"negative","negative"))</f>
        <v>negative</v>
      </c>
      <c r="AG17" s="40" t="str">
        <f t="shared" si="2"/>
        <v>NIFTP</v>
      </c>
      <c r="AH17" s="32" t="str">
        <f t="shared" si="3"/>
        <v>NIFTP</v>
      </c>
      <c r="AI17" s="32" t="s">
        <v>76</v>
      </c>
      <c r="AJ17" s="32" t="s">
        <v>76</v>
      </c>
      <c r="AK17" s="32" t="s">
        <v>76</v>
      </c>
      <c r="AL17" s="33" t="s">
        <v>76</v>
      </c>
      <c r="AM17" s="34" t="s">
        <v>76</v>
      </c>
      <c r="AN17" s="34" t="s">
        <v>76</v>
      </c>
      <c r="AO17" s="34" t="s">
        <v>76</v>
      </c>
      <c r="AP17" s="34" t="s">
        <v>76</v>
      </c>
      <c r="AQ17" s="33">
        <f t="shared" si="7"/>
        <v>1</v>
      </c>
      <c r="AR17" s="34">
        <f t="shared" si="8"/>
        <v>1</v>
      </c>
      <c r="AS17" s="34">
        <f t="shared" si="12"/>
        <v>1</v>
      </c>
      <c r="AT17" s="34">
        <f t="shared" si="13"/>
        <v>1</v>
      </c>
      <c r="AU17" s="35">
        <f t="shared" si="13"/>
        <v>1</v>
      </c>
    </row>
    <row r="18" spans="1:47">
      <c r="A18" s="12">
        <v>16</v>
      </c>
      <c r="B18" s="15"/>
      <c r="C18" s="16">
        <f>_xlfn.MAXIFS('Model output'!C:C,'Model output'!Z:Z,'Classification rule'!$A18)</f>
        <v>43</v>
      </c>
      <c r="D18" s="16"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6"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6" cm="1">
        <f t="array" ref="F18">IF(AND(SUBSTITUTE(_xlfn.TEXTJOIN("/", TRUE, _xlfn._xlws.FILTER('Model output'!F:F, 'Model output'!Z:Z=A18)),"M", "")="", I18="negative"),0,IF(I18="positive",1,0))</f>
        <v>0</v>
      </c>
      <c r="G18" t="str">
        <f t="shared" si="0"/>
        <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
      </c>
      <c r="I18" s="16"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6">
        <f>IF(IFERROR(INDEX('Model output'!I:I, MATCH(A18, 'Model output'!Z:Z, 0)), "") &lt; K18, "", IFERROR(INDEX('Model output'!I:I, MATCH(A18, 'Model output'!Z:Z, 0)), ""))</f>
        <v>0</v>
      </c>
      <c r="K18" s="16">
        <f>IFERROR(INDEX('Model output'!J:J, MATCH(A18, 'Model output'!Z:Z, 0)), "")</f>
        <v>0</v>
      </c>
      <c r="L18" s="17" t="str" cm="1">
        <f t="array" ref="L18">ReplaceTo(ReplaceAnd(SUBSTITUTE(SUBSTITUTE(_xlfn.TEXTJOIN("; ", TRUE, _xlfn._xlws.FILTER('Model output'!K:K, 'Model output'!Z:Z=A18)), " ", ""), ",", ";")))</f>
        <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v>
      </c>
      <c r="P18" t="str" cm="1">
        <f t="array" ref="P18">IF(ISERROR(INDEX(_xlfn._xlws.FILTER('Model output'!M:M, ('Model output'!Z:Z=A18)*('Model output'!M:M&lt;&gt;"")), 1)), " ", LOWER(INDEX(_xlfn._xlws.FILTER('Model output'!M:M, ('Model output'!Z:Z=A18)*('Model output'!M:M&lt;&gt;"")), 1)))</f>
        <v>classic</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36x32x26mm</v>
      </c>
      <c r="S18" cm="1">
        <f t="array" ref="S18">IF(MaxSize((SplitDimensions(R18)))=0, "", MaxSize((SplitDimensions(R18))))</f>
        <v>3.6</v>
      </c>
      <c r="T18" s="16"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output'!P:P&lt;&gt;"")),1),1)),ISNUMBER(SEARCH("yes",INDEX(_xlfn._xlws.FILTER('Model output'!P:P,('Model output'!Z:Z=A18)*('Model output'!P:P&lt;&gt;"")),1),1)),ISNUMBER(SEARCH("present",INDEX(_xlfn._xlws.FILTER('Model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Middle thyroid vein ligated and divided, Superior thyroid vessels doubly ligated and divided</v>
      </c>
      <c r="W18" t="str">
        <f t="shared" si="9"/>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6" t="str">
        <f t="shared" si="10"/>
        <v>positive</v>
      </c>
      <c r="AC18" s="16" t="str">
        <f t="shared" si="11"/>
        <v>negative</v>
      </c>
      <c r="AD18" t="str" cm="1">
        <f t="array" ref="AD18">_xlfn.TEXTJOIN("; ",TRUE,_xlfn._xlws.FILTER('Model output'!S:S,'Model output'!Z:Z=A18))</f>
        <v>Perithyroidal fibradipose tissue</v>
      </c>
      <c r="AE18" s="47"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output'!Z:Z=A18)),1)),"negative","negative"))</f>
        <v>negative</v>
      </c>
      <c r="AG18" s="40" t="str">
        <f t="shared" si="2"/>
        <v>intermediate</v>
      </c>
      <c r="AH18" s="32" t="str">
        <f t="shared" si="3"/>
        <v>2</v>
      </c>
      <c r="AI18" s="32" t="str">
        <f t="shared" ref="AI18:AI24" si="16">IF(OR(ISNUMBER(SEARCH("non-invasive follicular",O18,1)),ISNUMBER(SEARCH("non-invasive follicular",P18,1))),"NIFTP",IF(AND(K18&gt;0,G18="positive",H18="central"),"1a",IF(AND(K18&gt;0,G18="positive",H18="lateral"),"1b",IF(AND(K18=0,J18=0),"x",0))))</f>
        <v>x</v>
      </c>
      <c r="AJ18" s="32">
        <f t="shared" ref="AJ18:AJ37" si="17">IF(OR(ISNUMBER(SEARCH("non-invasive follicular",O18,1)),ISNUMBER(SEARCH("non-invasive follicular",P18,1))),"NIFTP",IF(I18="unknown","x",IF(I18="negative",0,1)))</f>
        <v>0</v>
      </c>
      <c r="AK18" s="32" t="str">
        <f t="shared" ref="AK18:AK37" si="18">IF(OR(ISNUMBER(SEARCH("non-invasive follicular",O18,1)),ISNUMBER(SEARCH("non-invasive follicular",P18,1))),"NIFTP",IF(AND(C18&lt;55,AJ18=0),"I",IF(AND(C18&lt;55,AJ18=1),"II",IF(AJ18=1,"IVB",IF(AND(AH18="4b",AJ18=0),"IVA",IF(AND(AH18="4a",AJ18=0),"III",IF(AND(OR(AH18="3a",AH18="3b"),AJ18=0),"II",IF(AND(AH18="2",OR(AI18="1",AI18="1a",AI18="1b"),AJ18=0),"II",IF(AND(OR(AH18="1a",AH18="1b",AH18="1",AH18="1 "),OR(AI18="1",AI18="1a",AI18="1b"),AJ18=0),"II","I")))))))))</f>
        <v>I</v>
      </c>
      <c r="AL18" s="33" t="s">
        <v>170</v>
      </c>
      <c r="AM18" s="34" t="s">
        <v>406</v>
      </c>
      <c r="AN18" s="34">
        <v>0</v>
      </c>
      <c r="AO18" s="34">
        <v>0</v>
      </c>
      <c r="AP18" s="34" t="s">
        <v>31</v>
      </c>
      <c r="AQ18" s="33">
        <f t="shared" si="7"/>
        <v>1</v>
      </c>
      <c r="AR18" s="34">
        <f t="shared" si="8"/>
        <v>1</v>
      </c>
      <c r="AS18" s="34">
        <f t="shared" si="12"/>
        <v>1</v>
      </c>
      <c r="AT18" s="34">
        <f t="shared" si="13"/>
        <v>1</v>
      </c>
      <c r="AU18" s="35">
        <f t="shared" si="13"/>
        <v>1</v>
      </c>
    </row>
    <row r="19" spans="1:47">
      <c r="A19" s="12">
        <v>17</v>
      </c>
      <c r="B19" s="15"/>
      <c r="C19" s="16">
        <f>_xlfn.MAXIFS('Model output'!C:C,'Model output'!Z:Z,'Classification rule'!$A19)</f>
        <v>49</v>
      </c>
      <c r="D19" s="16"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6"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6"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6"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6">
        <f>IF(IFERROR(INDEX('Model output'!I:I, MATCH(A19, 'Model output'!Z:Z, 0)), "") &lt; K19, "", IFERROR(INDEX('Model output'!I:I, MATCH(A19, 'Model output'!Z:Z, 0)), ""))</f>
        <v>21</v>
      </c>
      <c r="K19" s="16">
        <f>IFERROR(INDEX('Model output'!J:J, MATCH(A19, 'Model output'!Z:Z, 0)), "")</f>
        <v>5</v>
      </c>
      <c r="L19" s="17" t="str" cm="1">
        <f t="array" ref="L19">ReplaceTo(ReplaceAnd(SUBSTITUTE(SUBSTITUTE(_xlfn.TEXTJOIN("; ", TRUE, _xlfn._xlws.FILTER('Model output'!K:K, 'Model output'!Z:Z=A19)), " ", ""), ",", ";")))</f>
        <v>8mm</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8mm</v>
      </c>
      <c r="N19" cm="1">
        <f t="array" ref="N19">IF(MaxSize((SplitDimensions(M19)))=0, "", MaxSize((SplitDimensions(M19))))</f>
        <v>0.8</v>
      </c>
      <c r="O19" t="str" cm="1">
        <f t="array" ref="O19">IF(ISERROR(INDEX(_xlfn._xlws.FILTER('Model output'!L:L, ('Model output'!Z:Z=A19)*('Model output'!L:L&lt;&gt;"")), 1)), " ", LOWER(INDEX(_xlfn._xlws.FILTER('Model output'!L:L, ('Model output'!Z:Z=A19)*('Model output'!L:L&lt;&gt;"")), 1)))</f>
        <v>papillary carcinoma</v>
      </c>
      <c r="P19" t="str" cm="1">
        <f t="array" ref="P19">IF(ISERROR(INDEX(_xlfn._xlws.FILTER('Model output'!M:M, ('Model output'!Z:Z=A19)*('Model output'!M:M&lt;&gt;"")), 1)), " ", LOWER(INDEX(_xlfn._xlws.FILTER('Model output'!M:M, ('Model output'!Z:Z=A19)*('Model output'!M:M&lt;&gt;"")), 1)))</f>
        <v>classic</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6"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output'!P:P&lt;&gt;"")),1),1)),ISNUMBER(SEARCH("yes",INDEX(_xlfn._xlws.FILTER('Model output'!P:P,('Model output'!Z:Z=A19)*('Model output'!P:P&lt;&gt;"")),1),1)),ISNUMBER(SEARCH("present",INDEX(_xlfn._xlws.FILTER('Model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9"/>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6" t="str">
        <f t="shared" si="10"/>
        <v>negative</v>
      </c>
      <c r="AC19" s="16" t="str">
        <f t="shared" si="11"/>
        <v>negative</v>
      </c>
      <c r="AD19" t="str" cm="1">
        <f t="array" ref="AD19">_xlfn.TEXTJOIN("; ",TRUE,_xlfn._xlws.FILTER('Model output'!S:S,'Model output'!Z:Z=A19))</f>
        <v/>
      </c>
      <c r="AE19" s="47"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output'!Z:Z=A19)),1)),"negative","negative"))</f>
        <v>negative</v>
      </c>
      <c r="AG19" s="40" t="str">
        <f t="shared" si="2"/>
        <v>intermediate</v>
      </c>
      <c r="AH19" s="32" t="str">
        <f t="shared" si="3"/>
        <v>1b</v>
      </c>
      <c r="AI19" s="32" t="str">
        <f t="shared" si="16"/>
        <v>1b</v>
      </c>
      <c r="AJ19" s="32">
        <f t="shared" si="17"/>
        <v>0</v>
      </c>
      <c r="AK19" s="32" t="str">
        <f t="shared" si="18"/>
        <v>I</v>
      </c>
      <c r="AL19" s="33" t="s">
        <v>170</v>
      </c>
      <c r="AM19" s="34" t="s">
        <v>193</v>
      </c>
      <c r="AN19" s="34" t="s">
        <v>193</v>
      </c>
      <c r="AO19" s="34">
        <v>0</v>
      </c>
      <c r="AP19" s="34" t="s">
        <v>31</v>
      </c>
      <c r="AQ19" s="33">
        <f t="shared" si="7"/>
        <v>1</v>
      </c>
      <c r="AR19" s="34">
        <f t="shared" si="8"/>
        <v>1</v>
      </c>
      <c r="AS19" s="34">
        <f t="shared" si="12"/>
        <v>1</v>
      </c>
      <c r="AT19" s="34">
        <f t="shared" si="13"/>
        <v>1</v>
      </c>
      <c r="AU19" s="35">
        <f t="shared" si="13"/>
        <v>1</v>
      </c>
    </row>
    <row r="20" spans="1:47">
      <c r="A20" s="12">
        <v>18</v>
      </c>
      <c r="B20" s="15"/>
      <c r="C20" s="16">
        <f>_xlfn.MAXIFS('Model output'!C:C,'Model output'!Z:Z,'Classification rule'!$A20)</f>
        <v>55</v>
      </c>
      <c r="D20" s="16"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6"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6"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6"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6">
        <f>IF(IFERROR(INDEX('Model output'!I:I, MATCH(A20, 'Model output'!Z:Z, 0)), "") &lt; K20, "", IFERROR(INDEX('Model output'!I:I, MATCH(A20, 'Model output'!Z:Z, 0)), ""))</f>
        <v>4</v>
      </c>
      <c r="K20" s="16">
        <f>IFERROR(INDEX('Model output'!J:J, MATCH(A20, 'Model output'!Z:Z, 0)), "")</f>
        <v>4</v>
      </c>
      <c r="L20" s="17" t="str" cm="1">
        <f t="array" ref="L20">ReplaceTo(ReplaceAnd(SUBSTITUTE(SUBSTITUTE(_xlfn.TEXTJOIN("; ", TRUE, _xlfn._xlws.FILTER('Model output'!K:K, 'Model output'!Z:Z=A20)), " ", ""), ",", ";")))</f>
        <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 carcinoma</v>
      </c>
      <c r="P20" t="str" cm="1">
        <f t="array" ref="P20">IF(ISERROR(INDEX(_xlfn._xlws.FILTER('Model output'!M:M, ('Model output'!Z:Z=A20)*('Model output'!M:M&lt;&gt;"")), 1)), " ", LOWER(INDEX(_xlfn._xlws.FILTER('Model output'!M:M, ('Model output'!Z:Z=A20)*('Model output'!M:M&lt;&gt;"")), 1)))</f>
        <v>classic</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30mm(Macroscopic)</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6"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output'!P:P&lt;&gt;"")),1),1)),ISNUMBER(SEARCH("yes",INDEX(_xlfn._xlws.FILTER('Model output'!P:P,('Model output'!Z:Z=A20)*('Model output'!P:P&lt;&gt;"")),1),1)),ISNUMBER(SEARCH("present",INDEX(_xlfn._xlws.FILTER('Model output'!P:P,('Model output'!Z:Z=A20)*('Model output'!P:P&lt;&gt;"")),1),1))),"positive","negative"))</f>
        <v>negative</v>
      </c>
      <c r="V20" t="str" cm="1">
        <f t="array" ref="V20">IF(ISNUMBER(SEARCH("4",INDEX(_xlfn._xlws.FILTER('Model output'!P:P,('Model output'!Z:Z=A20)*('Model output'!P:P&lt;&gt;"")),1),1)),INDEX(_xlfn._xlws.FILTER('Model output'!P:P,('Model output'!Z:Z=A20)*('Model output'!P:P&lt;&gt;"")),1),"") &amp; _xlfn.TEXTJOIN("",TRUE,_xlfn._xlws.FILTER('Model output'!Q:Q,'Model output'!Z:Z=A20))</f>
        <v>Extrathyroidal extension with involvement of right cricothyroid and inferior constrictor muscle</v>
      </c>
      <c r="W20" t="str">
        <f t="shared" si="9"/>
        <v>no</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Y20" s="16" t="str">
        <f t="shared" si="10"/>
        <v>positive</v>
      </c>
      <c r="AC20" s="16" t="str">
        <f t="shared" si="11"/>
        <v>positive</v>
      </c>
      <c r="AD20" t="str" cm="1">
        <f t="array" ref="AD20">_xlfn.TEXTJOIN("; ",TRUE,_xlfn._xlws.FILTER('Model output'!S:S,'Model output'!Z:Z=A20))</f>
        <v>Invading only strap muscles; perithyroidal fibradipose tissue, skeletal muscle</v>
      </c>
      <c r="AE20" s="47"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output'!Z:Z=A20)),1)),"negative","negative"))</f>
        <v>negative</v>
      </c>
      <c r="AG20" s="40" t="str">
        <f t="shared" si="2"/>
        <v>high</v>
      </c>
      <c r="AH20" s="32" t="str">
        <f t="shared" si="3"/>
        <v>4a</v>
      </c>
      <c r="AI20" s="32" t="str">
        <f t="shared" si="16"/>
        <v>1a</v>
      </c>
      <c r="AJ20" s="32">
        <f t="shared" si="17"/>
        <v>0</v>
      </c>
      <c r="AK20" s="32" t="str">
        <f t="shared" si="18"/>
        <v>III</v>
      </c>
      <c r="AL20" s="33" t="s">
        <v>171</v>
      </c>
      <c r="AM20" s="34" t="s">
        <v>198</v>
      </c>
      <c r="AN20" s="34" t="s">
        <v>195</v>
      </c>
      <c r="AO20" s="34">
        <v>0</v>
      </c>
      <c r="AP20" s="34" t="s">
        <v>70</v>
      </c>
      <c r="AQ20" s="33">
        <f t="shared" si="7"/>
        <v>1</v>
      </c>
      <c r="AR20" s="34">
        <f t="shared" si="8"/>
        <v>1</v>
      </c>
      <c r="AS20" s="34">
        <f t="shared" si="12"/>
        <v>1</v>
      </c>
      <c r="AT20" s="34">
        <f t="shared" si="13"/>
        <v>1</v>
      </c>
      <c r="AU20" s="35">
        <f t="shared" si="13"/>
        <v>1</v>
      </c>
    </row>
    <row r="21" spans="1:47">
      <c r="A21" s="12">
        <v>19</v>
      </c>
      <c r="B21" s="15"/>
      <c r="C21" s="16">
        <f>_xlfn.MAXIFS('Model output'!C:C,'Model output'!Z:Z,'Classification rule'!$A21)</f>
        <v>23</v>
      </c>
      <c r="D21" s="16"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6"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6"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6"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6">
        <f>IF(IFERROR(INDEX('Model output'!I:I, MATCH(A21, 'Model output'!Z:Z, 0)), "") &lt; K21, "", IFERROR(INDEX('Model output'!I:I, MATCH(A21, 'Model output'!Z:Z, 0)), ""))</f>
        <v>1</v>
      </c>
      <c r="K21" s="16">
        <f>IFERROR(INDEX('Model output'!J:J, MATCH(A21, 'Model output'!Z:Z, 0)), "")</f>
        <v>0</v>
      </c>
      <c r="L21" s="17" t="str" cm="1">
        <f t="array" ref="L21">ReplaceTo(ReplaceAnd(SUBSTITUTE(SUBSTITUTE(_xlfn.TEXTJOIN("; ", TRUE, _xlfn._xlws.FILTER('Model output'!K:K, 'Model output'!Z:Z=A21)), " ", ""), ",", ";")))</f>
        <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6"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output'!P:P&lt;&gt;"")),1),1)),ISNUMBER(SEARCH("yes",INDEX(_xlfn._xlws.FILTER('Model output'!P:P,('Model output'!Z:Z=A21)*('Model output'!P:P&lt;&gt;"")),1),1)),ISNUMBER(SEARCH("present",INDEX(_xlfn._xlws.FILTER('Model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
      </c>
      <c r="W21" t="str">
        <f t="shared" si="9"/>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6" t="str">
        <f t="shared" si="10"/>
        <v>negative</v>
      </c>
      <c r="AC21" s="16" t="str">
        <f t="shared" si="11"/>
        <v>negative</v>
      </c>
      <c r="AD21" t="str" cm="1">
        <f t="array" ref="AD21">_xlfn.TEXTJOIN("; ",TRUE,_xlfn._xlws.FILTER('Model output'!S:S,'Model output'!Z:Z=A21))</f>
        <v/>
      </c>
      <c r="AE21" s="47"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output'!Z:Z=A21)),1)),"negative","negative"))</f>
        <v>negative</v>
      </c>
      <c r="AG21" s="40" t="str">
        <f t="shared" si="2"/>
        <v>low</v>
      </c>
      <c r="AH21" s="32" t="str">
        <f t="shared" si="3"/>
        <v>1a</v>
      </c>
      <c r="AI21" s="32">
        <f t="shared" si="16"/>
        <v>0</v>
      </c>
      <c r="AJ21" s="32">
        <f t="shared" si="17"/>
        <v>0</v>
      </c>
      <c r="AK21" s="32" t="str">
        <f t="shared" si="18"/>
        <v>I</v>
      </c>
      <c r="AL21" s="33" t="s">
        <v>172</v>
      </c>
      <c r="AM21" s="34" t="s">
        <v>195</v>
      </c>
      <c r="AN21" s="34">
        <v>0</v>
      </c>
      <c r="AO21" s="34">
        <v>0</v>
      </c>
      <c r="AP21" s="34" t="s">
        <v>31</v>
      </c>
      <c r="AQ21" s="33">
        <f t="shared" si="7"/>
        <v>1</v>
      </c>
      <c r="AR21" s="34">
        <f t="shared" si="8"/>
        <v>1</v>
      </c>
      <c r="AS21" s="34">
        <f t="shared" si="12"/>
        <v>1</v>
      </c>
      <c r="AT21" s="34">
        <f t="shared" si="13"/>
        <v>1</v>
      </c>
      <c r="AU21" s="35">
        <f t="shared" si="13"/>
        <v>1</v>
      </c>
    </row>
    <row r="22" spans="1:47">
      <c r="A22" s="12">
        <v>20</v>
      </c>
      <c r="B22" s="15"/>
      <c r="C22" s="16">
        <f>_xlfn.MAXIFS('Model output'!C:C,'Model output'!Z:Z,'Classification rule'!$A22)</f>
        <v>61</v>
      </c>
      <c r="D22" s="16"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2</v>
      </c>
      <c r="E22" s="16"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1a</v>
      </c>
      <c r="F22" s="16"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6"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6">
        <f>IF(IFERROR(INDEX('Model output'!I:I, MATCH(A22, 'Model output'!Z:Z, 0)), "") &lt; K22, "", IFERROR(INDEX('Model output'!I:I, MATCH(A22, 'Model output'!Z:Z, 0)), ""))</f>
        <v>4</v>
      </c>
      <c r="K22" s="16">
        <f>IFERROR(INDEX('Model output'!J:J, MATCH(A22, 'Model output'!Z:Z, 0)), "")</f>
        <v>3</v>
      </c>
      <c r="L22" s="17" t="str" cm="1">
        <f t="array" ref="L22">ReplaceTo(ReplaceAnd(SUBSTITUTE(SUBSTITUTE(_xlfn.TEXTJOIN("; ", TRUE, _xlfn._xlws.FILTER('Model output'!K:K, 'Model output'!Z:Z=A22)), " ", ""), ",", ";")))</f>
        <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 carcinoma</v>
      </c>
      <c r="P22" t="str" cm="1">
        <f t="array" ref="P22">IF(ISERROR(INDEX(_xlfn._xlws.FILTER('Model output'!M:M, ('Model output'!Z:Z=A22)*('Model output'!M:M&lt;&gt;"")), 1)), " ", LOWER(INDEX(_xlfn._xlws.FILTER('Model output'!M:M, ('Model output'!Z:Z=A22)*('Model output'!M:M&lt;&gt;"")), 1)))</f>
        <v>papillary</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cm="1">
        <f t="array" ref="S22">IF(MaxSize((SplitDimensions(R22)))=0, "", MaxSize((SplitDimensions(R22))))</f>
        <v>1.1000000000000001</v>
      </c>
      <c r="T22" s="16"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output'!P:P&lt;&gt;"")),1),1)),ISNUMBER(SEARCH("yes",INDEX(_xlfn._xlws.FILTER('Model output'!P:P,('Model output'!Z:Z=A22)*('Model output'!P:P&lt;&gt;"")),1),1)),ISNUMBER(SEARCH("present",INDEX(_xlfn._xlws.FILTER('Model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lymphovascular permeation is present</v>
      </c>
      <c r="W22" t="str">
        <f t="shared" si="9"/>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Y22" s="16" t="str">
        <f t="shared" si="10"/>
        <v>positive</v>
      </c>
      <c r="AC22" s="16" t="str">
        <f t="shared" si="11"/>
        <v>negative</v>
      </c>
      <c r="AD22" t="str" cm="1">
        <f t="array" ref="AD22">_xlfn.TEXTJOIN("; ",TRUE,_xlfn._xlws.FILTER('Model output'!S:S,'Model output'!Z:Z=A22))</f>
        <v>peripheral margins are clear, with a minimal microscopic clearance of &lt;1 mm from both the anterior and posterior surfaces. Lymphovascular permeation is present.</v>
      </c>
      <c r="AE22" s="47"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output'!Z:Z=A22)),1)),"negative","negative"))</f>
        <v>negative</v>
      </c>
      <c r="AG22" s="40" t="str">
        <f t="shared" si="2"/>
        <v>intermediate</v>
      </c>
      <c r="AH22" s="32" t="str">
        <f t="shared" si="3"/>
        <v>1b</v>
      </c>
      <c r="AI22" s="32" t="str">
        <f t="shared" si="16"/>
        <v>1a</v>
      </c>
      <c r="AJ22" s="32">
        <f t="shared" si="17"/>
        <v>0</v>
      </c>
      <c r="AK22" s="32" t="str">
        <f t="shared" si="18"/>
        <v>II</v>
      </c>
      <c r="AL22" s="33" t="s">
        <v>170</v>
      </c>
      <c r="AM22" s="34" t="s">
        <v>193</v>
      </c>
      <c r="AN22" s="34" t="s">
        <v>195</v>
      </c>
      <c r="AO22" s="34">
        <v>0</v>
      </c>
      <c r="AP22" s="34" t="s">
        <v>45</v>
      </c>
      <c r="AQ22" s="33">
        <f t="shared" si="7"/>
        <v>1</v>
      </c>
      <c r="AR22" s="34">
        <f t="shared" si="8"/>
        <v>1</v>
      </c>
      <c r="AS22" s="34">
        <f t="shared" si="12"/>
        <v>1</v>
      </c>
      <c r="AT22" s="34">
        <f t="shared" si="13"/>
        <v>1</v>
      </c>
      <c r="AU22" s="35">
        <f t="shared" si="13"/>
        <v>1</v>
      </c>
    </row>
    <row r="23" spans="1:47">
      <c r="A23" s="12">
        <v>21</v>
      </c>
      <c r="B23" s="15"/>
      <c r="C23" s="16">
        <f>_xlfn.MAXIFS('Model output'!C:C,'Model output'!Z:Z,'Classification rule'!$A23)</f>
        <v>51</v>
      </c>
      <c r="D23" s="16"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2</v>
      </c>
      <c r="E23" s="16"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1a</v>
      </c>
      <c r="F23" s="16"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6"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6">
        <f>IF(IFERROR(INDEX('Model output'!I:I, MATCH(A23, 'Model output'!Z:Z, 0)), "") &lt; K23, "", IFERROR(INDEX('Model output'!I:I, MATCH(A23, 'Model output'!Z:Z, 0)), ""))</f>
        <v>7</v>
      </c>
      <c r="K23" s="16">
        <f>IFERROR(INDEX('Model output'!J:J, MATCH(A23, 'Model output'!Z:Z, 0)), "")</f>
        <v>4</v>
      </c>
      <c r="L23" s="17" t="str" cm="1">
        <f t="array" ref="L23">ReplaceTo(ReplaceAnd(SUBSTITUTE(SUBSTITUTE(_xlfn.TEXTJOIN("; ", TRUE, _xlfn._xlws.FILTER('Model output'!K:K, 'Model output'!Z:Z=A23)), " ", ""), ",", ";")))</f>
        <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v>
      </c>
      <c r="P23" t="str" cm="1">
        <f t="array" ref="P23">IF(ISERROR(INDEX(_xlfn._xlws.FILTER('Model output'!M:M, ('Model output'!Z:Z=A23)*('Model output'!M:M&lt;&gt;"")), 1)), " ", LOWER(INDEX(_xlfn._xlws.FILTER('Model output'!M:M, ('Model output'!Z:Z=A23)*('Model output'!M:M&lt;&gt;"")), 1)))</f>
        <v>classic</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
      </c>
      <c r="S23" t="str" cm="1">
        <f t="array" ref="S23">IF(MaxSize((SplitDimensions(R23)))=0, "", MaxSize((SplitDimensions(R23))))</f>
        <v/>
      </c>
      <c r="T23" s="16"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output'!P:P&lt;&gt;"")),1),1)),ISNUMBER(SEARCH("yes",INDEX(_xlfn._xlws.FILTER('Model output'!P:P,('Model output'!Z:Z=A23)*('Model output'!P:P&lt;&gt;"")),1),1)),ISNUMBER(SEARCH("present",INDEX(_xlfn._xlws.FILTER('Model output'!P:P,('Model output'!Z:Z=A23)*('Model output'!P:P&lt;&gt;"")),1),1))),"positive","negative"))</f>
        <v>negative</v>
      </c>
      <c r="V23" t="str" cm="1">
        <f t="array" ref="V23">IF(ISNUMBER(SEARCH("4",INDEX(_xlfn._xlws.FILTER('Model output'!P:P,('Model output'!Z:Z=A23)*('Model output'!P:P&lt;&gt;"")),1),1)),INDEX(_xlfn._xlws.FILTER('Model output'!P:P,('Model output'!Z:Z=A23)*('Model output'!P:P&lt;&gt;"")),1),"") &amp; _xlfn.TEXTJOIN("",TRUE,_xlfn._xlws.FILTER('Model output'!Q:Q,'Model output'!Z:Z=A23))</f>
        <v/>
      </c>
      <c r="W23" t="str">
        <f t="shared" si="9"/>
        <v>no</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6" t="str">
        <f t="shared" si="10"/>
        <v>negative</v>
      </c>
      <c r="AC23" s="16" t="str">
        <f t="shared" si="11"/>
        <v>positive</v>
      </c>
      <c r="AD23" t="str" cm="1">
        <f t="array" ref="AD23">_xlfn.TEXTJOIN("; ",TRUE,_xlfn._xlws.FILTER('Model output'!S:S,'Model output'!Z:Z=A23))</f>
        <v>skeletal muscle</v>
      </c>
      <c r="AE23" s="47"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output'!Z:Z=A23)),1)),"negative","negative"))</f>
        <v>negative</v>
      </c>
      <c r="AG23" s="40" t="str">
        <f t="shared" si="2"/>
        <v>high</v>
      </c>
      <c r="AH23" s="32" t="str">
        <f t="shared" si="3"/>
        <v>3b</v>
      </c>
      <c r="AI23" s="32" t="str">
        <f t="shared" si="16"/>
        <v>1a</v>
      </c>
      <c r="AJ23" s="32">
        <f t="shared" si="17"/>
        <v>0</v>
      </c>
      <c r="AK23" s="32" t="str">
        <f t="shared" si="18"/>
        <v>I</v>
      </c>
      <c r="AL23" s="33" t="s">
        <v>170</v>
      </c>
      <c r="AM23" s="34" t="s">
        <v>193</v>
      </c>
      <c r="AN23" s="34" t="s">
        <v>195</v>
      </c>
      <c r="AO23" s="34">
        <v>0</v>
      </c>
      <c r="AP23" s="34" t="s">
        <v>31</v>
      </c>
      <c r="AQ23" s="33">
        <f t="shared" si="7"/>
        <v>0</v>
      </c>
      <c r="AR23" s="34">
        <f t="shared" si="8"/>
        <v>0</v>
      </c>
      <c r="AS23" s="34">
        <f t="shared" si="12"/>
        <v>1</v>
      </c>
      <c r="AT23" s="34">
        <f t="shared" si="13"/>
        <v>1</v>
      </c>
      <c r="AU23" s="35">
        <f t="shared" si="13"/>
        <v>1</v>
      </c>
    </row>
    <row r="24" spans="1:47">
      <c r="A24" s="12">
        <v>22</v>
      </c>
      <c r="B24" s="15"/>
      <c r="C24" s="16">
        <f>_xlfn.MAXIFS('Model output'!C:C,'Model output'!Z:Z,'Classification rule'!$A24)</f>
        <v>50</v>
      </c>
      <c r="D24" s="16"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6"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X</v>
      </c>
      <c r="F24" s="16" cm="1">
        <f t="array" ref="F24">IF(AND(SUBSTITUTE(_xlfn.TEXTJOIN("/", TRUE, _xlfn._xlws.FILTER('Model output'!F:F, 'Model output'!Z:Z=A24)),"M", "")="", I24="negative"),0,IF(I24="positive",1,0))</f>
        <v>0</v>
      </c>
      <c r="G24" t="str">
        <f t="shared" si="0"/>
        <v>positive</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central</v>
      </c>
      <c r="I24" s="16"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6">
        <f>IF(IFERROR(INDEX('Model output'!I:I, MATCH(A24, 'Model output'!Z:Z, 0)), "") &lt; K24, "", IFERROR(INDEX('Model output'!I:I, MATCH(A24, 'Model output'!Z:Z, 0)), ""))</f>
        <v>1</v>
      </c>
      <c r="K24" s="16">
        <f>IFERROR(INDEX('Model output'!J:J, MATCH(A24, 'Model output'!Z:Z, 0)), "")</f>
        <v>0</v>
      </c>
      <c r="L24" s="17"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v>
      </c>
      <c r="P24" t="str" cm="1">
        <f t="array" ref="P24">IF(ISERROR(INDEX(_xlfn._xlws.FILTER('Model output'!M:M, ('Model output'!Z:Z=A24)*('Model output'!M:M&lt;&gt;"")), 1)), " ", LOWER(INDEX(_xlfn._xlws.FILTER('Model output'!M:M, ('Model output'!Z:Z=A24)*('Model output'!M:M&lt;&gt;"")), 1)))</f>
        <v>classic</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6"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output'!P:P&lt;&gt;"")),1),1)),ISNUMBER(SEARCH("yes",INDEX(_xlfn._xlws.FILTER('Model output'!P:P,('Model output'!Z:Z=A24)*('Model output'!P:P&lt;&gt;"")),1),1)),ISNUMBER(SEARCH("present",INDEX(_xlfn._xlws.FILTER('Model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9"/>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6" t="str">
        <f t="shared" si="10"/>
        <v>negative</v>
      </c>
      <c r="AC24" s="16" t="str">
        <f t="shared" si="11"/>
        <v>negative</v>
      </c>
      <c r="AD24" t="str" cm="1">
        <f t="array" ref="AD24">_xlfn.TEXTJOIN("; ",TRUE,_xlfn._xlws.FILTER('Model output'!S:S,'Model output'!Z:Z=A24))</f>
        <v/>
      </c>
      <c r="AE24" s="47"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output'!Z:Z=A24)),1)),"negative","negative"))</f>
        <v>negative</v>
      </c>
      <c r="AG24" s="40" t="str">
        <f t="shared" si="2"/>
        <v>low</v>
      </c>
      <c r="AH24" s="32" t="str">
        <f t="shared" si="3"/>
        <v>1a</v>
      </c>
      <c r="AI24" s="32">
        <f t="shared" si="16"/>
        <v>0</v>
      </c>
      <c r="AJ24" s="32">
        <f t="shared" si="17"/>
        <v>0</v>
      </c>
      <c r="AK24" s="32" t="str">
        <f t="shared" si="18"/>
        <v>I</v>
      </c>
      <c r="AL24" s="33" t="s">
        <v>172</v>
      </c>
      <c r="AM24" s="34" t="s">
        <v>195</v>
      </c>
      <c r="AN24" s="34">
        <v>0</v>
      </c>
      <c r="AO24" s="34">
        <v>0</v>
      </c>
      <c r="AP24" s="34" t="s">
        <v>31</v>
      </c>
      <c r="AQ24" s="33">
        <f t="shared" si="7"/>
        <v>1</v>
      </c>
      <c r="AR24" s="34">
        <f t="shared" si="8"/>
        <v>1</v>
      </c>
      <c r="AS24" s="34">
        <f t="shared" si="12"/>
        <v>1</v>
      </c>
      <c r="AT24" s="34">
        <f t="shared" si="13"/>
        <v>1</v>
      </c>
      <c r="AU24" s="35">
        <f t="shared" si="13"/>
        <v>1</v>
      </c>
    </row>
    <row r="25" spans="1:47">
      <c r="A25" s="12">
        <v>23</v>
      </c>
      <c r="B25" s="15"/>
      <c r="C25" s="16">
        <f>_xlfn.MAXIFS('Model output'!C:C,'Model output'!Z:Z,'Classification rule'!$A25)</f>
        <v>61</v>
      </c>
      <c r="D25" s="16"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2</v>
      </c>
      <c r="E25" s="16"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F25" s="16"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6"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6">
        <f>IF(IFERROR(INDEX('Model output'!I:I, MATCH(A25, 'Model output'!Z:Z, 0)), "") &lt; K25, "", IFERROR(INDEX('Model output'!I:I, MATCH(A25, 'Model output'!Z:Z, 0)), ""))</f>
        <v>1</v>
      </c>
      <c r="K25" s="16">
        <f>IFERROR(INDEX('Model output'!J:J, MATCH(A25, 'Model output'!Z:Z, 0)), "")</f>
        <v>0</v>
      </c>
      <c r="L25" s="17"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 carcinoma</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
      </c>
      <c r="S25" t="str" cm="1">
        <f t="array" ref="S25">IF(MaxSize((SplitDimensions(R25)))=0, "", MaxSize((SplitDimensions(R25))))</f>
        <v/>
      </c>
      <c r="T25" s="16"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output'!P:P&lt;&gt;"")),1),1)),ISNUMBER(SEARCH("yes",INDEX(_xlfn._xlws.FILTER('Model output'!P:P,('Model output'!Z:Z=A25)*('Model output'!P:P&lt;&gt;"")),1),1)),ISNUMBER(SEARCH("present",INDEX(_xlfn._xlws.FILTER('Model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9"/>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6" t="str">
        <f t="shared" si="10"/>
        <v>positive</v>
      </c>
      <c r="AC25" s="16" t="str">
        <f t="shared" si="11"/>
        <v>negative</v>
      </c>
      <c r="AD25" t="str" cm="1">
        <f t="array" ref="AD25">_xlfn.TEXTJOIN("; ",TRUE,_xlfn._xlws.FILTER('Model output'!S:S,'Model output'!Z:Z=A25))</f>
        <v>perithyroidal adipose tissue</v>
      </c>
      <c r="AE25" s="47"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output'!Z:Z=A25)),1)),"negative","negative"))</f>
        <v>negative</v>
      </c>
      <c r="AG25" s="40" t="str">
        <f t="shared" si="2"/>
        <v>intermediate</v>
      </c>
      <c r="AH25" s="32" t="str">
        <f t="shared" si="3"/>
        <v>1a</v>
      </c>
      <c r="AI25" s="32">
        <f t="shared" ref="AI25:AI27" si="19">IF(OR(ISNUMBER(SEARCH("non-invasive follicular",O25,1)),ISNUMBER(SEARCH("non-invasive follicular",P25,1))),"NIFTP",IF(AND(K25&gt;0,G25="positive",H25="central"),"1a",IF(AND(K25&gt;0,G25="positive",H25="lateral"),"1b",IF(AND(K25=0,J25=0),"x",0))))</f>
        <v>0</v>
      </c>
      <c r="AJ25" s="32">
        <f t="shared" si="17"/>
        <v>0</v>
      </c>
      <c r="AK25" s="32" t="str">
        <f t="shared" si="18"/>
        <v>I</v>
      </c>
      <c r="AL25" s="33" t="s">
        <v>170</v>
      </c>
      <c r="AM25" s="34" t="s">
        <v>193</v>
      </c>
      <c r="AN25" s="34">
        <v>0</v>
      </c>
      <c r="AO25" s="34">
        <v>0</v>
      </c>
      <c r="AP25" s="34" t="s">
        <v>31</v>
      </c>
      <c r="AQ25" s="33">
        <f t="shared" si="7"/>
        <v>1</v>
      </c>
      <c r="AR25" s="34">
        <f t="shared" si="8"/>
        <v>0</v>
      </c>
      <c r="AS25" s="34">
        <f t="shared" si="12"/>
        <v>1</v>
      </c>
      <c r="AT25" s="34">
        <f t="shared" si="13"/>
        <v>1</v>
      </c>
      <c r="AU25" s="35">
        <f t="shared" si="13"/>
        <v>1</v>
      </c>
    </row>
    <row r="26" spans="1:47">
      <c r="A26" s="12">
        <v>24</v>
      </c>
      <c r="B26" s="15"/>
      <c r="C26" s="16">
        <f>_xlfn.MAXIFS('Model output'!C:C,'Model output'!Z:Z,'Classification rule'!$A26)</f>
        <v>55</v>
      </c>
      <c r="D26" s="16"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6"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1b</v>
      </c>
      <c r="F26" s="16"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lateral</v>
      </c>
      <c r="I26" s="16"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6">
        <f>IF(IFERROR(INDEX('Model output'!I:I, MATCH(A26, 'Model output'!Z:Z, 0)), "") &lt; K26, "", IFERROR(INDEX('Model output'!I:I, MATCH(A26, 'Model output'!Z:Z, 0)), ""))</f>
        <v>25</v>
      </c>
      <c r="K26" s="16">
        <f>IFERROR(INDEX('Model output'!J:J, MATCH(A26, 'Model output'!Z:Z, 0)), "")</f>
        <v>18</v>
      </c>
      <c r="L26" s="17" t="str" cm="1">
        <f t="array" ref="L26">ReplaceTo(ReplaceAnd(SUBSTITUTE(SUBSTITUTE(_xlfn.TEXTJOIN("; ", TRUE, _xlfn._xlws.FILTER('Model output'!K:K, 'Model output'!Z:Z=A26)), " ", ""), ",", ";")))</f>
        <v>9mm;2.5cm</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9mm;2.5cm</v>
      </c>
      <c r="N26" cm="1">
        <f t="array" ref="N26">IF(MaxSize((SplitDimensions(M26)))=0, "", MaxSize((SplitDimensions(M26))))</f>
        <v>2.5</v>
      </c>
      <c r="O26" t="str" cm="1">
        <f t="array" ref="O26">IF(ISERROR(INDEX(_xlfn._xlws.FILTER('Model output'!L:L, ('Model output'!Z:Z=A26)*('Model output'!L:L&lt;&gt;"")), 1)), " ", LOWER(INDEX(_xlfn._xlws.FILTER('Model output'!L:L, ('Model output'!Z:Z=A26)*('Model output'!L:L&lt;&gt;"")), 1)))</f>
        <v>papillary carcinoma</v>
      </c>
      <c r="P26" t="str" cm="1">
        <f t="array" ref="P26">IF(ISERROR(INDEX(_xlfn._xlws.FILTER('Model output'!M:M, ('Model output'!Z:Z=A26)*('Model output'!M:M&lt;&gt;"")), 1)), " ", LOWER(INDEX(_xlfn._xlws.FILTER('Model output'!M:M, ('Model output'!Z:Z=A26)*('Model output'!M:M&lt;&gt;"")), 1)))</f>
        <v xml:space="preserve"> </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2.7cm</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2.7cm</v>
      </c>
      <c r="S26" cm="1">
        <f t="array" ref="S26">IF(MaxSize((SplitDimensions(R26)))=0, "", MaxSize((SplitDimensions(R26))))</f>
        <v>2.7</v>
      </c>
      <c r="T26" s="16"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output'!P:P&lt;&gt;"")),1),1)),ISNUMBER(SEARCH("yes",INDEX(_xlfn._xlws.FILTER('Model output'!P:P,('Model output'!Z:Z=A26)*('Model output'!P:P&lt;&gt;"")),1),1)),ISNUMBER(SEARCH("present",INDEX(_xlfn._xlws.FILTER('Model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extensive perineural invasionComplete encasement of right RLN by tumour at laryngeal entry point</v>
      </c>
      <c r="W26" t="str">
        <f t="shared" si="9"/>
        <v>extensive</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6" t="str">
        <f t="shared" si="10"/>
        <v>positive</v>
      </c>
      <c r="AC26" s="16" t="str">
        <f t="shared" si="11"/>
        <v>negative</v>
      </c>
      <c r="AD26" t="str" cm="1">
        <f t="array" ref="AD26">_xlfn.TEXTJOIN("; ",TRUE,_xlfn._xlws.FILTER('Model output'!S:S,'Model output'!Z:Z=A26))</f>
        <v>Present (minimal); perithyroidal fibradipose tissue</v>
      </c>
      <c r="AE26" s="47"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output'!Z:Z=A26)),1)),"negative","negative"))</f>
        <v>negative</v>
      </c>
      <c r="AG26" s="40" t="str">
        <f t="shared" si="2"/>
        <v>intermediate</v>
      </c>
      <c r="AH26" s="32" t="str">
        <f t="shared" si="3"/>
        <v>4a</v>
      </c>
      <c r="AI26" s="32" t="str">
        <f t="shared" si="19"/>
        <v>1b</v>
      </c>
      <c r="AJ26" s="32">
        <f t="shared" si="17"/>
        <v>0</v>
      </c>
      <c r="AK26" s="32" t="str">
        <f t="shared" si="18"/>
        <v>III</v>
      </c>
      <c r="AL26" s="33" t="s">
        <v>171</v>
      </c>
      <c r="AM26" s="34" t="s">
        <v>198</v>
      </c>
      <c r="AN26" s="34" t="s">
        <v>193</v>
      </c>
      <c r="AO26" s="34">
        <v>0</v>
      </c>
      <c r="AP26" s="34" t="s">
        <v>70</v>
      </c>
      <c r="AQ26" s="33">
        <f t="shared" si="7"/>
        <v>0</v>
      </c>
      <c r="AR26" s="34">
        <f t="shared" si="8"/>
        <v>1</v>
      </c>
      <c r="AS26" s="34">
        <f t="shared" si="12"/>
        <v>1</v>
      </c>
      <c r="AT26" s="34">
        <f t="shared" si="13"/>
        <v>1</v>
      </c>
      <c r="AU26" s="35">
        <f t="shared" si="13"/>
        <v>1</v>
      </c>
    </row>
    <row r="27" spans="1:47">
      <c r="A27" s="12">
        <v>25</v>
      </c>
      <c r="B27" s="15"/>
      <c r="C27" s="16">
        <f>_xlfn.MAXIFS('Model output'!C:C,'Model output'!Z:Z,'Classification rule'!$A27)</f>
        <v>42</v>
      </c>
      <c r="D27" s="16"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6"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6"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6"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6">
        <f>IF(IFERROR(INDEX('Model output'!I:I, MATCH(A27, 'Model output'!Z:Z, 0)), "") &lt; K27, "", IFERROR(INDEX('Model output'!I:I, MATCH(A27, 'Model output'!Z:Z, 0)), ""))</f>
        <v>0</v>
      </c>
      <c r="K27" s="16">
        <f>IFERROR(INDEX('Model output'!J:J, MATCH(A27, 'Model output'!Z:Z, 0)), "")</f>
        <v>0</v>
      </c>
      <c r="L27" s="17" t="str" cm="1">
        <f t="array" ref="L27">ReplaceTo(ReplaceAnd(SUBSTITUTE(SUBSTITUTE(_xlfn.TEXTJOIN("; ", TRUE, _xlfn._xlws.FILTER('Model output'!K:K, 'Model output'!Z:Z=A27)), " ", ""), ",", ";")))</f>
        <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 carcinoma</v>
      </c>
      <c r="P27" t="str" cm="1">
        <f t="array" ref="P27">IF(ISERROR(INDEX(_xlfn._xlws.FILTER('Model output'!M:M, ('Model output'!Z:Z=A27)*('Model output'!M:M&lt;&gt;"")), 1)), " ", LOWER(INDEX(_xlfn._xlws.FILTER('Model output'!M:M, ('Model output'!Z:Z=A27)*('Model output'!M:M&lt;&gt;"")), 1)))</f>
        <v>classic (usual, conventional)</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1cm</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1cm</v>
      </c>
      <c r="S27" cm="1">
        <f t="array" ref="S27">IF(MaxSize((SplitDimensions(R27)))=0, "", MaxSize((SplitDimensions(R27))))</f>
        <v>1</v>
      </c>
      <c r="T27" s="16"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output'!P:P&lt;&gt;"")),1),1)),ISNUMBER(SEARCH("yes",INDEX(_xlfn._xlws.FILTER('Model output'!P:P,('Model output'!Z:Z=A27)*('Model output'!P:P&lt;&gt;"")),1),1)),ISNUMBER(SEARCH("present",INDEX(_xlfn._xlws.FILTER('Model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
      </c>
      <c r="W27" t="str">
        <f t="shared" si="9"/>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positive</v>
      </c>
      <c r="Y27" s="16" t="str">
        <f t="shared" si="10"/>
        <v>negative</v>
      </c>
      <c r="AC27" s="16" t="str">
        <f t="shared" si="11"/>
        <v>negative</v>
      </c>
      <c r="AD27" t="str" cm="1">
        <f t="array" ref="AD27">_xlfn.TEXTJOIN("; ",TRUE,_xlfn._xlws.FILTER('Model output'!S:S,'Model output'!Z:Z=A27))</f>
        <v/>
      </c>
      <c r="AE27" s="47"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output'!Z:Z=A27)),1)),"negative","negative"))</f>
        <v>negative</v>
      </c>
      <c r="AG27" s="40" t="str">
        <f t="shared" si="2"/>
        <v>low</v>
      </c>
      <c r="AH27" s="32" t="str">
        <f t="shared" si="3"/>
        <v>1a</v>
      </c>
      <c r="AI27" s="32" t="str">
        <f t="shared" si="19"/>
        <v>x</v>
      </c>
      <c r="AJ27" s="32">
        <f t="shared" si="17"/>
        <v>0</v>
      </c>
      <c r="AK27" s="32" t="str">
        <f t="shared" si="18"/>
        <v>I</v>
      </c>
      <c r="AL27" s="33" t="s">
        <v>172</v>
      </c>
      <c r="AM27" s="34" t="s">
        <v>193</v>
      </c>
      <c r="AN27" s="34" t="s">
        <v>194</v>
      </c>
      <c r="AO27" s="34">
        <v>0</v>
      </c>
      <c r="AP27" s="34" t="s">
        <v>31</v>
      </c>
      <c r="AQ27" s="33">
        <f t="shared" si="7"/>
        <v>1</v>
      </c>
      <c r="AR27" s="34">
        <f t="shared" si="8"/>
        <v>0</v>
      </c>
      <c r="AS27" s="34">
        <f t="shared" si="12"/>
        <v>1</v>
      </c>
      <c r="AT27" s="34">
        <f t="shared" si="13"/>
        <v>1</v>
      </c>
      <c r="AU27" s="35">
        <f t="shared" si="13"/>
        <v>1</v>
      </c>
    </row>
    <row r="28" spans="1:47">
      <c r="A28" s="12">
        <v>26</v>
      </c>
      <c r="B28" s="15"/>
      <c r="C28" s="16">
        <f>_xlfn.MAXIFS('Model output'!C:C,'Model output'!Z:Z,'Classification rule'!$A28)</f>
        <v>73</v>
      </c>
      <c r="D28" s="16"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6"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X</v>
      </c>
      <c r="F28" s="16" cm="1">
        <f t="array" ref="F28">IF(AND(SUBSTITUTE(_xlfn.TEXTJOIN("/", TRUE, _xlfn._xlws.FILTER('Model output'!F:F, 'Model output'!Z:Z=A28)),"M", "")="", I28="negative"),0,IF(I28="positive",1,0))</f>
        <v>0</v>
      </c>
      <c r="G28" t="str">
        <f t="shared" si="0"/>
        <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
      </c>
      <c r="I28" s="16"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6">
        <f>IF(IFERROR(INDEX('Model output'!I:I, MATCH(A28, 'Model output'!Z:Z, 0)), "") &lt; K28, "", IFERROR(INDEX('Model output'!I:I, MATCH(A28, 'Model output'!Z:Z, 0)), ""))</f>
        <v>0</v>
      </c>
      <c r="K28" s="16">
        <f>IFERROR(INDEX('Model output'!J:J, MATCH(A28, 'Model output'!Z:Z, 0)), "")</f>
        <v>0</v>
      </c>
      <c r="L28" s="17" t="str" cm="1">
        <f t="array" ref="L28">ReplaceTo(ReplaceAnd(SUBSTITUTE(SUBSTITUTE(_xlfn.TEXTJOIN("; ", TRUE, _xlfn._xlws.FILTER('Model output'!K:K, 'Model output'!Z:Z=A28)), " ", ""), ",", ";")))</f>
        <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 carcinoma</v>
      </c>
      <c r="P28" t="str" cm="1">
        <f t="array" ref="P28">IF(ISERROR(INDEX(_xlfn._xlws.FILTER('Model output'!M:M, ('Model output'!Z:Z=A28)*('Model output'!M:M&lt;&gt;"")), 1)), " ", LOWER(INDEX(_xlfn._xlws.FILTER('Model output'!M:M, ('Model output'!Z:Z=A28)*('Model output'!M:M&lt;&gt;"")), 1)))</f>
        <v>classic</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6"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output'!P:P&lt;&gt;"")),1),1)),ISNUMBER(SEARCH("yes",INDEX(_xlfn._xlws.FILTER('Model output'!P:P,('Model output'!Z:Z=A28)*('Model output'!P:P&lt;&gt;"")),1),1)),ISNUMBER(SEARCH("present",INDEX(_xlfn._xlws.FILTER('Model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To strap muscle</v>
      </c>
      <c r="W28" t="str">
        <f t="shared" si="9"/>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Y28" s="16" t="str">
        <f t="shared" si="10"/>
        <v>positive</v>
      </c>
      <c r="AC28" s="16" t="str">
        <f t="shared" si="11"/>
        <v>positive</v>
      </c>
      <c r="AD28" t="str" cm="1">
        <f t="array" ref="AD28">_xlfn.TEXTJOIN("; ",TRUE,_xlfn._xlws.FILTER('Model output'!S:S,'Model output'!Z:Z=A28))</f>
        <v>Microscopic extrathyroidal extension to skeletal muscle anterior to the thyroid gland is present; Perithyroidal fibradipose tissue</v>
      </c>
      <c r="AE28" s="47"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output'!Z:Z=A28)),1)),"negative","negative"))</f>
        <v>negative</v>
      </c>
      <c r="AG28" s="40" t="str">
        <f t="shared" si="2"/>
        <v>high</v>
      </c>
      <c r="AH28" s="32" t="str">
        <f t="shared" si="3"/>
        <v>3b</v>
      </c>
      <c r="AI28" s="32" t="str">
        <f>IF(OR(ISNUMBER(SEARCH("non-invasive follicular",O28,1)),ISNUMBER(SEARCH("non-invasive follicular",P28,1))),"NIFTP",IF(AND(K28&gt;0,G28="positive",H28="central"),"1a",IF(AND(K28&gt;0,G28="positive",H28="lateral"),"1b",IF(AND(K28=0,J28=0),"x",0))))</f>
        <v>x</v>
      </c>
      <c r="AJ28" s="32">
        <f t="shared" si="17"/>
        <v>0</v>
      </c>
      <c r="AK28" s="32" t="str">
        <f t="shared" si="18"/>
        <v>II</v>
      </c>
      <c r="AL28" s="33" t="s">
        <v>171</v>
      </c>
      <c r="AM28" s="34" t="s">
        <v>196</v>
      </c>
      <c r="AN28" s="34" t="s">
        <v>194</v>
      </c>
      <c r="AO28" s="34">
        <v>0</v>
      </c>
      <c r="AP28" s="34" t="s">
        <v>45</v>
      </c>
      <c r="AQ28" s="33">
        <f t="shared" si="7"/>
        <v>1</v>
      </c>
      <c r="AR28" s="34">
        <f t="shared" si="8"/>
        <v>1</v>
      </c>
      <c r="AS28" s="34">
        <f t="shared" si="12"/>
        <v>1</v>
      </c>
      <c r="AT28" s="34">
        <f t="shared" si="13"/>
        <v>1</v>
      </c>
      <c r="AU28" s="35">
        <f t="shared" si="13"/>
        <v>1</v>
      </c>
    </row>
    <row r="29" spans="1:47">
      <c r="A29" s="12">
        <v>27</v>
      </c>
      <c r="B29" s="15"/>
      <c r="C29" s="16">
        <f>_xlfn.MAXIFS('Model output'!C:C,'Model output'!Z:Z,'Classification rule'!$A29)</f>
        <v>39</v>
      </c>
      <c r="D29" s="16"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6"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6"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6"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6">
        <f>IF(IFERROR(INDEX('Model output'!I:I, MATCH(A29, 'Model output'!Z:Z, 0)), "") &lt; K29, "", IFERROR(INDEX('Model output'!I:I, MATCH(A29, 'Model output'!Z:Z, 0)), ""))</f>
        <v>2</v>
      </c>
      <c r="K29" s="16">
        <f>IFERROR(INDEX('Model output'!J:J, MATCH(A29, 'Model output'!Z:Z, 0)), "")</f>
        <v>1</v>
      </c>
      <c r="L29" s="17" t="str" cm="1">
        <f t="array" ref="L29">ReplaceTo(ReplaceAnd(SUBSTITUTE(SUBSTITUTE(_xlfn.TEXTJOIN("; ", TRUE, _xlfn._xlws.FILTER('Model output'!K:K, 'Model output'!Z:Z=A29)), " ", ""), ",", ";")))</f>
        <v>2.2mm</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2.2mm</v>
      </c>
      <c r="N29" cm="1">
        <f t="array" ref="N29">IF(MaxSize((SplitDimensions(M29)))=0, "", MaxSize((SplitDimensions(M29))))</f>
        <v>0.22000000000000003</v>
      </c>
      <c r="O29" t="str" cm="1">
        <f t="array" ref="O29">IF(ISERROR(INDEX(_xlfn._xlws.FILTER('Model output'!L:L, ('Model output'!Z:Z=A29)*('Model output'!L:L&lt;&gt;"")), 1)), " ", LOWER(INDEX(_xlfn._xlws.FILTER('Model output'!L:L, ('Model output'!Z:Z=A29)*('Model output'!L:L&lt;&gt;"")), 1)))</f>
        <v>papillary carcinoma</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5mm(blockA5)and1.5mm(blockA9)</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5mm</v>
      </c>
      <c r="S29" cm="1">
        <f t="array" ref="S29">IF(MaxSize((SplitDimensions(R29)))=0, "", MaxSize((SplitDimensions(R29))))</f>
        <v>0.5</v>
      </c>
      <c r="T29" s="16"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output'!P:P&lt;&gt;"")),1),1)),ISNUMBER(SEARCH("yes",INDEX(_xlfn._xlws.FILTER('Model output'!P:P,('Model output'!Z:Z=A29)*('Model output'!P:P&lt;&gt;"")),1),1)),ISNUMBER(SEARCH("present",INDEX(_xlfn._xlws.FILTER('Model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9"/>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6" t="str">
        <f t="shared" si="10"/>
        <v>negative</v>
      </c>
      <c r="AC29" s="16" t="str">
        <f t="shared" si="11"/>
        <v>negative</v>
      </c>
      <c r="AD29" t="str" cm="1">
        <f t="array" ref="AD29">_xlfn.TEXTJOIN("; ",TRUE,_xlfn._xlws.FILTER('Model output'!S:S,'Model output'!Z:Z=A29))</f>
        <v>Not identified</v>
      </c>
      <c r="AE29" s="47"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output'!Z:Z=A29)),1)),"negative","negative"))</f>
        <v>negative</v>
      </c>
      <c r="AG29" s="40" t="str">
        <f t="shared" si="2"/>
        <v>low</v>
      </c>
      <c r="AH29" s="32" t="str">
        <f t="shared" si="3"/>
        <v>1a</v>
      </c>
      <c r="AI29" s="32" t="str">
        <f t="shared" ref="AI29:AI37" si="20">IF(OR(ISNUMBER(SEARCH("non-invasive follicular",O29,1)),ISNUMBER(SEARCH("non-invasive follicular",P29,1))),"NIFTP",IF(AND(K29&gt;0,G29="positive",H29="central"),"1a",IF(AND(K29&gt;0,G29="positive",H29="lateral"),"1b",IF(AND(K29=0,J29=0),"x",0))))</f>
        <v>1a</v>
      </c>
      <c r="AJ29" s="32">
        <f t="shared" si="17"/>
        <v>0</v>
      </c>
      <c r="AK29" s="32" t="str">
        <f t="shared" si="18"/>
        <v>I</v>
      </c>
      <c r="AL29" s="33" t="s">
        <v>172</v>
      </c>
      <c r="AM29" s="34" t="s">
        <v>195</v>
      </c>
      <c r="AN29" s="34" t="s">
        <v>195</v>
      </c>
      <c r="AO29" s="34">
        <v>0</v>
      </c>
      <c r="AP29" s="34" t="s">
        <v>31</v>
      </c>
      <c r="AQ29" s="33">
        <f t="shared" si="7"/>
        <v>1</v>
      </c>
      <c r="AR29" s="34">
        <f t="shared" si="8"/>
        <v>1</v>
      </c>
      <c r="AS29" s="34">
        <f t="shared" si="12"/>
        <v>1</v>
      </c>
      <c r="AT29" s="34">
        <f t="shared" si="13"/>
        <v>1</v>
      </c>
      <c r="AU29" s="35">
        <f t="shared" si="13"/>
        <v>1</v>
      </c>
    </row>
    <row r="30" spans="1:47">
      <c r="A30" s="12">
        <v>28</v>
      </c>
      <c r="B30" s="15"/>
      <c r="C30" s="16">
        <f>_xlfn.MAXIFS('Model output'!C:C,'Model output'!Z:Z,'Classification rule'!$A30)</f>
        <v>57</v>
      </c>
      <c r="D30" s="16"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6"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1a</v>
      </c>
      <c r="F30" s="16"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6"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6">
        <f>IF(IFERROR(INDEX('Model output'!I:I, MATCH(A30, 'Model output'!Z:Z, 0)), "") &lt; K30, "", IFERROR(INDEX('Model output'!I:I, MATCH(A30, 'Model output'!Z:Z, 0)), ""))</f>
        <v>5</v>
      </c>
      <c r="K30" s="16">
        <f>IFERROR(INDEX('Model output'!J:J, MATCH(A30, 'Model output'!Z:Z, 0)), "")</f>
        <v>1</v>
      </c>
      <c r="L30" s="17" t="str" cm="1">
        <f t="array" ref="L30">ReplaceTo(ReplaceAnd(SUBSTITUTE(SUBSTITUTE(_xlfn.TEXTJOIN("; ", TRUE, _xlfn._xlws.FILTER('Model output'!K:K, 'Model output'!Z:Z=A30)), " ", ""), ",", ";")))</f>
        <v>2.5mm</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2.5mm</v>
      </c>
      <c r="N30" cm="1">
        <f t="array" ref="N30">IF(MaxSize((SplitDimensions(M30)))=0, "", MaxSize((SplitDimensions(M30))))</f>
        <v>0.25</v>
      </c>
      <c r="O30" t="str" cm="1">
        <f t="array" ref="O30">IF(ISERROR(INDEX(_xlfn._xlws.FILTER('Model output'!L:L, ('Model output'!Z:Z=A30)*('Model output'!L:L&lt;&gt;"")), 1)), " ", LOWER(INDEX(_xlfn._xlws.FILTER('Model output'!L:L, ('Model output'!Z:Z=A30)*('Model output'!L:L&lt;&gt;"")), 1)))</f>
        <v>papillary carcinoma</v>
      </c>
      <c r="P30" t="str" cm="1">
        <f t="array" ref="P30">IF(ISERROR(INDEX(_xlfn._xlws.FILTER('Model output'!M:M, ('Model output'!Z:Z=A30)*('Model output'!M:M&lt;&gt;"")), 1)), " ", LOWER(INDEX(_xlfn._xlws.FILTER('Model output'!M:M, ('Model output'!Z:Z=A30)*('Model output'!M:M&lt;&gt;"")), 1)))</f>
        <v xml:space="preserve"> </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
      </c>
      <c r="S30" t="str" cm="1">
        <f t="array" ref="S30">IF(MaxSize((SplitDimensions(R30)))=0, "", MaxSize((SplitDimensions(R30))))</f>
        <v/>
      </c>
      <c r="T30" s="16"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output'!P:P&lt;&gt;"")),1),1)),ISNUMBER(SEARCH("yes",INDEX(_xlfn._xlws.FILTER('Model output'!P:P,('Model output'!Z:Z=A30)*('Model output'!P:P&lt;&gt;"")),1),1)),ISNUMBER(SEARCH("present",INDEX(_xlfn._xlws.FILTER('Model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9"/>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6" t="str">
        <f t="shared" si="10"/>
        <v>negative</v>
      </c>
      <c r="AC30" s="16" t="str">
        <f t="shared" si="11"/>
        <v>negative</v>
      </c>
      <c r="AD30" t="str" cm="1">
        <f t="array" ref="AD30">_xlfn.TEXTJOIN("; ",TRUE,_xlfn._xlws.FILTER('Model output'!S:S,'Model output'!Z:Z=A30))</f>
        <v>Not identified</v>
      </c>
      <c r="AE30" s="47"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output'!Z:Z=A30)),1)),"negative","negative"))</f>
        <v>negative</v>
      </c>
      <c r="AG30" s="40" t="str">
        <f t="shared" si="2"/>
        <v>low</v>
      </c>
      <c r="AH30" s="32" t="str">
        <f t="shared" si="3"/>
        <v>1a</v>
      </c>
      <c r="AI30" s="32" t="str">
        <f t="shared" si="20"/>
        <v>1a</v>
      </c>
      <c r="AJ30" s="32">
        <f t="shared" si="17"/>
        <v>0</v>
      </c>
      <c r="AK30" s="32" t="str">
        <f t="shared" si="18"/>
        <v>II</v>
      </c>
      <c r="AL30" s="33" t="s">
        <v>172</v>
      </c>
      <c r="AM30" s="34" t="s">
        <v>195</v>
      </c>
      <c r="AN30" s="34" t="s">
        <v>195</v>
      </c>
      <c r="AO30" s="34">
        <v>0</v>
      </c>
      <c r="AP30" s="34" t="s">
        <v>45</v>
      </c>
      <c r="AQ30" s="33">
        <f t="shared" si="7"/>
        <v>1</v>
      </c>
      <c r="AR30" s="34">
        <f t="shared" si="8"/>
        <v>1</v>
      </c>
      <c r="AS30" s="34">
        <f t="shared" si="12"/>
        <v>1</v>
      </c>
      <c r="AT30" s="34">
        <f t="shared" si="13"/>
        <v>1</v>
      </c>
      <c r="AU30" s="35">
        <f t="shared" si="13"/>
        <v>1</v>
      </c>
    </row>
    <row r="31" spans="1:47">
      <c r="A31" s="12">
        <v>29</v>
      </c>
      <c r="B31" s="15"/>
      <c r="C31" s="16">
        <f>_xlfn.MAXIFS('Model output'!C:C,'Model output'!Z:Z,'Classification rule'!$A31)</f>
        <v>63</v>
      </c>
      <c r="D31" s="16"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6"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6"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6"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6">
        <f>IF(IFERROR(INDEX('Model output'!I:I, MATCH(A31, 'Model output'!Z:Z, 0)), "") &lt; K31, "", IFERROR(INDEX('Model output'!I:I, MATCH(A31, 'Model output'!Z:Z, 0)), ""))</f>
        <v>0</v>
      </c>
      <c r="K31" s="16">
        <f>IFERROR(INDEX('Model output'!J:J, MATCH(A31, 'Model output'!Z:Z, 0)), "")</f>
        <v>0</v>
      </c>
      <c r="L31" s="17"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v>
      </c>
      <c r="P31" t="str" cm="1">
        <f t="array" ref="P31">IF(ISERROR(INDEX(_xlfn._xlws.FILTER('Model output'!M:M, ('Model output'!Z:Z=A31)*('Model output'!M:M&lt;&gt;"")), 1)), " ", LOWER(INDEX(_xlfn._xlws.FILTER('Model output'!M:M, ('Model output'!Z:Z=A31)*('Model output'!M:M&lt;&gt;"")), 1)))</f>
        <v>classic</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6"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output'!P:P&lt;&gt;"")),1),1)),ISNUMBER(SEARCH("yes",INDEX(_xlfn._xlws.FILTER('Model output'!P:P,('Model output'!Z:Z=A31)*('Model output'!P:P&lt;&gt;"")),1),1)),ISNUMBER(SEARCH("present",INDEX(_xlfn._xlws.FILTER('Model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9"/>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6" t="str">
        <f t="shared" si="10"/>
        <v>negative</v>
      </c>
      <c r="AC31" s="16" t="str">
        <f t="shared" si="11"/>
        <v>negative</v>
      </c>
      <c r="AD31" t="str" cm="1">
        <f t="array" ref="AD31">_xlfn.TEXTJOIN("; ",TRUE,_xlfn._xlws.FILTER('Model output'!S:S,'Model output'!Z:Z=A31))</f>
        <v>Not identified</v>
      </c>
      <c r="AE31" s="47"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output'!Z:Z=A31)),1)),"negative","negative"))</f>
        <v>negative</v>
      </c>
      <c r="AG31" s="40" t="str">
        <f t="shared" si="2"/>
        <v>low</v>
      </c>
      <c r="AH31" s="32" t="str">
        <f t="shared" si="3"/>
        <v>1a</v>
      </c>
      <c r="AI31" s="32" t="str">
        <f t="shared" si="20"/>
        <v>x</v>
      </c>
      <c r="AJ31" s="32">
        <f t="shared" si="17"/>
        <v>0</v>
      </c>
      <c r="AK31" s="32" t="str">
        <f t="shared" si="18"/>
        <v>I</v>
      </c>
      <c r="AL31" s="33" t="s">
        <v>172</v>
      </c>
      <c r="AM31" s="34" t="s">
        <v>195</v>
      </c>
      <c r="AN31" s="34" t="s">
        <v>194</v>
      </c>
      <c r="AO31" s="34">
        <v>0</v>
      </c>
      <c r="AP31" s="34" t="s">
        <v>31</v>
      </c>
      <c r="AQ31" s="33">
        <f t="shared" si="7"/>
        <v>1</v>
      </c>
      <c r="AR31" s="34">
        <f t="shared" si="8"/>
        <v>1</v>
      </c>
      <c r="AS31" s="34">
        <f t="shared" si="12"/>
        <v>1</v>
      </c>
      <c r="AT31" s="34">
        <f t="shared" si="13"/>
        <v>1</v>
      </c>
      <c r="AU31" s="35">
        <f t="shared" si="13"/>
        <v>1</v>
      </c>
    </row>
    <row r="32" spans="1:47">
      <c r="A32" s="12">
        <v>30</v>
      </c>
      <c r="B32" s="15"/>
      <c r="C32" s="16">
        <f>_xlfn.MAXIFS('Model output'!C:C,'Model output'!Z:Z,'Classification rule'!$A32)</f>
        <v>39</v>
      </c>
      <c r="D32" s="16"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6"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1a</v>
      </c>
      <c r="F32" s="16"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6"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6">
        <f>IF(IFERROR(INDEX('Model output'!I:I, MATCH(A32, 'Model output'!Z:Z, 0)), "") &lt; K32, "", IFERROR(INDEX('Model output'!I:I, MATCH(A32, 'Model output'!Z:Z, 0)), ""))</f>
        <v>26</v>
      </c>
      <c r="K32" s="16">
        <f>IFERROR(INDEX('Model output'!J:J, MATCH(A32, 'Model output'!Z:Z, 0)), "")</f>
        <v>6</v>
      </c>
      <c r="L32" s="17" t="str" cm="1">
        <f t="array" ref="L32">ReplaceTo(ReplaceAnd(SUBSTITUTE(SUBSTITUTE(_xlfn.TEXTJOIN("; ", TRUE, _xlfn._xlws.FILTER('Model output'!K:K, 'Model output'!Z:Z=A32)), " ", ""), ",", ";")))</f>
        <v>4.5mm</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 carcinoma</v>
      </c>
      <c r="P32" t="str" cm="1">
        <f t="array" ref="P32">IF(ISERROR(INDEX(_xlfn._xlws.FILTER('Model output'!M:M, ('Model output'!Z:Z=A32)*('Model output'!M:M&lt;&gt;"")), 1)), " ", LOWER(INDEX(_xlfn._xlws.FILTER('Model output'!M:M, ('Model output'!Z:Z=A32)*('Model output'!M:M&lt;&gt;"")), 1)))</f>
        <v>infiltrative follicular</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6"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output'!P:P&lt;&gt;"")),1),1)),ISNUMBER(SEARCH("yes",INDEX(_xlfn._xlws.FILTER('Model output'!P:P,('Model output'!Z:Z=A32)*('Model output'!P:P&lt;&gt;"")),1),1)),ISNUMBER(SEARCH("present",INDEX(_xlfn._xlws.FILTER('Model output'!P:P,('Model output'!Z:Z=A32)*('Model output'!P:P&lt;&gt;"")),1),1))),"positive","negative"))</f>
        <v>negative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9"/>
        <v>no</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6" t="str">
        <f t="shared" si="10"/>
        <v>negative</v>
      </c>
      <c r="AC32" s="16" t="str">
        <f t="shared" si="11"/>
        <v>negative</v>
      </c>
      <c r="AD32" t="str" cm="1">
        <f t="array" ref="AD32">_xlfn.TEXTJOIN("; ",TRUE,_xlfn._xlws.FILTER('Model output'!S:S,'Model output'!Z:Z=A32))</f>
        <v/>
      </c>
      <c r="AE32" s="47"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output'!Z:Z=A32)),1)),"negative","negative"))</f>
        <v>negative</v>
      </c>
      <c r="AG32" s="40" t="str">
        <f t="shared" si="2"/>
        <v>intermediate</v>
      </c>
      <c r="AH32" s="32" t="str">
        <f t="shared" si="3"/>
        <v>1b</v>
      </c>
      <c r="AI32" s="32" t="str">
        <f t="shared" si="20"/>
        <v>1b</v>
      </c>
      <c r="AJ32" s="32">
        <f t="shared" si="17"/>
        <v>0</v>
      </c>
      <c r="AK32" s="32" t="str">
        <f t="shared" si="18"/>
        <v>I</v>
      </c>
      <c r="AL32" s="33" t="s">
        <v>170</v>
      </c>
      <c r="AM32" s="34" t="s">
        <v>193</v>
      </c>
      <c r="AN32" s="34" t="s">
        <v>193</v>
      </c>
      <c r="AO32" s="34">
        <v>0</v>
      </c>
      <c r="AP32" s="34" t="s">
        <v>31</v>
      </c>
      <c r="AQ32" s="33">
        <f t="shared" si="7"/>
        <v>1</v>
      </c>
      <c r="AR32" s="34">
        <f t="shared" si="8"/>
        <v>1</v>
      </c>
      <c r="AS32" s="34">
        <f t="shared" si="12"/>
        <v>1</v>
      </c>
      <c r="AT32" s="34">
        <f t="shared" si="13"/>
        <v>1</v>
      </c>
      <c r="AU32" s="35">
        <f t="shared" si="13"/>
        <v>1</v>
      </c>
    </row>
    <row r="33" spans="1:48">
      <c r="A33" s="12">
        <v>31</v>
      </c>
      <c r="B33" s="15"/>
      <c r="C33" s="16">
        <f>_xlfn.MAXIFS('Model output'!C:C,'Model output'!Z:Z,'Classification rule'!$A33)</f>
        <v>60</v>
      </c>
      <c r="D33" s="16"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4a</v>
      </c>
      <c r="E33" s="16"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1b</v>
      </c>
      <c r="F33" s="16"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6"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6" t="str">
        <f>IF(IFERROR(INDEX('Model output'!I:I, MATCH(A33, 'Model output'!Z:Z, 0)), "") &lt; K33, "", IFERROR(INDEX('Model output'!I:I, MATCH(A33, 'Model output'!Z:Z, 0)), ""))</f>
        <v/>
      </c>
      <c r="K33" s="16">
        <f>IFERROR(INDEX('Model output'!J:J, MATCH(A33, 'Model output'!Z:Z, 0)), "")</f>
        <v>1</v>
      </c>
      <c r="L33" s="17"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v>
      </c>
      <c r="S33" cm="1">
        <f t="array" ref="S33">IF(MaxSize((SplitDimensions(R33)))=0, "", MaxSize((SplitDimensions(R33))))</f>
        <v>4.5</v>
      </c>
      <c r="T33" s="16"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output'!P:P&lt;&gt;"")),1),1)),ISNUMBER(SEARCH("yes",INDEX(_xlfn._xlws.FILTER('Model output'!P:P,('Model output'!Z:Z=A33)*('Model output'!P:P&lt;&gt;"")),1),1)),ISNUMBER(SEARCH("present",INDEX(_xlfn._xlws.FILTER('Model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Rich vascular anastomosis identified</v>
      </c>
      <c r="W33" t="str">
        <f t="shared" si="9"/>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6" t="str">
        <f t="shared" si="10"/>
        <v>positive</v>
      </c>
      <c r="AC33" s="16" t="str">
        <f t="shared" si="11"/>
        <v>positive</v>
      </c>
      <c r="AD33" t="str" cm="1">
        <f t="array" ref="AD33">_xlfn.TEXTJOIN("; ",TRUE,_xlfn._xlws.FILTER('Model output'!S:S,'Model output'!Z:Z=A33))</f>
        <v>skeletal muscle; Perithyroidal fibradipose tissue, skeletal muscle, subcutaneous soft tissues, larynx, trachea, esophagus, recurrent laryngeal nerve (RLN)</v>
      </c>
      <c r="AE33" s="47"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output'!Z:Z=A33)),1)),"negative","negative"))</f>
        <v>negative</v>
      </c>
      <c r="AG33" s="40" t="str">
        <f t="shared" si="2"/>
        <v>high</v>
      </c>
      <c r="AH33" s="32"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4a</v>
      </c>
      <c r="AI33" s="32" t="str">
        <f t="shared" si="20"/>
        <v>1a</v>
      </c>
      <c r="AJ33" s="32">
        <f t="shared" si="17"/>
        <v>0</v>
      </c>
      <c r="AK33" s="32" t="str">
        <f t="shared" si="18"/>
        <v>III</v>
      </c>
      <c r="AL33" s="33" t="s">
        <v>171</v>
      </c>
      <c r="AM33" s="34" t="s">
        <v>199</v>
      </c>
      <c r="AN33" s="34" t="s">
        <v>195</v>
      </c>
      <c r="AO33" s="34">
        <v>0</v>
      </c>
      <c r="AP33" s="34" t="s">
        <v>407</v>
      </c>
      <c r="AQ33" s="33">
        <f t="shared" si="7"/>
        <v>1</v>
      </c>
      <c r="AR33" s="34">
        <f t="shared" si="8"/>
        <v>0</v>
      </c>
      <c r="AS33" s="34">
        <f t="shared" si="12"/>
        <v>1</v>
      </c>
      <c r="AT33" s="34">
        <f t="shared" si="13"/>
        <v>1</v>
      </c>
      <c r="AU33" s="35">
        <f t="shared" si="13"/>
        <v>0</v>
      </c>
    </row>
    <row r="34" spans="1:48">
      <c r="A34" s="12">
        <v>32</v>
      </c>
      <c r="B34" s="15"/>
      <c r="C34" s="16">
        <f>_xlfn.MAXIFS('Model output'!C:C,'Model output'!Z:Z,'Classification rule'!$A34)</f>
        <v>72</v>
      </c>
      <c r="D34" s="16"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4a</v>
      </c>
      <c r="E34" s="16"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X</v>
      </c>
      <c r="F34" s="16"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6"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6">
        <f>IF(IFERROR(INDEX('Model output'!I:I, MATCH(A34, 'Model output'!Z:Z, 0)), "") &lt; K34, "", IFERROR(INDEX('Model output'!I:I, MATCH(A34, 'Model output'!Z:Z, 0)), ""))</f>
        <v>0</v>
      </c>
      <c r="K34" s="16">
        <f>IFERROR(INDEX('Model output'!J:J, MATCH(A34, 'Model output'!Z:Z, 0)), "")</f>
        <v>0</v>
      </c>
      <c r="L34" s="17" t="str" cm="1">
        <f t="array" ref="L34">ReplaceTo(ReplaceAnd(SUBSTITUTE(SUBSTITUTE(_xlfn.TEXTJOIN("; ", TRUE, _xlfn._xlws.FILTER('Model output'!K:K, 'Model output'!Z:Z=A34)), " ", ""), ",", ";")))</f>
        <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
      </c>
      <c r="N34" t="str" cm="1">
        <f t="array" ref="N34">IF(MaxSize((SplitDimensions(M34)))=0, "", MaxSize((SplitDimensions(M34))))</f>
        <v/>
      </c>
      <c r="O34" t="str" cm="1">
        <f t="array" ref="O34">IF(ISERROR(INDEX(_xlfn._xlws.FILTER('Model output'!L:L, ('Model output'!Z:Z=A34)*('Model output'!L:L&lt;&gt;"")), 1)), " ", LOWER(INDEX(_xlfn._xlws.FILTER('Model output'!L:L, ('Model output'!Z:Z=A34)*('Model output'!L:L&lt;&gt;"")), 1)))</f>
        <v>follicular carcinoma</v>
      </c>
      <c r="P34" t="str" cm="1">
        <f t="array" ref="P34">IF(ISERROR(INDEX(_xlfn._xlws.FILTER('Model output'!M:M, ('Model output'!Z:Z=A34)*('Model output'!M:M&lt;&gt;"")), 1)), " ", LOWER(INDEX(_xlfn._xlws.FILTER('Model output'!M:M, ('Model output'!Z:Z=A34)*('Model output'!M:M&lt;&gt;"")), 1)))</f>
        <v>follicular</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
      </c>
      <c r="S34" t="str" cm="1">
        <f t="array" ref="S34">IF(MaxSize((SplitDimensions(R34)))=0, "", MaxSize((SplitDimensions(R34))))</f>
        <v/>
      </c>
      <c r="T34" s="16"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output'!P:P&lt;&gt;"")),1),1)),ISNUMBER(SEARCH("yes",INDEX(_xlfn._xlws.FILTER('Model output'!P:P,('Model output'!Z:Z=A34)*('Model output'!P:P&lt;&gt;"")),1),1)),ISNUMBER(SEARCH("present",INDEX(_xlfn._xlws.FILTER('Model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Extensive (= or &gt; 4 vessels)</v>
      </c>
      <c r="W34" t="str">
        <f t="shared" si="9"/>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6" t="str">
        <f t="shared" si="10"/>
        <v>positive</v>
      </c>
      <c r="AC34" s="16" t="str">
        <f t="shared" si="11"/>
        <v>negative</v>
      </c>
      <c r="AD34" t="str" cm="1">
        <f t="array" ref="AD34">_xlfn.TEXTJOIN("; ",TRUE,_xlfn._xlws.FILTER('Model output'!S:S,'Model output'!Z:Z=A34))</f>
        <v>Focally into adjacent fibroadipose tissue (block B3)</v>
      </c>
      <c r="AE34" s="47"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output'!Z:Z=A34)),1)),"negative","negative"))</f>
        <v>negative</v>
      </c>
      <c r="AG34" s="40" t="str">
        <f t="shared" si="2"/>
        <v>high</v>
      </c>
      <c r="AH34" s="32" t="str">
        <f t="shared" ref="AH34:AH37" si="21">IF(OR(ISNUMBER(SEARCH("non-invasive follicular",O34)),ISNUMBER(SEARCH("papillary-like nuclear features",O34)),ISNUMBER(SEARCH("non-invasive follicular",P34)),ISNUMBER(SEARCH("papillary-like nuclear features",P34))),"NIFTP", IF(OR(D34="4b",AND(AC34="positive",OR(ISNUMBER(SEARCH("prevertebral",AD34)),ISNUMBER(SEARCH("fascia",AD34)),ISNUMBER(SEARCH("carotid artery",AD34)),ISNUMBER(SEARCH("mediastinal",AD34))))),"4b",IF(OR(D34="4a",AND(AC34="positive",OR(ISNUMBER(SEARCH("soft tissue",AD34)),ISNUMBER(SEARCH("larynx",AD34)),ISNUMBER(SEARCH("trachea",AD34)),ISNUMBER(SEARCH("esophagus",AD34)),ISNUMBER(SEARCH("recurrent laryngeal nerve",AD34)),ISNUMBER(SEARCH("RLN",AD34))))),"4a", IF(OR(D34="3b", AC34="positive",ISNUMBER(SEARCH("strap",AD34)),ISNUMBER(SEARCH("sternothyroid",AD34)),ISNUMBER(SEARCH("sternohyoid",AD34)),ISNUMBER(SEARCH("thyrohyoid",AD34)),ISNUMBER(SEARCH("omohyoid",AD34))),"3b",IF(OR(D34="3a", AND(S34&lt;&gt;"",S34&gt;4)),"3a",IF(AND(S34&lt;&gt;"", S34&lt;=4,S34&gt;2),"2",IF(AND(S34&lt;&gt;"",S34&lt;=2,S34&gt;1),"1b",IF(AND(S34&lt;&gt;"",S34&lt;=1),"1a","1a"))))))))</f>
        <v>4a</v>
      </c>
      <c r="AI34" s="32" t="str">
        <f t="shared" si="20"/>
        <v>x</v>
      </c>
      <c r="AJ34" s="32">
        <f t="shared" si="17"/>
        <v>0</v>
      </c>
      <c r="AK34" s="32" t="str">
        <f t="shared" si="18"/>
        <v>III</v>
      </c>
      <c r="AL34" s="33" t="s">
        <v>171</v>
      </c>
      <c r="AM34" s="34" t="s">
        <v>197</v>
      </c>
      <c r="AN34" s="34">
        <v>0</v>
      </c>
      <c r="AO34" s="34">
        <v>0</v>
      </c>
      <c r="AP34" s="34" t="s">
        <v>45</v>
      </c>
      <c r="AQ34" s="33">
        <f t="shared" si="7"/>
        <v>1</v>
      </c>
      <c r="AR34" s="34">
        <f t="shared" si="8"/>
        <v>0</v>
      </c>
      <c r="AS34" s="34">
        <f t="shared" si="12"/>
        <v>1</v>
      </c>
      <c r="AT34" s="34">
        <f t="shared" si="13"/>
        <v>1</v>
      </c>
      <c r="AU34" s="35">
        <f t="shared" si="13"/>
        <v>0</v>
      </c>
    </row>
    <row r="35" spans="1:48">
      <c r="A35" s="12">
        <v>33</v>
      </c>
      <c r="B35" s="15"/>
      <c r="C35" s="16">
        <f>_xlfn.MAXIFS('Model output'!C:C,'Model output'!Z:Z,'Classification rule'!$A35)</f>
        <v>41</v>
      </c>
      <c r="D35" s="16"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6"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6"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6"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6">
        <f>IF(IFERROR(INDEX('Model output'!I:I, MATCH(A35, 'Model output'!Z:Z, 0)), "") &lt; K35, "", IFERROR(INDEX('Model output'!I:I, MATCH(A35, 'Model output'!Z:Z, 0)), ""))</f>
        <v>0</v>
      </c>
      <c r="K35" s="16">
        <f>IFERROR(INDEX('Model output'!J:J, MATCH(A35, 'Model output'!Z:Z, 0)), "")</f>
        <v>0</v>
      </c>
      <c r="L35" s="17"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microcarcinoma</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6"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output'!P:P&lt;&gt;"")),1),1)),ISNUMBER(SEARCH("yes",INDEX(_xlfn._xlws.FILTER('Model output'!P:P,('Model output'!Z:Z=A35)*('Model output'!P:P&lt;&gt;"")),1),1)),ISNUMBER(SEARCH("present",INDEX(_xlfn._xlws.FILTER('Model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9"/>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Y35" s="16" t="str">
        <f t="shared" si="10"/>
        <v>negative</v>
      </c>
      <c r="AC35" s="16" t="str">
        <f t="shared" si="11"/>
        <v>negative</v>
      </c>
      <c r="AD35" t="str" cm="1">
        <f t="array" ref="AD35">_xlfn.TEXTJOIN("; ",TRUE,_xlfn._xlws.FILTER('Model output'!S:S,'Model output'!Z:Z=A35))</f>
        <v/>
      </c>
      <c r="AE35" s="47"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output'!Z:Z=A35)),1)),"negative","negative"))</f>
        <v>negative</v>
      </c>
      <c r="AG35" s="40" t="str">
        <f t="shared" si="2"/>
        <v>high</v>
      </c>
      <c r="AH35" s="32" t="str">
        <f t="shared" si="21"/>
        <v>1a</v>
      </c>
      <c r="AI35" s="32" t="str">
        <f t="shared" si="20"/>
        <v>x</v>
      </c>
      <c r="AJ35" s="32">
        <f t="shared" si="17"/>
        <v>1</v>
      </c>
      <c r="AK35" s="32" t="str">
        <f t="shared" si="18"/>
        <v>II</v>
      </c>
      <c r="AL35" s="33" t="s">
        <v>171</v>
      </c>
      <c r="AM35" s="34" t="s">
        <v>195</v>
      </c>
      <c r="AN35" s="34" t="s">
        <v>194</v>
      </c>
      <c r="AO35" s="34">
        <v>1</v>
      </c>
      <c r="AP35" s="34" t="s">
        <v>45</v>
      </c>
      <c r="AQ35" s="33">
        <f t="shared" si="7"/>
        <v>1</v>
      </c>
      <c r="AR35" s="34">
        <f t="shared" si="8"/>
        <v>1</v>
      </c>
      <c r="AS35" s="34">
        <f t="shared" si="12"/>
        <v>1</v>
      </c>
      <c r="AT35" s="34">
        <f t="shared" si="13"/>
        <v>1</v>
      </c>
      <c r="AU35" s="35">
        <f t="shared" si="13"/>
        <v>1</v>
      </c>
    </row>
    <row r="36" spans="1:48">
      <c r="A36" s="12">
        <v>34</v>
      </c>
      <c r="B36" s="15"/>
      <c r="C36" s="16">
        <f>_xlfn.MAXIFS('Model output'!C:C,'Model output'!Z:Z,'Classification rule'!$A36)</f>
        <v>63</v>
      </c>
      <c r="D36" s="16"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6"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F36" s="16" cm="1">
        <f t="array" ref="F36">IF(AND(SUBSTITUTE(_xlfn.TEXTJOIN("/", TRUE, _xlfn._xlws.FILTER('Model output'!F:F, 'Model output'!Z:Z=A36)),"M", "")="", I36="negative"),0,IF(I36="positive",1,0))</f>
        <v>0</v>
      </c>
      <c r="G36" t="str">
        <f t="shared" si="0"/>
        <v>positive</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central</v>
      </c>
      <c r="I36" s="16"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6" t="str">
        <f>IF(IFERROR(INDEX('Model output'!I:I, MATCH(A36, 'Model output'!Z:Z, 0)), "") &lt; K36, "", IFERROR(INDEX('Model output'!I:I, MATCH(A36, 'Model output'!Z:Z, 0)), ""))</f>
        <v/>
      </c>
      <c r="K36" s="16">
        <f>IFERROR(INDEX('Model output'!J:J, MATCH(A36, 'Model output'!Z:Z, 0)), "")</f>
        <v>1</v>
      </c>
      <c r="L36" s="17"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 carcinoma</v>
      </c>
      <c r="P36" t="str" cm="1">
        <f t="array" ref="P36">IF(ISERROR(INDEX(_xlfn._xlws.FILTER('Model output'!M:M, ('Model output'!Z:Z=A36)*('Model output'!M:M&lt;&gt;"")), 1)), " ", LOWER(INDEX(_xlfn._xlws.FILTER('Model output'!M:M, ('Model output'!Z:Z=A36)*('Model output'!M:M&lt;&gt;"")), 1)))</f>
        <v>tall cell variant</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6"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output'!P:P&lt;&gt;"")),1),1)),ISNUMBER(SEARCH("yes",INDEX(_xlfn._xlws.FILTER('Model output'!P:P,('Model output'!Z:Z=A36)*('Model output'!P:P&lt;&gt;"")),1),1)),ISNUMBER(SEARCH("present",INDEX(_xlfn._xlws.FILTER('Model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vessels)Extensive (= or &gt;4 vessels)</v>
      </c>
      <c r="W36" t="str">
        <f t="shared" si="9"/>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negative</v>
      </c>
      <c r="Y36" s="16" t="str">
        <f t="shared" si="10"/>
        <v>positive</v>
      </c>
      <c r="AC36" s="16" t="str">
        <f t="shared" si="11"/>
        <v>positive</v>
      </c>
      <c r="AD36" t="str" cm="1">
        <f t="array" ref="AD36">_xlfn.TEXTJOIN("; ",TRUE,_xlfn._xlws.FILTER('Model output'!S:S,'Model output'!Z:Z=A36))</f>
        <v>Invading subcutaneous soft tissues, larynx, trachea, esophagus, or recurrent laryngeal nerve; perithyroidal fibradipose tissue, larynx, trachea, esophagus, recurrent laryngeal nerve, RLN</v>
      </c>
      <c r="AE36" s="47"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output'!Z:Z=A36)),1)),"negative","negative"))</f>
        <v>negative</v>
      </c>
      <c r="AG36" s="40" t="str">
        <f t="shared" si="2"/>
        <v>high</v>
      </c>
      <c r="AH36" s="32" t="str">
        <f t="shared" si="21"/>
        <v>4a</v>
      </c>
      <c r="AI36" s="32" t="str">
        <f t="shared" si="20"/>
        <v>1a</v>
      </c>
      <c r="AJ36" s="32">
        <f t="shared" si="17"/>
        <v>0</v>
      </c>
      <c r="AK36" s="32" t="str">
        <f t="shared" si="18"/>
        <v>III</v>
      </c>
      <c r="AL36" s="33" t="s">
        <v>171</v>
      </c>
      <c r="AM36" s="34" t="s">
        <v>198</v>
      </c>
      <c r="AN36" s="34">
        <v>0</v>
      </c>
      <c r="AO36" s="34">
        <v>0</v>
      </c>
      <c r="AP36" s="34" t="s">
        <v>70</v>
      </c>
      <c r="AQ36" s="33">
        <f t="shared" si="7"/>
        <v>1</v>
      </c>
      <c r="AR36" s="34">
        <f t="shared" si="8"/>
        <v>1</v>
      </c>
      <c r="AS36" s="34">
        <f t="shared" si="12"/>
        <v>0</v>
      </c>
      <c r="AT36" s="34">
        <f t="shared" si="13"/>
        <v>1</v>
      </c>
      <c r="AU36" s="35">
        <f t="shared" si="13"/>
        <v>1</v>
      </c>
    </row>
    <row r="37" spans="1:48">
      <c r="A37" s="26">
        <v>35</v>
      </c>
      <c r="B37" s="27"/>
      <c r="C37" s="28">
        <f>_xlfn.MAXIFS('Model output'!C:C,'Model output'!Z:Z,'Classification rule'!$A37)</f>
        <v>62</v>
      </c>
      <c r="D37" s="28"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4a</v>
      </c>
      <c r="E37" s="28"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1b</v>
      </c>
      <c r="F37" s="28" cm="1">
        <f t="array" ref="F37">IF(AND(SUBSTITUTE(_xlfn.TEXTJOIN("/", TRUE, _xlfn._xlws.FILTER('Model output'!F:F, 'Model output'!Z:Z=A37)),"M", "")="", I37="negative"),0,IF(I37="positive",1,0))</f>
        <v>1</v>
      </c>
      <c r="G37" s="29" t="str">
        <f t="shared" si="0"/>
        <v>positive</v>
      </c>
      <c r="H37" s="29"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28"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28">
        <f>IF(IFERROR(INDEX('Model output'!I:I, MATCH(A37, 'Model output'!Z:Z, 0)), "") &lt; K37, "", IFERROR(INDEX('Model output'!I:I, MATCH(A37, 'Model output'!Z:Z, 0)), ""))</f>
        <v>35</v>
      </c>
      <c r="K37" s="28">
        <f>IFERROR(INDEX('Model output'!J:J, MATCH(A37, 'Model output'!Z:Z, 0)), "")</f>
        <v>7</v>
      </c>
      <c r="L37" s="30" t="str" cm="1">
        <f t="array" ref="L37">ReplaceTo(ReplaceAnd(SUBSTITUTE(SUBSTITUTE(_xlfn.TEXTJOIN("; ", TRUE, _xlfn._xlws.FILTER('Model output'!K:K, 'Model output'!Z:Z=A37)), " ", ""), ",", ";")))</f>
        <v>1.2cm;4cm</v>
      </c>
      <c r="M37" s="29"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1.2cm;4cm</v>
      </c>
      <c r="N37" s="29" cm="1">
        <f t="array" ref="N37">IF(MaxSize((SplitDimensions(M37)))=0, "", MaxSize((SplitDimensions(M37))))</f>
        <v>4</v>
      </c>
      <c r="O37" s="29" t="str" cm="1">
        <f t="array" ref="O37">IF(ISERROR(INDEX(_xlfn._xlws.FILTER('Model output'!L:L, ('Model output'!Z:Z=A37)*('Model output'!L:L&lt;&gt;"")), 1)), " ", LOWER(INDEX(_xlfn._xlws.FILTER('Model output'!L:L, ('Model output'!Z:Z=A37)*('Model output'!L:L&lt;&gt;"")), 1)))</f>
        <v>papillary</v>
      </c>
      <c r="P37" s="29" t="str" cm="1">
        <f t="array" ref="P37">IF(ISERROR(INDEX(_xlfn._xlws.FILTER('Model output'!M:M, ('Model output'!Z:Z=A37)*('Model output'!M:M&lt;&gt;"")), 1)), " ", LOWER(INDEX(_xlfn._xlws.FILTER('Model output'!M:M, ('Model output'!Z:Z=A37)*('Model output'!M:M&lt;&gt;"")), 1)))</f>
        <v>tall cell</v>
      </c>
      <c r="Q37" s="29"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5.5cm</v>
      </c>
      <c r="R37" s="29"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5.5cm</v>
      </c>
      <c r="S37" s="29" cm="1">
        <f t="array" ref="S37">IF(MaxSize((SplitDimensions(R37)))=0, "", MaxSize((SplitDimensions(R37))))</f>
        <v>5.5</v>
      </c>
      <c r="T37" s="28"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output'!P:P&lt;&gt;"")),1),1)),ISNUMBER(SEARCH("yes",INDEX(_xlfn._xlws.FILTER('Model output'!P:P,('Model output'!Z:Z=A37)*('Model output'!P:P&lt;&gt;"")),1),1)),ISNUMBER(SEARCH("present",INDEX(_xlfn._xlws.FILTER('Model output'!P:P,('Model output'!Z:Z=A37)*('Model output'!P:P&lt;&gt;"")),1),1))),"positive","negative"))</f>
        <v>positive</v>
      </c>
      <c r="U37" s="28"/>
      <c r="V37" s="29" t="str" cm="1">
        <f t="array" ref="V37">IF(ISNUMBER(SEARCH("4",INDEX(_xlfn._xlws.FILTER('Model output'!P:P,('Model output'!Z:Z=A37)*('Model output'!P:P&lt;&gt;"")),1),1)),INDEX(_xlfn._xlws.FILTER('Model output'!P:P,('Model output'!Z:Z=A37)*('Model output'!P:P&lt;&gt;"")),1),"") &amp; _xlfn.TEXTJOIN("",TRUE,_xlfn._xlws.FILTER('Model output'!Q:Q,'Model output'!Z:Z=A37))</f>
        <v>Peri-thyroidal adipose tissue, extra-thyroidal adipose tissue</v>
      </c>
      <c r="W37" s="29" t="str">
        <f t="shared" si="9"/>
        <v>minimal</v>
      </c>
      <c r="X37" s="29"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28" t="str">
        <f t="shared" si="10"/>
        <v>positive</v>
      </c>
      <c r="Z37" s="28"/>
      <c r="AA37" s="28"/>
      <c r="AB37" s="28"/>
      <c r="AC37" s="28" t="str">
        <f t="shared" si="11"/>
        <v>positive</v>
      </c>
      <c r="AD37" s="29" t="str" cm="1">
        <f t="array" ref="AD37">_xlfn.TEXTJOIN("; ",TRUE,_xlfn._xlws.FILTER('Model output'!S:S,'Model output'!Z:Z=A37))</f>
        <v>perithyroidal fibradipose tissue, skeletal muscle, subcutaneous soft tissues; perithyroidal fibradipose tissue</v>
      </c>
      <c r="AE37" s="28"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output'!Z:Z=A37)),1)),"negative","negative"))</f>
        <v>negative</v>
      </c>
      <c r="AF37" s="28"/>
      <c r="AG37" s="41" t="str">
        <f t="shared" si="2"/>
        <v>high</v>
      </c>
      <c r="AH37" s="36" t="str">
        <f t="shared" si="21"/>
        <v>4a</v>
      </c>
      <c r="AI37" s="36" t="str">
        <f t="shared" si="20"/>
        <v>1b</v>
      </c>
      <c r="AJ37" s="36">
        <f t="shared" si="17"/>
        <v>1</v>
      </c>
      <c r="AK37" s="36" t="str">
        <f t="shared" si="18"/>
        <v>IVB</v>
      </c>
      <c r="AL37" s="37" t="s">
        <v>171</v>
      </c>
      <c r="AM37" s="38" t="s">
        <v>406</v>
      </c>
      <c r="AN37" s="38" t="s">
        <v>193</v>
      </c>
      <c r="AO37" s="38">
        <v>1</v>
      </c>
      <c r="AP37" s="38" t="s">
        <v>408</v>
      </c>
      <c r="AQ37" s="37">
        <f t="shared" si="7"/>
        <v>1</v>
      </c>
      <c r="AR37" s="38">
        <f t="shared" si="8"/>
        <v>0</v>
      </c>
      <c r="AS37" s="38">
        <f t="shared" si="12"/>
        <v>1</v>
      </c>
      <c r="AT37" s="38">
        <f t="shared" si="13"/>
        <v>1</v>
      </c>
      <c r="AU37" s="39">
        <f t="shared" si="13"/>
        <v>1</v>
      </c>
    </row>
    <row r="38" spans="1:48">
      <c r="A38" s="12"/>
    </row>
    <row r="39" spans="1:48">
      <c r="A39" s="12"/>
      <c r="D39" s="17"/>
      <c r="E39" s="17"/>
      <c r="X39" s="11"/>
      <c r="AQ39" s="10"/>
      <c r="AR39" s="20"/>
      <c r="AS39" s="20"/>
      <c r="AT39" s="20"/>
      <c r="AU39" s="20"/>
      <c r="AV39" s="11"/>
    </row>
    <row r="40" spans="1:48">
      <c r="A40" s="12"/>
      <c r="D40" s="17"/>
      <c r="E40" t="str">
        <f>IF(ISNUMBER(SEARCH("N",E3,1)),FIND("N",E3,1), "")</f>
        <v/>
      </c>
      <c r="AP40" s="11"/>
      <c r="AQ40" s="19"/>
      <c r="AR40" s="19"/>
      <c r="AS40" s="19"/>
      <c r="AT40" s="19"/>
      <c r="AU40" s="19"/>
    </row>
    <row r="41" spans="1:48">
      <c r="A41" s="12"/>
      <c r="D41" s="17"/>
      <c r="E41" t="str">
        <f>IF(ISNUMBER(SEARCH("N",E4,1)),FIND("N",E4,1), "")</f>
        <v/>
      </c>
    </row>
    <row r="42" spans="1:48">
      <c r="A42" s="12"/>
      <c r="D42" s="17"/>
    </row>
    <row r="43" spans="1:48">
      <c r="A43" s="12"/>
      <c r="D43" s="17"/>
    </row>
    <row r="44" spans="1:48">
      <c r="A44" s="12"/>
      <c r="D44" s="17"/>
    </row>
    <row r="45" spans="1:48">
      <c r="A45" s="12"/>
      <c r="D45" s="17"/>
    </row>
    <row r="46" spans="1:48">
      <c r="A46" s="12"/>
      <c r="D46" s="17"/>
    </row>
    <row r="47" spans="1:48">
      <c r="A47" s="12"/>
      <c r="D47" s="17"/>
    </row>
    <row r="48" spans="1:48">
      <c r="A48" s="12"/>
      <c r="D48" s="17"/>
    </row>
    <row r="49" spans="1:4">
      <c r="A49" s="12"/>
      <c r="D49" s="17"/>
    </row>
    <row r="50" spans="1:4">
      <c r="A50" s="12"/>
    </row>
    <row r="51" spans="1:4">
      <c r="A51" s="12"/>
    </row>
    <row r="52" spans="1:4">
      <c r="A52" s="12"/>
    </row>
    <row r="53" spans="1:4">
      <c r="A53" s="12"/>
    </row>
    <row r="54" spans="1:4">
      <c r="A54" s="12"/>
    </row>
    <row r="55" spans="1:4">
      <c r="A55" s="12"/>
    </row>
    <row r="56" spans="1:4">
      <c r="A56" s="12"/>
    </row>
    <row r="57" spans="1:4">
      <c r="A57" s="12"/>
    </row>
    <row r="58" spans="1:4">
      <c r="A58" s="12"/>
    </row>
    <row r="59" spans="1:4">
      <c r="A59" s="12"/>
    </row>
    <row r="60" spans="1:4">
      <c r="A60" s="12"/>
    </row>
    <row r="61" spans="1:4">
      <c r="A61" s="12"/>
    </row>
    <row r="62" spans="1:4">
      <c r="A62" s="12"/>
    </row>
    <row r="63" spans="1:4">
      <c r="A63" s="12"/>
    </row>
    <row r="64" spans="1:4">
      <c r="A64" s="12"/>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horizontalDpi="0" verticalDpi="0"/>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activeCell="A43" sqref="A43:XFD44"/>
      <selection pane="topRight"/>
    </sheetView>
  </sheetViews>
  <sheetFormatPr defaultColWidth="10.6640625" defaultRowHeight="14.25"/>
  <cols>
    <col min="2" max="2" width="10.6640625" hidden="1" customWidth="1"/>
    <col min="4" max="4" width="16.1328125" bestFit="1"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4" hidden="1" customWidth="1"/>
  </cols>
  <sheetData>
    <row r="1" spans="1:26">
      <c r="A1" t="s">
        <v>211</v>
      </c>
      <c r="B1" t="s">
        <v>212</v>
      </c>
      <c r="C1" t="s">
        <v>213</v>
      </c>
      <c r="D1" t="s">
        <v>250</v>
      </c>
      <c r="E1" t="s">
        <v>214</v>
      </c>
      <c r="F1" t="s">
        <v>215</v>
      </c>
      <c r="G1" t="s">
        <v>251</v>
      </c>
      <c r="H1" t="s">
        <v>252</v>
      </c>
      <c r="I1" t="s">
        <v>253</v>
      </c>
      <c r="J1" t="s">
        <v>254</v>
      </c>
      <c r="K1" t="s">
        <v>255</v>
      </c>
      <c r="L1" t="s">
        <v>256</v>
      </c>
      <c r="M1" t="s">
        <v>257</v>
      </c>
      <c r="N1" t="s">
        <v>258</v>
      </c>
      <c r="O1" t="s">
        <v>216</v>
      </c>
      <c r="P1" t="s">
        <v>259</v>
      </c>
      <c r="Q1" t="s">
        <v>260</v>
      </c>
      <c r="R1" t="s">
        <v>261</v>
      </c>
      <c r="S1" t="s">
        <v>262</v>
      </c>
      <c r="T1" t="s">
        <v>217</v>
      </c>
      <c r="U1" t="s">
        <v>218</v>
      </c>
      <c r="V1" t="s">
        <v>263</v>
      </c>
      <c r="W1" t="s">
        <v>219</v>
      </c>
      <c r="X1" t="s">
        <v>220</v>
      </c>
      <c r="Z1" s="13" t="s">
        <v>227</v>
      </c>
    </row>
    <row r="2" spans="1:26">
      <c r="A2" t="s">
        <v>30</v>
      </c>
      <c r="C2">
        <v>67</v>
      </c>
      <c r="D2" t="s">
        <v>158</v>
      </c>
      <c r="L2" t="s">
        <v>174</v>
      </c>
      <c r="M2" t="s">
        <v>264</v>
      </c>
      <c r="N2" t="s">
        <v>202</v>
      </c>
      <c r="O2">
        <v>2</v>
      </c>
      <c r="P2" t="s">
        <v>175</v>
      </c>
      <c r="R2" t="s">
        <v>265</v>
      </c>
      <c r="S2" t="s">
        <v>175</v>
      </c>
      <c r="V2" t="s">
        <v>327</v>
      </c>
      <c r="W2">
        <v>1</v>
      </c>
      <c r="X2">
        <v>1</v>
      </c>
      <c r="Z2" s="14" cm="1">
        <f t="array" ref="Z2">VALUE(LEFT(A2, MIN(IFERROR(FIND({"o","p"}, A2), LEN(A2)+1))-1))</f>
        <v>1</v>
      </c>
    </row>
    <row r="3" spans="1:26">
      <c r="A3" t="s">
        <v>36</v>
      </c>
      <c r="C3">
        <v>67</v>
      </c>
      <c r="G3" t="s">
        <v>178</v>
      </c>
      <c r="L3" t="s">
        <v>37</v>
      </c>
      <c r="O3">
        <v>2</v>
      </c>
      <c r="W3">
        <v>1</v>
      </c>
      <c r="X3">
        <v>2</v>
      </c>
      <c r="Z3" s="14" cm="1">
        <f t="array" ref="Z3">VALUE(LEFT(A3, MIN(IFERROR(FIND({"o","p"}, A3), LEN(A3)+1))-1))</f>
        <v>1</v>
      </c>
    </row>
    <row r="4" spans="1:26">
      <c r="A4" t="s">
        <v>38</v>
      </c>
      <c r="C4">
        <v>39</v>
      </c>
      <c r="D4" t="s">
        <v>159</v>
      </c>
      <c r="L4" t="s">
        <v>174</v>
      </c>
      <c r="M4" t="s">
        <v>244</v>
      </c>
      <c r="N4" t="s">
        <v>39</v>
      </c>
      <c r="O4">
        <v>1</v>
      </c>
      <c r="P4" t="s">
        <v>175</v>
      </c>
      <c r="R4" t="s">
        <v>328</v>
      </c>
      <c r="S4" t="s">
        <v>175</v>
      </c>
      <c r="V4" t="s">
        <v>329</v>
      </c>
      <c r="W4">
        <v>2</v>
      </c>
      <c r="X4">
        <v>1</v>
      </c>
      <c r="Z4" s="14" cm="1">
        <f t="array" ref="Z4">VALUE(LEFT(A4, MIN(IFERROR(FIND({"o","p"}, A4), LEN(A4)+1))-1))</f>
        <v>2</v>
      </c>
    </row>
    <row r="5" spans="1:26">
      <c r="A5" t="s">
        <v>40</v>
      </c>
      <c r="C5">
        <v>39</v>
      </c>
      <c r="L5" t="s">
        <v>174</v>
      </c>
      <c r="N5" t="s">
        <v>330</v>
      </c>
      <c r="O5">
        <v>1</v>
      </c>
      <c r="W5">
        <v>2</v>
      </c>
      <c r="X5">
        <v>2</v>
      </c>
      <c r="Z5" s="14" cm="1">
        <f t="array" ref="Z5">VALUE(LEFT(A5, MIN(IFERROR(FIND({"o","p"}, A5), LEN(A5)+1))-1))</f>
        <v>2</v>
      </c>
    </row>
    <row r="6" spans="1:26">
      <c r="A6" t="s">
        <v>41</v>
      </c>
      <c r="D6" t="s">
        <v>157</v>
      </c>
      <c r="E6" t="s">
        <v>165</v>
      </c>
      <c r="I6">
        <v>5</v>
      </c>
      <c r="J6">
        <v>1</v>
      </c>
      <c r="K6" t="s">
        <v>42</v>
      </c>
      <c r="L6" t="s">
        <v>174</v>
      </c>
      <c r="M6" t="s">
        <v>33</v>
      </c>
      <c r="N6" t="s">
        <v>266</v>
      </c>
      <c r="O6">
        <v>2</v>
      </c>
      <c r="S6" t="s">
        <v>331</v>
      </c>
      <c r="V6" t="s">
        <v>288</v>
      </c>
      <c r="W6">
        <v>3</v>
      </c>
      <c r="X6">
        <v>1</v>
      </c>
      <c r="Z6" s="14" cm="1">
        <f t="array" ref="Z6">VALUE(LEFT(A6, MIN(IFERROR(FIND({"o","p"}, A6), LEN(A6)+1))-1))</f>
        <v>3</v>
      </c>
    </row>
    <row r="7" spans="1:26">
      <c r="A7" t="s">
        <v>43</v>
      </c>
      <c r="C7">
        <v>52</v>
      </c>
      <c r="M7" t="s">
        <v>332</v>
      </c>
      <c r="O7">
        <v>1</v>
      </c>
      <c r="W7">
        <v>3</v>
      </c>
      <c r="X7">
        <v>2</v>
      </c>
      <c r="Z7" s="14" cm="1">
        <f t="array" ref="Z7">VALUE(LEFT(A7, MIN(IFERROR(FIND({"o","p"}, A7), LEN(A7)+1))-1))</f>
        <v>3</v>
      </c>
    </row>
    <row r="8" spans="1:26">
      <c r="A8" t="s">
        <v>44</v>
      </c>
      <c r="B8" s="21"/>
      <c r="D8" t="s">
        <v>267</v>
      </c>
      <c r="E8" t="s">
        <v>210</v>
      </c>
      <c r="G8" t="s">
        <v>333</v>
      </c>
      <c r="I8">
        <v>6</v>
      </c>
      <c r="J8">
        <v>4</v>
      </c>
      <c r="K8" t="s">
        <v>46</v>
      </c>
      <c r="L8" t="s">
        <v>174</v>
      </c>
      <c r="M8" t="s">
        <v>203</v>
      </c>
      <c r="N8" t="s">
        <v>47</v>
      </c>
      <c r="O8">
        <v>2</v>
      </c>
      <c r="S8" t="s">
        <v>231</v>
      </c>
      <c r="V8" t="s">
        <v>334</v>
      </c>
      <c r="W8">
        <v>4</v>
      </c>
      <c r="X8">
        <v>1</v>
      </c>
      <c r="Z8" s="14" cm="1">
        <f t="array" ref="Z8">VALUE(LEFT(A8, MIN(IFERROR(FIND({"o","p"}, A8), LEN(A8)+1))-1))</f>
        <v>4</v>
      </c>
    </row>
    <row r="9" spans="1:26">
      <c r="A9" t="s">
        <v>48</v>
      </c>
      <c r="C9">
        <v>61</v>
      </c>
      <c r="G9" t="s">
        <v>268</v>
      </c>
      <c r="I9">
        <v>23</v>
      </c>
      <c r="L9" t="s">
        <v>205</v>
      </c>
      <c r="N9" t="s">
        <v>269</v>
      </c>
      <c r="O9">
        <v>2</v>
      </c>
      <c r="W9">
        <v>4</v>
      </c>
      <c r="X9">
        <v>2</v>
      </c>
      <c r="Z9" s="14" cm="1">
        <f t="array" ref="Z9">VALUE(LEFT(A9, MIN(IFERROR(FIND({"o","p"}, A9), LEN(A9)+1))-1))</f>
        <v>4</v>
      </c>
    </row>
    <row r="10" spans="1:26">
      <c r="A10" t="s">
        <v>49</v>
      </c>
      <c r="C10">
        <v>34</v>
      </c>
      <c r="D10" t="s">
        <v>161</v>
      </c>
      <c r="E10" t="s">
        <v>165</v>
      </c>
      <c r="I10">
        <v>5</v>
      </c>
      <c r="J10">
        <v>1</v>
      </c>
      <c r="K10" t="s">
        <v>50</v>
      </c>
      <c r="L10" t="s">
        <v>174</v>
      </c>
      <c r="M10" t="s">
        <v>270</v>
      </c>
      <c r="N10" t="s">
        <v>271</v>
      </c>
      <c r="O10">
        <v>2</v>
      </c>
      <c r="P10" t="s">
        <v>272</v>
      </c>
      <c r="R10" t="s">
        <v>335</v>
      </c>
      <c r="S10" t="s">
        <v>273</v>
      </c>
      <c r="V10" t="s">
        <v>274</v>
      </c>
      <c r="W10">
        <v>5</v>
      </c>
      <c r="X10">
        <v>1</v>
      </c>
      <c r="Z10" s="14" cm="1">
        <f t="array" ref="Z10">VALUE(LEFT(A10, MIN(IFERROR(FIND({"o","p"}, A10), LEN(A10)+1))-1))</f>
        <v>5</v>
      </c>
    </row>
    <row r="11" spans="1:26">
      <c r="A11" t="s">
        <v>51</v>
      </c>
      <c r="C11">
        <v>34</v>
      </c>
      <c r="E11" t="s">
        <v>165</v>
      </c>
      <c r="G11" t="s">
        <v>282</v>
      </c>
      <c r="I11">
        <v>2</v>
      </c>
      <c r="J11">
        <v>1</v>
      </c>
      <c r="K11" t="s">
        <v>50</v>
      </c>
      <c r="L11" t="s">
        <v>205</v>
      </c>
      <c r="W11">
        <v>5</v>
      </c>
      <c r="X11">
        <v>1</v>
      </c>
      <c r="Z11" s="14" cm="1">
        <f t="array" ref="Z11">VALUE(LEFT(A11, MIN(IFERROR(FIND({"o","p"}, A11), LEN(A11)+1))-1))</f>
        <v>5</v>
      </c>
    </row>
    <row r="12" spans="1:26">
      <c r="A12" t="s">
        <v>52</v>
      </c>
      <c r="C12">
        <v>34</v>
      </c>
      <c r="D12" t="s">
        <v>159</v>
      </c>
      <c r="E12" t="s">
        <v>228</v>
      </c>
      <c r="I12">
        <v>16</v>
      </c>
      <c r="J12">
        <v>0</v>
      </c>
      <c r="L12" t="s">
        <v>32</v>
      </c>
      <c r="N12" t="s">
        <v>336</v>
      </c>
      <c r="O12">
        <v>1</v>
      </c>
      <c r="P12" t="s">
        <v>34</v>
      </c>
      <c r="Q12" t="s">
        <v>276</v>
      </c>
      <c r="R12" t="s">
        <v>34</v>
      </c>
      <c r="S12" t="s">
        <v>337</v>
      </c>
      <c r="W12">
        <v>5</v>
      </c>
      <c r="X12">
        <v>2</v>
      </c>
      <c r="Z12" s="14" cm="1">
        <f t="array" ref="Z12">VALUE(LEFT(A12, MIN(IFERROR(FIND({"o","p"}, A12), LEN(A12)+1))-1))</f>
        <v>5</v>
      </c>
    </row>
    <row r="13" spans="1:26">
      <c r="A13" t="s">
        <v>53</v>
      </c>
      <c r="B13" s="21"/>
      <c r="C13">
        <v>66</v>
      </c>
      <c r="L13" t="s">
        <v>114</v>
      </c>
      <c r="M13" t="s">
        <v>180</v>
      </c>
      <c r="N13" t="s">
        <v>277</v>
      </c>
      <c r="O13">
        <v>1</v>
      </c>
      <c r="R13" t="s">
        <v>34</v>
      </c>
      <c r="V13" t="s">
        <v>278</v>
      </c>
      <c r="W13">
        <v>6</v>
      </c>
      <c r="X13">
        <v>1</v>
      </c>
      <c r="Z13" s="14" cm="1">
        <f t="array" ref="Z13">VALUE(LEFT(A13, MIN(IFERROR(FIND({"o","p"}, A13), LEN(A13)+1))-1))</f>
        <v>6</v>
      </c>
    </row>
    <row r="14" spans="1:26">
      <c r="A14" t="s">
        <v>54</v>
      </c>
      <c r="C14">
        <v>66</v>
      </c>
      <c r="L14" t="s">
        <v>32</v>
      </c>
      <c r="N14" t="s">
        <v>179</v>
      </c>
      <c r="O14">
        <v>1</v>
      </c>
      <c r="P14" t="s">
        <v>34</v>
      </c>
      <c r="Q14" t="s">
        <v>338</v>
      </c>
      <c r="R14" t="s">
        <v>339</v>
      </c>
      <c r="T14" t="s">
        <v>339</v>
      </c>
      <c r="U14" t="s">
        <v>339</v>
      </c>
      <c r="V14" t="s">
        <v>339</v>
      </c>
      <c r="W14">
        <v>6</v>
      </c>
      <c r="X14">
        <v>2</v>
      </c>
      <c r="Z14" s="14" cm="1">
        <f t="array" ref="Z14">VALUE(LEFT(A14, MIN(IFERROR(FIND({"o","p"}, A14), LEN(A14)+1))-1))</f>
        <v>6</v>
      </c>
    </row>
    <row r="15" spans="1:26">
      <c r="A15" t="s">
        <v>55</v>
      </c>
      <c r="C15">
        <v>67</v>
      </c>
      <c r="D15" t="s">
        <v>157</v>
      </c>
      <c r="L15" t="s">
        <v>174</v>
      </c>
      <c r="M15" t="s">
        <v>176</v>
      </c>
      <c r="N15" t="s">
        <v>279</v>
      </c>
      <c r="O15">
        <v>2</v>
      </c>
      <c r="V15" t="s">
        <v>340</v>
      </c>
      <c r="W15">
        <v>7</v>
      </c>
      <c r="X15">
        <v>1</v>
      </c>
      <c r="Z15" s="14" cm="1">
        <f t="array" ref="Z15">VALUE(LEFT(A15, MIN(IFERROR(FIND({"o","p"}, A15), LEN(A15)+1))-1))</f>
        <v>7</v>
      </c>
    </row>
    <row r="16" spans="1:26">
      <c r="A16" t="s">
        <v>56</v>
      </c>
      <c r="C16">
        <v>67</v>
      </c>
      <c r="L16" t="s">
        <v>32</v>
      </c>
      <c r="N16" t="s">
        <v>341</v>
      </c>
      <c r="O16">
        <v>2</v>
      </c>
      <c r="W16">
        <v>7</v>
      </c>
      <c r="X16">
        <v>2</v>
      </c>
      <c r="Z16" s="14" cm="1">
        <f t="array" ref="Z16">VALUE(LEFT(A16, MIN(IFERROR(FIND({"o","p"}, A16), LEN(A16)+1))-1))</f>
        <v>7</v>
      </c>
    </row>
    <row r="17" spans="1:26">
      <c r="A17" t="s">
        <v>57</v>
      </c>
      <c r="C17">
        <v>78</v>
      </c>
      <c r="D17" t="s">
        <v>158</v>
      </c>
      <c r="L17" t="s">
        <v>174</v>
      </c>
      <c r="M17" t="s">
        <v>244</v>
      </c>
      <c r="N17" t="s">
        <v>58</v>
      </c>
      <c r="O17" t="s">
        <v>342</v>
      </c>
      <c r="P17" t="s">
        <v>175</v>
      </c>
      <c r="R17" t="s">
        <v>280</v>
      </c>
      <c r="S17" t="s">
        <v>175</v>
      </c>
      <c r="V17" t="s">
        <v>281</v>
      </c>
      <c r="W17">
        <v>8</v>
      </c>
      <c r="X17">
        <v>1</v>
      </c>
      <c r="Z17" s="14" cm="1">
        <f t="array" ref="Z17">VALUE(LEFT(A17, MIN(IFERROR(FIND({"o","p"}, A17), LEN(A17)+1))-1))</f>
        <v>8</v>
      </c>
    </row>
    <row r="18" spans="1:26">
      <c r="A18" t="s">
        <v>59</v>
      </c>
      <c r="C18">
        <v>78</v>
      </c>
      <c r="L18" t="s">
        <v>32</v>
      </c>
      <c r="N18" t="s">
        <v>99</v>
      </c>
      <c r="O18">
        <v>1</v>
      </c>
      <c r="W18">
        <v>8</v>
      </c>
      <c r="X18">
        <v>2</v>
      </c>
      <c r="Z18" s="14" cm="1">
        <f t="array" ref="Z18">VALUE(LEFT(A18, MIN(IFERROR(FIND({"o","p"}, A18), LEN(A18)+1))-1))</f>
        <v>8</v>
      </c>
    </row>
    <row r="19" spans="1:26">
      <c r="A19" t="s">
        <v>60</v>
      </c>
      <c r="B19" s="21"/>
      <c r="C19">
        <v>55</v>
      </c>
      <c r="D19" t="s">
        <v>159</v>
      </c>
      <c r="E19" t="s">
        <v>165</v>
      </c>
      <c r="G19" t="s">
        <v>282</v>
      </c>
      <c r="I19">
        <v>8</v>
      </c>
      <c r="J19">
        <v>4</v>
      </c>
      <c r="L19" t="s">
        <v>174</v>
      </c>
      <c r="M19" t="s">
        <v>203</v>
      </c>
      <c r="N19" t="s">
        <v>343</v>
      </c>
      <c r="O19">
        <v>3</v>
      </c>
      <c r="R19" t="s">
        <v>283</v>
      </c>
      <c r="S19" t="s">
        <v>175</v>
      </c>
      <c r="V19" t="s">
        <v>284</v>
      </c>
      <c r="W19">
        <v>9</v>
      </c>
      <c r="X19">
        <v>1</v>
      </c>
      <c r="Z19" s="14" cm="1">
        <f t="array" ref="Z19">VALUE(LEFT(A19, MIN(IFERROR(FIND({"o","p"}, A19), LEN(A19)+1))-1))</f>
        <v>9</v>
      </c>
    </row>
    <row r="20" spans="1:26">
      <c r="A20" t="s">
        <v>61</v>
      </c>
      <c r="C20">
        <v>55</v>
      </c>
      <c r="E20" t="s">
        <v>164</v>
      </c>
      <c r="G20" t="s">
        <v>285</v>
      </c>
      <c r="I20">
        <v>7</v>
      </c>
      <c r="L20" t="s">
        <v>205</v>
      </c>
      <c r="N20" t="s">
        <v>237</v>
      </c>
      <c r="O20">
        <v>2</v>
      </c>
      <c r="W20">
        <v>9</v>
      </c>
      <c r="X20">
        <v>2</v>
      </c>
      <c r="Z20" s="14" cm="1">
        <f t="array" ref="Z20">VALUE(LEFT(A20, MIN(IFERROR(FIND({"o","p"}, A20), LEN(A20)+1))-1))</f>
        <v>9</v>
      </c>
    </row>
    <row r="21" spans="1:26">
      <c r="A21" t="s">
        <v>62</v>
      </c>
      <c r="C21">
        <v>24</v>
      </c>
      <c r="D21" t="s">
        <v>158</v>
      </c>
      <c r="L21" t="s">
        <v>174</v>
      </c>
      <c r="M21" t="s">
        <v>203</v>
      </c>
      <c r="N21" t="s">
        <v>238</v>
      </c>
      <c r="O21">
        <v>1</v>
      </c>
      <c r="V21" t="s">
        <v>286</v>
      </c>
      <c r="W21">
        <v>10</v>
      </c>
      <c r="X21">
        <v>1</v>
      </c>
      <c r="Z21" s="14" cm="1">
        <f t="array" ref="Z21">VALUE(LEFT(A21, MIN(IFERROR(FIND({"o","p"}, A21), LEN(A21)+1))-1))</f>
        <v>10</v>
      </c>
    </row>
    <row r="22" spans="1:26">
      <c r="A22" t="s">
        <v>63</v>
      </c>
      <c r="C22">
        <v>24</v>
      </c>
      <c r="L22" t="s">
        <v>32</v>
      </c>
      <c r="N22" t="s">
        <v>344</v>
      </c>
      <c r="O22">
        <v>1</v>
      </c>
      <c r="W22">
        <v>10</v>
      </c>
      <c r="X22">
        <v>2</v>
      </c>
      <c r="Z22" s="14" cm="1">
        <f t="array" ref="Z22">VALUE(LEFT(A22, MIN(IFERROR(FIND({"o","p"}, A22), LEN(A22)+1))-1))</f>
        <v>10</v>
      </c>
    </row>
    <row r="23" spans="1:26">
      <c r="A23" t="s">
        <v>64</v>
      </c>
      <c r="C23">
        <v>70</v>
      </c>
      <c r="D23" t="s">
        <v>154</v>
      </c>
      <c r="L23" t="s">
        <v>321</v>
      </c>
      <c r="M23" t="s">
        <v>65</v>
      </c>
      <c r="N23" t="s">
        <v>287</v>
      </c>
      <c r="O23">
        <v>2</v>
      </c>
      <c r="R23" t="s">
        <v>345</v>
      </c>
      <c r="S23" t="s">
        <v>175</v>
      </c>
      <c r="V23" t="s">
        <v>230</v>
      </c>
      <c r="W23">
        <v>11</v>
      </c>
      <c r="X23">
        <v>1</v>
      </c>
      <c r="Z23" s="14" cm="1">
        <f t="array" ref="Z23">VALUE(LEFT(A23, MIN(IFERROR(FIND({"o","p"}, A23), LEN(A23)+1))-1))</f>
        <v>11</v>
      </c>
    </row>
    <row r="24" spans="1:26">
      <c r="A24" t="s">
        <v>66</v>
      </c>
      <c r="B24" s="22"/>
      <c r="C24">
        <v>70</v>
      </c>
      <c r="L24" t="s">
        <v>177</v>
      </c>
      <c r="N24" t="s">
        <v>289</v>
      </c>
      <c r="O24">
        <v>1</v>
      </c>
      <c r="P24" t="s">
        <v>346</v>
      </c>
      <c r="W24">
        <v>11</v>
      </c>
      <c r="X24">
        <v>2</v>
      </c>
      <c r="Z24" s="14" cm="1">
        <f t="array" ref="Z24">VALUE(LEFT(A24, MIN(IFERROR(FIND({"o","p"}, A24), LEN(A24)+1))-1))</f>
        <v>11</v>
      </c>
    </row>
    <row r="25" spans="1:26">
      <c r="A25" t="s">
        <v>67</v>
      </c>
      <c r="B25" s="21"/>
      <c r="C25">
        <v>67</v>
      </c>
      <c r="D25" t="s">
        <v>154</v>
      </c>
      <c r="L25" t="s">
        <v>180</v>
      </c>
      <c r="N25" t="s">
        <v>347</v>
      </c>
      <c r="O25">
        <v>2</v>
      </c>
      <c r="P25" t="s">
        <v>222</v>
      </c>
      <c r="Q25" t="s">
        <v>294</v>
      </c>
      <c r="R25" t="s">
        <v>221</v>
      </c>
      <c r="S25" t="s">
        <v>290</v>
      </c>
      <c r="V25" t="s">
        <v>291</v>
      </c>
      <c r="W25">
        <v>12</v>
      </c>
      <c r="X25">
        <v>1</v>
      </c>
      <c r="Z25" s="14" cm="1">
        <f t="array" ref="Z25">VALUE(LEFT(A25, MIN(IFERROR(FIND({"o","p"}, A25), LEN(A25)+1))-1))</f>
        <v>12</v>
      </c>
    </row>
    <row r="26" spans="1:26">
      <c r="A26" t="s">
        <v>68</v>
      </c>
      <c r="C26">
        <v>67</v>
      </c>
      <c r="L26" t="s">
        <v>348</v>
      </c>
      <c r="N26" t="s">
        <v>181</v>
      </c>
      <c r="O26">
        <v>2</v>
      </c>
      <c r="W26">
        <v>12</v>
      </c>
      <c r="X26">
        <v>2</v>
      </c>
      <c r="Z26" s="14" cm="1">
        <f t="array" ref="Z26">VALUE(LEFT(A26, MIN(IFERROR(FIND({"o","p"}, A26), LEN(A26)+1))-1))</f>
        <v>12</v>
      </c>
    </row>
    <row r="27" spans="1:26">
      <c r="A27" t="s">
        <v>69</v>
      </c>
      <c r="B27" s="21"/>
      <c r="C27">
        <v>66</v>
      </c>
      <c r="D27" t="s">
        <v>160</v>
      </c>
      <c r="E27" t="s">
        <v>292</v>
      </c>
      <c r="G27" t="s">
        <v>349</v>
      </c>
      <c r="I27">
        <v>19</v>
      </c>
      <c r="J27">
        <v>2</v>
      </c>
      <c r="K27" t="s">
        <v>293</v>
      </c>
      <c r="L27" t="s">
        <v>174</v>
      </c>
      <c r="M27" t="s">
        <v>203</v>
      </c>
      <c r="N27" t="s">
        <v>204</v>
      </c>
      <c r="O27">
        <v>2</v>
      </c>
      <c r="S27" t="s">
        <v>350</v>
      </c>
      <c r="V27" t="s">
        <v>351</v>
      </c>
      <c r="W27">
        <v>13</v>
      </c>
      <c r="X27">
        <v>1</v>
      </c>
      <c r="Z27" s="14" cm="1">
        <f t="array" ref="Z27">VALUE(LEFT(A27, MIN(IFERROR(FIND({"o","p"}, A27), LEN(A27)+1))-1))</f>
        <v>13</v>
      </c>
    </row>
    <row r="28" spans="1:26">
      <c r="A28" t="s">
        <v>71</v>
      </c>
      <c r="C28">
        <v>66</v>
      </c>
      <c r="D28" t="s">
        <v>162</v>
      </c>
      <c r="E28" t="s">
        <v>165</v>
      </c>
      <c r="G28" t="s">
        <v>352</v>
      </c>
      <c r="J28">
        <v>2</v>
      </c>
      <c r="K28" t="s">
        <v>182</v>
      </c>
      <c r="L28" t="s">
        <v>205</v>
      </c>
      <c r="N28" t="s">
        <v>353</v>
      </c>
      <c r="O28">
        <v>1</v>
      </c>
      <c r="P28" t="s">
        <v>35</v>
      </c>
      <c r="Q28" t="s">
        <v>354</v>
      </c>
      <c r="R28" t="s">
        <v>35</v>
      </c>
      <c r="S28" t="s">
        <v>355</v>
      </c>
      <c r="W28">
        <v>13</v>
      </c>
      <c r="X28">
        <v>2</v>
      </c>
      <c r="Z28" s="14" cm="1">
        <f t="array" ref="Z28">VALUE(LEFT(A28, MIN(IFERROR(FIND({"o","p"}, A28), LEN(A28)+1))-1))</f>
        <v>13</v>
      </c>
    </row>
    <row r="29" spans="1:26">
      <c r="A29" t="s">
        <v>72</v>
      </c>
      <c r="B29" s="21"/>
      <c r="C29">
        <v>51</v>
      </c>
      <c r="D29" t="s">
        <v>161</v>
      </c>
      <c r="L29" t="s">
        <v>174</v>
      </c>
      <c r="M29" t="s">
        <v>203</v>
      </c>
      <c r="N29" t="s">
        <v>73</v>
      </c>
      <c r="O29">
        <v>1</v>
      </c>
      <c r="P29" t="s">
        <v>34</v>
      </c>
      <c r="Q29" t="s">
        <v>294</v>
      </c>
      <c r="R29" t="s">
        <v>34</v>
      </c>
      <c r="S29" t="s">
        <v>356</v>
      </c>
      <c r="V29" t="s">
        <v>230</v>
      </c>
      <c r="W29">
        <v>14</v>
      </c>
      <c r="X29">
        <v>1</v>
      </c>
      <c r="Z29" s="14" cm="1">
        <f t="array" ref="Z29">VALUE(LEFT(A29, MIN(IFERROR(FIND({"o","p"}, A29), LEN(A29)+1))-1))</f>
        <v>14</v>
      </c>
    </row>
    <row r="30" spans="1:26">
      <c r="A30" t="s">
        <v>74</v>
      </c>
      <c r="C30">
        <v>51</v>
      </c>
      <c r="D30" t="s">
        <v>162</v>
      </c>
      <c r="E30" t="s">
        <v>228</v>
      </c>
      <c r="L30" t="s">
        <v>37</v>
      </c>
      <c r="M30" t="s">
        <v>205</v>
      </c>
      <c r="N30" t="s">
        <v>357</v>
      </c>
      <c r="O30">
        <v>1</v>
      </c>
      <c r="P30" t="s">
        <v>34</v>
      </c>
      <c r="R30" t="s">
        <v>34</v>
      </c>
      <c r="S30" t="s">
        <v>358</v>
      </c>
      <c r="W30">
        <v>14</v>
      </c>
      <c r="X30">
        <v>2</v>
      </c>
      <c r="Z30" s="14" cm="1">
        <f t="array" ref="Z30">VALUE(LEFT(A30, MIN(IFERROR(FIND({"o","p"}, A30), LEN(A30)+1))-1))</f>
        <v>14</v>
      </c>
    </row>
    <row r="31" spans="1:26">
      <c r="A31" t="s">
        <v>75</v>
      </c>
      <c r="C31">
        <v>64</v>
      </c>
      <c r="L31" t="s">
        <v>114</v>
      </c>
      <c r="M31" t="s">
        <v>295</v>
      </c>
      <c r="N31" t="s">
        <v>239</v>
      </c>
      <c r="O31">
        <v>1</v>
      </c>
      <c r="T31" t="s">
        <v>296</v>
      </c>
      <c r="U31" t="s">
        <v>297</v>
      </c>
      <c r="V31" t="s">
        <v>233</v>
      </c>
      <c r="W31">
        <v>15</v>
      </c>
      <c r="X31">
        <v>1</v>
      </c>
      <c r="Z31" s="14" cm="1">
        <f t="array" ref="Z31">VALUE(LEFT(A31, MIN(IFERROR(FIND({"o","p"}, A31), LEN(A31)+1))-1))</f>
        <v>15</v>
      </c>
    </row>
    <row r="32" spans="1:26">
      <c r="A32" t="s">
        <v>77</v>
      </c>
      <c r="C32">
        <v>64</v>
      </c>
      <c r="L32" t="s">
        <v>32</v>
      </c>
      <c r="W32">
        <v>15</v>
      </c>
      <c r="X32">
        <v>2</v>
      </c>
      <c r="Z32" s="14" cm="1">
        <f t="array" ref="Z32">VALUE(LEFT(A32, MIN(IFERROR(FIND({"o","p"}, A32), LEN(A32)+1))-1))</f>
        <v>15</v>
      </c>
    </row>
    <row r="33" spans="1:26">
      <c r="A33" t="s">
        <v>78</v>
      </c>
      <c r="B33" s="21"/>
      <c r="D33" t="s">
        <v>159</v>
      </c>
      <c r="L33" t="s">
        <v>174</v>
      </c>
      <c r="M33" t="s">
        <v>203</v>
      </c>
      <c r="N33" t="s">
        <v>240</v>
      </c>
      <c r="O33">
        <v>2</v>
      </c>
      <c r="P33" t="s">
        <v>223</v>
      </c>
      <c r="R33" t="s">
        <v>34</v>
      </c>
      <c r="W33">
        <v>16</v>
      </c>
      <c r="X33">
        <v>1</v>
      </c>
      <c r="Z33" s="14" cm="1">
        <f t="array" ref="Z33">VALUE(LEFT(A33, MIN(IFERROR(FIND({"o","p"}, A33), LEN(A33)+1))-1))</f>
        <v>16</v>
      </c>
    </row>
    <row r="34" spans="1:26">
      <c r="A34" t="s">
        <v>79</v>
      </c>
      <c r="C34">
        <v>43</v>
      </c>
      <c r="D34" t="s">
        <v>162</v>
      </c>
      <c r="E34" t="s">
        <v>228</v>
      </c>
      <c r="L34" t="s">
        <v>32</v>
      </c>
      <c r="N34" t="s">
        <v>298</v>
      </c>
      <c r="O34">
        <v>1</v>
      </c>
      <c r="P34" t="s">
        <v>34</v>
      </c>
      <c r="Q34" t="s">
        <v>275</v>
      </c>
      <c r="R34" t="s">
        <v>34</v>
      </c>
      <c r="S34" t="s">
        <v>359</v>
      </c>
      <c r="W34">
        <v>16</v>
      </c>
      <c r="X34">
        <v>2</v>
      </c>
      <c r="Z34" s="14" cm="1">
        <f t="array" ref="Z34">VALUE(LEFT(A34, MIN(IFERROR(FIND({"o","p"}, A34), LEN(A34)+1))-1))</f>
        <v>16</v>
      </c>
    </row>
    <row r="35" spans="1:26">
      <c r="A35" t="s">
        <v>80</v>
      </c>
      <c r="C35">
        <v>49</v>
      </c>
      <c r="D35" t="s">
        <v>158</v>
      </c>
      <c r="E35" t="s">
        <v>166</v>
      </c>
      <c r="G35" t="s">
        <v>360</v>
      </c>
      <c r="I35">
        <v>21</v>
      </c>
      <c r="J35">
        <v>5</v>
      </c>
      <c r="K35" t="s">
        <v>361</v>
      </c>
      <c r="L35" t="s">
        <v>174</v>
      </c>
      <c r="M35" t="s">
        <v>203</v>
      </c>
      <c r="N35" t="s">
        <v>81</v>
      </c>
      <c r="O35">
        <v>2</v>
      </c>
      <c r="R35" t="s">
        <v>299</v>
      </c>
      <c r="V35" t="s">
        <v>362</v>
      </c>
      <c r="W35">
        <v>17</v>
      </c>
      <c r="X35">
        <v>1</v>
      </c>
      <c r="Z35" s="14" cm="1">
        <f t="array" ref="Z35">VALUE(LEFT(A35, MIN(IFERROR(FIND({"o","p"}, A35), LEN(A35)+1))-1))</f>
        <v>17</v>
      </c>
    </row>
    <row r="36" spans="1:26">
      <c r="A36" t="s">
        <v>82</v>
      </c>
      <c r="C36">
        <v>49</v>
      </c>
      <c r="D36" t="s">
        <v>156</v>
      </c>
      <c r="E36" t="s">
        <v>163</v>
      </c>
      <c r="G36" t="s">
        <v>363</v>
      </c>
      <c r="L36" t="s">
        <v>32</v>
      </c>
      <c r="N36" t="s">
        <v>183</v>
      </c>
      <c r="O36">
        <v>1</v>
      </c>
      <c r="W36">
        <v>17</v>
      </c>
      <c r="X36">
        <v>2</v>
      </c>
      <c r="Z36" s="14" cm="1">
        <f t="array" ref="Z36">VALUE(LEFT(A36, MIN(IFERROR(FIND({"o","p"}, A36), LEN(A36)+1))-1))</f>
        <v>17</v>
      </c>
    </row>
    <row r="37" spans="1:26" ht="42.75">
      <c r="A37" t="s">
        <v>83</v>
      </c>
      <c r="B37" s="21"/>
      <c r="C37">
        <v>55</v>
      </c>
      <c r="D37" t="s">
        <v>155</v>
      </c>
      <c r="E37" t="s">
        <v>165</v>
      </c>
      <c r="G37" t="s">
        <v>241</v>
      </c>
      <c r="I37">
        <v>4</v>
      </c>
      <c r="J37">
        <v>4</v>
      </c>
      <c r="L37" t="s">
        <v>174</v>
      </c>
      <c r="M37" t="s">
        <v>203</v>
      </c>
      <c r="N37" t="s">
        <v>364</v>
      </c>
      <c r="O37">
        <v>1</v>
      </c>
      <c r="P37" t="s">
        <v>175</v>
      </c>
      <c r="R37" t="s">
        <v>300</v>
      </c>
      <c r="S37" t="s">
        <v>232</v>
      </c>
      <c r="V37" s="23" t="s">
        <v>301</v>
      </c>
      <c r="W37">
        <v>18</v>
      </c>
      <c r="X37">
        <v>1</v>
      </c>
      <c r="Z37" s="14" cm="1">
        <f t="array" ref="Z37">VALUE(LEFT(A37, MIN(IFERROR(FIND({"o","p"}, A37), LEN(A37)+1))-1))</f>
        <v>18</v>
      </c>
    </row>
    <row r="38" spans="1:26">
      <c r="A38" t="s">
        <v>84</v>
      </c>
      <c r="C38">
        <v>55</v>
      </c>
      <c r="D38" t="s">
        <v>162</v>
      </c>
      <c r="E38" t="s">
        <v>228</v>
      </c>
      <c r="L38" t="s">
        <v>32</v>
      </c>
      <c r="N38" t="s">
        <v>365</v>
      </c>
      <c r="O38">
        <v>1</v>
      </c>
      <c r="P38" t="s">
        <v>34</v>
      </c>
      <c r="Q38" t="s">
        <v>302</v>
      </c>
      <c r="S38" t="s">
        <v>366</v>
      </c>
      <c r="W38">
        <v>18</v>
      </c>
      <c r="X38">
        <v>2</v>
      </c>
      <c r="Z38" s="14" cm="1">
        <f t="array" ref="Z38">VALUE(LEFT(A38, MIN(IFERROR(FIND({"o","p"}, A38), LEN(A38)+1))-1))</f>
        <v>18</v>
      </c>
    </row>
    <row r="39" spans="1:26">
      <c r="A39" t="s">
        <v>85</v>
      </c>
      <c r="C39">
        <v>23</v>
      </c>
      <c r="I39">
        <v>1</v>
      </c>
      <c r="L39" t="s">
        <v>174</v>
      </c>
      <c r="M39" t="s">
        <v>244</v>
      </c>
      <c r="N39" t="s">
        <v>184</v>
      </c>
      <c r="O39">
        <v>1</v>
      </c>
      <c r="P39" t="s">
        <v>175</v>
      </c>
      <c r="V39" t="s">
        <v>242</v>
      </c>
      <c r="W39">
        <v>19</v>
      </c>
      <c r="X39">
        <v>1</v>
      </c>
      <c r="Z39" s="14" cm="1">
        <f t="array" ref="Z39">VALUE(LEFT(A39, MIN(IFERROR(FIND({"o","p"}, A39), LEN(A39)+1))-1))</f>
        <v>19</v>
      </c>
    </row>
    <row r="40" spans="1:26">
      <c r="A40" t="s">
        <v>86</v>
      </c>
      <c r="C40">
        <v>23</v>
      </c>
      <c r="L40" t="s">
        <v>32</v>
      </c>
      <c r="O40">
        <v>1</v>
      </c>
      <c r="W40">
        <v>19</v>
      </c>
      <c r="X40">
        <v>2</v>
      </c>
      <c r="Z40" s="14" cm="1">
        <f t="array" ref="Z40">VALUE(LEFT(A40, MIN(IFERROR(FIND({"o","p"}, A40), LEN(A40)+1))-1))</f>
        <v>19</v>
      </c>
    </row>
    <row r="41" spans="1:26">
      <c r="A41" t="s">
        <v>87</v>
      </c>
      <c r="C41">
        <v>61</v>
      </c>
      <c r="D41" t="s">
        <v>159</v>
      </c>
      <c r="E41" t="s">
        <v>165</v>
      </c>
      <c r="G41" t="s">
        <v>367</v>
      </c>
      <c r="I41">
        <v>4</v>
      </c>
      <c r="J41">
        <v>3</v>
      </c>
      <c r="L41" t="s">
        <v>368</v>
      </c>
      <c r="M41" t="s">
        <v>205</v>
      </c>
      <c r="N41" t="s">
        <v>81</v>
      </c>
      <c r="O41">
        <v>2</v>
      </c>
      <c r="P41" t="s">
        <v>34</v>
      </c>
      <c r="Q41" t="s">
        <v>369</v>
      </c>
      <c r="R41" t="s">
        <v>34</v>
      </c>
      <c r="S41" t="s">
        <v>370</v>
      </c>
      <c r="V41" t="s">
        <v>371</v>
      </c>
      <c r="W41">
        <v>20</v>
      </c>
      <c r="X41">
        <v>1</v>
      </c>
      <c r="Z41" s="14" cm="1">
        <f t="array" ref="Z41">VALUE(LEFT(A41, MIN(IFERROR(FIND({"o","p"}, A41), LEN(A41)+1))-1))</f>
        <v>20</v>
      </c>
    </row>
    <row r="42" spans="1:26">
      <c r="A42" t="s">
        <v>88</v>
      </c>
      <c r="C42">
        <v>61</v>
      </c>
      <c r="G42" t="s">
        <v>178</v>
      </c>
      <c r="L42" t="s">
        <v>309</v>
      </c>
      <c r="W42">
        <v>20</v>
      </c>
      <c r="X42">
        <v>2</v>
      </c>
      <c r="Z42" s="14" cm="1">
        <f t="array" ref="Z42">VALUE(LEFT(A42, MIN(IFERROR(FIND({"o","p"}, A42), LEN(A42)+1))-1))</f>
        <v>20</v>
      </c>
    </row>
    <row r="43" spans="1:26">
      <c r="A43" t="s">
        <v>89</v>
      </c>
      <c r="B43" s="21"/>
      <c r="C43">
        <v>51</v>
      </c>
      <c r="D43" t="s">
        <v>159</v>
      </c>
      <c r="E43" t="s">
        <v>165</v>
      </c>
      <c r="G43" t="s">
        <v>285</v>
      </c>
      <c r="I43">
        <v>7</v>
      </c>
      <c r="J43">
        <v>4</v>
      </c>
      <c r="L43" t="s">
        <v>205</v>
      </c>
      <c r="M43" t="s">
        <v>203</v>
      </c>
      <c r="N43" t="s">
        <v>303</v>
      </c>
      <c r="O43">
        <v>1</v>
      </c>
      <c r="R43" t="s">
        <v>35</v>
      </c>
      <c r="S43" t="s">
        <v>372</v>
      </c>
      <c r="V43" t="s">
        <v>373</v>
      </c>
      <c r="W43">
        <v>21</v>
      </c>
      <c r="X43">
        <v>1</v>
      </c>
      <c r="Z43" s="14" cm="1">
        <f t="array" ref="Z43">VALUE(LEFT(A43, MIN(IFERROR(FIND({"o","p"}, A43), LEN(A43)+1))-1))</f>
        <v>21</v>
      </c>
    </row>
    <row r="44" spans="1:26">
      <c r="A44" t="s">
        <v>90</v>
      </c>
      <c r="C44">
        <v>51</v>
      </c>
      <c r="L44" t="s">
        <v>32</v>
      </c>
      <c r="N44" t="s">
        <v>374</v>
      </c>
      <c r="O44">
        <v>1</v>
      </c>
      <c r="W44">
        <v>21</v>
      </c>
      <c r="X44">
        <v>2</v>
      </c>
      <c r="Z44" s="14" cm="1">
        <f t="array" ref="Z44">VALUE(LEFT(A44, MIN(IFERROR(FIND({"o","p"}, A44), LEN(A44)+1))-1))</f>
        <v>21</v>
      </c>
    </row>
    <row r="45" spans="1:26">
      <c r="A45" t="s">
        <v>91</v>
      </c>
      <c r="B45" s="21"/>
      <c r="C45">
        <v>50</v>
      </c>
      <c r="D45" t="s">
        <v>157</v>
      </c>
      <c r="E45" t="s">
        <v>228</v>
      </c>
      <c r="G45" t="s">
        <v>241</v>
      </c>
      <c r="I45">
        <v>1</v>
      </c>
      <c r="J45">
        <v>0</v>
      </c>
      <c r="L45" t="s">
        <v>174</v>
      </c>
      <c r="M45" t="s">
        <v>203</v>
      </c>
      <c r="N45" t="s">
        <v>185</v>
      </c>
      <c r="O45">
        <v>1</v>
      </c>
      <c r="P45" t="s">
        <v>175</v>
      </c>
      <c r="V45" t="s">
        <v>304</v>
      </c>
      <c r="W45">
        <v>22</v>
      </c>
      <c r="X45">
        <v>1</v>
      </c>
      <c r="Z45" s="14" cm="1">
        <f t="array" ref="Z45">VALUE(LEFT(A45, MIN(IFERROR(FIND({"o","p"}, A45), LEN(A45)+1))-1))</f>
        <v>22</v>
      </c>
    </row>
    <row r="46" spans="1:26">
      <c r="A46" t="s">
        <v>92</v>
      </c>
      <c r="C46">
        <v>50</v>
      </c>
      <c r="D46" t="s">
        <v>156</v>
      </c>
      <c r="E46" t="s">
        <v>163</v>
      </c>
      <c r="F46" t="s">
        <v>167</v>
      </c>
      <c r="L46" t="s">
        <v>32</v>
      </c>
      <c r="O46">
        <v>1</v>
      </c>
      <c r="W46">
        <v>22</v>
      </c>
      <c r="X46">
        <v>2</v>
      </c>
      <c r="Z46" s="14" cm="1">
        <f t="array" ref="Z46">VALUE(LEFT(A46, MIN(IFERROR(FIND({"o","p"}, A46), LEN(A46)+1))-1))</f>
        <v>22</v>
      </c>
    </row>
    <row r="47" spans="1:26">
      <c r="A47" t="s">
        <v>93</v>
      </c>
      <c r="B47" s="21"/>
      <c r="C47">
        <v>61</v>
      </c>
      <c r="D47" t="s">
        <v>159</v>
      </c>
      <c r="I47">
        <v>1</v>
      </c>
      <c r="L47" t="s">
        <v>174</v>
      </c>
      <c r="M47" t="s">
        <v>33</v>
      </c>
      <c r="N47" t="s">
        <v>375</v>
      </c>
      <c r="O47">
        <v>2</v>
      </c>
      <c r="S47" t="s">
        <v>376</v>
      </c>
      <c r="V47" t="s">
        <v>305</v>
      </c>
      <c r="W47">
        <v>23</v>
      </c>
      <c r="X47">
        <v>1</v>
      </c>
      <c r="Z47" s="14" cm="1">
        <f t="array" ref="Z47">VALUE(LEFT(A47, MIN(IFERROR(FIND({"o","p"}, A47), LEN(A47)+1))-1))</f>
        <v>23</v>
      </c>
    </row>
    <row r="48" spans="1:26">
      <c r="A48" t="s">
        <v>94</v>
      </c>
      <c r="C48">
        <v>61</v>
      </c>
      <c r="L48" t="s">
        <v>348</v>
      </c>
      <c r="N48" t="s">
        <v>377</v>
      </c>
      <c r="O48">
        <v>1</v>
      </c>
      <c r="W48">
        <v>23</v>
      </c>
      <c r="X48">
        <v>2</v>
      </c>
      <c r="Z48" s="14" cm="1">
        <f t="array" ref="Z48">VALUE(LEFT(A48, MIN(IFERROR(FIND({"o","p"}, A48), LEN(A48)+1))-1))</f>
        <v>23</v>
      </c>
    </row>
    <row r="49" spans="1:26">
      <c r="A49" t="s">
        <v>95</v>
      </c>
      <c r="B49" s="21"/>
      <c r="C49">
        <v>55</v>
      </c>
      <c r="D49" t="s">
        <v>155</v>
      </c>
      <c r="E49" t="s">
        <v>166</v>
      </c>
      <c r="G49" t="s">
        <v>378</v>
      </c>
      <c r="I49">
        <v>25</v>
      </c>
      <c r="J49">
        <v>18</v>
      </c>
      <c r="K49" t="s">
        <v>243</v>
      </c>
      <c r="L49" t="s">
        <v>174</v>
      </c>
      <c r="N49" t="s">
        <v>306</v>
      </c>
      <c r="O49">
        <v>3</v>
      </c>
      <c r="P49" t="s">
        <v>307</v>
      </c>
      <c r="Q49" t="s">
        <v>308</v>
      </c>
      <c r="R49" t="s">
        <v>224</v>
      </c>
      <c r="S49" t="s">
        <v>234</v>
      </c>
      <c r="V49" t="s">
        <v>187</v>
      </c>
      <c r="W49">
        <v>24</v>
      </c>
      <c r="X49">
        <v>1</v>
      </c>
      <c r="Z49" s="14" cm="1">
        <f t="array" ref="Z49">VALUE(LEFT(A49, MIN(IFERROR(FIND({"o","p"}, A49), LEN(A49)+1))-1))</f>
        <v>24</v>
      </c>
    </row>
    <row r="50" spans="1:26">
      <c r="A50" t="s">
        <v>96</v>
      </c>
      <c r="C50">
        <v>55</v>
      </c>
      <c r="E50" t="s">
        <v>164</v>
      </c>
      <c r="G50" t="s">
        <v>379</v>
      </c>
      <c r="K50" t="s">
        <v>169</v>
      </c>
      <c r="L50" t="s">
        <v>205</v>
      </c>
      <c r="N50" t="s">
        <v>169</v>
      </c>
      <c r="O50">
        <v>1</v>
      </c>
      <c r="P50" t="s">
        <v>34</v>
      </c>
      <c r="Q50" t="s">
        <v>310</v>
      </c>
      <c r="S50" t="s">
        <v>331</v>
      </c>
      <c r="W50">
        <v>24</v>
      </c>
      <c r="X50">
        <v>2</v>
      </c>
      <c r="Z50" s="14" cm="1">
        <f t="array" ref="Z50">VALUE(LEFT(A50, MIN(IFERROR(FIND({"o","p"}, A50), LEN(A50)+1))-1))</f>
        <v>24</v>
      </c>
    </row>
    <row r="51" spans="1:26">
      <c r="A51" t="s">
        <v>97</v>
      </c>
      <c r="B51" s="21"/>
      <c r="C51">
        <v>42</v>
      </c>
      <c r="D51" t="s">
        <v>158</v>
      </c>
      <c r="L51" t="s">
        <v>174</v>
      </c>
      <c r="M51" t="s">
        <v>380</v>
      </c>
      <c r="N51" t="s">
        <v>311</v>
      </c>
      <c r="O51">
        <v>1</v>
      </c>
      <c r="P51" t="s">
        <v>186</v>
      </c>
      <c r="R51" t="s">
        <v>312</v>
      </c>
      <c r="V51" t="s">
        <v>313</v>
      </c>
      <c r="W51">
        <v>25</v>
      </c>
      <c r="X51">
        <v>1</v>
      </c>
      <c r="Z51" s="14" cm="1">
        <f t="array" ref="Z51">VALUE(LEFT(A51, MIN(IFERROR(FIND({"o","p"}, A51), LEN(A51)+1))-1))</f>
        <v>25</v>
      </c>
    </row>
    <row r="52" spans="1:26">
      <c r="A52" t="s">
        <v>98</v>
      </c>
      <c r="C52">
        <v>42</v>
      </c>
      <c r="L52" t="s">
        <v>174</v>
      </c>
      <c r="N52" t="s">
        <v>99</v>
      </c>
      <c r="O52">
        <v>1</v>
      </c>
      <c r="W52">
        <v>25</v>
      </c>
      <c r="X52">
        <v>2</v>
      </c>
      <c r="Z52" s="14" cm="1">
        <f t="array" ref="Z52">VALUE(LEFT(A52, MIN(IFERROR(FIND({"o","p"}, A52), LEN(A52)+1))-1))</f>
        <v>25</v>
      </c>
    </row>
    <row r="53" spans="1:26">
      <c r="A53" t="s">
        <v>100</v>
      </c>
      <c r="C53">
        <v>73</v>
      </c>
      <c r="D53" t="s">
        <v>156</v>
      </c>
      <c r="E53" t="s">
        <v>228</v>
      </c>
      <c r="L53" t="s">
        <v>174</v>
      </c>
      <c r="M53" t="s">
        <v>203</v>
      </c>
      <c r="N53" t="s">
        <v>81</v>
      </c>
      <c r="O53">
        <v>1</v>
      </c>
      <c r="P53" t="s">
        <v>175</v>
      </c>
      <c r="R53" t="s">
        <v>316</v>
      </c>
      <c r="S53" t="s">
        <v>245</v>
      </c>
      <c r="V53" t="s">
        <v>314</v>
      </c>
      <c r="W53">
        <v>26</v>
      </c>
      <c r="X53">
        <v>1</v>
      </c>
      <c r="Z53" s="14" cm="1">
        <f t="array" ref="Z53">VALUE(LEFT(A53, MIN(IFERROR(FIND({"o","p"}, A53), LEN(A53)+1))-1))</f>
        <v>26</v>
      </c>
    </row>
    <row r="54" spans="1:26">
      <c r="A54" t="s">
        <v>101</v>
      </c>
      <c r="C54">
        <v>73</v>
      </c>
      <c r="D54" t="s">
        <v>159</v>
      </c>
      <c r="E54" t="s">
        <v>228</v>
      </c>
      <c r="L54" t="s">
        <v>205</v>
      </c>
      <c r="N54" t="s">
        <v>99</v>
      </c>
      <c r="O54">
        <v>2</v>
      </c>
      <c r="P54" t="s">
        <v>34</v>
      </c>
      <c r="Q54" t="s">
        <v>381</v>
      </c>
      <c r="R54" t="s">
        <v>34</v>
      </c>
      <c r="S54" t="s">
        <v>359</v>
      </c>
      <c r="W54">
        <v>26</v>
      </c>
      <c r="X54">
        <v>2</v>
      </c>
      <c r="Z54" s="14" cm="1">
        <f t="array" ref="Z54">VALUE(LEFT(A54, MIN(IFERROR(FIND({"o","p"}, A54), LEN(A54)+1))-1))</f>
        <v>26</v>
      </c>
    </row>
    <row r="55" spans="1:26">
      <c r="A55" t="s">
        <v>102</v>
      </c>
      <c r="C55">
        <v>39</v>
      </c>
      <c r="D55" t="s">
        <v>209</v>
      </c>
      <c r="G55" t="s">
        <v>247</v>
      </c>
      <c r="I55">
        <v>2</v>
      </c>
      <c r="J55">
        <v>1</v>
      </c>
      <c r="K55" t="s">
        <v>246</v>
      </c>
      <c r="L55" t="s">
        <v>174</v>
      </c>
      <c r="N55" t="s">
        <v>382</v>
      </c>
      <c r="O55">
        <v>3</v>
      </c>
      <c r="P55" t="s">
        <v>175</v>
      </c>
      <c r="R55" t="s">
        <v>315</v>
      </c>
      <c r="S55" t="s">
        <v>175</v>
      </c>
      <c r="V55" t="s">
        <v>383</v>
      </c>
      <c r="W55">
        <v>27</v>
      </c>
      <c r="X55">
        <v>1</v>
      </c>
      <c r="Z55" s="14" cm="1">
        <f t="array" ref="Z55">VALUE(LEFT(A55, MIN(IFERROR(FIND({"o","p"}, A55), LEN(A55)+1))-1))</f>
        <v>27</v>
      </c>
    </row>
    <row r="56" spans="1:26">
      <c r="A56" t="s">
        <v>103</v>
      </c>
      <c r="C56">
        <v>39</v>
      </c>
      <c r="L56" t="s">
        <v>384</v>
      </c>
      <c r="N56" t="s">
        <v>179</v>
      </c>
      <c r="O56">
        <v>1</v>
      </c>
      <c r="W56">
        <v>27</v>
      </c>
      <c r="X56">
        <v>2</v>
      </c>
      <c r="Z56" s="14" cm="1">
        <f t="array" ref="Z56">VALUE(LEFT(A56, MIN(IFERROR(FIND({"o","p"}, A56), LEN(A56)+1))-1))</f>
        <v>27</v>
      </c>
    </row>
    <row r="57" spans="1:26">
      <c r="A57" t="s">
        <v>104</v>
      </c>
      <c r="C57">
        <v>57</v>
      </c>
      <c r="D57" t="s">
        <v>209</v>
      </c>
      <c r="E57" t="s">
        <v>165</v>
      </c>
      <c r="G57" t="s">
        <v>247</v>
      </c>
      <c r="I57">
        <v>5</v>
      </c>
      <c r="J57">
        <v>1</v>
      </c>
      <c r="K57" t="s">
        <v>105</v>
      </c>
      <c r="L57" t="s">
        <v>174</v>
      </c>
      <c r="N57" t="s">
        <v>385</v>
      </c>
      <c r="O57">
        <v>2</v>
      </c>
      <c r="P57" t="s">
        <v>175</v>
      </c>
      <c r="S57" t="s">
        <v>175</v>
      </c>
      <c r="V57" t="s">
        <v>316</v>
      </c>
      <c r="W57">
        <v>28</v>
      </c>
      <c r="X57">
        <v>1</v>
      </c>
      <c r="Z57" s="14" cm="1">
        <f t="array" ref="Z57">VALUE(LEFT(A57, MIN(IFERROR(FIND({"o","p"}, A57), LEN(A57)+1))-1))</f>
        <v>28</v>
      </c>
    </row>
    <row r="58" spans="1:26">
      <c r="A58" t="s">
        <v>106</v>
      </c>
      <c r="C58">
        <v>57</v>
      </c>
      <c r="L58" t="s">
        <v>32</v>
      </c>
      <c r="N58" t="s">
        <v>374</v>
      </c>
      <c r="O58">
        <v>1</v>
      </c>
      <c r="W58">
        <v>28</v>
      </c>
      <c r="X58">
        <v>2</v>
      </c>
      <c r="Z58" s="14" cm="1">
        <f t="array" ref="Z58">VALUE(LEFT(A58, MIN(IFERROR(FIND({"o","p"}, A58), LEN(A58)+1))-1))</f>
        <v>28</v>
      </c>
    </row>
    <row r="59" spans="1:26">
      <c r="A59" t="s">
        <v>107</v>
      </c>
      <c r="B59" s="21"/>
      <c r="C59">
        <v>63</v>
      </c>
      <c r="D59" t="s">
        <v>157</v>
      </c>
      <c r="L59" t="s">
        <v>174</v>
      </c>
      <c r="M59" t="s">
        <v>244</v>
      </c>
      <c r="N59" t="s">
        <v>317</v>
      </c>
      <c r="O59">
        <v>1</v>
      </c>
      <c r="P59" t="s">
        <v>175</v>
      </c>
      <c r="S59" t="s">
        <v>175</v>
      </c>
      <c r="V59" t="s">
        <v>288</v>
      </c>
      <c r="W59">
        <v>29</v>
      </c>
      <c r="X59">
        <v>1</v>
      </c>
      <c r="Z59" s="14" cm="1">
        <f t="array" ref="Z59">VALUE(LEFT(A59, MIN(IFERROR(FIND({"o","p"}, A59), LEN(A59)+1))-1))</f>
        <v>29</v>
      </c>
    </row>
    <row r="60" spans="1:26">
      <c r="A60" t="s">
        <v>108</v>
      </c>
      <c r="C60">
        <v>63</v>
      </c>
      <c r="L60" t="s">
        <v>37</v>
      </c>
      <c r="W60">
        <v>29</v>
      </c>
      <c r="X60">
        <v>2</v>
      </c>
      <c r="Z60" s="14" cm="1">
        <f t="array" ref="Z60">VALUE(LEFT(A60, MIN(IFERROR(FIND({"o","p"}, A60), LEN(A60)+1))-1))</f>
        <v>29</v>
      </c>
    </row>
    <row r="61" spans="1:26">
      <c r="A61" t="s">
        <v>109</v>
      </c>
      <c r="C61">
        <v>39</v>
      </c>
      <c r="D61" t="s">
        <v>158</v>
      </c>
      <c r="E61" t="s">
        <v>165</v>
      </c>
      <c r="G61" t="s">
        <v>386</v>
      </c>
      <c r="I61">
        <v>26</v>
      </c>
      <c r="J61">
        <v>6</v>
      </c>
      <c r="K61" t="s">
        <v>188</v>
      </c>
      <c r="L61" t="s">
        <v>174</v>
      </c>
      <c r="M61" t="s">
        <v>33</v>
      </c>
      <c r="N61" t="s">
        <v>248</v>
      </c>
      <c r="O61">
        <v>3</v>
      </c>
      <c r="V61" t="s">
        <v>387</v>
      </c>
      <c r="W61">
        <v>30</v>
      </c>
      <c r="X61">
        <v>1</v>
      </c>
      <c r="Z61" s="14" cm="1">
        <f t="array" ref="Z61">VALUE(LEFT(A61, MIN(IFERROR(FIND({"o","p"}, A61), LEN(A61)+1))-1))</f>
        <v>30</v>
      </c>
    </row>
    <row r="62" spans="1:26">
      <c r="A62" t="s">
        <v>110</v>
      </c>
      <c r="C62">
        <v>39</v>
      </c>
      <c r="E62" t="s">
        <v>165</v>
      </c>
      <c r="G62" t="s">
        <v>318</v>
      </c>
      <c r="L62" t="s">
        <v>205</v>
      </c>
      <c r="O62">
        <v>1</v>
      </c>
      <c r="W62">
        <v>30</v>
      </c>
      <c r="X62">
        <v>2</v>
      </c>
      <c r="Z62" s="14" cm="1">
        <f t="array" ref="Z62">VALUE(LEFT(A62, MIN(IFERROR(FIND({"o","p"}, A62), LEN(A62)+1))-1))</f>
        <v>30</v>
      </c>
    </row>
    <row r="63" spans="1:26">
      <c r="A63" t="s">
        <v>111</v>
      </c>
      <c r="D63" t="s">
        <v>155</v>
      </c>
      <c r="E63" t="s">
        <v>166</v>
      </c>
      <c r="G63" t="s">
        <v>285</v>
      </c>
      <c r="J63">
        <v>1</v>
      </c>
      <c r="K63" t="s">
        <v>153</v>
      </c>
      <c r="L63" t="s">
        <v>205</v>
      </c>
      <c r="M63" t="s">
        <v>33</v>
      </c>
      <c r="N63" t="s">
        <v>388</v>
      </c>
      <c r="O63" t="s">
        <v>389</v>
      </c>
      <c r="P63" t="s">
        <v>34</v>
      </c>
      <c r="R63" t="s">
        <v>34</v>
      </c>
      <c r="S63" t="s">
        <v>372</v>
      </c>
      <c r="V63" t="s">
        <v>319</v>
      </c>
      <c r="W63">
        <v>31</v>
      </c>
      <c r="X63">
        <v>1</v>
      </c>
      <c r="Z63" s="14" cm="1">
        <f t="array" ref="Z63">VALUE(LEFT(A63, MIN(IFERROR(FIND({"o","p"}, A63), LEN(A63)+1))-1))</f>
        <v>31</v>
      </c>
    </row>
    <row r="64" spans="1:26">
      <c r="A64" t="s">
        <v>112</v>
      </c>
      <c r="B64" s="22"/>
      <c r="C64">
        <v>60</v>
      </c>
      <c r="L64" t="s">
        <v>32</v>
      </c>
      <c r="N64" t="s">
        <v>182</v>
      </c>
      <c r="O64">
        <v>1</v>
      </c>
      <c r="P64" t="s">
        <v>34</v>
      </c>
      <c r="Q64" t="s">
        <v>320</v>
      </c>
      <c r="R64" t="s">
        <v>34</v>
      </c>
      <c r="S64" t="s">
        <v>390</v>
      </c>
      <c r="W64">
        <v>31</v>
      </c>
      <c r="X64">
        <v>2</v>
      </c>
      <c r="Z64" s="14" cm="1">
        <f t="array" ref="Z64">VALUE(LEFT(A64, MIN(IFERROR(FIND({"o","p"}, A64), LEN(A64)+1))-1))</f>
        <v>31</v>
      </c>
    </row>
    <row r="65" spans="1:26">
      <c r="A65" t="s">
        <v>113</v>
      </c>
      <c r="B65" s="21"/>
      <c r="D65" t="s">
        <v>155</v>
      </c>
      <c r="E65" t="s">
        <v>228</v>
      </c>
      <c r="F65" t="s">
        <v>229</v>
      </c>
      <c r="L65" t="s">
        <v>321</v>
      </c>
      <c r="M65" t="s">
        <v>348</v>
      </c>
      <c r="N65" t="s">
        <v>322</v>
      </c>
      <c r="O65">
        <v>1</v>
      </c>
      <c r="P65" t="s">
        <v>206</v>
      </c>
      <c r="R65" t="s">
        <v>391</v>
      </c>
      <c r="S65" t="s">
        <v>323</v>
      </c>
      <c r="V65" t="s">
        <v>235</v>
      </c>
      <c r="W65">
        <v>32</v>
      </c>
      <c r="X65">
        <v>1</v>
      </c>
      <c r="Z65" s="14" cm="1">
        <f t="array" ref="Z65">VALUE(LEFT(A65, MIN(IFERROR(FIND({"o","p"}, A65), LEN(A65)+1))-1))</f>
        <v>32</v>
      </c>
    </row>
    <row r="66" spans="1:26">
      <c r="A66" t="s">
        <v>115</v>
      </c>
      <c r="B66" s="21"/>
      <c r="C66">
        <v>72</v>
      </c>
      <c r="G66" t="s">
        <v>282</v>
      </c>
      <c r="L66" t="s">
        <v>348</v>
      </c>
      <c r="N66" t="s">
        <v>249</v>
      </c>
      <c r="O66">
        <v>1</v>
      </c>
      <c r="W66">
        <v>32</v>
      </c>
      <c r="X66">
        <v>2</v>
      </c>
      <c r="Z66" s="14" cm="1">
        <f t="array" ref="Z66">VALUE(LEFT(A66, MIN(IFERROR(FIND({"o","p"}, A66), LEN(A66)+1))-1))</f>
        <v>32</v>
      </c>
    </row>
    <row r="67" spans="1:26">
      <c r="A67" t="s">
        <v>116</v>
      </c>
      <c r="B67" s="21"/>
      <c r="D67" t="s">
        <v>157</v>
      </c>
      <c r="L67" t="s">
        <v>32</v>
      </c>
      <c r="M67" t="s">
        <v>392</v>
      </c>
      <c r="N67" t="s">
        <v>50</v>
      </c>
      <c r="O67">
        <v>1</v>
      </c>
      <c r="R67" t="s">
        <v>324</v>
      </c>
      <c r="W67">
        <v>33</v>
      </c>
      <c r="X67">
        <v>1</v>
      </c>
      <c r="Z67" s="14" cm="1">
        <f t="array" ref="Z67">VALUE(LEFT(A67, MIN(IFERROR(FIND({"o","p"}, A67), LEN(A67)+1))-1))</f>
        <v>33</v>
      </c>
    </row>
    <row r="68" spans="1:26">
      <c r="A68" t="s">
        <v>117</v>
      </c>
      <c r="B68" s="22"/>
      <c r="C68">
        <v>41</v>
      </c>
      <c r="F68" t="s">
        <v>168</v>
      </c>
      <c r="H68" t="s">
        <v>225</v>
      </c>
      <c r="L68" t="s">
        <v>189</v>
      </c>
      <c r="W68">
        <v>33</v>
      </c>
      <c r="X68">
        <v>2</v>
      </c>
      <c r="Z68" s="14" cm="1">
        <f t="array" ref="Z68">VALUE(LEFT(A68, MIN(IFERROR(FIND({"o","p"}, A68), LEN(A68)+1))-1))</f>
        <v>33</v>
      </c>
    </row>
    <row r="69" spans="1:26" ht="42.75">
      <c r="A69" t="s">
        <v>118</v>
      </c>
      <c r="D69" t="s">
        <v>393</v>
      </c>
      <c r="E69" t="s">
        <v>163</v>
      </c>
      <c r="G69" t="s">
        <v>247</v>
      </c>
      <c r="J69">
        <v>1</v>
      </c>
      <c r="L69" t="s">
        <v>174</v>
      </c>
      <c r="M69" t="s">
        <v>325</v>
      </c>
      <c r="N69" t="s">
        <v>190</v>
      </c>
      <c r="O69">
        <v>3</v>
      </c>
      <c r="P69" t="s">
        <v>326</v>
      </c>
      <c r="Q69" t="s">
        <v>326</v>
      </c>
      <c r="S69" t="s">
        <v>394</v>
      </c>
      <c r="V69" s="23" t="s">
        <v>395</v>
      </c>
      <c r="W69">
        <v>34</v>
      </c>
      <c r="X69">
        <v>1</v>
      </c>
      <c r="Z69" s="14" cm="1">
        <f t="array" ref="Z69">VALUE(LEFT(A69, MIN(IFERROR(FIND({"o","p"}, A69), LEN(A69)+1))-1))</f>
        <v>34</v>
      </c>
    </row>
    <row r="70" spans="1:26">
      <c r="A70" t="s">
        <v>119</v>
      </c>
      <c r="B70" s="22"/>
      <c r="C70">
        <v>63</v>
      </c>
      <c r="H70" t="s">
        <v>396</v>
      </c>
      <c r="L70" t="s">
        <v>205</v>
      </c>
      <c r="N70" t="s">
        <v>191</v>
      </c>
      <c r="O70">
        <v>1</v>
      </c>
      <c r="P70" t="s">
        <v>397</v>
      </c>
      <c r="S70" t="s">
        <v>398</v>
      </c>
      <c r="W70">
        <v>34</v>
      </c>
      <c r="X70">
        <v>2</v>
      </c>
      <c r="Z70" s="14" cm="1">
        <f t="array" ref="Z70">VALUE(LEFT(A70, MIN(IFERROR(FIND({"o","p"}, A70), LEN(A70)+1))-1))</f>
        <v>34</v>
      </c>
    </row>
    <row r="71" spans="1:26">
      <c r="A71" t="s">
        <v>120</v>
      </c>
      <c r="B71" s="21"/>
      <c r="D71" t="s">
        <v>155</v>
      </c>
      <c r="E71" t="s">
        <v>166</v>
      </c>
      <c r="G71" t="s">
        <v>226</v>
      </c>
      <c r="I71">
        <v>35</v>
      </c>
      <c r="J71">
        <v>7</v>
      </c>
      <c r="K71" t="s">
        <v>399</v>
      </c>
      <c r="L71" t="s">
        <v>32</v>
      </c>
      <c r="M71" t="s">
        <v>207</v>
      </c>
      <c r="N71" t="s">
        <v>400</v>
      </c>
      <c r="O71">
        <v>3</v>
      </c>
      <c r="P71" t="s">
        <v>34</v>
      </c>
      <c r="Q71" t="s">
        <v>401</v>
      </c>
      <c r="R71" t="s">
        <v>402</v>
      </c>
      <c r="S71" t="s">
        <v>403</v>
      </c>
      <c r="V71" t="s">
        <v>404</v>
      </c>
      <c r="W71">
        <v>35</v>
      </c>
      <c r="X71">
        <v>1</v>
      </c>
      <c r="Z71" s="14" cm="1">
        <f t="array" ref="Z71">VALUE(LEFT(A71, MIN(IFERROR(FIND({"o","p"}, A71), LEN(A71)+1))-1))</f>
        <v>35</v>
      </c>
    </row>
    <row r="72" spans="1:26">
      <c r="A72" t="s">
        <v>121</v>
      </c>
      <c r="B72" s="22"/>
      <c r="C72">
        <v>62</v>
      </c>
      <c r="E72" t="s">
        <v>165</v>
      </c>
      <c r="F72" t="s">
        <v>168</v>
      </c>
      <c r="G72" t="s">
        <v>405</v>
      </c>
      <c r="H72" t="s">
        <v>192</v>
      </c>
      <c r="K72" t="s">
        <v>182</v>
      </c>
      <c r="L72" t="s">
        <v>205</v>
      </c>
      <c r="N72" t="s">
        <v>182</v>
      </c>
      <c r="O72">
        <v>1</v>
      </c>
      <c r="P72" t="s">
        <v>34</v>
      </c>
      <c r="R72" t="s">
        <v>34</v>
      </c>
      <c r="S72" t="s">
        <v>331</v>
      </c>
      <c r="W72">
        <v>35</v>
      </c>
      <c r="X72">
        <v>2</v>
      </c>
      <c r="Z72" s="14"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122</v>
      </c>
      <c r="B1" s="2" t="s">
        <v>123</v>
      </c>
    </row>
    <row r="2" spans="1:2">
      <c r="A2" s="1" t="s">
        <v>2</v>
      </c>
      <c r="B2" s="1" t="s">
        <v>124</v>
      </c>
    </row>
    <row r="3" spans="1:2">
      <c r="A3" s="1" t="s">
        <v>3</v>
      </c>
      <c r="B3" s="1" t="s">
        <v>125</v>
      </c>
    </row>
    <row r="4" spans="1:2">
      <c r="A4" s="1" t="s">
        <v>4</v>
      </c>
      <c r="B4" s="1" t="s">
        <v>126</v>
      </c>
    </row>
    <row r="5" spans="1:2">
      <c r="A5" s="1" t="s">
        <v>5</v>
      </c>
      <c r="B5" s="1" t="s">
        <v>127</v>
      </c>
    </row>
    <row r="6" spans="1:2">
      <c r="A6" s="1" t="s">
        <v>6</v>
      </c>
      <c r="B6" s="1" t="s">
        <v>128</v>
      </c>
    </row>
    <row r="7" spans="1:2">
      <c r="A7" s="1" t="s">
        <v>7</v>
      </c>
      <c r="B7" s="1" t="s">
        <v>129</v>
      </c>
    </row>
    <row r="8" spans="1:2">
      <c r="A8" s="1" t="s">
        <v>10</v>
      </c>
      <c r="B8" s="1" t="s">
        <v>130</v>
      </c>
    </row>
    <row r="9" spans="1:2">
      <c r="A9" s="1" t="s">
        <v>12</v>
      </c>
      <c r="B9" s="1" t="s">
        <v>131</v>
      </c>
    </row>
    <row r="10" spans="1:2">
      <c r="A10" s="1" t="s">
        <v>13</v>
      </c>
      <c r="B10" s="1" t="s">
        <v>132</v>
      </c>
    </row>
    <row r="11" spans="1:2">
      <c r="A11" s="1" t="s">
        <v>14</v>
      </c>
      <c r="B11" s="1" t="s">
        <v>133</v>
      </c>
    </row>
    <row r="12" spans="1:2">
      <c r="A12" s="1" t="s">
        <v>15</v>
      </c>
      <c r="B12" s="1" t="s">
        <v>134</v>
      </c>
    </row>
    <row r="13" spans="1:2">
      <c r="A13" s="1" t="s">
        <v>16</v>
      </c>
      <c r="B13" s="1" t="s">
        <v>135</v>
      </c>
    </row>
    <row r="14" spans="1:2">
      <c r="A14" s="1" t="s">
        <v>18</v>
      </c>
      <c r="B14" s="1" t="s">
        <v>136</v>
      </c>
    </row>
    <row r="15" spans="1:2">
      <c r="A15" s="1" t="s">
        <v>19</v>
      </c>
      <c r="B15" s="1" t="s">
        <v>137</v>
      </c>
    </row>
    <row r="16" spans="1:2">
      <c r="A16" s="1" t="s">
        <v>20</v>
      </c>
      <c r="B16" s="1" t="s">
        <v>138</v>
      </c>
    </row>
    <row r="17" spans="1:2">
      <c r="A17" s="1" t="s">
        <v>21</v>
      </c>
      <c r="B17" s="1" t="s">
        <v>21</v>
      </c>
    </row>
    <row r="18" spans="1:2">
      <c r="A18" s="1" t="s">
        <v>22</v>
      </c>
      <c r="B18" s="1" t="s">
        <v>139</v>
      </c>
    </row>
    <row r="19" spans="1:2">
      <c r="A19" s="1" t="s">
        <v>23</v>
      </c>
      <c r="B19" s="1" t="s">
        <v>140</v>
      </c>
    </row>
    <row r="20" spans="1:2">
      <c r="A20" s="1" t="s">
        <v>24</v>
      </c>
      <c r="B20" s="1" t="s">
        <v>141</v>
      </c>
    </row>
    <row r="21" spans="1:2">
      <c r="A21" s="1" t="s">
        <v>25</v>
      </c>
      <c r="B21" s="1" t="s">
        <v>25</v>
      </c>
    </row>
    <row r="22" spans="1:2">
      <c r="A22" s="1" t="s">
        <v>26</v>
      </c>
      <c r="B22" s="1" t="s">
        <v>142</v>
      </c>
    </row>
    <row r="23" spans="1:2">
      <c r="A23" s="1" t="s">
        <v>27</v>
      </c>
      <c r="B23" s="1" t="s">
        <v>143</v>
      </c>
    </row>
    <row r="24" spans="1:2">
      <c r="A24" s="1" t="s">
        <v>28</v>
      </c>
      <c r="B24" s="1" t="s">
        <v>144</v>
      </c>
    </row>
    <row r="25" spans="1:2">
      <c r="A25" s="2" t="s">
        <v>29</v>
      </c>
      <c r="B25" s="2" t="s">
        <v>145</v>
      </c>
    </row>
    <row r="27" spans="1:2">
      <c r="A27" s="1" t="s">
        <v>146</v>
      </c>
    </row>
    <row r="28" spans="1:2">
      <c r="A28" s="1"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rule</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2024-12-12T14:33:14Z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