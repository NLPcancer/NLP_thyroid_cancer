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Users\erich\Desktop\manuscript\manuscript version\revision\model output &amp; classification results\35 pseudo cases (validation)\qwen\"/>
    </mc:Choice>
  </mc:AlternateContent>
  <xr:revisionPtr revIDLastSave="0" documentId="13_ncr:1_{6AAACD85-FEAF-4725-AE86-7A7FE458A990}" xr6:coauthVersionLast="47" xr6:coauthVersionMax="47" xr10:uidLastSave="{00000000-0000-0000-0000-000000000000}"/>
  <bookViews>
    <workbookView xWindow="-98" yWindow="-98" windowWidth="21795" windowHeight="11625" xr2:uid="{00000000-000D-0000-FFFF-FFFF00000000}"/>
  </bookViews>
  <sheets>
    <sheet name="Classification result" sheetId="16" r:id="rId1"/>
    <sheet name="Model output" sheetId="15" r:id="rId2"/>
    <sheet name="Schema" sheetId="2" state="hidden" r:id="rId3"/>
  </sheets>
  <functionGroups builtInGroupCount="19"/>
  <definedNames>
    <definedName name="_xlnm._FilterDatabase" localSheetId="0" hidden="1">'Classification result'!$A$2:$AW$37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C3" i="16" l="1"/>
  <c r="V4" i="16" a="1"/>
  <c r="V4" i="16" s="1"/>
  <c r="Y4" i="16" s="1"/>
  <c r="V5" i="16" a="1"/>
  <c r="V5" i="16" s="1"/>
  <c r="Y5" i="16" s="1"/>
  <c r="V6" i="16" a="1"/>
  <c r="V6" i="16" s="1"/>
  <c r="Y6" i="16" s="1"/>
  <c r="V7" i="16" a="1"/>
  <c r="V7" i="16" s="1"/>
  <c r="V8" i="16" a="1"/>
  <c r="V8" i="16" s="1"/>
  <c r="V9" i="16" a="1"/>
  <c r="V9" i="16" s="1"/>
  <c r="Y9" i="16" s="1"/>
  <c r="V10" i="16" a="1"/>
  <c r="V10" i="16" s="1"/>
  <c r="Y10" i="16" s="1"/>
  <c r="V11" i="16" a="1"/>
  <c r="V11" i="16" s="1"/>
  <c r="Y11" i="16" s="1"/>
  <c r="V12" i="16" a="1"/>
  <c r="V12" i="16" s="1"/>
  <c r="Y12" i="16" s="1"/>
  <c r="V13" i="16" a="1"/>
  <c r="V13" i="16" s="1"/>
  <c r="Y13" i="16" s="1"/>
  <c r="V14" i="16" a="1"/>
  <c r="V14" i="16" s="1"/>
  <c r="V15" i="16" a="1"/>
  <c r="V15" i="16" s="1"/>
  <c r="V16" i="16" a="1"/>
  <c r="V16" i="16" s="1"/>
  <c r="V17" i="16" a="1"/>
  <c r="V17" i="16" s="1"/>
  <c r="Y17" i="16" s="1"/>
  <c r="V18" i="16" a="1"/>
  <c r="V18" i="16" s="1"/>
  <c r="V19" i="16" a="1"/>
  <c r="V19" i="16" s="1"/>
  <c r="Y19" i="16" s="1"/>
  <c r="V20" i="16" a="1"/>
  <c r="V20" i="16" s="1"/>
  <c r="Y20" i="16" s="1"/>
  <c r="V21" i="16" a="1"/>
  <c r="V21" i="16" s="1"/>
  <c r="Y21" i="16" s="1"/>
  <c r="V22" i="16" a="1"/>
  <c r="V22" i="16" s="1"/>
  <c r="V23" i="16" a="1"/>
  <c r="V23" i="16" s="1"/>
  <c r="Y23" i="16" s="1"/>
  <c r="V24" i="16" a="1"/>
  <c r="V24" i="16" s="1"/>
  <c r="Y24" i="16" s="1"/>
  <c r="V25" i="16" a="1"/>
  <c r="V25" i="16" s="1"/>
  <c r="Y25" i="16" s="1"/>
  <c r="V26" i="16" a="1"/>
  <c r="V26" i="16" s="1"/>
  <c r="V27" i="16" a="1"/>
  <c r="V27" i="16" s="1"/>
  <c r="Y27" i="16" s="1"/>
  <c r="V28" i="16" a="1"/>
  <c r="V28" i="16" s="1"/>
  <c r="Y28" i="16" s="1"/>
  <c r="V29" i="16" a="1"/>
  <c r="V29" i="16" s="1"/>
  <c r="Y29" i="16" s="1"/>
  <c r="V30" i="16" a="1"/>
  <c r="V30" i="16" s="1"/>
  <c r="Y30" i="16" s="1"/>
  <c r="V31" i="16" a="1"/>
  <c r="V31" i="16" s="1"/>
  <c r="Y31" i="16" s="1"/>
  <c r="V32" i="16" a="1"/>
  <c r="V32" i="16" s="1"/>
  <c r="Y32" i="16" s="1"/>
  <c r="V33" i="16" a="1"/>
  <c r="V33" i="16" s="1"/>
  <c r="V34" i="16" a="1"/>
  <c r="V34" i="16" s="1"/>
  <c r="V35" i="16" a="1"/>
  <c r="V35" i="16" s="1"/>
  <c r="Y35" i="16" s="1"/>
  <c r="V36" i="16" a="1"/>
  <c r="V36" i="16" s="1"/>
  <c r="V37" i="16" a="1"/>
  <c r="V37" i="16" s="1"/>
  <c r="V3" i="16" a="1"/>
  <c r="V3" i="16" s="1"/>
  <c r="Y3" i="16" s="1"/>
  <c r="X8" i="16" l="1" a="1"/>
  <c r="X8" i="16" s="1"/>
  <c r="Y8" i="16" s="1"/>
  <c r="Z3" i="15" l="1" a="1"/>
  <c r="Z3" i="15" s="1"/>
  <c r="Z4" i="15" a="1"/>
  <c r="Z4" i="15" s="1"/>
  <c r="Z5" i="15" a="1"/>
  <c r="Z5" i="15" s="1"/>
  <c r="Z6" i="15" a="1"/>
  <c r="Z6" i="15" s="1"/>
  <c r="Z7" i="15" a="1"/>
  <c r="Z7" i="15" s="1"/>
  <c r="Z8" i="15" a="1"/>
  <c r="Z8" i="15" s="1"/>
  <c r="Z9" i="15" a="1"/>
  <c r="Z9" i="15" s="1"/>
  <c r="Z10" i="15" a="1"/>
  <c r="Z10" i="15" s="1"/>
  <c r="Z11" i="15" a="1"/>
  <c r="Z11" i="15" s="1"/>
  <c r="Z12" i="15" a="1"/>
  <c r="Z12" i="15" s="1"/>
  <c r="Z13" i="15" a="1"/>
  <c r="Z13" i="15" s="1"/>
  <c r="Z14" i="15" a="1"/>
  <c r="Z14" i="15" s="1"/>
  <c r="Z15" i="15" a="1"/>
  <c r="Z15" i="15" s="1"/>
  <c r="Z16" i="15" a="1"/>
  <c r="Z16" i="15" s="1"/>
  <c r="Z17" i="15" a="1"/>
  <c r="Z17" i="15" s="1"/>
  <c r="Z18" i="15" a="1"/>
  <c r="Z18" i="15" s="1"/>
  <c r="Z19" i="15" a="1"/>
  <c r="Z19" i="15" s="1"/>
  <c r="Z20" i="15" a="1"/>
  <c r="Z20" i="15" s="1"/>
  <c r="Z21" i="15" a="1"/>
  <c r="Z21" i="15" s="1"/>
  <c r="Z22" i="15" a="1"/>
  <c r="Z22" i="15" s="1"/>
  <c r="Z23" i="15" a="1"/>
  <c r="Z23" i="15" s="1"/>
  <c r="Z24" i="15" a="1"/>
  <c r="Z24" i="15" s="1"/>
  <c r="Z25" i="15" a="1"/>
  <c r="Z25" i="15" s="1"/>
  <c r="Z26" i="15" a="1"/>
  <c r="Z26" i="15" s="1"/>
  <c r="Z27" i="15" a="1"/>
  <c r="Z27" i="15" s="1"/>
  <c r="Z28" i="15" a="1"/>
  <c r="Z28" i="15" s="1"/>
  <c r="Z29" i="15" a="1"/>
  <c r="Z29" i="15" s="1"/>
  <c r="Z30" i="15" a="1"/>
  <c r="Z30" i="15" s="1"/>
  <c r="Z31" i="15" a="1"/>
  <c r="Z31" i="15" s="1"/>
  <c r="Z32" i="15" a="1"/>
  <c r="Z32" i="15" s="1"/>
  <c r="Z33" i="15" a="1"/>
  <c r="Z33" i="15" s="1"/>
  <c r="Z34" i="15" a="1"/>
  <c r="Z34" i="15" s="1"/>
  <c r="Z35" i="15" a="1"/>
  <c r="Z35" i="15" s="1"/>
  <c r="Z36" i="15" a="1"/>
  <c r="Z36" i="15" s="1"/>
  <c r="Z37" i="15" a="1"/>
  <c r="Z37" i="15" s="1"/>
  <c r="Z38" i="15" a="1"/>
  <c r="Z38" i="15" s="1"/>
  <c r="Z39" i="15" a="1"/>
  <c r="Z39" i="15" s="1"/>
  <c r="Z40" i="15" a="1"/>
  <c r="Z40" i="15" s="1"/>
  <c r="Z41" i="15" a="1"/>
  <c r="Z41" i="15" s="1"/>
  <c r="Z42" i="15" a="1"/>
  <c r="Z42" i="15" s="1"/>
  <c r="Z43" i="15" a="1"/>
  <c r="Z43" i="15" s="1"/>
  <c r="Z44" i="15" a="1"/>
  <c r="Z44" i="15" s="1"/>
  <c r="Z45" i="15" a="1"/>
  <c r="Z45" i="15" s="1"/>
  <c r="Z46" i="15" a="1"/>
  <c r="Z46" i="15" s="1"/>
  <c r="Z47" i="15" a="1"/>
  <c r="Z47" i="15" s="1"/>
  <c r="Z48" i="15" a="1"/>
  <c r="Z48" i="15" s="1"/>
  <c r="Z49" i="15" a="1"/>
  <c r="Z49" i="15" s="1"/>
  <c r="Z50" i="15" a="1"/>
  <c r="Z50" i="15" s="1"/>
  <c r="Z51" i="15" a="1"/>
  <c r="Z51" i="15" s="1"/>
  <c r="Z52" i="15" a="1"/>
  <c r="Z52" i="15" s="1"/>
  <c r="Z53" i="15" a="1"/>
  <c r="Z53" i="15" s="1"/>
  <c r="Z54" i="15" a="1"/>
  <c r="Z54" i="15" s="1"/>
  <c r="Z55" i="15" a="1"/>
  <c r="Z55" i="15" s="1"/>
  <c r="Z56" i="15" a="1"/>
  <c r="Z56" i="15" s="1"/>
  <c r="Z57" i="15" a="1"/>
  <c r="Z57" i="15" s="1"/>
  <c r="Z58" i="15" a="1"/>
  <c r="Z58" i="15" s="1"/>
  <c r="Z59" i="15" a="1"/>
  <c r="Z59" i="15" s="1"/>
  <c r="Z60" i="15" a="1"/>
  <c r="Z60" i="15" s="1"/>
  <c r="Z61" i="15" a="1"/>
  <c r="Z61" i="15" s="1"/>
  <c r="Z62" i="15" a="1"/>
  <c r="Z62" i="15" s="1"/>
  <c r="Z63" i="15" a="1"/>
  <c r="Z63" i="15" s="1"/>
  <c r="Z64" i="15" a="1"/>
  <c r="Z64" i="15" s="1"/>
  <c r="Z65" i="15" a="1"/>
  <c r="Z65" i="15" s="1"/>
  <c r="Z66" i="15" a="1"/>
  <c r="Z66" i="15" s="1"/>
  <c r="Z67" i="15" a="1"/>
  <c r="Z67" i="15" s="1"/>
  <c r="Z68" i="15" a="1"/>
  <c r="Z68" i="15" s="1"/>
  <c r="Z69" i="15" a="1"/>
  <c r="Z69" i="15" s="1"/>
  <c r="Z70" i="15" a="1"/>
  <c r="Z70" i="15" s="1"/>
  <c r="Z71" i="15" a="1"/>
  <c r="Z71" i="15" s="1"/>
  <c r="Z72" i="15" a="1"/>
  <c r="Z72" i="15" s="1"/>
  <c r="Z2" i="15" a="1"/>
  <c r="Z2" i="15" s="1"/>
  <c r="F7" i="16" l="1" a="1"/>
  <c r="F7" i="16" s="1"/>
  <c r="F27" i="16" a="1"/>
  <c r="F27" i="16" s="1"/>
  <c r="F31" i="16" a="1"/>
  <c r="F31" i="16" s="1"/>
  <c r="F3" i="16" a="1"/>
  <c r="F3" i="16" s="1"/>
  <c r="F8" i="16" a="1"/>
  <c r="F8" i="16" s="1"/>
  <c r="F28" i="16" a="1"/>
  <c r="F28" i="16" s="1"/>
  <c r="F9" i="16" a="1"/>
  <c r="F9" i="16" s="1"/>
  <c r="F29" i="16" a="1"/>
  <c r="F29" i="16" s="1"/>
  <c r="F5" i="16" a="1"/>
  <c r="F5" i="16" s="1"/>
  <c r="F10" i="16" a="1"/>
  <c r="F10" i="16" s="1"/>
  <c r="F30" i="16" a="1"/>
  <c r="F30" i="16" s="1"/>
  <c r="F11" i="16" a="1"/>
  <c r="F11" i="16" s="1"/>
  <c r="F32" i="16" a="1"/>
  <c r="F32" i="16" s="1"/>
  <c r="F12" i="16" a="1"/>
  <c r="F12" i="16" s="1"/>
  <c r="F13" i="16" a="1"/>
  <c r="F13" i="16" s="1"/>
  <c r="F14" i="16" a="1"/>
  <c r="F14" i="16" s="1"/>
  <c r="F34" i="16" a="1"/>
  <c r="F34" i="16" s="1"/>
  <c r="F15" i="16" a="1"/>
  <c r="F15" i="16" s="1"/>
  <c r="F4" i="16" a="1"/>
  <c r="F4" i="16" s="1"/>
  <c r="F16" i="16" a="1"/>
  <c r="F16" i="16" s="1"/>
  <c r="F36" i="16" a="1"/>
  <c r="F36" i="16" s="1"/>
  <c r="F17" i="16" a="1"/>
  <c r="F17" i="16" s="1"/>
  <c r="F37" i="16" a="1"/>
  <c r="F37" i="16" s="1"/>
  <c r="F18" i="16" a="1"/>
  <c r="F18" i="16" s="1"/>
  <c r="F19" i="16" a="1"/>
  <c r="F19" i="16" s="1"/>
  <c r="F20" i="16" a="1"/>
  <c r="F20" i="16" s="1"/>
  <c r="F21" i="16" a="1"/>
  <c r="F21" i="16" s="1"/>
  <c r="F22" i="16" a="1"/>
  <c r="F22" i="16" s="1"/>
  <c r="F23" i="16" a="1"/>
  <c r="F23" i="16" s="1"/>
  <c r="F35" i="16" a="1"/>
  <c r="F35" i="16" s="1"/>
  <c r="F24" i="16" a="1"/>
  <c r="F24" i="16" s="1"/>
  <c r="F33" i="16" a="1"/>
  <c r="F33" i="16" s="1"/>
  <c r="F25" i="16" a="1"/>
  <c r="F25" i="16" s="1"/>
  <c r="F26" i="16" a="1"/>
  <c r="F26" i="16" s="1"/>
  <c r="F6" i="16" a="1"/>
  <c r="F6" i="16" s="1"/>
  <c r="K4" i="16" a="1"/>
  <c r="K4" i="16" s="1"/>
  <c r="H4" i="16" s="1" a="1"/>
  <c r="H4" i="16" s="1"/>
  <c r="K24" i="16" a="1"/>
  <c r="K24" i="16" s="1"/>
  <c r="AF8" i="16" a="1"/>
  <c r="AF8" i="16" s="1"/>
  <c r="AF27" i="16" a="1"/>
  <c r="AF27" i="16" s="1"/>
  <c r="AG11" i="16" a="1"/>
  <c r="AG11" i="16" s="1"/>
  <c r="AG31" i="16" a="1"/>
  <c r="AG31" i="16" s="1"/>
  <c r="AG13" i="16" a="1"/>
  <c r="AG13" i="16" s="1"/>
  <c r="AG34" i="16" a="1"/>
  <c r="AG34" i="16" s="1"/>
  <c r="K5" i="16" a="1"/>
  <c r="K5" i="16" s="1"/>
  <c r="H5" i="16" s="1" a="1"/>
  <c r="H5" i="16" s="1"/>
  <c r="K25" i="16" a="1"/>
  <c r="K25" i="16" s="1"/>
  <c r="H25" i="16" s="1" a="1"/>
  <c r="H25" i="16" s="1"/>
  <c r="AF28" i="16" a="1"/>
  <c r="AF28" i="16" s="1"/>
  <c r="AG12" i="16" a="1"/>
  <c r="AG12" i="16" s="1"/>
  <c r="AG32" i="16" a="1"/>
  <c r="AG32" i="16" s="1"/>
  <c r="AF29" i="16" a="1"/>
  <c r="AF29" i="16" s="1"/>
  <c r="K6" i="16" a="1"/>
  <c r="K6" i="16" s="1"/>
  <c r="H6" i="16" s="1" a="1"/>
  <c r="H6" i="16" s="1"/>
  <c r="K26" i="16" a="1"/>
  <c r="K26" i="16" s="1"/>
  <c r="AF9" i="16" a="1"/>
  <c r="AF9" i="16" s="1"/>
  <c r="AG33" i="16" a="1"/>
  <c r="AG33" i="16" s="1"/>
  <c r="K7" i="16" a="1"/>
  <c r="K7" i="16" s="1"/>
  <c r="H7" i="16" s="1" a="1"/>
  <c r="H7" i="16" s="1"/>
  <c r="K27" i="16" a="1"/>
  <c r="K27" i="16" s="1"/>
  <c r="H27" i="16" s="1" a="1"/>
  <c r="H27" i="16" s="1"/>
  <c r="AF10" i="16" a="1"/>
  <c r="AF10" i="16" s="1"/>
  <c r="AF30" i="16" a="1"/>
  <c r="AF30" i="16" s="1"/>
  <c r="AG14" i="16" a="1"/>
  <c r="AG14" i="16" s="1"/>
  <c r="K8" i="16" a="1"/>
  <c r="K8" i="16" s="1"/>
  <c r="K28" i="16" a="1"/>
  <c r="K28" i="16" s="1"/>
  <c r="H28" i="16" s="1" a="1"/>
  <c r="H28" i="16" s="1"/>
  <c r="AF11" i="16" a="1"/>
  <c r="AF11" i="16" s="1"/>
  <c r="AF31" i="16" a="1"/>
  <c r="AF31" i="16" s="1"/>
  <c r="AG15" i="16" a="1"/>
  <c r="AG15" i="16" s="1"/>
  <c r="AG35" i="16" a="1"/>
  <c r="AG35" i="16" s="1"/>
  <c r="AG16" i="16" a="1"/>
  <c r="AG16" i="16" s="1"/>
  <c r="K9" i="16" a="1"/>
  <c r="K9" i="16" s="1"/>
  <c r="K29" i="16" a="1"/>
  <c r="K29" i="16" s="1"/>
  <c r="AF12" i="16" a="1"/>
  <c r="AF12" i="16" s="1"/>
  <c r="AF32" i="16" a="1"/>
  <c r="AF32" i="16" s="1"/>
  <c r="K10" i="16" a="1"/>
  <c r="K10" i="16" s="1"/>
  <c r="H10" i="16" s="1" a="1"/>
  <c r="H10" i="16" s="1"/>
  <c r="K30" i="16" a="1"/>
  <c r="K30" i="16" s="1"/>
  <c r="H30" i="16" s="1" a="1"/>
  <c r="H30" i="16" s="1"/>
  <c r="AF13" i="16" a="1"/>
  <c r="AF13" i="16" s="1"/>
  <c r="AF33" i="16" a="1"/>
  <c r="AF33" i="16" s="1"/>
  <c r="AG17" i="16" a="1"/>
  <c r="AG17" i="16" s="1"/>
  <c r="AG37" i="16" a="1"/>
  <c r="AG37" i="16" s="1"/>
  <c r="K11" i="16" a="1"/>
  <c r="K11" i="16" s="1"/>
  <c r="K31" i="16" a="1"/>
  <c r="K31" i="16" s="1"/>
  <c r="AF14" i="16" a="1"/>
  <c r="AF14" i="16" s="1"/>
  <c r="AF34" i="16" a="1"/>
  <c r="AF34" i="16" s="1"/>
  <c r="AG18" i="16" a="1"/>
  <c r="AG18" i="16" s="1"/>
  <c r="K12" i="16" a="1"/>
  <c r="K12" i="16" s="1"/>
  <c r="K32" i="16" a="1"/>
  <c r="K32" i="16" s="1"/>
  <c r="AF15" i="16" a="1"/>
  <c r="AF15" i="16" s="1"/>
  <c r="AF35" i="16" a="1"/>
  <c r="AF35" i="16" s="1"/>
  <c r="K13" i="16" a="1"/>
  <c r="K13" i="16" s="1"/>
  <c r="K33" i="16" a="1"/>
  <c r="K33" i="16" s="1"/>
  <c r="AF16" i="16" a="1"/>
  <c r="AF16" i="16" s="1"/>
  <c r="AF36" i="16" a="1"/>
  <c r="AF36" i="16" s="1"/>
  <c r="AG20" i="16" a="1"/>
  <c r="AG20" i="16" s="1"/>
  <c r="AF3" i="16" a="1"/>
  <c r="AF3" i="16" s="1"/>
  <c r="AG19" i="16" a="1"/>
  <c r="AG19" i="16" s="1"/>
  <c r="K14" i="16" a="1"/>
  <c r="K14" i="16" s="1"/>
  <c r="K34" i="16" a="1"/>
  <c r="K34" i="16" s="1"/>
  <c r="AF17" i="16" a="1"/>
  <c r="AF17" i="16" s="1"/>
  <c r="AF37" i="16" a="1"/>
  <c r="AF37" i="16" s="1"/>
  <c r="AG21" i="16" a="1"/>
  <c r="AG21" i="16" s="1"/>
  <c r="AG23" i="16" a="1"/>
  <c r="AG23" i="16" s="1"/>
  <c r="K15" i="16" a="1"/>
  <c r="K15" i="16" s="1"/>
  <c r="K35" i="16" a="1"/>
  <c r="K35" i="16" s="1"/>
  <c r="AF18" i="16" a="1"/>
  <c r="AF18" i="16" s="1"/>
  <c r="AG22" i="16" a="1"/>
  <c r="AG22" i="16" s="1"/>
  <c r="K16" i="16" a="1"/>
  <c r="K16" i="16" s="1"/>
  <c r="K36" i="16" a="1"/>
  <c r="K36" i="16" s="1"/>
  <c r="AF19" i="16" a="1"/>
  <c r="AF19" i="16" s="1"/>
  <c r="AG3" i="16" a="1"/>
  <c r="AG3" i="16" s="1"/>
  <c r="AB3" i="16" s="1"/>
  <c r="K17" i="16" a="1"/>
  <c r="K17" i="16" s="1"/>
  <c r="H17" i="16" s="1" a="1"/>
  <c r="H17" i="16" s="1"/>
  <c r="K37" i="16" a="1"/>
  <c r="K37" i="16" s="1"/>
  <c r="H37" i="16" s="1" a="1"/>
  <c r="H37" i="16" s="1"/>
  <c r="AF20" i="16" a="1"/>
  <c r="AF20" i="16" s="1"/>
  <c r="AG4" i="16" a="1"/>
  <c r="AG4" i="16" s="1"/>
  <c r="AG24" i="16" a="1"/>
  <c r="AG24" i="16" s="1"/>
  <c r="K18" i="16" a="1"/>
  <c r="K18" i="16" s="1"/>
  <c r="H18" i="16" s="1" a="1"/>
  <c r="H18" i="16" s="1"/>
  <c r="K3" i="16" a="1"/>
  <c r="K3" i="16" s="1"/>
  <c r="AF21" i="16" a="1"/>
  <c r="AF21" i="16" s="1"/>
  <c r="AG5" i="16" a="1"/>
  <c r="AG5" i="16" s="1"/>
  <c r="AG25" i="16" a="1"/>
  <c r="AG25" i="16" s="1"/>
  <c r="K19" i="16" a="1"/>
  <c r="K19" i="16" s="1"/>
  <c r="AF22" i="16" a="1"/>
  <c r="AF22" i="16" s="1"/>
  <c r="AG6" i="16" a="1"/>
  <c r="AG6" i="16" s="1"/>
  <c r="AG26" i="16" a="1"/>
  <c r="AG26" i="16" s="1"/>
  <c r="K20" i="16" a="1"/>
  <c r="K20" i="16" s="1"/>
  <c r="AF4" i="16" a="1"/>
  <c r="AF4" i="16" s="1"/>
  <c r="AF23" i="16" a="1"/>
  <c r="AF23" i="16" s="1"/>
  <c r="AG7" i="16" a="1"/>
  <c r="AG7" i="16" s="1"/>
  <c r="AG27" i="16" a="1"/>
  <c r="AG27" i="16" s="1"/>
  <c r="AG28" i="16" a="1"/>
  <c r="AG28" i="16" s="1"/>
  <c r="K21" i="16" a="1"/>
  <c r="K21" i="16" s="1"/>
  <c r="H21" i="16" s="1" a="1"/>
  <c r="H21" i="16" s="1"/>
  <c r="AF5" i="16" a="1"/>
  <c r="AF5" i="16" s="1"/>
  <c r="AF24" i="16" a="1"/>
  <c r="AF24" i="16" s="1"/>
  <c r="AG8" i="16" a="1"/>
  <c r="AG8" i="16" s="1"/>
  <c r="K22" i="16" a="1"/>
  <c r="K22" i="16" s="1"/>
  <c r="H22" i="16" s="1" a="1"/>
  <c r="H22" i="16" s="1"/>
  <c r="AF6" i="16" a="1"/>
  <c r="AF6" i="16" s="1"/>
  <c r="AF25" i="16" a="1"/>
  <c r="AF25" i="16" s="1"/>
  <c r="AG9" i="16" a="1"/>
  <c r="AG9" i="16" s="1"/>
  <c r="AG29" i="16" a="1"/>
  <c r="AG29" i="16" s="1"/>
  <c r="K23" i="16" a="1"/>
  <c r="K23" i="16" s="1"/>
  <c r="H23" i="16" s="1" a="1"/>
  <c r="H23" i="16" s="1"/>
  <c r="AF7" i="16" a="1"/>
  <c r="AF7" i="16" s="1"/>
  <c r="AF26" i="16" a="1"/>
  <c r="AF26" i="16" s="1"/>
  <c r="AG10" i="16" a="1"/>
  <c r="AG10" i="16" s="1"/>
  <c r="AG30" i="16" a="1"/>
  <c r="AG30" i="16" s="1"/>
  <c r="AG36" i="16" a="1"/>
  <c r="AG36" i="16" s="1"/>
  <c r="E19" i="16"/>
  <c r="Z16" i="16" a="1"/>
  <c r="Z16" i="16" s="1"/>
  <c r="Q35" i="16" a="1"/>
  <c r="Q35" i="16" s="1"/>
  <c r="Q37" i="16" a="1"/>
  <c r="Q37" i="16" s="1"/>
  <c r="E9" i="16"/>
  <c r="E29" i="16"/>
  <c r="B14" i="16"/>
  <c r="B34" i="16"/>
  <c r="E20" i="16"/>
  <c r="B5" i="16"/>
  <c r="B25" i="16"/>
  <c r="E10" i="16"/>
  <c r="E30" i="16"/>
  <c r="B15" i="16"/>
  <c r="B35" i="16"/>
  <c r="E4" i="16"/>
  <c r="E24" i="16"/>
  <c r="B9" i="16"/>
  <c r="B29" i="16"/>
  <c r="E23" i="16"/>
  <c r="B8" i="16"/>
  <c r="B28" i="16"/>
  <c r="E6" i="16"/>
  <c r="E26" i="16"/>
  <c r="B11" i="16"/>
  <c r="B31" i="16"/>
  <c r="E8" i="16"/>
  <c r="E28" i="16"/>
  <c r="B13" i="16"/>
  <c r="B33" i="16"/>
  <c r="Q33" i="16" a="1"/>
  <c r="Q33" i="16" s="1"/>
  <c r="Q13" i="16" a="1"/>
  <c r="Q13" i="16" s="1"/>
  <c r="H8" i="16" a="1"/>
  <c r="H8" i="16" s="1"/>
  <c r="Z23" i="16" a="1"/>
  <c r="Z23" i="16" s="1"/>
  <c r="B30" i="16"/>
  <c r="B10" i="16"/>
  <c r="E25" i="16"/>
  <c r="E5" i="16"/>
  <c r="Q32" i="16" a="1"/>
  <c r="Q32" i="16" s="1"/>
  <c r="Q12" i="16" a="1"/>
  <c r="Q12" i="16" s="1"/>
  <c r="Z22" i="16" a="1"/>
  <c r="Z22" i="16" s="1"/>
  <c r="Q31" i="16" a="1"/>
  <c r="Q31" i="16" s="1"/>
  <c r="Q11" i="16" a="1"/>
  <c r="Q11" i="16" s="1"/>
  <c r="H26" i="16" a="1"/>
  <c r="H26" i="16" s="1"/>
  <c r="Z21" i="16" a="1"/>
  <c r="Z21" i="16" s="1"/>
  <c r="Q30" i="16" a="1"/>
  <c r="Q30" i="16" s="1"/>
  <c r="Q10" i="16" a="1"/>
  <c r="Q10" i="16" s="1"/>
  <c r="Z20" i="16" a="1"/>
  <c r="Z20" i="16" s="1"/>
  <c r="B27" i="16"/>
  <c r="B7" i="16"/>
  <c r="E22" i="16"/>
  <c r="Q29" i="16" a="1"/>
  <c r="Q29" i="16" s="1"/>
  <c r="Q9" i="16" a="1"/>
  <c r="Q9" i="16" s="1"/>
  <c r="H24" i="16" a="1"/>
  <c r="H24" i="16" s="1"/>
  <c r="Z19" i="16" a="1"/>
  <c r="Z19" i="16" s="1"/>
  <c r="B26" i="16"/>
  <c r="B6" i="16"/>
  <c r="E21" i="16"/>
  <c r="Q28" i="16" a="1"/>
  <c r="Q28" i="16" s="1"/>
  <c r="Q8" i="16" a="1"/>
  <c r="Q8" i="16" s="1"/>
  <c r="Z3" i="16" a="1"/>
  <c r="Z3" i="16" s="1"/>
  <c r="Z18" i="16" a="1"/>
  <c r="Z18" i="16" s="1"/>
  <c r="Q27" i="16" a="1"/>
  <c r="Q27" i="16" s="1"/>
  <c r="Q7" i="16" a="1"/>
  <c r="Q7" i="16" s="1"/>
  <c r="Z37" i="16" a="1"/>
  <c r="Z37" i="16" s="1"/>
  <c r="Z17" i="16" a="1"/>
  <c r="Z17" i="16" s="1"/>
  <c r="Q26" i="16" a="1"/>
  <c r="Q26" i="16" s="1"/>
  <c r="Q6" i="16" a="1"/>
  <c r="Q6" i="16" s="1"/>
  <c r="Z36" i="16" a="1"/>
  <c r="Z36" i="16" s="1"/>
  <c r="G37" i="16" a="1"/>
  <c r="G37" i="16" s="1"/>
  <c r="G25" i="16" a="1"/>
  <c r="G25" i="16" s="1"/>
  <c r="G5" i="16" a="1"/>
  <c r="G5" i="16" s="1"/>
  <c r="S12" i="16" a="1"/>
  <c r="S12" i="16" s="1"/>
  <c r="S32" i="16" a="1"/>
  <c r="S32" i="16" s="1"/>
  <c r="G24" i="16" a="1"/>
  <c r="G24" i="16" s="1"/>
  <c r="G4" i="16" a="1"/>
  <c r="G4" i="16" s="1"/>
  <c r="G41" i="16" s="1"/>
  <c r="S13" i="16" a="1"/>
  <c r="S13" i="16" s="1"/>
  <c r="S33" i="16" a="1"/>
  <c r="S33" i="16" s="1"/>
  <c r="M21" i="16"/>
  <c r="J21" i="16" s="1" a="1"/>
  <c r="J21" i="16" s="1"/>
  <c r="G36" i="16" a="1"/>
  <c r="G36" i="16" s="1"/>
  <c r="G23" i="16" a="1"/>
  <c r="G23" i="16" s="1"/>
  <c r="S14" i="16" a="1"/>
  <c r="S14" i="16" s="1"/>
  <c r="S34" i="16" a="1"/>
  <c r="S34" i="16" s="1"/>
  <c r="R18" i="16" a="1"/>
  <c r="R18" i="16" s="1"/>
  <c r="M18" i="16"/>
  <c r="J18" i="16" s="1" a="1"/>
  <c r="J18" i="16" s="1"/>
  <c r="M3" i="16"/>
  <c r="J3" i="16" s="1" a="1"/>
  <c r="J3" i="16" s="1"/>
  <c r="R21" i="16" a="1"/>
  <c r="R21" i="16" s="1"/>
  <c r="G22" i="16" a="1"/>
  <c r="G22" i="16" s="1"/>
  <c r="G3" i="16" a="1"/>
  <c r="G3" i="16" s="1"/>
  <c r="G40" i="16" s="1"/>
  <c r="S15" i="16" a="1"/>
  <c r="S15" i="16" s="1"/>
  <c r="S35" i="16" a="1"/>
  <c r="S35" i="16" s="1"/>
  <c r="M17" i="16"/>
  <c r="J17" i="16" s="1" a="1"/>
  <c r="J17" i="16" s="1"/>
  <c r="M37" i="16"/>
  <c r="J37" i="16" s="1" a="1"/>
  <c r="J37" i="16" s="1"/>
  <c r="G35" i="16" a="1"/>
  <c r="G35" i="16" s="1"/>
  <c r="G21" i="16" a="1"/>
  <c r="G21" i="16" s="1"/>
  <c r="S16" i="16" a="1"/>
  <c r="S16" i="16" s="1"/>
  <c r="S36" i="16" a="1"/>
  <c r="S36" i="16" s="1"/>
  <c r="R20" i="16" a="1"/>
  <c r="R20" i="16" s="1"/>
  <c r="G20" i="16" a="1"/>
  <c r="G20" i="16" s="1"/>
  <c r="S17" i="16" a="1"/>
  <c r="S17" i="16" s="1"/>
  <c r="S37" i="16" a="1"/>
  <c r="S37" i="16" s="1"/>
  <c r="G34" i="16" a="1"/>
  <c r="G34" i="16" s="1"/>
  <c r="G19" i="16" a="1"/>
  <c r="G19" i="16" s="1"/>
  <c r="S18" i="16" a="1"/>
  <c r="S18" i="16" s="1"/>
  <c r="S3" i="16" a="1"/>
  <c r="S3" i="16" s="1"/>
  <c r="M20" i="16"/>
  <c r="J20" i="16" s="1" a="1"/>
  <c r="J20" i="16" s="1"/>
  <c r="G18" i="16" a="1"/>
  <c r="G18" i="16" s="1"/>
  <c r="S19" i="16" a="1"/>
  <c r="S19" i="16" s="1"/>
  <c r="M11" i="16"/>
  <c r="J11" i="16" s="1" a="1"/>
  <c r="J11" i="16" s="1"/>
  <c r="R23" i="16" a="1"/>
  <c r="R23" i="16" s="1"/>
  <c r="G33" i="16" a="1"/>
  <c r="G33" i="16" s="1"/>
  <c r="G17" i="16" a="1"/>
  <c r="G17" i="16" s="1"/>
  <c r="S20" i="16" a="1"/>
  <c r="S20" i="16" s="1"/>
  <c r="R4" i="16" a="1"/>
  <c r="R4" i="16" s="1"/>
  <c r="R24" i="16" a="1"/>
  <c r="R24" i="16" s="1"/>
  <c r="G16" i="16" a="1"/>
  <c r="G16" i="16" s="1"/>
  <c r="S21" i="16" a="1"/>
  <c r="S21" i="16" s="1"/>
  <c r="R5" i="16" a="1"/>
  <c r="R5" i="16" s="1"/>
  <c r="R25" i="16" a="1"/>
  <c r="R25" i="16" s="1"/>
  <c r="G32" i="16" a="1"/>
  <c r="G32" i="16" s="1"/>
  <c r="G15" i="16" a="1"/>
  <c r="G15" i="16" s="1"/>
  <c r="S22" i="16" a="1"/>
  <c r="S22" i="16" s="1"/>
  <c r="R6" i="16" a="1"/>
  <c r="R6" i="16" s="1"/>
  <c r="R26" i="16" a="1"/>
  <c r="R26" i="16" s="1"/>
  <c r="AL26" i="16" s="1"/>
  <c r="G14" i="16" a="1"/>
  <c r="G14" i="16" s="1"/>
  <c r="S23" i="16" a="1"/>
  <c r="S23" i="16" s="1"/>
  <c r="R7" i="16" a="1"/>
  <c r="R7" i="16" s="1"/>
  <c r="R27" i="16" a="1"/>
  <c r="R27" i="16" s="1"/>
  <c r="M5" i="16"/>
  <c r="J5" i="16" s="1" a="1"/>
  <c r="J5" i="16" s="1"/>
  <c r="M25" i="16"/>
  <c r="J25" i="16" s="1" a="1"/>
  <c r="J25" i="16" s="1"/>
  <c r="M6" i="16"/>
  <c r="J6" i="16" s="1" a="1"/>
  <c r="J6" i="16" s="1"/>
  <c r="M26" i="16"/>
  <c r="J26" i="16" s="1" a="1"/>
  <c r="J26" i="16" s="1"/>
  <c r="M7" i="16"/>
  <c r="J7" i="16" s="1" a="1"/>
  <c r="J7" i="16" s="1"/>
  <c r="M27" i="16"/>
  <c r="J27" i="16" s="1" a="1"/>
  <c r="J27" i="16" s="1"/>
  <c r="S26" i="16" a="1"/>
  <c r="S26" i="16" s="1"/>
  <c r="M8" i="16"/>
  <c r="J8" i="16" s="1" a="1"/>
  <c r="J8" i="16" s="1"/>
  <c r="M28" i="16"/>
  <c r="J28" i="16" s="1" a="1"/>
  <c r="J28" i="16" s="1"/>
  <c r="R11" i="16" a="1"/>
  <c r="R11" i="16" s="1"/>
  <c r="M16" i="16"/>
  <c r="J16" i="16" s="1" a="1"/>
  <c r="J16" i="16" s="1"/>
  <c r="M36" i="16"/>
  <c r="J36" i="16" s="1" a="1"/>
  <c r="J36" i="16" s="1"/>
  <c r="R19" i="16" a="1"/>
  <c r="R19" i="16" s="1"/>
  <c r="G31" i="16" a="1"/>
  <c r="G31" i="16" s="1"/>
  <c r="G13" i="16" a="1"/>
  <c r="G13" i="16" s="1"/>
  <c r="S4" i="16" a="1"/>
  <c r="S4" i="16" s="1"/>
  <c r="S24" i="16" a="1"/>
  <c r="S24" i="16" s="1"/>
  <c r="R8" i="16" a="1"/>
  <c r="R8" i="16" s="1"/>
  <c r="R28" i="16" a="1"/>
  <c r="R28" i="16" s="1"/>
  <c r="AL28" i="16" s="1"/>
  <c r="R10" i="16" a="1"/>
  <c r="R10" i="16" s="1"/>
  <c r="R31" i="16" a="1"/>
  <c r="R31" i="16" s="1"/>
  <c r="R37" i="16" a="1"/>
  <c r="R37" i="16" s="1"/>
  <c r="G12" i="16" a="1"/>
  <c r="G12" i="16" s="1"/>
  <c r="S5" i="16" a="1"/>
  <c r="S5" i="16" s="1"/>
  <c r="S25" i="16" a="1"/>
  <c r="S25" i="16" s="1"/>
  <c r="R9" i="16" a="1"/>
  <c r="R9" i="16" s="1"/>
  <c r="R29" i="16" a="1"/>
  <c r="R29" i="16" s="1"/>
  <c r="R30" i="16" a="1"/>
  <c r="R30" i="16" s="1"/>
  <c r="M31" i="16"/>
  <c r="J31" i="16" s="1" a="1"/>
  <c r="J31" i="16" s="1"/>
  <c r="G30" i="16" a="1"/>
  <c r="G30" i="16" s="1"/>
  <c r="G11" i="16" a="1"/>
  <c r="G11" i="16" s="1"/>
  <c r="S6" i="16" a="1"/>
  <c r="S6" i="16" s="1"/>
  <c r="M9" i="16"/>
  <c r="J9" i="16" s="1" a="1"/>
  <c r="J9" i="16" s="1"/>
  <c r="M29" i="16"/>
  <c r="J29" i="16" s="1" a="1"/>
  <c r="J29" i="16" s="1"/>
  <c r="R32" i="16" a="1"/>
  <c r="R32" i="16" s="1"/>
  <c r="G10" i="16" a="1"/>
  <c r="G10" i="16" s="1"/>
  <c r="S7" i="16" a="1"/>
  <c r="S7" i="16" s="1"/>
  <c r="S27" i="16" a="1"/>
  <c r="S27" i="16" s="1"/>
  <c r="M19" i="16"/>
  <c r="J19" i="16" s="1" a="1"/>
  <c r="J19" i="16" s="1"/>
  <c r="R22" i="16" a="1"/>
  <c r="R22" i="16" s="1"/>
  <c r="G29" i="16" a="1"/>
  <c r="G29" i="16" s="1"/>
  <c r="G9" i="16" a="1"/>
  <c r="G9" i="16" s="1"/>
  <c r="S8" i="16" a="1"/>
  <c r="S8" i="16" s="1"/>
  <c r="S28" i="16" a="1"/>
  <c r="S28" i="16" s="1"/>
  <c r="R12" i="16" a="1"/>
  <c r="R12" i="16" s="1"/>
  <c r="M10" i="16"/>
  <c r="J10" i="16" s="1" a="1"/>
  <c r="J10" i="16" s="1"/>
  <c r="M30" i="16"/>
  <c r="J30" i="16" s="1" a="1"/>
  <c r="J30" i="16" s="1"/>
  <c r="R33" i="16" a="1"/>
  <c r="R33" i="16" s="1"/>
  <c r="M4" i="16"/>
  <c r="J4" i="16" s="1" a="1"/>
  <c r="J4" i="16" s="1"/>
  <c r="M24" i="16"/>
  <c r="J24" i="16" s="1" a="1"/>
  <c r="J24" i="16" s="1"/>
  <c r="G28" i="16" a="1"/>
  <c r="G28" i="16" s="1"/>
  <c r="G8" i="16" a="1"/>
  <c r="G8" i="16" s="1"/>
  <c r="S9" i="16" a="1"/>
  <c r="S9" i="16" s="1"/>
  <c r="S29" i="16" a="1"/>
  <c r="S29" i="16" s="1"/>
  <c r="R13" i="16" a="1"/>
  <c r="R13" i="16" s="1"/>
  <c r="M23" i="16"/>
  <c r="J23" i="16" s="1" a="1"/>
  <c r="J23" i="16" s="1"/>
  <c r="G27" i="16" a="1"/>
  <c r="G27" i="16" s="1"/>
  <c r="G7" i="16" a="1"/>
  <c r="G7" i="16" s="1"/>
  <c r="S10" i="16" a="1"/>
  <c r="S10" i="16" s="1"/>
  <c r="S30" i="16" a="1"/>
  <c r="S30" i="16" s="1"/>
  <c r="R14" i="16" a="1"/>
  <c r="R14" i="16" s="1"/>
  <c r="R34" i="16" a="1"/>
  <c r="R34" i="16" s="1"/>
  <c r="M12" i="16"/>
  <c r="J12" i="16" s="1" a="1"/>
  <c r="J12" i="16" s="1"/>
  <c r="M32" i="16"/>
  <c r="J32" i="16" s="1" a="1"/>
  <c r="J32" i="16" s="1"/>
  <c r="M13" i="16"/>
  <c r="J13" i="16" s="1" a="1"/>
  <c r="J13" i="16" s="1"/>
  <c r="M33" i="16"/>
  <c r="J33" i="16" s="1" a="1"/>
  <c r="J33" i="16" s="1"/>
  <c r="R16" i="16" a="1"/>
  <c r="R16" i="16" s="1"/>
  <c r="M14" i="16"/>
  <c r="J14" i="16" s="1" a="1"/>
  <c r="J14" i="16" s="1"/>
  <c r="M34" i="16"/>
  <c r="J34" i="16" s="1" a="1"/>
  <c r="J34" i="16" s="1"/>
  <c r="R17" i="16" a="1"/>
  <c r="R17" i="16" s="1"/>
  <c r="G26" i="16" a="1"/>
  <c r="G26" i="16" s="1"/>
  <c r="G6" i="16" a="1"/>
  <c r="G6" i="16" s="1"/>
  <c r="S11" i="16" a="1"/>
  <c r="S11" i="16" s="1"/>
  <c r="S31" i="16" a="1"/>
  <c r="S31" i="16" s="1"/>
  <c r="R15" i="16" a="1"/>
  <c r="R15" i="16" s="1"/>
  <c r="R35" i="16" a="1"/>
  <c r="R35" i="16" s="1"/>
  <c r="R36" i="16" a="1"/>
  <c r="R36" i="16" s="1"/>
  <c r="M15" i="16"/>
  <c r="J15" i="16" s="1" a="1"/>
  <c r="J15" i="16" s="1"/>
  <c r="M35" i="16"/>
  <c r="J35" i="16" s="1" a="1"/>
  <c r="J35" i="16" s="1"/>
  <c r="M22" i="16"/>
  <c r="J22" i="16" s="1" a="1"/>
  <c r="J22" i="16" s="1"/>
  <c r="X4" i="16" a="1"/>
  <c r="X4" i="16" s="1"/>
  <c r="X24" i="16" a="1"/>
  <c r="X24" i="16" s="1"/>
  <c r="X5" i="16" a="1"/>
  <c r="X5" i="16" s="1"/>
  <c r="X25" i="16" a="1"/>
  <c r="X25" i="16" s="1"/>
  <c r="X6" i="16" a="1"/>
  <c r="X6" i="16" s="1"/>
  <c r="X26" i="16" a="1"/>
  <c r="X26" i="16" s="1"/>
  <c r="Y26" i="16" s="1"/>
  <c r="X7" i="16" a="1"/>
  <c r="X7" i="16" s="1"/>
  <c r="Y7" i="16" s="1"/>
  <c r="X27" i="16" a="1"/>
  <c r="X27" i="16" s="1"/>
  <c r="X28" i="16" a="1"/>
  <c r="X28" i="16" s="1"/>
  <c r="X9" i="16" a="1"/>
  <c r="X9" i="16" s="1"/>
  <c r="X29" i="16" a="1"/>
  <c r="X29" i="16" s="1"/>
  <c r="X10" i="16" a="1"/>
  <c r="X10" i="16" s="1"/>
  <c r="X30" i="16" a="1"/>
  <c r="X30" i="16" s="1"/>
  <c r="X11" i="16" a="1"/>
  <c r="X11" i="16" s="1"/>
  <c r="X31" i="16" a="1"/>
  <c r="X31" i="16" s="1"/>
  <c r="X12" i="16" a="1"/>
  <c r="X12" i="16" s="1"/>
  <c r="X32" i="16" a="1"/>
  <c r="X32" i="16" s="1"/>
  <c r="X13" i="16" a="1"/>
  <c r="X13" i="16" s="1"/>
  <c r="X33" i="16" a="1"/>
  <c r="X33" i="16" s="1"/>
  <c r="Y33" i="16" s="1"/>
  <c r="X14" i="16" a="1"/>
  <c r="X14" i="16" s="1"/>
  <c r="Y14" i="16" s="1"/>
  <c r="X34" i="16" a="1"/>
  <c r="X34" i="16" s="1"/>
  <c r="Y34" i="16" s="1"/>
  <c r="X15" i="16" a="1"/>
  <c r="X15" i="16" s="1"/>
  <c r="Y15" i="16" s="1"/>
  <c r="X35" i="16" a="1"/>
  <c r="X35" i="16" s="1"/>
  <c r="X16" i="16" a="1"/>
  <c r="X16" i="16" s="1"/>
  <c r="Y16" i="16" s="1"/>
  <c r="X36" i="16" a="1"/>
  <c r="X36" i="16" s="1"/>
  <c r="Y36" i="16" s="1"/>
  <c r="X17" i="16" a="1"/>
  <c r="X17" i="16" s="1"/>
  <c r="X37" i="16" a="1"/>
  <c r="X37" i="16" s="1"/>
  <c r="Y37" i="16" s="1"/>
  <c r="X18" i="16" a="1"/>
  <c r="X18" i="16" s="1"/>
  <c r="Y18" i="16" s="1"/>
  <c r="X3" i="16" a="1"/>
  <c r="X3" i="16" s="1"/>
  <c r="X19" i="16" a="1"/>
  <c r="X19" i="16" s="1"/>
  <c r="X20" i="16" a="1"/>
  <c r="X20" i="16" s="1"/>
  <c r="X21" i="16" a="1"/>
  <c r="X21" i="16" s="1"/>
  <c r="X22" i="16" a="1"/>
  <c r="X22" i="16" s="1"/>
  <c r="Y22" i="16" s="1"/>
  <c r="X23" i="16" a="1"/>
  <c r="X23" i="16" s="1"/>
  <c r="B23" i="16"/>
  <c r="E3" i="16"/>
  <c r="E18" i="16"/>
  <c r="Q5" i="16" a="1"/>
  <c r="Q5" i="16" s="1"/>
  <c r="H20" i="16" a="1"/>
  <c r="H20" i="16" s="1"/>
  <c r="Z35" i="16" a="1"/>
  <c r="Z35" i="16" s="1"/>
  <c r="Z15" i="16" a="1"/>
  <c r="Z15" i="16" s="1"/>
  <c r="Q25" i="16" a="1"/>
  <c r="Q25" i="16" s="1"/>
  <c r="B22" i="16"/>
  <c r="E37" i="16"/>
  <c r="E17" i="16"/>
  <c r="Q24" i="16" a="1"/>
  <c r="Q24" i="16" s="1"/>
  <c r="Q4" i="16" a="1"/>
  <c r="Q4" i="16" s="1"/>
  <c r="H19" i="16" a="1"/>
  <c r="H19" i="16" s="1"/>
  <c r="Z34" i="16" a="1"/>
  <c r="Z34" i="16" s="1"/>
  <c r="Z14" i="16" a="1"/>
  <c r="Z14" i="16" s="1"/>
  <c r="Q23" i="16" a="1"/>
  <c r="Q23" i="16" s="1"/>
  <c r="H3" i="16" a="1"/>
  <c r="H3" i="16" s="1"/>
  <c r="Z33" i="16" a="1"/>
  <c r="Z33" i="16" s="1"/>
  <c r="Z13" i="16" a="1"/>
  <c r="Z13" i="16" s="1"/>
  <c r="Q22" i="16" a="1"/>
  <c r="Q22" i="16" s="1"/>
  <c r="Z32" i="16" a="1"/>
  <c r="Z32" i="16" s="1"/>
  <c r="Z12" i="16" a="1"/>
  <c r="Z12" i="16" s="1"/>
  <c r="B21" i="16"/>
  <c r="E36" i="16"/>
  <c r="E16" i="16"/>
  <c r="B19" i="16"/>
  <c r="E34" i="16"/>
  <c r="E14" i="16"/>
  <c r="Q21" i="16" a="1"/>
  <c r="Q21" i="16" s="1"/>
  <c r="H36" i="16" a="1"/>
  <c r="H36" i="16" s="1"/>
  <c r="H16" i="16" a="1"/>
  <c r="H16" i="16" s="1"/>
  <c r="Z31" i="16" a="1"/>
  <c r="Z31" i="16" s="1"/>
  <c r="Z11" i="16" a="1"/>
  <c r="Z11" i="16" s="1"/>
  <c r="B20" i="16"/>
  <c r="E35" i="16"/>
  <c r="E15" i="16"/>
  <c r="B3" i="16"/>
  <c r="B18" i="16"/>
  <c r="E33" i="16"/>
  <c r="E13" i="16"/>
  <c r="Q20" i="16" a="1"/>
  <c r="Q20" i="16" s="1"/>
  <c r="H35" i="16" a="1"/>
  <c r="H35" i="16" s="1"/>
  <c r="H15" i="16" a="1"/>
  <c r="H15" i="16" s="1"/>
  <c r="Z30" i="16" a="1"/>
  <c r="Z30" i="16" s="1"/>
  <c r="Z10" i="16" a="1"/>
  <c r="Z10" i="16" s="1"/>
  <c r="B24" i="16"/>
  <c r="B4" i="16"/>
  <c r="B37" i="16"/>
  <c r="B17" i="16"/>
  <c r="E32" i="16"/>
  <c r="E12" i="16"/>
  <c r="Q19" i="16" a="1"/>
  <c r="Q19" i="16" s="1"/>
  <c r="H34" i="16" a="1"/>
  <c r="H34" i="16" s="1"/>
  <c r="H14" i="16" a="1"/>
  <c r="H14" i="16" s="1"/>
  <c r="Z29" i="16" a="1"/>
  <c r="Z29" i="16" s="1"/>
  <c r="Z9" i="16" a="1"/>
  <c r="Z9" i="16" s="1"/>
  <c r="B36" i="16"/>
  <c r="B16" i="16"/>
  <c r="E31" i="16"/>
  <c r="E11" i="16"/>
  <c r="Q3" i="16" a="1"/>
  <c r="Q3" i="16" s="1"/>
  <c r="Q18" i="16" a="1"/>
  <c r="Q18" i="16" s="1"/>
  <c r="H33" i="16" a="1"/>
  <c r="H33" i="16" s="1"/>
  <c r="H13" i="16" a="1"/>
  <c r="H13" i="16" s="1"/>
  <c r="Z28" i="16" a="1"/>
  <c r="Z28" i="16" s="1"/>
  <c r="Z8" i="16" a="1"/>
  <c r="Z8" i="16" s="1"/>
  <c r="Q17" i="16" a="1"/>
  <c r="Q17" i="16" s="1"/>
  <c r="H32" i="16" a="1"/>
  <c r="H32" i="16" s="1"/>
  <c r="H12" i="16" a="1"/>
  <c r="H12" i="16" s="1"/>
  <c r="Z27" i="16" a="1"/>
  <c r="Z27" i="16" s="1"/>
  <c r="Z7" i="16" a="1"/>
  <c r="Z7" i="16" s="1"/>
  <c r="Q36" i="16" a="1"/>
  <c r="Q36" i="16" s="1"/>
  <c r="Q16" i="16" a="1"/>
  <c r="Q16" i="16" s="1"/>
  <c r="H31" i="16" a="1"/>
  <c r="H31" i="16" s="1"/>
  <c r="H11" i="16" a="1"/>
  <c r="H11" i="16" s="1"/>
  <c r="Z26" i="16" a="1"/>
  <c r="Z26" i="16" s="1"/>
  <c r="Z6" i="16" a="1"/>
  <c r="Z6" i="16" s="1"/>
  <c r="Q15" i="16" a="1"/>
  <c r="Q15" i="16" s="1"/>
  <c r="Z25" i="16" a="1"/>
  <c r="Z25" i="16" s="1"/>
  <c r="Z5" i="16" a="1"/>
  <c r="Z5" i="16" s="1"/>
  <c r="B32" i="16"/>
  <c r="B12" i="16"/>
  <c r="E27" i="16"/>
  <c r="E7" i="16"/>
  <c r="Q34" i="16" a="1"/>
  <c r="Q34" i="16" s="1"/>
  <c r="Q14" i="16" a="1"/>
  <c r="Q14" i="16" s="1"/>
  <c r="H29" i="16" a="1"/>
  <c r="H29" i="16" s="1"/>
  <c r="H9" i="16" a="1"/>
  <c r="H9" i="16" s="1"/>
  <c r="Z24" i="16" a="1"/>
  <c r="Z24" i="16" s="1"/>
  <c r="Z4" i="16" a="1"/>
  <c r="Z4" i="16" s="1"/>
  <c r="AL32" i="16"/>
  <c r="T29" i="16" a="1"/>
  <c r="T32" i="16" a="1"/>
  <c r="N21" i="16" a="1"/>
  <c r="T35" i="16" a="1"/>
  <c r="N26" i="16" a="1"/>
  <c r="T21" i="16" a="1"/>
  <c r="N14" i="16" a="1"/>
  <c r="T23" i="16" a="1"/>
  <c r="N7" i="16" a="1"/>
  <c r="T8" i="16" a="1"/>
  <c r="N17" i="16" a="1"/>
  <c r="N25" i="16" a="1"/>
  <c r="T7" i="16" a="1"/>
  <c r="T12" i="16" a="1"/>
  <c r="T26" i="16" a="1"/>
  <c r="N13" i="16" a="1"/>
  <c r="T30" i="16" a="1"/>
  <c r="N23" i="16" a="1"/>
  <c r="N9" i="16" a="1"/>
  <c r="N8" i="16" a="1"/>
  <c r="T22" i="16" a="1"/>
  <c r="T15" i="16" a="1"/>
  <c r="N10" i="16" a="1"/>
  <c r="N31" i="16" a="1"/>
  <c r="T5" i="16" a="1"/>
  <c r="N12" i="16" a="1"/>
  <c r="T37" i="16" a="1"/>
  <c r="N6" i="16" a="1"/>
  <c r="N36" i="16" a="1"/>
  <c r="T11" i="16" a="1"/>
  <c r="T9" i="16" a="1"/>
  <c r="N34" i="16" a="1"/>
  <c r="T27" i="16" a="1"/>
  <c r="T28" i="16" a="1"/>
  <c r="N18" i="16" a="1"/>
  <c r="N4" i="16" a="1"/>
  <c r="T19" i="16" a="1"/>
  <c r="N30" i="16" a="1"/>
  <c r="T36" i="16" a="1"/>
  <c r="T6" i="16" a="1"/>
  <c r="T4" i="16" a="1"/>
  <c r="T20" i="16" a="1"/>
  <c r="N5" i="16" a="1"/>
  <c r="N29" i="16" a="1"/>
  <c r="T17" i="16" a="1"/>
  <c r="T31" i="16" a="1"/>
  <c r="N24" i="16" a="1"/>
  <c r="T16" i="16" a="1"/>
  <c r="T34" i="16" a="1"/>
  <c r="N3" i="16" a="1"/>
  <c r="N15" i="16" a="1"/>
  <c r="N19" i="16" a="1"/>
  <c r="T33" i="16" a="1"/>
  <c r="T18" i="16" a="1"/>
  <c r="T25" i="16" a="1"/>
  <c r="N22" i="16" a="1"/>
  <c r="T14" i="16" a="1"/>
  <c r="N35" i="16" a="1"/>
  <c r="N11" i="16" a="1"/>
  <c r="N28" i="16" a="1"/>
  <c r="T10" i="16" a="1"/>
  <c r="T24" i="16" a="1"/>
  <c r="T13" i="16" a="1"/>
  <c r="N32" i="16" a="1"/>
  <c r="N37" i="16" a="1"/>
  <c r="N33" i="16" a="1"/>
  <c r="T3" i="16" a="1"/>
  <c r="N20" i="16" a="1"/>
  <c r="N27" i="16" a="1"/>
  <c r="N16" i="16" a="1"/>
  <c r="AL24" i="16" l="1"/>
  <c r="AJ28" i="16"/>
  <c r="AE18" i="16"/>
  <c r="AA18" i="16"/>
  <c r="AE34" i="16"/>
  <c r="AA34" i="16"/>
  <c r="AE27" i="16"/>
  <c r="AA27" i="16"/>
  <c r="AE14" i="16"/>
  <c r="AA14" i="16"/>
  <c r="AE8" i="16"/>
  <c r="AA8" i="16"/>
  <c r="AJ16" i="16"/>
  <c r="AA26" i="16"/>
  <c r="AE26" i="16"/>
  <c r="AJ26" i="16" s="1"/>
  <c r="AM26" i="16" s="1"/>
  <c r="AE22" i="16"/>
  <c r="AA22" i="16"/>
  <c r="AE30" i="16"/>
  <c r="AA30" i="16"/>
  <c r="AE7" i="16"/>
  <c r="AA7" i="16"/>
  <c r="AE10" i="16"/>
  <c r="AA10" i="16"/>
  <c r="AE37" i="16"/>
  <c r="AJ37" i="16" s="1"/>
  <c r="AA37" i="16"/>
  <c r="AE17" i="16"/>
  <c r="AA17" i="16"/>
  <c r="AE21" i="16"/>
  <c r="AA21" i="16"/>
  <c r="AE33" i="16"/>
  <c r="AA33" i="16"/>
  <c r="AA25" i="16"/>
  <c r="AE25" i="16"/>
  <c r="AE13" i="16"/>
  <c r="AA13" i="16"/>
  <c r="AE9" i="16"/>
  <c r="AA9" i="16"/>
  <c r="AA6" i="16"/>
  <c r="AE6" i="16"/>
  <c r="AE3" i="16"/>
  <c r="AA3" i="16"/>
  <c r="AE32" i="16"/>
  <c r="AA32" i="16"/>
  <c r="AE29" i="16"/>
  <c r="AA29" i="16"/>
  <c r="AA24" i="16"/>
  <c r="AE24" i="16"/>
  <c r="AE20" i="16"/>
  <c r="AJ20" i="16" s="1"/>
  <c r="AA20" i="16"/>
  <c r="AE36" i="16"/>
  <c r="AJ36" i="16" s="1"/>
  <c r="AA36" i="16"/>
  <c r="AE12" i="16"/>
  <c r="AA12" i="16"/>
  <c r="AA5" i="16"/>
  <c r="AE5" i="16"/>
  <c r="AE16" i="16"/>
  <c r="AA16" i="16"/>
  <c r="AJ18" i="16"/>
  <c r="AE28" i="16"/>
  <c r="AA28" i="16"/>
  <c r="AL27" i="16"/>
  <c r="AM27" i="16" s="1"/>
  <c r="AE19" i="16"/>
  <c r="AA19" i="16"/>
  <c r="AE35" i="16"/>
  <c r="AA35" i="16"/>
  <c r="AE15" i="16"/>
  <c r="AA15" i="16"/>
  <c r="AJ17" i="16"/>
  <c r="AI17" i="16"/>
  <c r="AJ34" i="16"/>
  <c r="AJ7" i="16"/>
  <c r="AJ15" i="16"/>
  <c r="AE23" i="16"/>
  <c r="AJ23" i="16" s="1"/>
  <c r="AA23" i="16"/>
  <c r="AE31" i="16"/>
  <c r="AA31" i="16"/>
  <c r="AA4" i="16"/>
  <c r="AE4" i="16"/>
  <c r="AE11" i="16"/>
  <c r="AA11" i="16"/>
  <c r="AL6" i="16"/>
  <c r="AL12" i="16"/>
  <c r="AM12" i="16" s="1"/>
  <c r="AL8" i="16"/>
  <c r="AL7" i="16"/>
  <c r="AM7" i="16" s="1"/>
  <c r="AM32" i="16"/>
  <c r="AM24" i="16"/>
  <c r="AL29" i="16"/>
  <c r="AM29" i="16" s="1"/>
  <c r="R3" i="16" a="1"/>
  <c r="R3" i="16" s="1"/>
  <c r="AL9" i="16"/>
  <c r="AL25" i="16"/>
  <c r="AL20" i="16"/>
  <c r="AL36" i="16"/>
  <c r="AL21" i="16"/>
  <c r="AM21" i="16" s="1"/>
  <c r="AL4" i="16"/>
  <c r="AM4" i="16" s="1"/>
  <c r="AL18" i="16"/>
  <c r="AM18" i="16" s="1"/>
  <c r="AL10" i="16"/>
  <c r="AL19" i="16"/>
  <c r="AM19" i="16" s="1"/>
  <c r="AL13" i="16"/>
  <c r="AL14" i="16"/>
  <c r="AL15" i="16"/>
  <c r="AL5" i="16"/>
  <c r="AM5" i="16" s="1"/>
  <c r="AL22" i="16"/>
  <c r="AL30" i="16"/>
  <c r="AL35" i="16"/>
  <c r="AM35" i="16" s="1"/>
  <c r="AL37" i="16"/>
  <c r="AM37" i="16" s="1"/>
  <c r="AL16" i="16"/>
  <c r="AM16" i="16" s="1"/>
  <c r="AL23" i="16"/>
  <c r="AM23" i="16" s="1"/>
  <c r="N15" i="16"/>
  <c r="N27" i="16"/>
  <c r="N18" i="16"/>
  <c r="N25" i="16"/>
  <c r="N24" i="16"/>
  <c r="N26" i="16"/>
  <c r="N10" i="16"/>
  <c r="N34" i="16"/>
  <c r="N4" i="16"/>
  <c r="N19" i="16"/>
  <c r="N36" i="16"/>
  <c r="N12" i="16"/>
  <c r="N3" i="16"/>
  <c r="N30" i="16"/>
  <c r="N29" i="16"/>
  <c r="N28" i="16"/>
  <c r="N33" i="16"/>
  <c r="N22" i="16"/>
  <c r="N14" i="16"/>
  <c r="N17" i="16"/>
  <c r="N6" i="16"/>
  <c r="N7" i="16"/>
  <c r="N11" i="16"/>
  <c r="N21" i="16"/>
  <c r="N13" i="16"/>
  <c r="N35" i="16"/>
  <c r="N32" i="16"/>
  <c r="N23" i="16"/>
  <c r="N5" i="16"/>
  <c r="N20" i="16"/>
  <c r="N9" i="16"/>
  <c r="N16" i="16"/>
  <c r="N31" i="16"/>
  <c r="N37" i="16"/>
  <c r="N8" i="16"/>
  <c r="I26" i="16"/>
  <c r="AK26" i="16" s="1"/>
  <c r="L26" i="16"/>
  <c r="I6" i="16"/>
  <c r="AK6" i="16" s="1"/>
  <c r="L6" i="16"/>
  <c r="I25" i="16"/>
  <c r="L25" i="16"/>
  <c r="I20" i="16"/>
  <c r="AK20" i="16" s="1"/>
  <c r="L20" i="16"/>
  <c r="L21" i="16"/>
  <c r="I21" i="16"/>
  <c r="I5" i="16"/>
  <c r="AK5" i="16" s="1"/>
  <c r="L5" i="16"/>
  <c r="L37" i="16"/>
  <c r="I37" i="16"/>
  <c r="AK37" i="16" s="1"/>
  <c r="I23" i="16"/>
  <c r="AK23" i="16" s="1"/>
  <c r="L23" i="16"/>
  <c r="I17" i="16"/>
  <c r="L17" i="16"/>
  <c r="I34" i="16"/>
  <c r="L34" i="16"/>
  <c r="AL11" i="16"/>
  <c r="I14" i="16"/>
  <c r="L14" i="16"/>
  <c r="I19" i="16"/>
  <c r="AK19" i="16" s="1"/>
  <c r="L19" i="16"/>
  <c r="L31" i="16"/>
  <c r="I31" i="16"/>
  <c r="I30" i="16"/>
  <c r="AK30" i="16" s="1"/>
  <c r="L30" i="16"/>
  <c r="L29" i="16"/>
  <c r="I29" i="16"/>
  <c r="AK29" i="16" s="1"/>
  <c r="I13" i="16"/>
  <c r="L13" i="16"/>
  <c r="L22" i="16"/>
  <c r="I22" i="16"/>
  <c r="AK22" i="16" s="1"/>
  <c r="I36" i="16"/>
  <c r="L36" i="16"/>
  <c r="I3" i="16"/>
  <c r="L3" i="16"/>
  <c r="L18" i="16"/>
  <c r="I18" i="16"/>
  <c r="L33" i="16"/>
  <c r="I33" i="16"/>
  <c r="AK33" i="16" s="1"/>
  <c r="I35" i="16"/>
  <c r="L35" i="16"/>
  <c r="I32" i="16"/>
  <c r="AK32" i="16" s="1"/>
  <c r="L32" i="16"/>
  <c r="I15" i="16"/>
  <c r="AK15" i="16" s="1"/>
  <c r="L15" i="16"/>
  <c r="I12" i="16"/>
  <c r="L12" i="16"/>
  <c r="I24" i="16"/>
  <c r="L24" i="16"/>
  <c r="I8" i="16"/>
  <c r="L8" i="16"/>
  <c r="L11" i="16"/>
  <c r="I11" i="16"/>
  <c r="AK11" i="16" s="1"/>
  <c r="I16" i="16"/>
  <c r="L16" i="16"/>
  <c r="AL31" i="16"/>
  <c r="L4" i="16"/>
  <c r="I4" i="16"/>
  <c r="I28" i="16"/>
  <c r="L28" i="16"/>
  <c r="AL33" i="16"/>
  <c r="AL34" i="16"/>
  <c r="L27" i="16"/>
  <c r="I27" i="16"/>
  <c r="I10" i="16"/>
  <c r="L10" i="16"/>
  <c r="I9" i="16"/>
  <c r="L9" i="16"/>
  <c r="I7" i="16"/>
  <c r="AK7" i="16" s="1"/>
  <c r="L7" i="16"/>
  <c r="T20" i="16"/>
  <c r="T24" i="16"/>
  <c r="T7" i="16"/>
  <c r="T28" i="16"/>
  <c r="T9" i="16"/>
  <c r="T10" i="16"/>
  <c r="T15" i="16"/>
  <c r="T31" i="16"/>
  <c r="T17" i="16"/>
  <c r="T18" i="16"/>
  <c r="T27" i="16"/>
  <c r="T36" i="16"/>
  <c r="T4" i="16"/>
  <c r="T13" i="16"/>
  <c r="T22" i="16"/>
  <c r="T8" i="16"/>
  <c r="T34" i="16"/>
  <c r="T21" i="16"/>
  <c r="T30" i="16"/>
  <c r="T12" i="16"/>
  <c r="T25" i="16"/>
  <c r="T26" i="16"/>
  <c r="T11" i="16"/>
  <c r="T32" i="16"/>
  <c r="T29" i="16"/>
  <c r="T6" i="16"/>
  <c r="T19" i="16"/>
  <c r="T33" i="16"/>
  <c r="T16" i="16"/>
  <c r="T35" i="16"/>
  <c r="T3" i="16"/>
  <c r="T5" i="16"/>
  <c r="T14" i="16"/>
  <c r="T23" i="16"/>
  <c r="T37" i="16"/>
  <c r="O25" i="16" a="1"/>
  <c r="U28" i="16" a="1"/>
  <c r="U16" i="16" a="1"/>
  <c r="O9" i="16" a="1"/>
  <c r="O29" i="16" a="1"/>
  <c r="U8" i="16" a="1"/>
  <c r="U29" i="16" a="1"/>
  <c r="U32" i="16" a="1"/>
  <c r="U10" i="16" a="1"/>
  <c r="U21" i="16" a="1"/>
  <c r="U25" i="16" a="1"/>
  <c r="U22" i="16" a="1"/>
  <c r="U5" i="16" a="1"/>
  <c r="O24" i="16" a="1"/>
  <c r="O14" i="16" a="1"/>
  <c r="O13" i="16" a="1"/>
  <c r="O17" i="16" a="1"/>
  <c r="U23" i="16" a="1"/>
  <c r="O31" i="16" a="1"/>
  <c r="U15" i="16" a="1"/>
  <c r="U18" i="16" a="1"/>
  <c r="U24" i="16" a="1"/>
  <c r="O22" i="16" a="1"/>
  <c r="O19" i="16" a="1"/>
  <c r="U9" i="16" a="1"/>
  <c r="O35" i="16" a="1"/>
  <c r="U11" i="16" a="1"/>
  <c r="O36" i="16" a="1"/>
  <c r="U31" i="16" a="1"/>
  <c r="U35" i="16" a="1"/>
  <c r="O6" i="16" a="1"/>
  <c r="O12" i="16" a="1"/>
  <c r="O28" i="16" a="1"/>
  <c r="O27" i="16" a="1"/>
  <c r="O3" i="16" a="1"/>
  <c r="O15" i="16" a="1"/>
  <c r="O11" i="16" a="1"/>
  <c r="U36" i="16" a="1"/>
  <c r="U33" i="16" a="1"/>
  <c r="U20" i="16" a="1"/>
  <c r="O33" i="16" a="1"/>
  <c r="O8" i="16" a="1"/>
  <c r="O34" i="16" a="1"/>
  <c r="U19" i="16" a="1"/>
  <c r="O21" i="16" a="1"/>
  <c r="U3" i="16" a="1"/>
  <c r="O4" i="16" a="1"/>
  <c r="O37" i="16" a="1"/>
  <c r="U14" i="16" a="1"/>
  <c r="O30" i="16" a="1"/>
  <c r="U34" i="16" a="1"/>
  <c r="U17" i="16" a="1"/>
  <c r="U7" i="16" a="1"/>
  <c r="O23" i="16" a="1"/>
  <c r="U12" i="16" a="1"/>
  <c r="U13" i="16" a="1"/>
  <c r="U6" i="16" a="1"/>
  <c r="O16" i="16" a="1"/>
  <c r="O18" i="16" a="1"/>
  <c r="O26" i="16" a="1"/>
  <c r="U26" i="16" a="1"/>
  <c r="O7" i="16" a="1"/>
  <c r="O20" i="16" a="1"/>
  <c r="U4" i="16" a="1"/>
  <c r="U37" i="16" a="1"/>
  <c r="O10" i="16" a="1"/>
  <c r="O32" i="16" a="1"/>
  <c r="U27" i="16" a="1"/>
  <c r="O5" i="16" a="1"/>
  <c r="U30" i="16" a="1"/>
  <c r="AM34" i="16" l="1"/>
  <c r="AJ22" i="16"/>
  <c r="AJ25" i="16"/>
  <c r="AJ33" i="16"/>
  <c r="AM33" i="16" s="1"/>
  <c r="AM36" i="16"/>
  <c r="AM20" i="16"/>
  <c r="AK34" i="16"/>
  <c r="AK35" i="16"/>
  <c r="AK18" i="16"/>
  <c r="AK12" i="16"/>
  <c r="AK31" i="16"/>
  <c r="AK4" i="16"/>
  <c r="AK16" i="16"/>
  <c r="AK14" i="16"/>
  <c r="AK8" i="16"/>
  <c r="AK27" i="16"/>
  <c r="AK13" i="16"/>
  <c r="AK21" i="16"/>
  <c r="AK10" i="16"/>
  <c r="AK28" i="16"/>
  <c r="AK25" i="16"/>
  <c r="AK3" i="16"/>
  <c r="AK36" i="16"/>
  <c r="AK24" i="16"/>
  <c r="AK9" i="16"/>
  <c r="AL3" i="16"/>
  <c r="O17" i="16"/>
  <c r="O14" i="16"/>
  <c r="O22" i="16"/>
  <c r="O33" i="16"/>
  <c r="O28" i="16"/>
  <c r="O8" i="16"/>
  <c r="O29" i="16"/>
  <c r="O37" i="16"/>
  <c r="O30" i="16"/>
  <c r="O31" i="16"/>
  <c r="O3" i="16"/>
  <c r="O16" i="16"/>
  <c r="O12" i="16"/>
  <c r="O9" i="16"/>
  <c r="O36" i="16"/>
  <c r="O20" i="16"/>
  <c r="O19" i="16"/>
  <c r="O5" i="16"/>
  <c r="O4" i="16"/>
  <c r="O23" i="16"/>
  <c r="O34" i="16"/>
  <c r="O32" i="16"/>
  <c r="O10" i="16"/>
  <c r="O35" i="16"/>
  <c r="O26" i="16"/>
  <c r="O13" i="16"/>
  <c r="O24" i="16"/>
  <c r="O21" i="16"/>
  <c r="O25" i="16"/>
  <c r="O11" i="16"/>
  <c r="O18" i="16"/>
  <c r="O7" i="16"/>
  <c r="O27" i="16"/>
  <c r="O6" i="16"/>
  <c r="O15" i="16"/>
  <c r="U25" i="16"/>
  <c r="U8" i="16"/>
  <c r="AJ8" i="16" s="1"/>
  <c r="U33" i="16"/>
  <c r="U31" i="16"/>
  <c r="AJ31" i="16" s="1"/>
  <c r="U19" i="16"/>
  <c r="AJ19" i="16" s="1"/>
  <c r="U22" i="16"/>
  <c r="U15" i="16"/>
  <c r="U37" i="16"/>
  <c r="U11" i="16"/>
  <c r="AJ11" i="16" s="1"/>
  <c r="AM11" i="16" s="1"/>
  <c r="U13" i="16"/>
  <c r="AJ13" i="16" s="1"/>
  <c r="AM13" i="16" s="1"/>
  <c r="U24" i="16"/>
  <c r="AJ24" i="16" s="1"/>
  <c r="U29" i="16"/>
  <c r="AJ29" i="16" s="1"/>
  <c r="U30" i="16"/>
  <c r="AJ30" i="16" s="1"/>
  <c r="AM30" i="16" s="1"/>
  <c r="U17" i="16"/>
  <c r="U20" i="16"/>
  <c r="U14" i="16"/>
  <c r="AJ14" i="16" s="1"/>
  <c r="AM14" i="16" s="1"/>
  <c r="U35" i="16"/>
  <c r="AJ35" i="16" s="1"/>
  <c r="U21" i="16"/>
  <c r="AJ21" i="16" s="1"/>
  <c r="U5" i="16"/>
  <c r="AJ5" i="16" s="1"/>
  <c r="U16" i="16"/>
  <c r="U3" i="16"/>
  <c r="AJ3" i="16" s="1"/>
  <c r="U36" i="16"/>
  <c r="U28" i="16"/>
  <c r="U32" i="16"/>
  <c r="AJ32" i="16" s="1"/>
  <c r="U27" i="16"/>
  <c r="AJ27" i="16" s="1"/>
  <c r="U7" i="16"/>
  <c r="U6" i="16"/>
  <c r="AJ6" i="16" s="1"/>
  <c r="U12" i="16"/>
  <c r="AJ12" i="16" s="1"/>
  <c r="U18" i="16"/>
  <c r="U10" i="16"/>
  <c r="AJ10" i="16" s="1"/>
  <c r="U23" i="16"/>
  <c r="U26" i="16"/>
  <c r="U4" i="16"/>
  <c r="AJ4" i="16" s="1"/>
  <c r="U9" i="16"/>
  <c r="AJ9" i="16" s="1"/>
  <c r="U34" i="16"/>
  <c r="AV37" i="16"/>
  <c r="AU37" i="16"/>
  <c r="AV36" i="16"/>
  <c r="AV35" i="16"/>
  <c r="AU35" i="16"/>
  <c r="AV34" i="16"/>
  <c r="AU34" i="16"/>
  <c r="AV33" i="16"/>
  <c r="AU33" i="16"/>
  <c r="AU32" i="16"/>
  <c r="AV31" i="16"/>
  <c r="AU31" i="16"/>
  <c r="AV30" i="16"/>
  <c r="AU30" i="16"/>
  <c r="AU29" i="16"/>
  <c r="AV28" i="16"/>
  <c r="AV27" i="16"/>
  <c r="AV26" i="16"/>
  <c r="AU26" i="16"/>
  <c r="AV25" i="16"/>
  <c r="AU23" i="16"/>
  <c r="AV22" i="16"/>
  <c r="AU22" i="16"/>
  <c r="AV20" i="16"/>
  <c r="AU20" i="16"/>
  <c r="AU19" i="16"/>
  <c r="AU18" i="16"/>
  <c r="P27" i="16" a="1"/>
  <c r="P21" i="16" a="1"/>
  <c r="P29" i="16" a="1"/>
  <c r="P36" i="16" a="1"/>
  <c r="P20" i="16" a="1"/>
  <c r="P28" i="16" a="1"/>
  <c r="P18" i="16" a="1"/>
  <c r="P23" i="16" a="1"/>
  <c r="P17" i="16" a="1"/>
  <c r="P34" i="16" a="1"/>
  <c r="P12" i="16" a="1"/>
  <c r="P31" i="16" a="1"/>
  <c r="P10" i="16" a="1"/>
  <c r="P14" i="16" a="1"/>
  <c r="P32" i="16" a="1"/>
  <c r="P26" i="16" a="1"/>
  <c r="P4" i="16" a="1"/>
  <c r="P35" i="16" a="1"/>
  <c r="P33" i="16" a="1"/>
  <c r="P3" i="16" a="1"/>
  <c r="P13" i="16" a="1"/>
  <c r="P19" i="16" a="1"/>
  <c r="P15" i="16" a="1"/>
  <c r="P6" i="16" a="1"/>
  <c r="P7" i="16" a="1"/>
  <c r="P22" i="16" a="1"/>
  <c r="P11" i="16" a="1"/>
  <c r="P24" i="16" a="1"/>
  <c r="P37" i="16" a="1"/>
  <c r="P9" i="16" a="1"/>
  <c r="P8" i="16" a="1"/>
  <c r="P5" i="16" a="1"/>
  <c r="P16" i="16" a="1"/>
  <c r="P30" i="16" a="1"/>
  <c r="P25" i="16" a="1"/>
  <c r="AM9" i="16" l="1"/>
  <c r="AM31" i="16"/>
  <c r="AM10" i="16"/>
  <c r="AU27" i="16"/>
  <c r="AM3" i="16"/>
  <c r="AM6" i="16"/>
  <c r="AU28" i="16"/>
  <c r="AU24" i="16"/>
  <c r="AM15" i="16"/>
  <c r="AM22" i="16"/>
  <c r="AU36" i="16"/>
  <c r="AU21" i="16"/>
  <c r="AM28" i="16"/>
  <c r="AM8" i="16"/>
  <c r="AM25" i="16"/>
  <c r="AU25" i="16"/>
  <c r="P23" i="16"/>
  <c r="AI23" i="16" s="1"/>
  <c r="P4" i="16"/>
  <c r="AI4" i="16" s="1"/>
  <c r="P5" i="16"/>
  <c r="AI5" i="16" s="1"/>
  <c r="P19" i="16"/>
  <c r="AI19" i="16" s="1"/>
  <c r="P20" i="16"/>
  <c r="AI20" i="16" s="1"/>
  <c r="P15" i="16"/>
  <c r="AI15" i="16" s="1"/>
  <c r="P36" i="16"/>
  <c r="AI36" i="16" s="1"/>
  <c r="P6" i="16"/>
  <c r="AI6" i="16" s="1"/>
  <c r="P9" i="16"/>
  <c r="AI9" i="16" s="1"/>
  <c r="P27" i="16"/>
  <c r="AI27" i="16" s="1"/>
  <c r="P12" i="16"/>
  <c r="AI12" i="16" s="1"/>
  <c r="P7" i="16"/>
  <c r="AI7" i="16" s="1"/>
  <c r="P16" i="16"/>
  <c r="AI16" i="16" s="1"/>
  <c r="P18" i="16"/>
  <c r="AI18" i="16" s="1"/>
  <c r="P3" i="16"/>
  <c r="P11" i="16"/>
  <c r="AI11" i="16" s="1"/>
  <c r="P31" i="16"/>
  <c r="AI31" i="16" s="1"/>
  <c r="P25" i="16"/>
  <c r="AI25" i="16" s="1"/>
  <c r="P30" i="16"/>
  <c r="AI30" i="16" s="1"/>
  <c r="P21" i="16"/>
  <c r="AI21" i="16" s="1"/>
  <c r="P37" i="16"/>
  <c r="AI37" i="16" s="1"/>
  <c r="P24" i="16"/>
  <c r="AI24" i="16" s="1"/>
  <c r="P29" i="16"/>
  <c r="AI29" i="16" s="1"/>
  <c r="P13" i="16"/>
  <c r="AI13" i="16" s="1"/>
  <c r="P8" i="16"/>
  <c r="AI8" i="16" s="1"/>
  <c r="P26" i="16"/>
  <c r="AI26" i="16" s="1"/>
  <c r="P28" i="16"/>
  <c r="AI28" i="16" s="1"/>
  <c r="P35" i="16"/>
  <c r="AI35" i="16" s="1"/>
  <c r="P33" i="16"/>
  <c r="AI33" i="16" s="1"/>
  <c r="P10" i="16"/>
  <c r="AI10" i="16" s="1"/>
  <c r="P22" i="16"/>
  <c r="AI22" i="16" s="1"/>
  <c r="P32" i="16"/>
  <c r="AI32" i="16" s="1"/>
  <c r="P14" i="16"/>
  <c r="AI14" i="16" s="1"/>
  <c r="P34" i="16"/>
  <c r="AI34" i="16" s="1"/>
  <c r="P17" i="16"/>
  <c r="AV18" i="16"/>
  <c r="AV19" i="16"/>
  <c r="AT20" i="16"/>
  <c r="AV21" i="16"/>
  <c r="AV23" i="16"/>
  <c r="AV24" i="16"/>
  <c r="AW27" i="16"/>
  <c r="AV29" i="16"/>
  <c r="AV32" i="16"/>
  <c r="AW35" i="16"/>
  <c r="AW37" i="16"/>
  <c r="AI3" i="16" l="1"/>
  <c r="AD3" i="16" s="1"/>
  <c r="AT33" i="16"/>
  <c r="AT26" i="16"/>
  <c r="AT36" i="16"/>
  <c r="AT30" i="16"/>
  <c r="AT15" i="16"/>
  <c r="AT28" i="16"/>
  <c r="AU4" i="16"/>
  <c r="AU13" i="16"/>
  <c r="AU9" i="16"/>
  <c r="AU7" i="16"/>
  <c r="AV9" i="16"/>
  <c r="AV12" i="16"/>
  <c r="AU15" i="16"/>
  <c r="AU12" i="16"/>
  <c r="AV17" i="16"/>
  <c r="AV6" i="16"/>
  <c r="AU11" i="16"/>
  <c r="AU17" i="16"/>
  <c r="AU5" i="16"/>
  <c r="AV11" i="16"/>
  <c r="AU8" i="16"/>
  <c r="AU3" i="16"/>
  <c r="AU6" i="16"/>
  <c r="AV3" i="16"/>
  <c r="AW12" i="16"/>
  <c r="AU14" i="16"/>
  <c r="AU16" i="16"/>
  <c r="AV14" i="16"/>
  <c r="AV16" i="16"/>
  <c r="AV13" i="16"/>
  <c r="AU10" i="16"/>
  <c r="AW16" i="16"/>
  <c r="AV8" i="16"/>
  <c r="AV10" i="16"/>
  <c r="AW31" i="16"/>
  <c r="AS18" i="16"/>
  <c r="AS17" i="16"/>
  <c r="AW17" i="16"/>
  <c r="AV7" i="16"/>
  <c r="AV5" i="16"/>
  <c r="AS4" i="16"/>
  <c r="AV4" i="16"/>
  <c r="AS13" i="16"/>
  <c r="AW22" i="16"/>
  <c r="AS16" i="16"/>
  <c r="AS28" i="16"/>
  <c r="AV15" i="16"/>
  <c r="AS15" i="16"/>
  <c r="AS34" i="16"/>
  <c r="AS26" i="16"/>
  <c r="AS31" i="16"/>
  <c r="AS23" i="16"/>
  <c r="AS20" i="16"/>
  <c r="AS12" i="16"/>
  <c r="AS9" i="16"/>
  <c r="AS36" i="16"/>
  <c r="AS6" i="16"/>
  <c r="AS14" i="16"/>
  <c r="AS33" i="16"/>
  <c r="AS25" i="16"/>
  <c r="AS22" i="16"/>
  <c r="AS30" i="16"/>
  <c r="AS19" i="16"/>
  <c r="AS11" i="16"/>
  <c r="AS8" i="16"/>
  <c r="AS5" i="16"/>
  <c r="AS35" i="16"/>
  <c r="AS27" i="16"/>
  <c r="AS32" i="16"/>
  <c r="AS24" i="16"/>
  <c r="AS21" i="16"/>
  <c r="AS10" i="16"/>
  <c r="AS37" i="16"/>
  <c r="AS29" i="16"/>
  <c r="AS7" i="16"/>
  <c r="AW28" i="16"/>
  <c r="AW26" i="16"/>
  <c r="AW20" i="16"/>
  <c r="AW36" i="16"/>
  <c r="AW33" i="16"/>
  <c r="AW32" i="16"/>
  <c r="AW29" i="16"/>
  <c r="AW24" i="16"/>
  <c r="AW23" i="16"/>
  <c r="AW21" i="16"/>
  <c r="AW19" i="16"/>
  <c r="AW18" i="16"/>
  <c r="AT31" i="16" l="1"/>
  <c r="AT21" i="16"/>
  <c r="AT32" i="16"/>
  <c r="AT22" i="16"/>
  <c r="AT23" i="16"/>
  <c r="AT13" i="16"/>
  <c r="AT24" i="16"/>
  <c r="AT12" i="16"/>
  <c r="AT16" i="16"/>
  <c r="AT5" i="16"/>
  <c r="AT25" i="16"/>
  <c r="AT34" i="16"/>
  <c r="AT4" i="16"/>
  <c r="AT3" i="16"/>
  <c r="AT8" i="16"/>
  <c r="AT14" i="16"/>
  <c r="AT18" i="16"/>
  <c r="AT27" i="16"/>
  <c r="AT35" i="16"/>
  <c r="AT9" i="16"/>
  <c r="AT29" i="16"/>
  <c r="AT19" i="16"/>
  <c r="AT7" i="16"/>
  <c r="AT37" i="16"/>
  <c r="AT17" i="16"/>
  <c r="AT10" i="16"/>
  <c r="AT11" i="16"/>
  <c r="AT6" i="16"/>
  <c r="AW11" i="16"/>
  <c r="AW9" i="16"/>
  <c r="AW13" i="16"/>
  <c r="AW10" i="16"/>
  <c r="AW8" i="16"/>
  <c r="AW30" i="16"/>
  <c r="AW6" i="16"/>
  <c r="AW14" i="16"/>
  <c r="AW34" i="16"/>
  <c r="AW25" i="16"/>
  <c r="AW15" i="16"/>
  <c r="AW4" i="16"/>
  <c r="AW5" i="16"/>
  <c r="AW7" i="16"/>
  <c r="AW3" i="16" l="1"/>
  <c r="AS3" i="1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<sst xmlns="http://schemas.openxmlformats.org/spreadsheetml/2006/main" count="756" uniqueCount="413">
  <si>
    <t>patient_id</t>
  </si>
  <si>
    <t>date_of_note</t>
  </si>
  <si>
    <t>ATARisk</t>
  </si>
  <si>
    <t>AJCC8</t>
  </si>
  <si>
    <t>Age</t>
  </si>
  <si>
    <t>Tstage</t>
  </si>
  <si>
    <t>Nstage</t>
  </si>
  <si>
    <t>Mstage</t>
  </si>
  <si>
    <t>LN</t>
  </si>
  <si>
    <t>Meta</t>
  </si>
  <si>
    <t>NoLNresected</t>
  </si>
  <si>
    <t>NoLNinvolved</t>
  </si>
  <si>
    <t>SizeLN</t>
  </si>
  <si>
    <t>Histo</t>
  </si>
  <si>
    <t>HistoType</t>
  </si>
  <si>
    <t>TumorSize</t>
  </si>
  <si>
    <t>VI</t>
  </si>
  <si>
    <t>Number of tumours</t>
  </si>
  <si>
    <t>NoFociVIFTC</t>
  </si>
  <si>
    <t>CI</t>
  </si>
  <si>
    <t>m-ETE</t>
  </si>
  <si>
    <t>Mutation</t>
  </si>
  <si>
    <t>MutationType</t>
  </si>
  <si>
    <t>RAIMetaFoci</t>
  </si>
  <si>
    <t>gETE</t>
  </si>
  <si>
    <t>Thyroidectomy</t>
  </si>
  <si>
    <t>ThyroidectomyType</t>
  </si>
  <si>
    <t>CompResectSurg</t>
  </si>
  <si>
    <t>CompResectPath</t>
  </si>
  <si>
    <t>PostTg</t>
  </si>
  <si>
    <t>1p</t>
  </si>
  <si>
    <t>I</t>
  </si>
  <si>
    <t>Papillary</t>
  </si>
  <si>
    <t>infiltrative follicular</t>
  </si>
  <si>
    <t>Yes</t>
  </si>
  <si>
    <t>1o</t>
  </si>
  <si>
    <t>PTC</t>
  </si>
  <si>
    <t>2p</t>
  </si>
  <si>
    <t>30 mm</t>
  </si>
  <si>
    <t>2o</t>
  </si>
  <si>
    <t>3p</t>
  </si>
  <si>
    <t>1 mm</t>
  </si>
  <si>
    <t>3o</t>
  </si>
  <si>
    <t>4p</t>
  </si>
  <si>
    <t>II</t>
  </si>
  <si>
    <t>9.5 mm</t>
  </si>
  <si>
    <t>15 mm</t>
  </si>
  <si>
    <t>4o</t>
  </si>
  <si>
    <t>5p1</t>
  </si>
  <si>
    <t>0.6 mm</t>
  </si>
  <si>
    <t>5p2</t>
  </si>
  <si>
    <t>5o</t>
  </si>
  <si>
    <t>6p</t>
  </si>
  <si>
    <t>6o</t>
  </si>
  <si>
    <t>7p</t>
  </si>
  <si>
    <t>7o</t>
  </si>
  <si>
    <t>8p</t>
  </si>
  <si>
    <t>11.5 mm</t>
  </si>
  <si>
    <t>8o</t>
  </si>
  <si>
    <t>9p</t>
  </si>
  <si>
    <t>9o</t>
  </si>
  <si>
    <t>10p</t>
  </si>
  <si>
    <t>10o</t>
  </si>
  <si>
    <t>11p</t>
  </si>
  <si>
    <t>Minimally invasive</t>
  </si>
  <si>
    <t>11o</t>
  </si>
  <si>
    <t>12p</t>
  </si>
  <si>
    <t>12o</t>
  </si>
  <si>
    <t>13p</t>
  </si>
  <si>
    <t>III</t>
  </si>
  <si>
    <t>13o</t>
  </si>
  <si>
    <t>14p</t>
  </si>
  <si>
    <t>3.9 cm</t>
  </si>
  <si>
    <t>14o</t>
  </si>
  <si>
    <t>15p</t>
  </si>
  <si>
    <t>NIFTP</t>
  </si>
  <si>
    <t>15o</t>
  </si>
  <si>
    <t>16p</t>
  </si>
  <si>
    <t>16o</t>
  </si>
  <si>
    <t>17p</t>
  </si>
  <si>
    <t>11 mm</t>
  </si>
  <si>
    <t>17o</t>
  </si>
  <si>
    <t>18p</t>
  </si>
  <si>
    <t>18o</t>
  </si>
  <si>
    <t>19p</t>
  </si>
  <si>
    <t>19o</t>
  </si>
  <si>
    <t>20p</t>
  </si>
  <si>
    <t>20o</t>
  </si>
  <si>
    <t>21p</t>
  </si>
  <si>
    <t>21o</t>
  </si>
  <si>
    <t>22p</t>
  </si>
  <si>
    <t>22o</t>
  </si>
  <si>
    <t>23p</t>
  </si>
  <si>
    <t>23o</t>
  </si>
  <si>
    <t>24p</t>
  </si>
  <si>
    <t>24o</t>
  </si>
  <si>
    <t>25p</t>
  </si>
  <si>
    <t>25o</t>
  </si>
  <si>
    <t>1cm</t>
  </si>
  <si>
    <t>26p</t>
  </si>
  <si>
    <t>26o</t>
  </si>
  <si>
    <t>27p</t>
  </si>
  <si>
    <t>27o</t>
  </si>
  <si>
    <t>28p</t>
  </si>
  <si>
    <t>2.5 mm</t>
  </si>
  <si>
    <t>28o</t>
  </si>
  <si>
    <t>29p</t>
  </si>
  <si>
    <t>29o</t>
  </si>
  <si>
    <t>30p</t>
  </si>
  <si>
    <t>30o</t>
  </si>
  <si>
    <t>31p</t>
  </si>
  <si>
    <t>31o</t>
  </si>
  <si>
    <t>32p</t>
  </si>
  <si>
    <t>Follicular</t>
  </si>
  <si>
    <t>32o</t>
  </si>
  <si>
    <t>33p</t>
  </si>
  <si>
    <t>33o</t>
  </si>
  <si>
    <t>34p</t>
  </si>
  <si>
    <t>34o</t>
  </si>
  <si>
    <t>35p</t>
  </si>
  <si>
    <t>35o</t>
  </si>
  <si>
    <t>Name</t>
  </si>
  <si>
    <t>Description</t>
  </si>
  <si>
    <t>ATA risk stratification category</t>
  </si>
  <si>
    <t>8th edition of AJCC cancer staging</t>
  </si>
  <si>
    <t>Age at cancer diagnosis‡</t>
  </si>
  <si>
    <t>Tumor stage‡</t>
  </si>
  <si>
    <t>Lymph node stage†‡</t>
  </si>
  <si>
    <t>Metastasis stage†‡</t>
  </si>
  <si>
    <t>Total number of lymph node resected†</t>
  </si>
  <si>
    <t>Size of largest involved lymph node†</t>
  </si>
  <si>
    <t>Histopathology†</t>
  </si>
  <si>
    <t>Histological subtype†</t>
  </si>
  <si>
    <t>Tumor size‡</t>
  </si>
  <si>
    <t>Vascular invasion†</t>
  </si>
  <si>
    <t>Number of foci of vascular invasion for FTC†</t>
  </si>
  <si>
    <t>Capsular invasion†</t>
  </si>
  <si>
    <t>Microscopic extrathyroidal extension†</t>
  </si>
  <si>
    <t>Mutation type†</t>
  </si>
  <si>
    <t>RAI-avid metastatic foci outside the thyroid bed on the first posttreatment whole-body radioiodine scan†</t>
  </si>
  <si>
    <t>Gross extrathyroidal extension†‡</t>
  </si>
  <si>
    <t>Thyroidectomy type</t>
  </si>
  <si>
    <t>Completeness of resection (surgeon) †</t>
  </si>
  <si>
    <t>Completeness of resection (pathologist) †</t>
  </si>
  <si>
    <t>Postoperative serum thyroglobulin†</t>
  </si>
  <si>
    <t>† Item for American Thyroid Association 2009 risk stratification</t>
  </si>
  <si>
    <t>‡ Item for 8th edition of the American Joint Committee on Cancer TNM staging system of thyroid cancer</t>
  </si>
  <si>
    <t>ATA RISK</t>
  </si>
  <si>
    <t>T</t>
  </si>
  <si>
    <t>N</t>
  </si>
  <si>
    <t>M</t>
  </si>
  <si>
    <t>AJCC 8</t>
  </si>
  <si>
    <t>4mm</t>
  </si>
  <si>
    <t>T3a</t>
  </si>
  <si>
    <t>T4a</t>
  </si>
  <si>
    <t>T1</t>
  </si>
  <si>
    <t>T1a</t>
  </si>
  <si>
    <t>T1b</t>
  </si>
  <si>
    <t>T2</t>
  </si>
  <si>
    <t>T3b</t>
  </si>
  <si>
    <t>T4</t>
  </si>
  <si>
    <t>N0</t>
  </si>
  <si>
    <t>N1</t>
  </si>
  <si>
    <t>N1a</t>
  </si>
  <si>
    <t>N1b</t>
  </si>
  <si>
    <t>M0</t>
  </si>
  <si>
    <t>M1</t>
  </si>
  <si>
    <t>2.5cm</t>
  </si>
  <si>
    <t>intermediate</t>
  </si>
  <si>
    <t>high</t>
  </si>
  <si>
    <t>low</t>
  </si>
  <si>
    <t>LN extent</t>
  </si>
  <si>
    <t>Papillary carcinoma</t>
  </si>
  <si>
    <t>Not identified</t>
  </si>
  <si>
    <t>infiltrative follicular subtype</t>
  </si>
  <si>
    <t>Nontoxic uninodular goitre</t>
  </si>
  <si>
    <t>Left central compartment</t>
  </si>
  <si>
    <t>2cm</t>
  </si>
  <si>
    <t>Minimally invasive follicular carcinoma</t>
  </si>
  <si>
    <t>6.5cm</t>
  </si>
  <si>
    <t>4cm</t>
  </si>
  <si>
    <t>1.3cm</t>
  </si>
  <si>
    <t>2mm</t>
  </si>
  <si>
    <t>10 mm</t>
  </si>
  <si>
    <t>Absent</t>
  </si>
  <si>
    <t>Focal involvement by invasive carcinoma at posterior surface</t>
  </si>
  <si>
    <t>4.5 mm</t>
  </si>
  <si>
    <t>CA thyroid</t>
  </si>
  <si>
    <t>24.5 mm</t>
  </si>
  <si>
    <t>3cm</t>
  </si>
  <si>
    <t>lung</t>
  </si>
  <si>
    <t>1b</t>
  </si>
  <si>
    <t>x</t>
  </si>
  <si>
    <t>1a</t>
  </si>
  <si>
    <t>3b</t>
  </si>
  <si>
    <t>3a</t>
  </si>
  <si>
    <t>4a</t>
  </si>
  <si>
    <t>4b</t>
  </si>
  <si>
    <t>GROUND TRUTH</t>
  </si>
  <si>
    <t>PERFORMANCE</t>
  </si>
  <si>
    <t>13 mm</t>
  </si>
  <si>
    <t>classic</t>
  </si>
  <si>
    <t>63 mm</t>
  </si>
  <si>
    <t>No</t>
  </si>
  <si>
    <t>papillary</t>
  </si>
  <si>
    <t>Extensive (= or &gt; 4 vessels)</t>
  </si>
  <si>
    <r>
      <t>NoFociVIFTC</t>
    </r>
    <r>
      <rPr>
        <b/>
        <sz val="11"/>
        <rFont val="Calibri (Body)"/>
      </rPr>
      <t xml:space="preserve"> (extensive/minimal)</t>
    </r>
  </si>
  <si>
    <t>pT1a</t>
  </si>
  <si>
    <t>pN1a</t>
  </si>
  <si>
    <t>ID</t>
  </si>
  <si>
    <t>Date of clinical note or operation</t>
  </si>
  <si>
    <t>Age of patient</t>
  </si>
  <si>
    <t>Regional lymph node staging (pN)</t>
  </si>
  <si>
    <t>Distant metastasis staging (pM)</t>
  </si>
  <si>
    <t>Number of tumor</t>
  </si>
  <si>
    <t>Gene mutation test performed</t>
  </si>
  <si>
    <t>Gene mutation type identified</t>
  </si>
  <si>
    <t>IDv2</t>
  </si>
  <si>
    <t>Report</t>
  </si>
  <si>
    <t>Focally noted</t>
  </si>
  <si>
    <t>Focal (&lt; 4 vessels)</t>
  </si>
  <si>
    <t>Suspicious foci</t>
  </si>
  <si>
    <t>Present (focal)</t>
  </si>
  <si>
    <t>lung, bone</t>
  </si>
  <si>
    <t>left lateral level II, III, IV</t>
  </si>
  <si>
    <t>PATIENT ID</t>
  </si>
  <si>
    <t>NX</t>
  </si>
  <si>
    <t>MX</t>
  </si>
  <si>
    <t>Uninvolved by carcinoma</t>
  </si>
  <si>
    <t>fatty soft tissue at isthmus</t>
  </si>
  <si>
    <t>Invading only strap muscles</t>
  </si>
  <si>
    <t>Clear</t>
  </si>
  <si>
    <t>Present (minimal)</t>
  </si>
  <si>
    <t>Inferior, Lateral, Superior, Posterior</t>
  </si>
  <si>
    <t>Margin</t>
  </si>
  <si>
    <t>7g</t>
  </si>
  <si>
    <t>27g</t>
  </si>
  <si>
    <t>16 mm</t>
  </si>
  <si>
    <t>25 x 15 x 15 mm</t>
  </si>
  <si>
    <t>36 x 32 x 26 mm</t>
  </si>
  <si>
    <t>level VI</t>
  </si>
  <si>
    <t>Uninvolved by carcinoma, closest 3mm from anterior margin.</t>
  </si>
  <si>
    <t>9mm</t>
  </si>
  <si>
    <t>Classic</t>
  </si>
  <si>
    <t>Microscopic extrathyroidal extension to skeletal muscle anterior to the thyroid gland is present</t>
  </si>
  <si>
    <t>2.2mm</t>
  </si>
  <si>
    <t>isthmus</t>
  </si>
  <si>
    <t>12 mm</t>
  </si>
  <si>
    <t>28g</t>
  </si>
  <si>
    <t>Primary tumor staging (pT)</t>
  </si>
  <si>
    <t>Site of involved lymph nodes</t>
  </si>
  <si>
    <t>Site of distant metastasis</t>
  </si>
  <si>
    <t>Number of lymph node identified</t>
  </si>
  <si>
    <t>Number of involved lymph node</t>
  </si>
  <si>
    <t>Largest dimension of involved lymph node</t>
  </si>
  <si>
    <t>Histologic type of thyroid cancer</t>
  </si>
  <si>
    <t>Histologic subtype or variant of thyroid cancer</t>
  </si>
  <si>
    <t>Largest dimension of tumor</t>
  </si>
  <si>
    <t>Vascular invasion</t>
  </si>
  <si>
    <t>Extensiveness of vascular invasion</t>
  </si>
  <si>
    <t>Capsular invasion</t>
  </si>
  <si>
    <t>Extrathyroidal extension</t>
  </si>
  <si>
    <t>Margin involved</t>
  </si>
  <si>
    <t>Infiltrative follicular subtype</t>
  </si>
  <si>
    <t>Focally, the tumor is separated from the surgical margin by thin fibrous tissue (0.6 mm).</t>
  </si>
  <si>
    <t>8 mm and 2 mm</t>
  </si>
  <si>
    <t>pT1</t>
  </si>
  <si>
    <t>right central compartment</t>
  </si>
  <si>
    <t>14g</t>
  </si>
  <si>
    <t>Oncocytic classic subtype</t>
  </si>
  <si>
    <t>20 mm (Lower pole tumour), 16 mm (Isthmus tumour)</t>
  </si>
  <si>
    <t>Focally noted in B1</t>
  </si>
  <si>
    <t>Invading soft tissue and strap muscles (microscopic)</t>
  </si>
  <si>
    <t>Anterior margin: Involved by tumour; Posterior margin: Involved by tumour; Lateral margin: Less than 0.1 mm</t>
  </si>
  <si>
    <t>4 cm vertically, 2-5 cm transversely and 2 cm anteroposteriorly</t>
  </si>
  <si>
    <t>Anterior margins (block 4)</t>
  </si>
  <si>
    <t>3 mm (block A7), 4 mm (block B4)</t>
  </si>
  <si>
    <t>&lt; 0.1 mm from carcinoma (block 3)</t>
  </si>
  <si>
    <t>Isthmic margin: Not involved by carcinoma; Anterior surface: &lt; 0.1 mm from carcinoma (block 3); Posterior surface: Not involved by carcinoma</t>
  </si>
  <si>
    <t>left central compartment</t>
  </si>
  <si>
    <t>27 mm x 22 mm x 17 mm (mid pole tumor)</t>
  </si>
  <si>
    <t>invaded through the fibrous capsule, with tumor cells found in the adjacent thyroid parenchyma</t>
  </si>
  <si>
    <t>clear</t>
  </si>
  <si>
    <t>central compartment</t>
  </si>
  <si>
    <t>Anterior margin: Involved by invasive carcinoma (block 5)</t>
  </si>
  <si>
    <t>50 mm and 30 mm respectively</t>
  </si>
  <si>
    <t>Uninvolved</t>
  </si>
  <si>
    <t>40g</t>
  </si>
  <si>
    <t>Invading perithyroid soft tissue</t>
  </si>
  <si>
    <t>pN1b</t>
  </si>
  <si>
    <t>1.1 cm</t>
  </si>
  <si>
    <t>Posteriorly adherent to trachea and esophagus at cricoid level</t>
  </si>
  <si>
    <t>&lt; 4 vessels</t>
  </si>
  <si>
    <t>Non-invasive follicular thyroid neoplasm with papillary-like nuclear features</t>
  </si>
  <si>
    <t>BRAF, KRAS or NRAS hot spot mutation</t>
  </si>
  <si>
    <t>No evidence of BRAF, KRAS or NRAS hot spot mutation</t>
  </si>
  <si>
    <t>Extrathyroidal extension with invasion to overlying strap muscles</t>
  </si>
  <si>
    <t>The carcinoma reaches the anterior and anterolateral capsule without breaching the capsule. It extends to 1 mm from posterior margin.</t>
  </si>
  <si>
    <t>Posterior margin: involved by carcinoma (Block A3)</t>
  </si>
  <si>
    <t>Lymphovascular permeation is present</t>
  </si>
  <si>
    <t>1.8 cm superoinferiorly, 1.6 cm mediolaterally and 1.1 cm anteroposteriorly</t>
  </si>
  <si>
    <t>The anterior, posterior and lateral surfaces are clear by 0.4 mm, 0.9 mm and 1.5 mm respectively (Block 2). The superior and inferior surfaces are grossly well clear. The isthmic margin is clear (Block 1).</t>
  </si>
  <si>
    <t>1.2 cm superoinferiorly, 0.6 cm anteroposteriorly and 0.5 cm mediolaterally</t>
  </si>
  <si>
    <t>0.1 mm from the anterior margin</t>
  </si>
  <si>
    <t>2.7cm</t>
  </si>
  <si>
    <t>extensive perineural invasion</t>
  </si>
  <si>
    <t>Complete encasement of right RLN by tumour at laryngeal entry point</t>
  </si>
  <si>
    <t>1 cm</t>
  </si>
  <si>
    <t>Absence</t>
  </si>
  <si>
    <t>Clear, 1 mm from the peri-thyroid soft tissue margin</t>
  </si>
  <si>
    <t>Anterior: 0.2 mm, Posterior: 1.5 mm</t>
  </si>
  <si>
    <t>1cm, 2cm</t>
  </si>
  <si>
    <t>ETE to strap muscle</t>
  </si>
  <si>
    <t>No definite capsular invasion is seen despite serial deeper levels.</t>
  </si>
  <si>
    <t>Close to resection margins</t>
  </si>
  <si>
    <t>7 mm (microscopical dimension)</t>
  </si>
  <si>
    <t>Left level III LN</t>
  </si>
  <si>
    <t>Anterior and posterior margins focally involved</t>
  </si>
  <si>
    <t>Rich vascular anastomosis identified</t>
  </si>
  <si>
    <t>Follicular carcinoma</t>
  </si>
  <si>
    <t>6 m superoinferiorly, 3.2 cm transversely and 2.5 cm anteroposteriorly</t>
  </si>
  <si>
    <t>Focally into adjacent fibroadipose tissue (block B3)</t>
  </si>
  <si>
    <t>Free of involvement</t>
  </si>
  <si>
    <t>Tall cell variant</t>
  </si>
  <si>
    <t>Extensive (= or &gt;4 vessels)</t>
  </si>
  <si>
    <t>The tumor nodule appears being completely excised.</t>
  </si>
  <si>
    <t>Focally involved by carcinoma (Block 1)</t>
  </si>
  <si>
    <t>Anterior surface: Focally involved by carcinoma (Block 1); Posterior surface: Clear by more than 5 mm; Isthmic margin: Clear by 15.5 mm (Block 9)</t>
  </si>
  <si>
    <t>perithyroidal fibradipose tissue</t>
  </si>
  <si>
    <t>uninodular goitre</t>
  </si>
  <si>
    <t>right central compartment, level unspecified</t>
  </si>
  <si>
    <t>posterior and lateral margins</t>
  </si>
  <si>
    <t>Present, anterior and posterior margins involved</t>
  </si>
  <si>
    <t>11g</t>
  </si>
  <si>
    <t>Extrathyroidal extension to overlying strap muscle</t>
  </si>
  <si>
    <t>perithyroidal fibradipose tissue, skeletal muscle</t>
  </si>
  <si>
    <t>Not specified in the note</t>
  </si>
  <si>
    <t>Not mentioned</t>
  </si>
  <si>
    <t>Reaches anterior surface of left lobe</t>
  </si>
  <si>
    <t>Uninvolved by carcinoma (A), Carcinoma reaches the anterior surface (B)</t>
  </si>
  <si>
    <t>multinodular goitre</t>
  </si>
  <si>
    <t>8g</t>
  </si>
  <si>
    <t>Penetration through the thin fibrous capsule</t>
  </si>
  <si>
    <t>Positive vagal signal post procedure</t>
  </si>
  <si>
    <t>50 mm</t>
  </si>
  <si>
    <t>Posterior margin: Involved, Isthmus margin: Close and clear by 0.05 mm, Lateral margin: Close and clear by 0.3 mm</t>
  </si>
  <si>
    <t>follicular</t>
  </si>
  <si>
    <t>levels I, II, III, IV, or V</t>
  </si>
  <si>
    <t>skeletal muscle, posteriorly adherent to trachea and esophagus at cricoid level</t>
  </si>
  <si>
    <t>less than 0.1 mm from the anterior, posterior and lateral margins</t>
  </si>
  <si>
    <t>level II-VB, left central compartment</t>
  </si>
  <si>
    <t>Whole left lobe and isthmus, 4cm ETE to surrounding muscles</t>
  </si>
  <si>
    <t>perithyroidal fibradipose tissue, posteriorly adherent to trachea and esophagus at cricoid level</t>
  </si>
  <si>
    <t>pT3b</t>
  </si>
  <si>
    <t>Invading only strap muscles (sternohyoid, sternothyroid, thyrohyoid, or omohyoid muscles)</t>
  </si>
  <si>
    <t>24g</t>
  </si>
  <si>
    <t>level III</t>
  </si>
  <si>
    <t>8 mm</t>
  </si>
  <si>
    <t>Isthmic margin is clear.</t>
  </si>
  <si>
    <t>Right level III LNs</t>
  </si>
  <si>
    <t>30 mm (Macroscopic)</t>
  </si>
  <si>
    <t>Anterior margin : 0.3 mm (Block A5), Posterior margin: involved by carcinoma (Block A3), Lateral margin  : less than 0.1 mm (Block A5)</t>
  </si>
  <si>
    <t>Extrathyroidal extension with involvement of right cricothyroid and inferior constrictor muscle, largest dimension not specified</t>
  </si>
  <si>
    <t>Right cricothyroid and inferior constrictor muscle</t>
  </si>
  <si>
    <t>isthmic side resection end</t>
  </si>
  <si>
    <t>papillary carcinoma</t>
  </si>
  <si>
    <t>11 mm, 6 mm</t>
  </si>
  <si>
    <t>peripheral margins are clear, with a minimal microscopic clearance of &lt;1 mm from both the anterior and posterior surfaces. Lymphovascular permeation is present.</t>
  </si>
  <si>
    <t>clear, with a minimal microscopic clearance of &lt;1 mm from the anterior surface</t>
  </si>
  <si>
    <t>9g, 15g</t>
  </si>
  <si>
    <t>skeletal muscle</t>
  </si>
  <si>
    <t>posterior and anterior margins, measuring 0.3 mm and 0.5 mm, respectively</t>
  </si>
  <si>
    <t>perithyroidal adipose tissue</t>
  </si>
  <si>
    <t>6g</t>
  </si>
  <si>
    <t>central neck, right level 2, 3, 4</t>
  </si>
  <si>
    <t>Classic (usual, conventional)</t>
  </si>
  <si>
    <t>Perineural invasion: Present</t>
  </si>
  <si>
    <t>right lateral neck level II,III,IV</t>
  </si>
  <si>
    <t>5mm (block A5) and 1.5mm (block A9)</t>
  </si>
  <si>
    <t>Anterior: 0.2 mm (block A3), Posterior: 1 mm (block A4), Superior: 20 mm (macroscopic), Inferior: 0.2 mm (block A2)</t>
  </si>
  <si>
    <t>Hurthle cell</t>
  </si>
  <si>
    <t>5 mm (middle pole; block 1), 2.5 mm (isthmus; block 3)</t>
  </si>
  <si>
    <t>10g</t>
  </si>
  <si>
    <t>left central compartment, left level 2, 3, 4 cervical</t>
  </si>
  <si>
    <t>0.5 mm, anterior and posterior aspects of isthmus</t>
  </si>
  <si>
    <t>4.5 x 3 x 2cm (left), 1 cm (right)</t>
  </si>
  <si>
    <t>Perithyroidal fibradipose tissue, skeletal muscle, subcutaneous soft tissues, larynx, trachea, esophagus, recurrent laryngeal nerve (RLN)</t>
  </si>
  <si>
    <t>Focal capsular invasion and extension into normal parenchyma</t>
  </si>
  <si>
    <t>Microcarcinoma</t>
  </si>
  <si>
    <t>pT4a</t>
  </si>
  <si>
    <t>Invading subcutaneous soft tissues, larynx, trachea, esophagus, or recurrent laryngeal nerve</t>
  </si>
  <si>
    <t>Deep margin: Involved (block A1, A7, A8), Superior pole margin: Involved (A1), Anterior margin: Clear, 0.2 mm (A8)</t>
  </si>
  <si>
    <t>larynx and part of carotid sheath</t>
  </si>
  <si>
    <t>Positive nerve signals after idssection</t>
  </si>
  <si>
    <t>perithyroidal fibradipose tissue, larynx, part of carotid sheath</t>
  </si>
  <si>
    <t>1.2 cm</t>
  </si>
  <si>
    <t>tall cell variant</t>
  </si>
  <si>
    <t>5.5 cm</t>
  </si>
  <si>
    <t>Peri-thyroidal adipose tissue, extra-thyroidal adipose tissue</t>
  </si>
  <si>
    <t>Present in anterior aspect of inferior pole</t>
  </si>
  <si>
    <t>perithyroidal fibradipose tissue, skeletal muscle, subcutaneous soft tissues</t>
  </si>
  <si>
    <t>Cauterized margin at antero-inferior pole</t>
  </si>
  <si>
    <t>left lateral neck LNs, left central compartment LN, left level II, III, IV LN</t>
  </si>
  <si>
    <t>2</t>
  </si>
  <si>
    <t>IVA</t>
  </si>
  <si>
    <t>IVB</t>
  </si>
  <si>
    <t>ETE</t>
  </si>
  <si>
    <r>
      <t xml:space="preserve">TumorSize </t>
    </r>
    <r>
      <rPr>
        <b/>
        <sz val="11"/>
        <rFont val="Calibri (Body)"/>
      </rPr>
      <t>clean</t>
    </r>
  </si>
  <si>
    <r>
      <t>TumorSize</t>
    </r>
    <r>
      <rPr>
        <b/>
        <sz val="11"/>
        <rFont val="Calibri (Body)"/>
      </rPr>
      <t xml:space="preserve"> 
(cm)</t>
    </r>
  </si>
  <si>
    <t>EXTRACTED INFORMATION FOR CLASSIFCATION</t>
  </si>
  <si>
    <r>
      <t xml:space="preserve">SizeLN </t>
    </r>
    <r>
      <rPr>
        <b/>
        <sz val="11"/>
        <rFont val="Calibri (Body)"/>
      </rPr>
      <t>clean</t>
    </r>
  </si>
  <si>
    <r>
      <t xml:space="preserve">SizeLN
</t>
    </r>
    <r>
      <rPr>
        <b/>
        <sz val="11"/>
        <rFont val="Calibri (Body)"/>
      </rPr>
      <t xml:space="preserve"> (cm)</t>
    </r>
  </si>
  <si>
    <t>CLASSIFICATION RESULT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</si>
</sst>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8">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font>
    <font>
      <b/>
      <sz val="11"/>
      <color theme="1"/>
      <name val="Calibri"/>
      <family val="2"/>
      <scheme val="minor"/>
    </font>
    <font>
      <b/>
      <sz val="11"/>
      <color rgb="FF000000"/>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1"/>
      <name val="Calibri"/>
      <family val="2"/>
      <scheme val="minor"/>
    </font>
    <font>
      <b/>
      <sz val="11"/>
      <name val="Calibri (Body)"/>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s>
  <fills count="35">
    <fill>
      <patternFill patternType="none"/>
    </fill>
    <fill>
      <patternFill patternType="gray125"/>
    </fill>
    <fill>
      <patternFill patternType="solid">
        <fgColor theme="7" tint="0.79998168889431442"/>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8">
    <border>
      <left/>
      <right/>
      <top/>
      <bottom/>
      <diagonal/>
    </border>
    <border>
      <left/>
      <right/>
      <top/>
      <bottom style="thin">
        <color rgb="FF000000"/>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s>
  <cellStyleXfs count="60">
    <xf numFmtId="0" fontId="0" fillId="0" borderId="0"/>
    <xf numFmtId="9" fontId="11" fillId="0" borderId="0" applyFont="0" applyFill="0" applyBorder="0" applyAlignment="0" applyProtection="0"/>
    <xf numFmtId="0" fontId="5" fillId="0" borderId="0"/>
    <xf numFmtId="0" fontId="4" fillId="0" borderId="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17" fillId="0" borderId="8" applyNumberFormat="0" applyFill="0" applyAlignment="0" applyProtection="0"/>
    <xf numFmtId="0" fontId="17" fillId="0" borderId="0" applyNumberFormat="0" applyFill="0" applyBorder="0" applyAlignment="0" applyProtection="0"/>
    <xf numFmtId="0" fontId="18" fillId="4" borderId="0" applyNumberFormat="0" applyBorder="0" applyAlignment="0" applyProtection="0"/>
    <xf numFmtId="0" fontId="19" fillId="5" borderId="0" applyNumberFormat="0" applyBorder="0" applyAlignment="0" applyProtection="0"/>
    <xf numFmtId="0" fontId="20" fillId="7" borderId="9" applyNumberFormat="0" applyAlignment="0" applyProtection="0"/>
    <xf numFmtId="0" fontId="21" fillId="8" borderId="10" applyNumberFormat="0" applyAlignment="0" applyProtection="0"/>
    <xf numFmtId="0" fontId="22" fillId="8" borderId="9" applyNumberFormat="0" applyAlignment="0" applyProtection="0"/>
    <xf numFmtId="0" fontId="23" fillId="0" borderId="11" applyNumberFormat="0" applyFill="0" applyAlignment="0" applyProtection="0"/>
    <xf numFmtId="0" fontId="24" fillId="9" borderId="12" applyNumberFormat="0" applyAlignment="0" applyProtection="0"/>
    <xf numFmtId="0" fontId="9" fillId="0" borderId="0" applyNumberFormat="0" applyFill="0" applyBorder="0" applyAlignment="0" applyProtection="0"/>
    <xf numFmtId="0" fontId="25" fillId="0" borderId="0" applyNumberFormat="0" applyFill="0" applyBorder="0" applyAlignment="0" applyProtection="0"/>
    <xf numFmtId="0" fontId="7" fillId="0" borderId="14" applyNumberFormat="0" applyFill="0" applyAlignment="0" applyProtection="0"/>
    <xf numFmtId="0" fontId="26"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26"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26" fillId="19" borderId="0" applyNumberFormat="0" applyBorder="0" applyAlignment="0" applyProtection="0"/>
    <xf numFmtId="0" fontId="3" fillId="20" borderId="0" applyNumberFormat="0" applyBorder="0" applyAlignment="0" applyProtection="0"/>
    <xf numFmtId="0" fontId="3" fillId="21" borderId="0" applyNumberFormat="0" applyBorder="0" applyAlignment="0" applyProtection="0"/>
    <xf numFmtId="0" fontId="26" fillId="23" borderId="0" applyNumberFormat="0" applyBorder="0" applyAlignment="0" applyProtection="0"/>
    <xf numFmtId="0" fontId="3" fillId="24" borderId="0" applyNumberFormat="0" applyBorder="0" applyAlignment="0" applyProtection="0"/>
    <xf numFmtId="0" fontId="3" fillId="25" borderId="0" applyNumberFormat="0" applyBorder="0" applyAlignment="0" applyProtection="0"/>
    <xf numFmtId="0" fontId="26" fillId="27" borderId="0" applyNumberFormat="0" applyBorder="0" applyAlignment="0" applyProtection="0"/>
    <xf numFmtId="0" fontId="3" fillId="28" borderId="0" applyNumberFormat="0" applyBorder="0" applyAlignment="0" applyProtection="0"/>
    <xf numFmtId="0" fontId="3" fillId="29" borderId="0" applyNumberFormat="0" applyBorder="0" applyAlignment="0" applyProtection="0"/>
    <xf numFmtId="0" fontId="26" fillId="31" borderId="0" applyNumberFormat="0" applyBorder="0" applyAlignment="0" applyProtection="0"/>
    <xf numFmtId="0" fontId="3" fillId="32" borderId="0" applyNumberFormat="0" applyBorder="0" applyAlignment="0" applyProtection="0"/>
    <xf numFmtId="0" fontId="3" fillId="33" borderId="0" applyNumberFormat="0" applyBorder="0" applyAlignment="0" applyProtection="0"/>
    <xf numFmtId="0" fontId="3" fillId="0" borderId="0"/>
    <xf numFmtId="0" fontId="27" fillId="6" borderId="0" applyNumberFormat="0" applyBorder="0" applyAlignment="0" applyProtection="0"/>
    <xf numFmtId="0" fontId="3" fillId="10" borderId="13" applyNumberFormat="0" applyFont="0" applyAlignment="0" applyProtection="0"/>
    <xf numFmtId="0" fontId="26" fillId="14" borderId="0" applyNumberFormat="0" applyBorder="0" applyAlignment="0" applyProtection="0"/>
    <xf numFmtId="0" fontId="26" fillId="18" borderId="0" applyNumberFormat="0" applyBorder="0" applyAlignment="0" applyProtection="0"/>
    <xf numFmtId="0" fontId="26" fillId="22" borderId="0" applyNumberFormat="0" applyBorder="0" applyAlignment="0" applyProtection="0"/>
    <xf numFmtId="0" fontId="26" fillId="26" borderId="0" applyNumberFormat="0" applyBorder="0" applyAlignment="0" applyProtection="0"/>
    <xf numFmtId="0" fontId="26" fillId="30" borderId="0" applyNumberFormat="0" applyBorder="0" applyAlignment="0" applyProtection="0"/>
    <xf numFmtId="0" fontId="26" fillId="34" borderId="0" applyNumberFormat="0" applyBorder="0" applyAlignment="0" applyProtection="0"/>
    <xf numFmtId="0" fontId="2" fillId="0" borderId="0"/>
    <xf numFmtId="0" fontId="2" fillId="10" borderId="13" applyNumberFormat="0" applyFont="0" applyAlignment="0" applyProtection="0"/>
    <xf numFmtId="0" fontId="2" fillId="12" borderId="0" applyNumberFormat="0" applyBorder="0" applyAlignment="0" applyProtection="0"/>
    <xf numFmtId="0" fontId="2" fillId="13"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2" fillId="28" borderId="0" applyNumberFormat="0" applyBorder="0" applyAlignment="0" applyProtection="0"/>
    <xf numFmtId="0" fontId="2" fillId="29" borderId="0" applyNumberFormat="0" applyBorder="0" applyAlignment="0" applyProtection="0"/>
    <xf numFmtId="0" fontId="2" fillId="32" borderId="0" applyNumberFormat="0" applyBorder="0" applyAlignment="0" applyProtection="0"/>
    <xf numFmtId="0" fontId="2" fillId="33" borderId="0" applyNumberFormat="0" applyBorder="0" applyAlignment="0" applyProtection="0"/>
  </cellStyleXfs>
  <cellXfs count="49">
    <xf numFmtId="0" fontId="0" fillId="0" borderId="0" xfId="0"/>
    <xf numFmtId="0" fontId="6" fillId="0" borderId="0" xfId="0" applyFont="1"/>
    <xf numFmtId="0" fontId="6" fillId="0" borderId="1" xfId="0" applyFont="1" applyBorder="1"/>
    <xf numFmtId="0" fontId="8" fillId="0" borderId="2" xfId="0" applyFont="1" applyBorder="1" applyAlignment="1">
      <alignment horizontal="center" vertical="center"/>
    </xf>
    <xf numFmtId="0" fontId="10" fillId="0" borderId="0" xfId="0" applyFont="1" applyAlignment="1">
      <alignment horizontal="center" vertical="center"/>
    </xf>
    <xf numFmtId="0" fontId="12" fillId="0" borderId="0" xfId="0" applyFont="1"/>
    <xf numFmtId="0" fontId="12" fillId="0" borderId="2" xfId="0" applyFont="1" applyBorder="1" applyAlignment="1">
      <alignment horizontal="center" vertical="center"/>
    </xf>
    <xf numFmtId="0" fontId="12" fillId="0" borderId="2" xfId="0" applyFont="1" applyBorder="1" applyAlignment="1">
      <alignment horizontal="center" vertical="center" wrapText="1"/>
    </xf>
    <xf numFmtId="0" fontId="12" fillId="0" borderId="0" xfId="0" applyFont="1" applyAlignment="1">
      <alignment horizontal="center" vertical="center"/>
    </xf>
    <xf numFmtId="1" fontId="12" fillId="0" borderId="2" xfId="0" applyNumberFormat="1" applyFont="1" applyBorder="1" applyAlignment="1">
      <alignment horizontal="center" vertical="center"/>
    </xf>
    <xf numFmtId="1" fontId="12" fillId="0" borderId="5" xfId="0" applyNumberFormat="1" applyFont="1" applyBorder="1" applyAlignment="1">
      <alignment horizontal="center" vertical="center" wrapText="1"/>
    </xf>
    <xf numFmtId="10" fontId="10" fillId="0" borderId="0" xfId="1" applyNumberFormat="1" applyFont="1" applyFill="1" applyBorder="1"/>
    <xf numFmtId="0" fontId="4" fillId="0" borderId="0" xfId="0" applyFont="1"/>
    <xf numFmtId="0" fontId="4" fillId="0" borderId="0" xfId="0" applyFont="1" applyAlignment="1">
      <alignment horizontal="center"/>
    </xf>
    <xf numFmtId="0" fontId="4" fillId="2" borderId="0" xfId="0" applyFont="1" applyFill="1" applyAlignment="1">
      <alignment horizontal="center"/>
    </xf>
    <xf numFmtId="0" fontId="0" fillId="2" borderId="0" xfId="0" applyFill="1" applyAlignment="1">
      <alignment horizontal="center"/>
    </xf>
    <xf numFmtId="164" fontId="0" fillId="0" borderId="0" xfId="0" applyNumberFormat="1"/>
    <xf numFmtId="0" fontId="0" fillId="0" borderId="0" xfId="0" applyAlignment="1">
      <alignment horizontal="center"/>
    </xf>
    <xf numFmtId="0" fontId="0" fillId="0" borderId="0" xfId="0" applyAlignment="1">
      <alignment horizontal="left"/>
    </xf>
    <xf numFmtId="0" fontId="12" fillId="0" borderId="0" xfId="0" applyFont="1" applyAlignment="1">
      <alignment horizontal="center"/>
    </xf>
    <xf numFmtId="10" fontId="0" fillId="0" borderId="0" xfId="0" applyNumberFormat="1"/>
    <xf numFmtId="10" fontId="4" fillId="0" borderId="0" xfId="1" applyNumberFormat="1" applyFont="1" applyFill="1" applyBorder="1"/>
    <xf numFmtId="14" fontId="0" fillId="0" borderId="0" xfId="0" applyNumberFormat="1"/>
    <xf numFmtId="15" fontId="0" fillId="0" borderId="0" xfId="0" applyNumberFormat="1"/>
    <xf numFmtId="1" fontId="12" fillId="0" borderId="5" xfId="0" applyNumberFormat="1" applyFont="1" applyBorder="1" applyAlignment="1">
      <alignment horizontal="center" vertical="center"/>
    </xf>
    <xf numFmtId="1" fontId="12" fillId="0" borderId="16" xfId="0" applyNumberFormat="1" applyFont="1" applyBorder="1" applyAlignment="1">
      <alignment horizontal="center" vertical="center"/>
    </xf>
    <xf numFmtId="0" fontId="4" fillId="0" borderId="2" xfId="0" applyFont="1" applyBorder="1" applyAlignment="1">
      <alignment horizontal="center"/>
    </xf>
    <xf numFmtId="164" fontId="0" fillId="0" borderId="2" xfId="0" applyNumberFormat="1" applyBorder="1"/>
    <xf numFmtId="0" fontId="0" fillId="0" borderId="2" xfId="0" applyBorder="1" applyAlignment="1">
      <alignment horizontal="center"/>
    </xf>
    <xf numFmtId="0" fontId="0" fillId="0" borderId="2" xfId="0" applyBorder="1"/>
    <xf numFmtId="0" fontId="0" fillId="0" borderId="2" xfId="0" applyBorder="1" applyAlignment="1">
      <alignment horizontal="left"/>
    </xf>
    <xf numFmtId="0" fontId="0" fillId="0" borderId="3" xfId="0" applyBorder="1"/>
    <xf numFmtId="0" fontId="12" fillId="2" borderId="0" xfId="0" applyFont="1" applyFill="1" applyAlignment="1">
      <alignment horizontal="center"/>
    </xf>
    <xf numFmtId="1" fontId="12" fillId="3" borderId="4" xfId="0" applyNumberFormat="1" applyFont="1" applyFill="1" applyBorder="1" applyAlignment="1">
      <alignment horizontal="center"/>
    </xf>
    <xf numFmtId="1" fontId="12" fillId="3" borderId="0" xfId="0" applyNumberFormat="1" applyFont="1" applyFill="1" applyAlignment="1">
      <alignment horizontal="center"/>
    </xf>
    <xf numFmtId="1" fontId="12" fillId="3" borderId="15" xfId="0" applyNumberFormat="1" applyFont="1" applyFill="1" applyBorder="1" applyAlignment="1">
      <alignment horizontal="center"/>
    </xf>
    <xf numFmtId="0" fontId="10" fillId="0" borderId="0" xfId="0" applyFont="1" applyFill="1" applyAlignment="1">
      <alignment horizontal="center"/>
    </xf>
    <xf numFmtId="1" fontId="10" fillId="0" borderId="4" xfId="0" applyNumberFormat="1" applyFont="1" applyFill="1" applyBorder="1" applyAlignment="1">
      <alignment horizontal="center"/>
    </xf>
    <xf numFmtId="1" fontId="10" fillId="0" borderId="0" xfId="0" applyNumberFormat="1" applyFont="1" applyFill="1" applyAlignment="1">
      <alignment horizontal="center"/>
    </xf>
    <xf numFmtId="1" fontId="10" fillId="0" borderId="15" xfId="0" applyNumberFormat="1" applyFont="1" applyFill="1" applyBorder="1" applyAlignment="1">
      <alignment horizontal="center"/>
    </xf>
    <xf numFmtId="0" fontId="10" fillId="0" borderId="2" xfId="0" applyFont="1" applyFill="1" applyBorder="1" applyAlignment="1">
      <alignment horizontal="center"/>
    </xf>
    <xf numFmtId="1" fontId="10" fillId="0" borderId="5" xfId="0" applyNumberFormat="1" applyFont="1" applyFill="1" applyBorder="1" applyAlignment="1">
      <alignment horizontal="center"/>
    </xf>
    <xf numFmtId="1" fontId="10" fillId="0" borderId="2" xfId="0" applyNumberFormat="1" applyFont="1" applyFill="1" applyBorder="1" applyAlignment="1">
      <alignment horizontal="center"/>
    </xf>
    <xf numFmtId="1" fontId="10" fillId="0" borderId="16" xfId="0" applyNumberFormat="1" applyFont="1" applyFill="1" applyBorder="1" applyAlignment="1">
      <alignment horizontal="center"/>
    </xf>
    <xf numFmtId="0" fontId="10" fillId="0" borderId="17" xfId="0" applyFont="1" applyFill="1" applyBorder="1" applyAlignment="1">
      <alignment horizontal="center"/>
    </xf>
    <xf numFmtId="0" fontId="10" fillId="0" borderId="4" xfId="0" applyFont="1" applyFill="1" applyBorder="1" applyAlignment="1">
      <alignment horizontal="center"/>
    </xf>
    <xf numFmtId="0" fontId="10" fillId="0" borderId="5" xfId="0" applyFont="1" applyFill="1" applyBorder="1" applyAlignment="1">
      <alignment horizontal="center"/>
    </xf>
    <xf numFmtId="2" fontId="12" fillId="0" borderId="2" xfId="0" applyNumberFormat="1" applyFont="1" applyBorder="1" applyAlignment="1">
      <alignment horizontal="center" vertical="center" wrapText="1"/>
    </xf>
    <xf numFmtId="0" fontId="1" fillId="0" borderId="0" xfId="0" applyFont="1"/>
  </cellXfs>
  <cellStyles count="60">
    <cellStyle name="20% - Accent1" xfId="20" builtinId="30" customBuiltin="1"/>
    <cellStyle name="20% - Accent1 2" xfId="48" xr:uid="{C6084956-82D1-4B85-9997-3B0BC22CAE19}"/>
    <cellStyle name="20% - Accent2" xfId="23" builtinId="34" customBuiltin="1"/>
    <cellStyle name="20% - Accent2 2" xfId="50" xr:uid="{C2F6999E-535F-4888-B8A7-7D52E3B81E6C}"/>
    <cellStyle name="20% - Accent3" xfId="26" builtinId="38" customBuiltin="1"/>
    <cellStyle name="20% - Accent3 2" xfId="52" xr:uid="{7404AF2F-FD4C-46D9-90B4-0E4410A4C58D}"/>
    <cellStyle name="20% - Accent4" xfId="29" builtinId="42" customBuiltin="1"/>
    <cellStyle name="20% - Accent4 2" xfId="54" xr:uid="{FC242126-89F6-4D2F-A9C5-21B887E05AD3}"/>
    <cellStyle name="20% - Accent5" xfId="32" builtinId="46" customBuiltin="1"/>
    <cellStyle name="20% - Accent5 2" xfId="56" xr:uid="{E7B82DE4-6654-4ACA-80CB-64CDA5F63B3D}"/>
    <cellStyle name="20% - Accent6" xfId="35" builtinId="50" customBuiltin="1"/>
    <cellStyle name="20% - Accent6 2" xfId="58" xr:uid="{3C076D3A-743A-49B6-B001-0F36000999EB}"/>
    <cellStyle name="40% - Accent1" xfId="21" builtinId="31" customBuiltin="1"/>
    <cellStyle name="40% - Accent1 2" xfId="49" xr:uid="{437A604B-7877-4FD5-8F8B-2CA73632073A}"/>
    <cellStyle name="40% - Accent2" xfId="24" builtinId="35" customBuiltin="1"/>
    <cellStyle name="40% - Accent2 2" xfId="51" xr:uid="{983F6F68-2BE4-468D-A5DA-CC8BE36E9FB7}"/>
    <cellStyle name="40% - Accent3" xfId="27" builtinId="39" customBuiltin="1"/>
    <cellStyle name="40% - Accent3 2" xfId="53" xr:uid="{A7FA94C8-BE9C-4C79-B744-3DC566A05A15}"/>
    <cellStyle name="40% - Accent4" xfId="30" builtinId="43" customBuiltin="1"/>
    <cellStyle name="40% - Accent4 2" xfId="55" xr:uid="{506DA936-E2C9-42D0-A701-27B6B38CA556}"/>
    <cellStyle name="40% - Accent5" xfId="33" builtinId="47" customBuiltin="1"/>
    <cellStyle name="40% - Accent5 2" xfId="57" xr:uid="{558E0A5D-6872-4EF1-977B-A018FE613706}"/>
    <cellStyle name="40% - Accent6" xfId="36" builtinId="51" customBuiltin="1"/>
    <cellStyle name="40% - Accent6 2" xfId="59" xr:uid="{4C1115E6-51C9-4D22-89FD-A9A19D8132C2}"/>
    <cellStyle name="60% - Accent1 2" xfId="40" xr:uid="{0C43852C-115E-475F-996E-2E6B552A787A}"/>
    <cellStyle name="60% - Accent2 2" xfId="41" xr:uid="{18396898-0E43-47C8-AF3B-CE3B414DA01F}"/>
    <cellStyle name="60% - Accent3 2" xfId="42" xr:uid="{41988CE8-561A-4068-AB58-BDC32D7BC003}"/>
    <cellStyle name="60% - Accent4 2" xfId="43" xr:uid="{2C1DA9D9-C699-46CC-8F46-0AAFB6D4D2CC}"/>
    <cellStyle name="60% - Accent5 2" xfId="44" xr:uid="{B850B3EC-7518-4C4C-9AC4-406062816E07}"/>
    <cellStyle name="60% - Accent6 2" xfId="45" xr:uid="{BE985310-0348-4A0E-B58F-BB6E420F3A46}"/>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10" builtinId="27" customBuiltin="1"/>
    <cellStyle name="Calculation" xfId="13" builtinId="22" customBuiltin="1"/>
    <cellStyle name="Check Cell" xfId="15" builtinId="23" customBuiltin="1"/>
    <cellStyle name="Explanatory Text" xfId="17"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1" builtinId="20" customBuiltin="1"/>
    <cellStyle name="Linked Cell" xfId="14" builtinId="24" customBuiltin="1"/>
    <cellStyle name="Neutral 2" xfId="38" xr:uid="{4C4AF6F1-E759-42BD-A947-3D51191B37A0}"/>
    <cellStyle name="Normal" xfId="0" builtinId="0"/>
    <cellStyle name="Normal 2" xfId="2" xr:uid="{266EB89C-DF2D-482B-91DC-BD609FF311D0}"/>
    <cellStyle name="Normal 3" xfId="3" xr:uid="{487789B2-E6F5-48EB-A123-3C12300ABE75}"/>
    <cellStyle name="Normal 4" xfId="37" xr:uid="{8933903E-25B0-40DD-B280-C5ED34D225D7}"/>
    <cellStyle name="Normal 5" xfId="46" xr:uid="{0EFCBCE9-D550-4135-A335-58343EB0BC5E}"/>
    <cellStyle name="Note 2" xfId="39" xr:uid="{229BDDF4-8816-40CB-B8F6-A1B6E2DC4ADF}"/>
    <cellStyle name="Note 3" xfId="47" xr:uid="{F49FA41D-8387-400A-92A6-1328AE10848F}"/>
    <cellStyle name="Output" xfId="12" builtinId="21" customBuiltin="1"/>
    <cellStyle name="Percent" xfId="1" builtinId="5"/>
    <cellStyle name="Title" xfId="4" builtinId="15" customBuiltin="1"/>
    <cellStyle name="Total" xfId="18" builtinId="25" customBuiltin="1"/>
    <cellStyle name="Warning Text" xfId="16" builtinId="11" customBuiltin="1"/>
  </cellStyles>
  <dxfs count="3">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5DEB-A405-FD42-8A3F-BEDB5F4341EF}">
  <dimension ref="A1:AX64"/>
  <sheetViews>
    <sheetView tabSelected="1" zoomScale="70" zoomScaleNormal="70" workbookViewId="0">
      <pane xSplit="1" ySplit="2" topLeftCell="AF3" activePane="bottomRight" state="frozen"/>
      <selection activeCell="S54" sqref="S54"/>
      <selection pane="topRight" activeCell="S54" sqref="S54"/>
      <selection pane="bottomLeft" activeCell="S54" sqref="S54"/>
      <selection pane="bottomRight" activeCell="AI1" sqref="AI1:AM1"/>
    </sheetView>
  </sheetViews>
  <sheetFormatPr defaultColWidth="10.6640625" defaultRowHeight="14.25"/>
  <cols>
    <col min="2" max="4" width="11.33203125" hidden="1" customWidth="1"/>
    <col min="5" max="5" width="10.796875" style="17"/>
    <col min="6" max="6" width="12.46484375" bestFit="1" customWidth="1"/>
    <col min="7" max="7" width="10.9296875" customWidth="1"/>
    <col min="8" max="8" width="10.796875" style="17"/>
    <col min="10" max="10" width="12.33203125" customWidth="1"/>
    <col min="11" max="11" width="11.796875" style="17" customWidth="1"/>
    <col min="12" max="12" width="12.53125" style="17" bestFit="1" customWidth="1"/>
    <col min="13" max="13" width="12.46484375" style="17" bestFit="1" customWidth="1"/>
    <col min="14" max="14" width="10.796875" hidden="1" customWidth="1"/>
    <col min="15" max="15" width="13.33203125" hidden="1" customWidth="1"/>
    <col min="16" max="16" width="9.6640625" customWidth="1"/>
    <col min="17" max="17" width="32.73046875" bestFit="1" customWidth="1"/>
    <col min="18" max="18" width="25.1328125" bestFit="1" customWidth="1"/>
    <col min="19" max="19" width="17.6640625" hidden="1" customWidth="1"/>
    <col min="20" max="20" width="0" hidden="1" customWidth="1"/>
    <col min="22" max="22" width="14.6640625" style="17" customWidth="1"/>
    <col min="23" max="23" width="14.6640625" style="17" hidden="1" customWidth="1"/>
    <col min="24" max="24" width="23.53125" customWidth="1"/>
    <col min="25" max="25" width="12.19921875" customWidth="1"/>
    <col min="27" max="27" width="14.1328125" style="17" customWidth="1"/>
    <col min="28" max="30" width="14.1328125" style="17" hidden="1" customWidth="1"/>
    <col min="31" max="31" width="14.33203125" customWidth="1"/>
    <col min="32" max="32" width="86.73046875" customWidth="1"/>
    <col min="34" max="34" width="10.796875" style="17"/>
    <col min="35" max="35" width="13.265625" customWidth="1"/>
    <col min="36" max="39" width="10.796875" customWidth="1"/>
    <col min="40" max="40" width="11.33203125" bestFit="1" customWidth="1"/>
    <col min="41" max="46" width="10.796875" customWidth="1"/>
    <col min="47" max="49" width="10.6640625" customWidth="1"/>
  </cols>
  <sheetData>
    <row r="1" spans="1:49" s="5" customFormat="1">
      <c r="A1" s="32" t="s">
        <v>409</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19"/>
      <c r="AI1" s="33" t="s">
        <v>412</v>
      </c>
      <c r="AJ1" s="34"/>
      <c r="AK1" s="34"/>
      <c r="AL1" s="34"/>
      <c r="AM1" s="34"/>
      <c r="AN1" s="33" t="s">
        <v>198</v>
      </c>
      <c r="AO1" s="34"/>
      <c r="AP1" s="34"/>
      <c r="AQ1" s="34"/>
      <c r="AR1" s="34"/>
      <c r="AS1" s="33" t="s">
        <v>199</v>
      </c>
      <c r="AT1" s="34"/>
      <c r="AU1" s="34"/>
      <c r="AV1" s="34"/>
      <c r="AW1" s="35"/>
    </row>
    <row r="2" spans="1:49" s="4" customFormat="1" ht="42">
      <c r="A2" s="6" t="s">
        <v>0</v>
      </c>
      <c r="B2" s="6" t="s">
        <v>1</v>
      </c>
      <c r="C2" s="3" t="s">
        <v>2</v>
      </c>
      <c r="D2" s="3" t="s">
        <v>3</v>
      </c>
      <c r="E2" s="6" t="s">
        <v>4</v>
      </c>
      <c r="F2" s="6" t="s">
        <v>5</v>
      </c>
      <c r="G2" s="6" t="s">
        <v>6</v>
      </c>
      <c r="H2" s="6" t="s">
        <v>7</v>
      </c>
      <c r="I2" s="6" t="s">
        <v>8</v>
      </c>
      <c r="J2" s="6" t="s">
        <v>171</v>
      </c>
      <c r="K2" s="6" t="s">
        <v>9</v>
      </c>
      <c r="L2" s="6" t="s">
        <v>10</v>
      </c>
      <c r="M2" s="6" t="s">
        <v>11</v>
      </c>
      <c r="N2" s="6" t="s">
        <v>12</v>
      </c>
      <c r="O2" s="6" t="s">
        <v>410</v>
      </c>
      <c r="P2" s="47" t="s">
        <v>411</v>
      </c>
      <c r="Q2" s="6" t="s">
        <v>13</v>
      </c>
      <c r="R2" s="6" t="s">
        <v>14</v>
      </c>
      <c r="S2" s="6" t="s">
        <v>15</v>
      </c>
      <c r="T2" s="7" t="s">
        <v>407</v>
      </c>
      <c r="U2" s="47" t="s">
        <v>408</v>
      </c>
      <c r="V2" s="6" t="s">
        <v>16</v>
      </c>
      <c r="W2" s="6" t="s">
        <v>17</v>
      </c>
      <c r="X2" s="6" t="s">
        <v>18</v>
      </c>
      <c r="Y2" s="7" t="s">
        <v>206</v>
      </c>
      <c r="Z2" s="6" t="s">
        <v>19</v>
      </c>
      <c r="AA2" s="6" t="s">
        <v>20</v>
      </c>
      <c r="AB2" s="6" t="s">
        <v>21</v>
      </c>
      <c r="AC2" s="6" t="s">
        <v>22</v>
      </c>
      <c r="AD2" s="7" t="s">
        <v>23</v>
      </c>
      <c r="AE2" s="6" t="s">
        <v>24</v>
      </c>
      <c r="AF2" s="7" t="s">
        <v>406</v>
      </c>
      <c r="AG2" s="6" t="s">
        <v>234</v>
      </c>
      <c r="AH2" s="8"/>
      <c r="AI2" s="24" t="s">
        <v>147</v>
      </c>
      <c r="AJ2" s="9" t="s">
        <v>148</v>
      </c>
      <c r="AK2" s="9" t="s">
        <v>149</v>
      </c>
      <c r="AL2" s="9" t="s">
        <v>150</v>
      </c>
      <c r="AM2" s="9" t="s">
        <v>151</v>
      </c>
      <c r="AN2" s="10" t="s">
        <v>147</v>
      </c>
      <c r="AO2" s="9" t="s">
        <v>148</v>
      </c>
      <c r="AP2" s="9" t="s">
        <v>149</v>
      </c>
      <c r="AQ2" s="9" t="s">
        <v>150</v>
      </c>
      <c r="AR2" s="9" t="s">
        <v>151</v>
      </c>
      <c r="AS2" s="10" t="s">
        <v>147</v>
      </c>
      <c r="AT2" s="9" t="s">
        <v>148</v>
      </c>
      <c r="AU2" s="9" t="s">
        <v>149</v>
      </c>
      <c r="AV2" s="9" t="s">
        <v>150</v>
      </c>
      <c r="AW2" s="25" t="s">
        <v>151</v>
      </c>
    </row>
    <row r="3" spans="1:49">
      <c r="A3" s="13">
        <v>1</v>
      </c>
      <c r="B3" s="16">
        <f>_xlfn.MAXIFS('Model output'!B:B,'Model output'!Z:Z,'Classification result'!$A3)</f>
        <v>45320</v>
      </c>
      <c r="C3" s="16"/>
      <c r="D3" s="16"/>
      <c r="E3" s="17">
        <f>_xlfn.MAXIFS('Model output'!C:C,'Model output'!Z:Z,'Classification result'!$A3)</f>
        <v>67</v>
      </c>
      <c r="F3" s="17" t="str" cm="1">
        <f t="array" ref="F3">LEFT(IF(ISERROR(RIGHT(IF(INDEX(_xlfn._xlws.FILTER('Model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output'!Z:Z=A3)),1),""),1))),"",(RIGHT(IF(INDEX(_xlfn._xlws.FILTER('Model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output'!Z:Z=A3)),1)))))),2)</f>
        <v>1b</v>
      </c>
      <c r="G3" s="17" t="str" cm="1">
        <f t="array" ref="G3">IF(ISNUMBER(SEARCH("N",IF(ISNUMBER(SEARCH("present",IF(INDEX(_xlfn._xlws.FILTER('Model output'!E:E,('Model output'!Z:Z=A3)),1)="","",INDEX(_xlfn._xlws.FILTER('Model output'!E:E,('Model output'!Z:Z=A3)),1)),1)),"N1", IF(INDEX(_xlfn._xlws.FILTER('Model output'!E:E,('Model output'!Z:Z=A3)),1)="","",INDEX(_xlfn._xlws.FILTER('Model output'!E:E,('Model output'!Z:Z=A3)),1))),1)),RIGHT(IF(ISNUMBER(SEARCH("present",IF(INDEX(_xlfn._xlws.FILTER('Model output'!E:E,('Model output'!Z:Z=A3)),1)="","",INDEX(_xlfn._xlws.FILTER('Model output'!E:E,('Model output'!Z:Z=A3)),1)),1)),"N1", IF(INDEX(_xlfn._xlws.FILTER('Model output'!E:E,('Model output'!Z:Z=A3)),1)="","",INDEX(_xlfn._xlws.FILTER('Model output'!E:E,('Model output'!Z:Z=A3)),1))),LEN(IF(ISNUMBER(SEARCH("present",IF(INDEX(_xlfn._xlws.FILTER('Model output'!E:E,('Model output'!Z:Z=A3)),1)="","",INDEX(_xlfn._xlws.FILTER('Model output'!E:E,('Model output'!Z:Z=A3)),1)),1)),"N1", IF(INDEX(_xlfn._xlws.FILTER('Model output'!E:E,('Model output'!Z:Z=A3)),1)="","",INDEX(_xlfn._xlws.FILTER('Model output'!E:E,('Model output'!Z:Z=A3)),1))))-FIND("N",IF(ISNUMBER(SEARCH("present",IF(INDEX(_xlfn._xlws.FILTER('Model output'!E:E,('Model output'!Z:Z=A3)),1)="","",INDEX(_xlfn._xlws.FILTER('Model output'!E:E,('Model output'!Z:Z=A3)),1)),1)),"N1", IF(INDEX(_xlfn._xlws.FILTER('Model output'!E:E,('Model output'!Z:Z=A3)),1)="","",INDEX(_xlfn._xlws.FILTER('Model output'!E:E,('Model output'!Z:Z=A3)),1))),1)), "")</f>
        <v/>
      </c>
      <c r="H3" s="17" cm="1">
        <f t="array" ref="H3">IF(AND(SUBSTITUTE(_xlfn.TEXTJOIN("/", TRUE, _xlfn._xlws.FILTER('Model output'!F:F, 'Model output'!Z:Z=A3)),"M", "")="", K3="negative"),0,IF(K3="positive",1,0))</f>
        <v>0</v>
      </c>
      <c r="I3" t="str">
        <f t="shared" ref="I3:I37" si="0">IF(OR(J3&lt;&gt;"",AND(M3&lt;&gt;"",M3&gt;0)),"positive","")</f>
        <v>positive</v>
      </c>
      <c r="J3" s="31" t="str" cm="1">
        <f t="array" ref="J3">IF(AND(M3&gt;0, _xlfn.TEXTJOIN("; ", TRUE, _xlfn._xlws.FILTER('Model output'!G:G, 'Model output'!Z:Z=A3)) &lt;&gt;"", OR(AND(ISNUMBER(SEARCH("level", _xlfn.TEXTJOIN("; ", TRUE, _xlfn._xlws.FILTER('Model output'!G:G, 'Model output'!Z:Z=A3)),1)),OR(ISNUMBER(SEARCH(" II", _xlfn.TEXTJOIN("; ", TRUE, _xlfn._xlws.FILTER('Model output'!G:G, 'Model output'!Z:Z=A3)),1)),ISNUMBER(SEARCH("2", _xlfn.TEXTJOIN("; ", TRUE, _xlfn._xlws.FILTER('Model output'!G:G, 'Model output'!Z:Z=A3)),1)),ISNUMBER(SEARCH("two", _xlfn.TEXTJOIN("; ", TRUE, _xlfn._xlws.FILTER('Model output'!G:G, 'Model output'!Z:Z=A3)),1)),ISNUMBER(SEARCH("III", _xlfn.TEXTJOIN("; ", TRUE, _xlfn._xlws.FILTER('Model output'!G:G, 'Model output'!Z:Z=A3)),1)),ISNUMBER(SEARCH("3", _xlfn.TEXTJOIN("; ", TRUE, _xlfn._xlws.FILTER('Model output'!G:G, 'Model output'!Z:Z=A3)),1)),ISNUMBER(SEARCH("three", _xlfn.TEXTJOIN("; ", TRUE, _xlfn._xlws.FILTER('Model output'!G:G, 'Model output'!Z:Z=A3)),1)),ISNUMBER(SEARCH("IV", _xlfn.TEXTJOIN("; ", TRUE, _xlfn._xlws.FILTER('Model output'!G:G, 'Model output'!Z:Z=A3)),1)),ISNUMBER(SEARCH("4", _xlfn.TEXTJOIN("; ", TRUE, _xlfn._xlws.FILTER('Model output'!G:G, 'Model output'!Z:Z=A3)),1)),ISNUMBER(SEARCH("five", _xlfn.TEXTJOIN("; ", TRUE, _xlfn._xlws.FILTER('Model output'!G:G, 'Model output'!Z:Z=A3)),1)),ISNUMBER(SEARCH("V ", _xlfn.TEXTJOIN("; ", TRUE, _xlfn._xlws.FILTER('Model output'!G:G, 'Model output'!Z:Z=A3)),1)),ISNUMBER(SEARCH("5", _xlfn.TEXTJOIN("; ", TRUE, _xlfn._xlws.FILTER('Model output'!G:G, 'Model output'!Z:Z=A3)),1)),ISNUMBER(SEARCH("five", _xlfn.TEXTJOIN("; ", TRUE, _xlfn._xlws.FILTER('Model output'!G:G, 'Model output'!Z:Z=A3)),1)),ISNUMBER(SEARCH(" lateral", _xlfn.TEXTJOIN("; ", TRUE, _xlfn._xlws.FILTER('Model output'!G:G, 'Model output'!Z:Z=A3)),1)))),ISNUMBER(SEARCH("cervical", _xlfn.TEXTJOIN("; ", TRUE, _xlfn._xlws.FILTER('Model output'!G:G, 'Model output'!Z:Z=A3)),1)),ISNUMBER(SEARCH("jugular", _xlfn.TEXTJOIN("; ", TRUE, _xlfn._xlws.FILTER('Model output'!G:G, 'Model output'!Z:Z=A3)),1)),ISNUMBER(SEARCH("left neck", _xlfn.TEXTJOIN("; ", TRUE, _xlfn._xlws.FILTER('Model output'!G:G, 'Model output'!Z:Z=A3)),1)),ISNUMBER(SEARCH("left anterior neck", _xlfn.TEXTJOIN("; ", TRUE, _xlfn._xlws.FILTER('Model output'!G:G, 'Model output'!Z:Z=A3)),1)),ISNUMBER(SEARCH("left posterior neck", _xlfn.TEXTJOIN("; ", TRUE, _xlfn._xlws.FILTER('Model output'!G:G, 'Model output'!Z:Z=A3)),1)),ISNUMBER(SEARCH("right neck", _xlfn.TEXTJOIN("; ", TRUE, _xlfn._xlws.FILTER('Model output'!G:G, 'Model output'!Z:Z=A3)),1)),ISNUMBER(SEARCH("right anterior neck", _xlfn.TEXTJOIN("; ", TRUE, _xlfn._xlws.FILTER('Model output'!G:G, 'Model output'!Z:Z=A3)),1)),ISNUMBER(SEARCH("right posterior neck", _xlfn.TEXTJOIN("; ", TRUE, _xlfn._xlws.FILTER('Model output'!G:G, 'Model output'!Z:Z=A3)),1)))),"lateral",IF(AND(M3=0, _xlfn.TEXTJOIN("; ", TRUE, _xlfn._xlws.FILTER('Model output'!G:G, 'Model output'!Z:Z=A3))=""),"", "central"))</f>
        <v>central</v>
      </c>
      <c r="K3" s="17" t="str" cm="1">
        <f t="array" ref="K3">IF(OR(ISNUMBER(SEARCH("lymph",_xlfn.TEXTJOIN("; ", TRUE, _xlfn._xlws.FILTER('Model output'!H:H, 'Model output'!Z:Z=A3)),1)), ISNUMBER(SEARCH("Not mentioned",_xlfn.TEXTJOIN("; ", TRUE, _xlfn._xlws.FILTER('Model output'!H:H, 'Model output'!Z:Z=A3)),1)),ISNUMBER(SEARCH("subcutaneous soft tissues",_xlfn.TEXTJOIN("; ", TRUE, _xlfn._xlws.FILTER('Model output'!H:H, 'Model output'!Z:Z=A3)),1)),ISNUMBER(SEARCH("larynx",_xlfn.TEXTJOIN("; ", TRUE, _xlfn._xlws.FILTER('Model output'!H:H, 'Model output'!Z:Z=A3)),1)),ISNUMBER(SEARCH("trachea",_xlfn.TEXTJOIN("; ", TRUE, _xlfn._xlws.FILTER('Model output'!H:H, 'Model output'!Z:Z=A3)),1)),ISNUMBER(SEARCH("esophagus",_xlfn.TEXTJOIN("; ", TRUE, _xlfn._xlws.FILTER('Model output'!H:H, 'Model output'!Z:Z=A3)),1)),ISNUMBER(SEARCH("recurrent laryngeal nerve",_xlfn.TEXTJOIN("; ", TRUE, _xlfn._xlws.FILTER('Model output'!H:H, 'Model output'!Z:Z=A3)),1)),ISNUMBER(SEARCH("RLN",_xlfn.TEXTJOIN("; ", TRUE, _xlfn._xlws.FILTER('Model output'!H:H, 'Model output'!Z:Z=A3)),1)),_xlfn.TEXTJOIN("; ", TRUE, _xlfn._xlws.FILTER('Model output'!H:H, 'Model output'!Z:Z=A3))=""),"negative","positive")</f>
        <v>negative</v>
      </c>
      <c r="L3" s="17">
        <f>IF(IFERROR(INDEX('Model output'!I:I, MATCH(A3, 'Model output'!Z:Z, 0)), "") &lt; M3, "", IFERROR(INDEX('Model output'!I:I, MATCH(A3, 'Model output'!Z:Z, 0)), ""))</f>
        <v>0</v>
      </c>
      <c r="M3" s="17">
        <f>IFERROR(INDEX('Model output'!J:J, MATCH(A3, 'Model output'!Z:Z, 0)), "")</f>
        <v>0</v>
      </c>
      <c r="N3" s="18" t="str" cm="1">
        <f t="array" ref="N3">ReplaceTo(ReplaceAnd(SUBSTITUTE(SUBSTITUTE(_xlfn.TEXTJOIN("; ", TRUE, _xlfn._xlws.FILTER('Model output'!K:K, 'Model output'!Z:Z=A3)), " ", ""), ",", ";")))</f>
        <v/>
      </c>
      <c r="O3" t="str" cm="1">
        <f t="array" ref="O3">IF(LEFT(IF(RIGHT(SUBSTITUTE(FilterWithUnits(N3)&amp;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";")),1)=";",RIGHT(IF(RIGHT(SUBSTITUTE(FilterWithUnits(N3)&amp;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";")),LEN(IF(RIGHT(SUBSTITUTE(FilterWithUnits(N3)&amp;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";")))-1),IF(RIGHT(SUBSTITUTE(FilterWithUnits(N3)&amp;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f>
        <v/>
      </c>
      <c r="P3" t="str" cm="1">
        <f t="array" ref="P3">IF(MaxSize((SplitDimensions(O3)))=0, "", MaxSize((SplitDimensions(O3))))</f>
        <v/>
      </c>
      <c r="Q3" t="str" cm="1">
        <f t="array" ref="Q3">IF(ISERROR(INDEX(_xlfn._xlws.FILTER('Model output'!L:L, ('Model output'!Z:Z=A3)*('Model output'!L:L&lt;&gt;"")), 1)), " ", LOWER(INDEX(_xlfn._xlws.FILTER('Model output'!L:L, ('Model output'!Z:Z=A3)*('Model output'!L:L&lt;&gt;"")), 1)))</f>
        <v>papillary carcinoma</v>
      </c>
      <c r="R3" t="str" cm="1">
        <f t="array" ref="R3">Q3 &amp; " " &amp;IF(ISERROR(INDEX(_xlfn._xlws.FILTER('Model output'!M:M, ('Model output'!Z:Z=A3)*('Model output'!M:M&lt;&gt;"")), 1)), " ", LOWER(INDEX(_xlfn._xlws.FILTER('Model output'!M:M, ('Model output'!Z:Z=A3)*('Model output'!M:M&lt;&gt;"")), 1)))</f>
        <v>papillary carcinoma infiltrative follicular subtype</v>
      </c>
      <c r="S3" t="str" cm="1">
        <f t="array" ref="S3">IF(OR(ISNUMBER(SEARCH("ly",SUBSTITUTE(INDEX(_xlfn._xlws.FILTER('Model output'!N:N,('Model output'!Z:Z=A3)*('Model output'!N:N&lt;&gt;"")),1)," ",""),1)), ISNUMBER(SEARCH("pole",SUBSTITUTE(INDEX(_xlfn._xlws.FILTER('Model output'!N:N,('Model output'!Z:Z=A3)*('Model output'!N:N&lt;&gt;"")),1)," ",""),1))),"",SUBSTITUTE(INDEX(_xlfn._xlws.FILTER('Model output'!N:N,('Model output'!Z:Z=A3)*('Model output'!N:N&lt;&gt;"")),1)," ",""))</f>
        <v>13mm</v>
      </c>
      <c r="T3" t="str" cm="1">
        <f t="array" ref="T3">IF(LEFT(IF(RIGHT(SUBSTITUTE(FilterWithUnits(S3)&amp;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";")),1)=";",RIGHT(IF(RIGHT(SUBSTITUTE(FilterWithUnits(S3)&amp;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";")),LEN(IF(RIGHT(SUBSTITUTE(FilterWithUnits(S3)&amp;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";")))-1),IF(RIGHT(SUBSTITUTE(FilterWithUnits(S3)&amp;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f>
        <v>13mm</v>
      </c>
      <c r="U3" cm="1">
        <f t="array" ref="U3">IF(MaxSize((SplitDimensions(T3)))=0, "", MaxSize((SplitDimensions(T3))))</f>
        <v>1.3</v>
      </c>
      <c r="V3" s="17" t="str" cm="1">
        <f t="array" ref="V3">IF(ISERROR(INDEX(_xlfn._xlws.FILTER('Model output'!P:P,('Model output'!Z:Z=A3)*('Model output'!P:P&lt;&gt;"")),1)),"negative",IF(OR(ISNUMBER(SEARCH("foc",INDEX(_xlfn._xlws.FILTER('Model output'!P:P,('Model output'!Z:Z=A3)*('Model output'!P:P&lt;&gt;"")),1),1)),ISNUMBER(SEARCH("extensive",INDEX(_xlfn._xlws.FILTER('Model output'!P:P,('Model output'!Z:Z=A3)*('Model output'!P:P&lt;&gt;"")),1),1)),ISNUMBER(SEARCH("present",INDEX(_xlfn._xlws.FILTER('Model output'!P:P,('Model output'!Z:Z=A3)*('Model output'!P:P&lt;&gt;"")),1),1)),ISNUMBER(SEARCH("yes",INDEX(_xlfn._xlws.FILTER('Model output'!P:P,('Model output'!Z:Z=A3)*('Model output'!P:P&lt;&gt;"")),1),1))),"positive","negative"))</f>
        <v>negative</v>
      </c>
      <c r="X3" t="str" cm="1">
        <f t="array" ref="X3">IF(ISNUMBER(SEARCH("4",INDEX(_xlfn._xlws.FILTER('Model output'!P:P,('Model output'!Z:Z=A3)*('Model output'!P:P&lt;&gt;"")),1),1)),INDEX(_xlfn._xlws.FILTER('Model output'!P:P,('Model output'!Z:Z=A3)*('Model output'!P:P&lt;&gt;"")),1),"") &amp; _xlfn.TEXTJOIN("",TRUE,_xlfn._xlws.FILTER('Model output'!Q:Q,'Model output'!Z:Z=A3))</f>
        <v/>
      </c>
      <c r="Y3" t="str">
        <f>IF(V3="negative","no",IF(OR(ISNUMBER(SEARCH("&gt; 4",X3,1)),ISNUMBER(SEARCH("&gt;4",X3,1)),ISNUMBER(SEARCH("4 or more",X3,1)),ISNUMBER(SEARCH("extensive",X3,1))),"extensive","minimal"))</f>
        <v>no</v>
      </c>
      <c r="Z3" t="str" cm="1">
        <f t="array" ref="Z3">IF(OR(ISNUMBER(SEARCH("focal",_xlfn.TEXTJOIN("; ",TRUE,_xlfn._xlws.FILTER('Model output'!R:R,'Model output'!Z:Z=A3)),1)),ISNUMBER(SEARCH("present",_xlfn.TEXTJOIN("; ",TRUE,_xlfn._xlws.FILTER('Model output'!R:R,'Model output'!Z:Z=A3)),1))),"positive",IF(_xlfn.TEXTJOIN("; ",TRUE,_xlfn._xlws.FILTER('Model output'!R:R,'Model output'!Z:Z=A3))="","negative",IF(OR(ISNUMBER(SEARCH("no",_xlfn.TEXTJOIN("; ",TRUE,_xlfn._xlws.FILTER('Model output'!R:R,'Model output'!Z:Z=A3)),1)),ISNUMBER(SEARCH("absent",_xlfn.TEXTJOIN("; ",TRUE,_xlfn._xlws.FILTER('Model output'!R:R,'Model output'!Z:Z=A3)),1))),"negative","positive")))</f>
        <v>positive</v>
      </c>
      <c r="AA3" s="17" t="str">
        <f>IF(OR(ISNUMBER(SEARCH("soft tissue", AF3)), ISNUMBER(SEARCH("adipose tissue", AF3)), ISNUMBER(SEARCH("muscles", AF3)), ISNUMBER(SEARCH("microscopic", AF3)), ISNUMBER(SEARCH("minimal", AF3)), ISNUMBER(SEARCH("surrounding fat", AF3)), ISNUMBER(SEARCH("present", AF3)), ISNUMBER(SEARCH("yes", AF3))), "positive", "negative")</f>
        <v>negative</v>
      </c>
      <c r="AB3" s="17" t="str">
        <f t="shared" ref="AB3:AD3" si="1">IF(OR(ISNUMBER(SEARCH("soft tissue", AG3)), ISNUMBER(SEARCH("adipose tissue", AG3)), ISNUMBER(SEARCH("muscles", AG3)), ISNUMBER(SEARCH("microscopic", AG3)), ISNUMBER(SEARCH("minimal", AG3)), ISNUMBER(SEARCH("surrounding fat", AG3)), ISNUMBER(SEARCH("present", AG3)), ISNUMBER(SEARCH("yes", AG3))), "positive", "negative")</f>
        <v>negative</v>
      </c>
      <c r="AC3" s="17" t="str">
        <f t="shared" si="1"/>
        <v>negative</v>
      </c>
      <c r="AD3" s="17" t="str">
        <f t="shared" si="1"/>
        <v>negative</v>
      </c>
      <c r="AE3" s="17" t="str">
        <f>IF(OR(ISNUMBER(SEARCH("subcutaneous soft tissues", AF3)),ISNUMBER(SEARCH("strap muscle", AF3)), ISNUMBER(SEARCH("larynx", AF3)), ISNUMBER(SEARCH("skeletal muscle", AF3)),ISNUMBER(SEARCH("trachea", AF3)),ISNUMBER(SEARCH("esophagus", AF3)), ISNUMBER(SEARCH("recurrent laryngeal nerve", AF3)), ISNUMBER(SEARCH("RLN", AF3))), "positive", "negative")</f>
        <v>negative</v>
      </c>
      <c r="AF3" t="str" cm="1">
        <f t="array" ref="AF3">_xlfn.TEXTJOIN("; ",TRUE,_xlfn._xlws.FILTER('Model output'!S:S,'Model output'!Z:Z=A3))</f>
        <v>Not identified</v>
      </c>
      <c r="AG3" s="17" t="str" cm="1">
        <f t="array" ref="AG3">IF(OR(ISNUMBER(SEARCH("uninvolved",_xlfn.TEXTJOIN("; ",TRUE,_xlfn._xlws.FILTER('Model output'!V:V,'Model output'!Z:Z=A3)),1)),ISNUMBER(SEARCH("clear",_xlfn.TEXTJOIN("; ",TRUE,_xlfn._xlws.FILTER('Model output'!V:V,'Model output'!Z:Z=A3)),1)),ISNUMBER(SEARCH("not mentioned",_xlfn.TEXTJOIN("; ",TRUE,_xlfn._xlws.FILTER('Model output'!V:V,'Model output'!Z:Z=A3)),1))),"negative","positive")</f>
        <v>positive</v>
      </c>
      <c r="AI3" s="44" t="str">
        <f t="shared" ref="AI3:AI37" si="2">IF(OR(ISNUMBER(SEARCH("non-invasive follicular",Q3,1)), ISNUMBER(SEARCH("papillary-like nuclear features",R3,1)), ISNUMBER(SEARCH("non-invasive follicular",R3,1)),ISNUMBER(SEARCH("papillary-like nuclear features",R3,1))),"NIFTP", IF(OR(K3="positive",AE3="positive",AND(OR(ISNUMBER(SEARCH("follicular", Q3)),ISNUMBER(SEARCH("FTC", Q3))),Y3="extensive"),AND(I3="positive",ISNUMBER(P3),P3&gt;3),AK3=1),"high",IF(OR(ISNUMBER(SEARCH("positive",AA3,1)),ISNUMBER(SEARCH("tall",R3,1)),ISNUMBER(SEARCH("hobnail",R3,1)),ISNUMBER(SEARCH("cribriform",R3,1)),ISNUMBER(SEARCH("diffuse",R3,1)),ISNUMBER(SEARCH("columnar",R3,1)),ISNUMBER(SEARCH("solid",R3,1)),ISNUMBER(SEARCH("tall",Q3,1)),ISNUMBER(SEARCH("hobnail",Q3,1)),ISNUMBER(SEARCH("cribriform",Q3,1)),ISNUMBER(SEARCH("diffuse",Q3,1)),ISNUMBER(SEARCH("columnar",Q3,1)),ISNUMBER(SEARCH("solid",Q3,1)),AND(OR(ISNUMBER(SEARCH("papillary carcinoma",Q3,1)),ISNUMBER(SEARCH("papillary microcarcinoma",Q3,1))),V3="positive"),,AND(AND(ISNUMBER(M3),M3&gt;=5),P3=""),AND(AND(ISNUMBER(M3),M3&gt;=5),AND(ISNUMBER(P3),P3&gt;=1)),J3="lateral"),"intermediate","low")))</f>
        <v>low</v>
      </c>
      <c r="AJ3" s="36" t="str">
        <f t="shared" ref="AJ3:AJ36" si="3">IF(OR(ISNUMBER(SEARCH("non-invasive follicular",Q3)),ISNUMBER(SEARCH("papillary-like nuclear features",Q3)),ISNUMBER(SEARCH("non-invasive follicular",R3)),ISNUMBER(SEARCH("papillary-like nuclear features",R3))),"NIFTP", IF(OR(F3="4b",AND(AE3="positive",OR(ISNUMBER(SEARCH("prevertebral",AF3)),ISNUMBER(SEARCH("fascia",AF3)),ISNUMBER(SEARCH("carotid artery",AF3)),ISNUMBER(SEARCH("mediastinal",AF3))))),"4b",IF(OR(F3="4a",AND(AE3="positive",OR(ISNUMBER(SEARCH("soft tissue",AF3)),ISNUMBER(SEARCH("larynx",AF3)),ISNUMBER(SEARCH("trachea",AF3)),ISNUMBER(SEARCH("esophagus",AF3)),ISNUMBER(SEARCH("recurrent laryngeal nerve",AF3)),ISNUMBER(SEARCH("RLN",AF3))))),"4a", IF(OR(F3="3b", AE3="positive",ISNUMBER(SEARCH("strap",AF3)),ISNUMBER(SEARCH("sternothyroid",AF3)),ISNUMBER(SEARCH("sternohyoid",AF3)),ISNUMBER(SEARCH("thyrohyoid",AF3)),ISNUMBER(SEARCH("omohyoid",AF3))),"3b",IF(OR(F3="3a", AND(U3&lt;&gt;"",U3&gt;4)),"3a",IF(AND(U3&lt;&gt;"", U3&lt;=4,U3&gt;2),"2",IF(AND(U3&lt;&gt;"",U3&lt;=2,U3&gt;1),"1b",IF(AND(U3&lt;&gt;"",U3&lt;=1),"1a","1a"))))))))</f>
        <v>1b</v>
      </c>
      <c r="AK3" s="36" t="str">
        <f t="shared" ref="AK3:AK8" si="4">IF(OR(ISNUMBER(SEARCH("non-invasive follicular",Q3,1)),ISNUMBER(SEARCH("non-invasive follicular",R3,1))),"NIFTP",IF(AND(M3&gt;0,I3="positive",J3="central"),"1a",IF(AND(M3&gt;0,I3="positive",J3="lateral"),"1b",IF(AND(M3=0,L3=0),"x",0))))</f>
        <v>x</v>
      </c>
      <c r="AL3" s="36">
        <f t="shared" ref="AL3:AL16" si="5">IF(OR(ISNUMBER(SEARCH("non-invasive follicular",Q3,1)),ISNUMBER(SEARCH("non-invasive follicular",R3,1))),"NIFTP",IF(K3="unknown","x",IF(K3="negative",0,1)))</f>
        <v>0</v>
      </c>
      <c r="AM3" s="36" t="str">
        <f t="shared" ref="AM3:AM16" si="6">IF(OR(ISNUMBER(SEARCH("non-invasive follicular",Q3,1)),ISNUMBER(SEARCH("non-invasive follicular",R3,1))),"NIFTP",IF(AND(E3&lt;55,AL3=0),"I",IF(AND(E3&lt;55,AL3=1),"II",IF(AL3=1,"IVB",IF(AND(AJ3="4b",AL3=0),"IVA",IF(AND(AJ3="4a",AL3=0),"III",IF(AND(OR(AJ3="3a",AJ3="3b"),AL3=0),"II",IF(AND(AJ3="2",OR(AK3="1",AK3="1a",AK3="1b"),AL3=0),"II",IF(AND(OR(AJ3="1a",AJ3="1b",AJ3="1",AJ3="1 "),OR(AK3="1",AK3="1a",AK3="1b"),AL3=0),"II","I")))))))))</f>
        <v>I</v>
      </c>
      <c r="AN3" s="37" t="s">
        <v>170</v>
      </c>
      <c r="AO3" s="38" t="s">
        <v>191</v>
      </c>
      <c r="AP3" s="38" t="s">
        <v>192</v>
      </c>
      <c r="AQ3" s="38">
        <v>0</v>
      </c>
      <c r="AR3" s="38" t="s">
        <v>31</v>
      </c>
      <c r="AS3" s="37">
        <f t="shared" ref="AS3:AS37" si="7">IF(AN3=AI3,1,0)</f>
        <v>1</v>
      </c>
      <c r="AT3" s="38">
        <f t="shared" ref="AT3:AT37" si="8">IF(AO3=AJ3,1,0)</f>
        <v>1</v>
      </c>
      <c r="AU3" s="38">
        <f>IF(AK3=AP3,1,IF(OR(AND(AP3="x",AK3=0),AND(AK3="x",AP3=0)),1,0))</f>
        <v>1</v>
      </c>
      <c r="AV3" s="38">
        <f>IF(AQ3=AL3,1,0)</f>
        <v>1</v>
      </c>
      <c r="AW3" s="39">
        <f>IF(AR3=AM3,1,0)</f>
        <v>1</v>
      </c>
    </row>
    <row r="4" spans="1:49">
      <c r="A4" s="13">
        <v>2</v>
      </c>
      <c r="B4" s="16">
        <f>_xlfn.MAXIFS('Model output'!B:B,'Model output'!Z:Z,'Classification result'!$A4)</f>
        <v>45348</v>
      </c>
      <c r="C4" s="16"/>
      <c r="D4" s="16"/>
      <c r="E4" s="17">
        <f>_xlfn.MAXIFS('Model output'!C:C,'Model output'!Z:Z,'Classification result'!$A4)</f>
        <v>39</v>
      </c>
      <c r="F4" s="17" t="str" cm="1">
        <f t="array" ref="F4">LEFT(IF(ISERROR(RIGHT(IF(INDEX(_xlfn._xlws.FILTER('Model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output'!Z:Z=A4)),1),""),1))),"",(RIGHT(IF(INDEX(_xlfn._xlws.FILTER('Model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output'!Z:Z=A4)),1)))))),2)</f>
        <v>2</v>
      </c>
      <c r="G4" s="17" t="str" cm="1">
        <f t="array" ref="G4">IF(ISNUMBER(SEARCH("N",IF(ISNUMBER(SEARCH("present",IF(INDEX(_xlfn._xlws.FILTER('Model output'!E:E,('Model output'!Z:Z=A4)),1)="","",INDEX(_xlfn._xlws.FILTER('Model output'!E:E,('Model output'!Z:Z=A4)),1)),1)),"N1", IF(INDEX(_xlfn._xlws.FILTER('Model output'!E:E,('Model output'!Z:Z=A4)),1)="","",INDEX(_xlfn._xlws.FILTER('Model output'!E:E,('Model output'!Z:Z=A4)),1))),1)),RIGHT(IF(ISNUMBER(SEARCH("present",IF(INDEX(_xlfn._xlws.FILTER('Model output'!E:E,('Model output'!Z:Z=A4)),1)="","",INDEX(_xlfn._xlws.FILTER('Model output'!E:E,('Model output'!Z:Z=A4)),1)),1)),"N1", IF(INDEX(_xlfn._xlws.FILTER('Model output'!E:E,('Model output'!Z:Z=A4)),1)="","",INDEX(_xlfn._xlws.FILTER('Model output'!E:E,('Model output'!Z:Z=A4)),1))),LEN(IF(ISNUMBER(SEARCH("present",IF(INDEX(_xlfn._xlws.FILTER('Model output'!E:E,('Model output'!Z:Z=A4)),1)="","",INDEX(_xlfn._xlws.FILTER('Model output'!E:E,('Model output'!Z:Z=A4)),1)),1)),"N1", IF(INDEX(_xlfn._xlws.FILTER('Model output'!E:E,('Model output'!Z:Z=A4)),1)="","",INDEX(_xlfn._xlws.FILTER('Model output'!E:E,('Model output'!Z:Z=A4)),1))))-FIND("N",IF(ISNUMBER(SEARCH("present",IF(INDEX(_xlfn._xlws.FILTER('Model output'!E:E,('Model output'!Z:Z=A4)),1)="","",INDEX(_xlfn._xlws.FILTER('Model output'!E:E,('Model output'!Z:Z=A4)),1)),1)),"N1", IF(INDEX(_xlfn._xlws.FILTER('Model output'!E:E,('Model output'!Z:Z=A4)),1)="","",INDEX(_xlfn._xlws.FILTER('Model output'!E:E,('Model output'!Z:Z=A4)),1))),1)), "")</f>
        <v/>
      </c>
      <c r="H4" s="17" cm="1">
        <f t="array" ref="H4">IF(AND(SUBSTITUTE(_xlfn.TEXTJOIN("/", TRUE, _xlfn._xlws.FILTER('Model output'!F:F, 'Model output'!Z:Z=A4)),"M", "")="", K4="negative"),0,IF(K4="positive",1,0))</f>
        <v>0</v>
      </c>
      <c r="I4" t="str">
        <f t="shared" si="0"/>
        <v/>
      </c>
      <c r="J4" t="str" cm="1">
        <f t="array" ref="J4">IF(AND(M4&gt;0, _xlfn.TEXTJOIN("; ", TRUE, _xlfn._xlws.FILTER('Model output'!G:G, 'Model output'!Z:Z=A4)) &lt;&gt;"", OR(AND(ISNUMBER(SEARCH("level", _xlfn.TEXTJOIN("; ", TRUE, _xlfn._xlws.FILTER('Model output'!G:G, 'Model output'!Z:Z=A4)),1)),OR(ISNUMBER(SEARCH(" II", _xlfn.TEXTJOIN("; ", TRUE, _xlfn._xlws.FILTER('Model output'!G:G, 'Model output'!Z:Z=A4)),1)),ISNUMBER(SEARCH("2", _xlfn.TEXTJOIN("; ", TRUE, _xlfn._xlws.FILTER('Model output'!G:G, 'Model output'!Z:Z=A4)),1)),ISNUMBER(SEARCH("two", _xlfn.TEXTJOIN("; ", TRUE, _xlfn._xlws.FILTER('Model output'!G:G, 'Model output'!Z:Z=A4)),1)),ISNUMBER(SEARCH("III", _xlfn.TEXTJOIN("; ", TRUE, _xlfn._xlws.FILTER('Model output'!G:G, 'Model output'!Z:Z=A4)),1)),ISNUMBER(SEARCH("3", _xlfn.TEXTJOIN("; ", TRUE, _xlfn._xlws.FILTER('Model output'!G:G, 'Model output'!Z:Z=A4)),1)),ISNUMBER(SEARCH("three", _xlfn.TEXTJOIN("; ", TRUE, _xlfn._xlws.FILTER('Model output'!G:G, 'Model output'!Z:Z=A4)),1)),ISNUMBER(SEARCH("IV", _xlfn.TEXTJOIN("; ", TRUE, _xlfn._xlws.FILTER('Model output'!G:G, 'Model output'!Z:Z=A4)),1)),ISNUMBER(SEARCH("4", _xlfn.TEXTJOIN("; ", TRUE, _xlfn._xlws.FILTER('Model output'!G:G, 'Model output'!Z:Z=A4)),1)),ISNUMBER(SEARCH("five", _xlfn.TEXTJOIN("; ", TRUE, _xlfn._xlws.FILTER('Model output'!G:G, 'Model output'!Z:Z=A4)),1)),ISNUMBER(SEARCH("V ", _xlfn.TEXTJOIN("; ", TRUE, _xlfn._xlws.FILTER('Model output'!G:G, 'Model output'!Z:Z=A4)),1)),ISNUMBER(SEARCH("5", _xlfn.TEXTJOIN("; ", TRUE, _xlfn._xlws.FILTER('Model output'!G:G, 'Model output'!Z:Z=A4)),1)),ISNUMBER(SEARCH("five", _xlfn.TEXTJOIN("; ", TRUE, _xlfn._xlws.FILTER('Model output'!G:G, 'Model output'!Z:Z=A4)),1)),ISNUMBER(SEARCH(" lateral", _xlfn.TEXTJOIN("; ", TRUE, _xlfn._xlws.FILTER('Model output'!G:G, 'Model output'!Z:Z=A4)),1)))),ISNUMBER(SEARCH("cervical", _xlfn.TEXTJOIN("; ", TRUE, _xlfn._xlws.FILTER('Model output'!G:G, 'Model output'!Z:Z=A4)),1)),ISNUMBER(SEARCH("jugular", _xlfn.TEXTJOIN("; ", TRUE, _xlfn._xlws.FILTER('Model output'!G:G, 'Model output'!Z:Z=A4)),1)),ISNUMBER(SEARCH("left neck", _xlfn.TEXTJOIN("; ", TRUE, _xlfn._xlws.FILTER('Model output'!G:G, 'Model output'!Z:Z=A4)),1)),ISNUMBER(SEARCH("left anterior neck", _xlfn.TEXTJOIN("; ", TRUE, _xlfn._xlws.FILTER('Model output'!G:G, 'Model output'!Z:Z=A4)),1)),ISNUMBER(SEARCH("left posterior neck", _xlfn.TEXTJOIN("; ", TRUE, _xlfn._xlws.FILTER('Model output'!G:G, 'Model output'!Z:Z=A4)),1)),ISNUMBER(SEARCH("right neck", _xlfn.TEXTJOIN("; ", TRUE, _xlfn._xlws.FILTER('Model output'!G:G, 'Model output'!Z:Z=A4)),1)),ISNUMBER(SEARCH("right anterior neck", _xlfn.TEXTJOIN("; ", TRUE, _xlfn._xlws.FILTER('Model output'!G:G, 'Model output'!Z:Z=A4)),1)),ISNUMBER(SEARCH("right posterior neck", _xlfn.TEXTJOIN("; ", TRUE, _xlfn._xlws.FILTER('Model output'!G:G, 'Model output'!Z:Z=A4)),1)))),"lateral",IF(AND(M4=0, _xlfn.TEXTJOIN("; ", TRUE, _xlfn._xlws.FILTER('Model output'!G:G, 'Model output'!Z:Z=A4))=""),"", "central"))</f>
        <v/>
      </c>
      <c r="K4" s="17" t="str" cm="1">
        <f t="array" ref="K4">IF(OR(ISNUMBER(SEARCH("lymph",_xlfn.TEXTJOIN("; ", TRUE, _xlfn._xlws.FILTER('Model output'!H:H, 'Model output'!Z:Z=A4)),1)), ISNUMBER(SEARCH("Not mentioned",_xlfn.TEXTJOIN("; ", TRUE, _xlfn._xlws.FILTER('Model output'!H:H, 'Model output'!Z:Z=A4)),1)),ISNUMBER(SEARCH("subcutaneous soft tissues",_xlfn.TEXTJOIN("; ", TRUE, _xlfn._xlws.FILTER('Model output'!H:H, 'Model output'!Z:Z=A4)),1)),ISNUMBER(SEARCH("larynx",_xlfn.TEXTJOIN("; ", TRUE, _xlfn._xlws.FILTER('Model output'!H:H, 'Model output'!Z:Z=A4)),1)),ISNUMBER(SEARCH("trachea",_xlfn.TEXTJOIN("; ", TRUE, _xlfn._xlws.FILTER('Model output'!H:H, 'Model output'!Z:Z=A4)),1)),ISNUMBER(SEARCH("esophagus",_xlfn.TEXTJOIN("; ", TRUE, _xlfn._xlws.FILTER('Model output'!H:H, 'Model output'!Z:Z=A4)),1)),ISNUMBER(SEARCH("recurrent laryngeal nerve",_xlfn.TEXTJOIN("; ", TRUE, _xlfn._xlws.FILTER('Model output'!H:H, 'Model output'!Z:Z=A4)),1)),ISNUMBER(SEARCH("RLN",_xlfn.TEXTJOIN("; ", TRUE, _xlfn._xlws.FILTER('Model output'!H:H, 'Model output'!Z:Z=A4)),1)),_xlfn.TEXTJOIN("; ", TRUE, _xlfn._xlws.FILTER('Model output'!H:H, 'Model output'!Z:Z=A4))=""),"negative","positive")</f>
        <v>negative</v>
      </c>
      <c r="L4" s="17">
        <f>IF(IFERROR(INDEX('Model output'!I:I, MATCH(A4, 'Model output'!Z:Z, 0)), "") &lt; M4, "", IFERROR(INDEX('Model output'!I:I, MATCH(A4, 'Model output'!Z:Z, 0)), ""))</f>
        <v>0</v>
      </c>
      <c r="M4" s="17">
        <f>IFERROR(INDEX('Model output'!J:J, MATCH(A4, 'Model output'!Z:Z, 0)), "")</f>
        <v>0</v>
      </c>
      <c r="N4" s="18" t="str" cm="1">
        <f t="array" ref="N4">ReplaceTo(ReplaceAnd(SUBSTITUTE(SUBSTITUTE(_xlfn.TEXTJOIN("; ", TRUE, _xlfn._xlws.FILTER('Model output'!K:K, 'Model output'!Z:Z=A4)), " ", ""), ",", ";")))</f>
        <v/>
      </c>
      <c r="O4" t="str" cm="1">
        <f t="array" ref="O4">IF(LEFT(IF(RIGHT(SUBSTITUTE(FilterWithUnits(N4)&amp;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";")),1)=";",RIGHT(IF(RIGHT(SUBSTITUTE(FilterWithUnits(N4)&amp;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";")),LEN(IF(RIGHT(SUBSTITUTE(FilterWithUnits(N4)&amp;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";")))-1),IF(RIGHT(SUBSTITUTE(FilterWithUnits(N4)&amp;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f>
        <v/>
      </c>
      <c r="P4" t="str" cm="1">
        <f t="array" ref="P4">IF(MaxSize((SplitDimensions(O4)))=0, "", MaxSize((SplitDimensions(O4))))</f>
        <v/>
      </c>
      <c r="Q4" t="str" cm="1">
        <f t="array" ref="Q4">IF(ISERROR(INDEX(_xlfn._xlws.FILTER('Model output'!L:L, ('Model output'!Z:Z=A4)*('Model output'!L:L&lt;&gt;"")), 1)), " ", LOWER(INDEX(_xlfn._xlws.FILTER('Model output'!L:L, ('Model output'!Z:Z=A4)*('Model output'!L:L&lt;&gt;"")), 1)))</f>
        <v>papillary carcinoma</v>
      </c>
      <c r="R4" t="str" cm="1">
        <f t="array" ref="R4">IF(ISERROR(INDEX(_xlfn._xlws.FILTER('Model output'!M:M, ('Model output'!Z:Z=A4)*('Model output'!M:M&lt;&gt;"")), 1)), " ", LOWER(INDEX(_xlfn._xlws.FILTER('Model output'!M:M, ('Model output'!Z:Z=A4)*('Model output'!M:M&lt;&gt;"")), 1)))</f>
        <v>classic</v>
      </c>
      <c r="S4" t="str" cm="1">
        <f t="array" ref="S4">IF(OR(ISNUMBER(SEARCH("ly",SUBSTITUTE(INDEX(_xlfn._xlws.FILTER('Model output'!N:N,('Model output'!Z:Z=A4)*('Model output'!N:N&lt;&gt;"")),1)," ",""),1)), ISNUMBER(SEARCH("pole",SUBSTITUTE(INDEX(_xlfn._xlws.FILTER('Model output'!N:N,('Model output'!Z:Z=A4)*('Model output'!N:N&lt;&gt;"")),1)," ",""),1))),"",SUBSTITUTE(INDEX(_xlfn._xlws.FILTER('Model output'!N:N,('Model output'!Z:Z=A4)*('Model output'!N:N&lt;&gt;"")),1)," ",""))</f>
        <v>30mm</v>
      </c>
      <c r="T4" t="str" cm="1">
        <f t="array" ref="T4">IF(LEFT(IF(RIGHT(SUBSTITUTE(FilterWithUnits(S4)&amp;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";")),1)=";",RIGHT(IF(RIGHT(SUBSTITUTE(FilterWithUnits(S4)&amp;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";")),LEN(IF(RIGHT(SUBSTITUTE(FilterWithUnits(S4)&amp;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";")))-1),IF(RIGHT(SUBSTITUTE(FilterWithUnits(S4)&amp;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f>
        <v>30mm</v>
      </c>
      <c r="U4" cm="1">
        <f t="array" ref="U4">IF(MaxSize((SplitDimensions(T4)))=0, "", MaxSize((SplitDimensions(T4))))</f>
        <v>3</v>
      </c>
      <c r="V4" s="17" t="str" cm="1">
        <f t="array" ref="V4">IF(ISERROR(INDEX(_xlfn._xlws.FILTER('Model output'!P:P,('Model output'!Z:Z=A4)*('Model output'!P:P&lt;&gt;"")),1)),"negative",IF(OR(ISNUMBER(SEARCH("foc",INDEX(_xlfn._xlws.FILTER('Model output'!P:P,('Model output'!Z:Z=A4)*('Model output'!P:P&lt;&gt;"")),1),1)),ISNUMBER(SEARCH("extensive",INDEX(_xlfn._xlws.FILTER('Model output'!P:P,('Model output'!Z:Z=A4)*('Model output'!P:P&lt;&gt;"")),1),1)),ISNUMBER(SEARCH("present",INDEX(_xlfn._xlws.FILTER('Model output'!P:P,('Model output'!Z:Z=A4)*('Model output'!P:P&lt;&gt;"")),1),1)),ISNUMBER(SEARCH("yes",INDEX(_xlfn._xlws.FILTER('Model output'!P:P,('Model output'!Z:Z=A4)*('Model output'!P:P&lt;&gt;"")),1),1))),"positive","negative"))</f>
        <v>negative</v>
      </c>
      <c r="X4" t="str" cm="1">
        <f t="array" ref="X4">IF(ISNUMBER(SEARCH("4",INDEX(_xlfn._xlws.FILTER('Model output'!P:P,('Model output'!Z:Z=A4)*('Model output'!P:P&lt;&gt;"")),1),1)),INDEX(_xlfn._xlws.FILTER('Model output'!P:P,('Model output'!Z:Z=A4)*('Model output'!P:P&lt;&gt;"")),1),"") &amp; _xlfn.TEXTJOIN("",TRUE,_xlfn._xlws.FILTER('Model output'!Q:Q,'Model output'!Z:Z=A4))</f>
        <v/>
      </c>
      <c r="Y4" t="str">
        <f t="shared" ref="Y4:Y37" si="9">IF(V4="negative","no",IF(OR(ISNUMBER(SEARCH("&gt; 4",X4,1)),ISNUMBER(SEARCH("&gt;4",X4,1)),ISNUMBER(SEARCH("4 or more",X4,1)),ISNUMBER(SEARCH("extensive",X4,1))),"extensive","minimal"))</f>
        <v>no</v>
      </c>
      <c r="Z4" t="str" cm="1">
        <f t="array" ref="Z4">IF(OR(ISNUMBER(SEARCH("focal",_xlfn.TEXTJOIN("; ",TRUE,_xlfn._xlws.FILTER('Model output'!R:R,'Model output'!Z:Z=A4)),1)),ISNUMBER(SEARCH("present",_xlfn.TEXTJOIN("; ",TRUE,_xlfn._xlws.FILTER('Model output'!R:R,'Model output'!Z:Z=A4)),1))),"positive",IF(_xlfn.TEXTJOIN("; ",TRUE,_xlfn._xlws.FILTER('Model output'!R:R,'Model output'!Z:Z=A4))="","negative",IF(OR(ISNUMBER(SEARCH("no",_xlfn.TEXTJOIN("; ",TRUE,_xlfn._xlws.FILTER('Model output'!R:R,'Model output'!Z:Z=A4)),1)),ISNUMBER(SEARCH("absent",_xlfn.TEXTJOIN("; ",TRUE,_xlfn._xlws.FILTER('Model output'!R:R,'Model output'!Z:Z=A4)),1))),"negative","positive")))</f>
        <v>positive</v>
      </c>
      <c r="AA4" s="17" t="str">
        <f t="shared" ref="AA4:AA37" si="10">IF(OR(ISNUMBER(SEARCH("soft tissue", AF4)), ISNUMBER(SEARCH("adipose tissue", AF4)), ISNUMBER(SEARCH("muscles", AF4)), ISNUMBER(SEARCH("microscopic", AF4)), ISNUMBER(SEARCH("minimal", AF4)), ISNUMBER(SEARCH("surrounding fat", AF4)), ISNUMBER(SEARCH("present", AF4)), ISNUMBER(SEARCH("yes", AF4))), "positive", "negative")</f>
        <v>negative</v>
      </c>
      <c r="AE4" s="17" t="str">
        <f t="shared" ref="AE4:AE37" si="11">IF(OR(ISNUMBER(SEARCH("subcutaneous soft tissues", AF4)),ISNUMBER(SEARCH("strap muscle", AF4)), ISNUMBER(SEARCH("larynx", AF4)), ISNUMBER(SEARCH("skeletal muscle", AF4)),ISNUMBER(SEARCH("trachea", AF4)),ISNUMBER(SEARCH("esophagus", AF4)), ISNUMBER(SEARCH("recurrent laryngeal nerve", AF4)), ISNUMBER(SEARCH("RLN", AF4))), "positive", "negative")</f>
        <v>negative</v>
      </c>
      <c r="AF4" t="str" cm="1">
        <f t="array" ref="AF4">_xlfn.TEXTJOIN("; ",TRUE,_xlfn._xlws.FILTER('Model output'!S:S,'Model output'!Z:Z=A4))</f>
        <v>Not identified</v>
      </c>
      <c r="AG4" s="17" t="str" cm="1">
        <f t="array" ref="AG4">IF(OR(ISNUMBER(SEARCH("uninvolved",_xlfn.TEXTJOIN("; ",TRUE,_xlfn._xlws.FILTER('Model output'!V:V,'Model output'!Z:Z=A4)),1)),ISNUMBER(SEARCH("clear",_xlfn.TEXTJOIN("; ",TRUE,_xlfn._xlws.FILTER('Model output'!V:V,'Model output'!Z:Z=A4)),1))*ISNUMBER(SEARCH("not mentioned",_xlfn.TEXTJOIN("; ",TRUE,_xlfn._xlws.FILTER('Model output'!V:V,'Model output'!Z:Z=A4)),1))),"negative",IF(ISNUMBER(SEARCH("cannot be assessed",_xlfn.TEXTJOIN("; ",TRUE,_xlfn._xlws.FILTER('Model output'!V:V,'Model output'!Z:Z=A4)),1)),"unknown","negative"))</f>
        <v>negative</v>
      </c>
      <c r="AI4" s="45" t="str">
        <f t="shared" si="2"/>
        <v>low</v>
      </c>
      <c r="AJ4" s="36" t="str">
        <f t="shared" si="3"/>
        <v>2</v>
      </c>
      <c r="AK4" s="36" t="str">
        <f t="shared" si="4"/>
        <v>x</v>
      </c>
      <c r="AL4" s="36">
        <f t="shared" si="5"/>
        <v>0</v>
      </c>
      <c r="AM4" s="36" t="str">
        <f t="shared" si="6"/>
        <v>I</v>
      </c>
      <c r="AN4" s="37" t="s">
        <v>170</v>
      </c>
      <c r="AO4" s="38" t="s">
        <v>403</v>
      </c>
      <c r="AP4" s="38" t="s">
        <v>192</v>
      </c>
      <c r="AQ4" s="38">
        <v>0</v>
      </c>
      <c r="AR4" s="38" t="s">
        <v>31</v>
      </c>
      <c r="AS4" s="37">
        <f t="shared" si="7"/>
        <v>1</v>
      </c>
      <c r="AT4" s="38">
        <f t="shared" si="8"/>
        <v>1</v>
      </c>
      <c r="AU4" s="38">
        <f t="shared" ref="AU4:AU37" si="12">IF(AK4=AP4,1,IF(OR(AND(AP4="x",AK4=0),AND(AK4="x",AP4=0)),1,0))</f>
        <v>1</v>
      </c>
      <c r="AV4" s="38">
        <f t="shared" ref="AV4:AW37" si="13">IF(AQ4=AL4,1,0)</f>
        <v>1</v>
      </c>
      <c r="AW4" s="39">
        <f t="shared" si="13"/>
        <v>1</v>
      </c>
    </row>
    <row r="5" spans="1:49">
      <c r="A5" s="13">
        <v>3</v>
      </c>
      <c r="B5" s="16">
        <f>_xlfn.MAXIFS('Model output'!B:B,'Model output'!Z:Z,'Classification result'!$A5)</f>
        <v>45373</v>
      </c>
      <c r="C5" s="16"/>
      <c r="D5" s="16"/>
      <c r="E5" s="17">
        <f>_xlfn.MAXIFS('Model output'!C:C,'Model output'!Z:Z,'Classification result'!$A5)</f>
        <v>52</v>
      </c>
      <c r="F5" s="17" t="str" cm="1">
        <f t="array" ref="F5">LEFT(IF(ISERROR(RIGHT(IF(INDEX(_xlfn._xlws.FILTER('Model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output'!Z:Z=A5)),1),""),1))),"",(RIGHT(IF(INDEX(_xlfn._xlws.FILTER('Model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output'!Z:Z=A5)),1)))))),2)</f>
        <v>1a</v>
      </c>
      <c r="G5" s="17" t="str" cm="1">
        <f t="array" ref="G5">IF(ISNUMBER(SEARCH("N",IF(ISNUMBER(SEARCH("present",IF(INDEX(_xlfn._xlws.FILTER('Model output'!E:E,('Model output'!Z:Z=A5)),1)="","",INDEX(_xlfn._xlws.FILTER('Model output'!E:E,('Model output'!Z:Z=A5)),1)),1)),"N1", IF(INDEX(_xlfn._xlws.FILTER('Model output'!E:E,('Model output'!Z:Z=A5)),1)="","",INDEX(_xlfn._xlws.FILTER('Model output'!E:E,('Model output'!Z:Z=A5)),1))),1)),RIGHT(IF(ISNUMBER(SEARCH("present",IF(INDEX(_xlfn._xlws.FILTER('Model output'!E:E,('Model output'!Z:Z=A5)),1)="","",INDEX(_xlfn._xlws.FILTER('Model output'!E:E,('Model output'!Z:Z=A5)),1)),1)),"N1", IF(INDEX(_xlfn._xlws.FILTER('Model output'!E:E,('Model output'!Z:Z=A5)),1)="","",INDEX(_xlfn._xlws.FILTER('Model output'!E:E,('Model output'!Z:Z=A5)),1))),LEN(IF(ISNUMBER(SEARCH("present",IF(INDEX(_xlfn._xlws.FILTER('Model output'!E:E,('Model output'!Z:Z=A5)),1)="","",INDEX(_xlfn._xlws.FILTER('Model output'!E:E,('Model output'!Z:Z=A5)),1)),1)),"N1", IF(INDEX(_xlfn._xlws.FILTER('Model output'!E:E,('Model output'!Z:Z=A5)),1)="","",INDEX(_xlfn._xlws.FILTER('Model output'!E:E,('Model output'!Z:Z=A5)),1))))-FIND("N",IF(ISNUMBER(SEARCH("present",IF(INDEX(_xlfn._xlws.FILTER('Model output'!E:E,('Model output'!Z:Z=A5)),1)="","",INDEX(_xlfn._xlws.FILTER('Model output'!E:E,('Model output'!Z:Z=A5)),1)),1)),"N1", IF(INDEX(_xlfn._xlws.FILTER('Model output'!E:E,('Model output'!Z:Z=A5)),1)="","",INDEX(_xlfn._xlws.FILTER('Model output'!E:E,('Model output'!Z:Z=A5)),1))),1)), "")</f>
        <v>1a</v>
      </c>
      <c r="H5" s="17" cm="1">
        <f t="array" ref="H5">IF(AND(SUBSTITUTE(_xlfn.TEXTJOIN("/", TRUE, _xlfn._xlws.FILTER('Model output'!F:F, 'Model output'!Z:Z=A5)),"M", "")="", K5="negative"),0,IF(K5="positive",1,0))</f>
        <v>0</v>
      </c>
      <c r="I5" t="str">
        <f t="shared" si="0"/>
        <v>positive</v>
      </c>
      <c r="J5" t="str" cm="1">
        <f t="array" ref="J5">IF(AND(M5&gt;0, _xlfn.TEXTJOIN("; ", TRUE, _xlfn._xlws.FILTER('Model output'!G:G, 'Model output'!Z:Z=A5)) &lt;&gt;"", OR(AND(ISNUMBER(SEARCH("level", _xlfn.TEXTJOIN("; ", TRUE, _xlfn._xlws.FILTER('Model output'!G:G, 'Model output'!Z:Z=A5)),1)),OR(ISNUMBER(SEARCH(" II", _xlfn.TEXTJOIN("; ", TRUE, _xlfn._xlws.FILTER('Model output'!G:G, 'Model output'!Z:Z=A5)),1)),ISNUMBER(SEARCH("2", _xlfn.TEXTJOIN("; ", TRUE, _xlfn._xlws.FILTER('Model output'!G:G, 'Model output'!Z:Z=A5)),1)),ISNUMBER(SEARCH("two", _xlfn.TEXTJOIN("; ", TRUE, _xlfn._xlws.FILTER('Model output'!G:G, 'Model output'!Z:Z=A5)),1)),ISNUMBER(SEARCH("III", _xlfn.TEXTJOIN("; ", TRUE, _xlfn._xlws.FILTER('Model output'!G:G, 'Model output'!Z:Z=A5)),1)),ISNUMBER(SEARCH("3", _xlfn.TEXTJOIN("; ", TRUE, _xlfn._xlws.FILTER('Model output'!G:G, 'Model output'!Z:Z=A5)),1)),ISNUMBER(SEARCH("three", _xlfn.TEXTJOIN("; ", TRUE, _xlfn._xlws.FILTER('Model output'!G:G, 'Model output'!Z:Z=A5)),1)),ISNUMBER(SEARCH("IV", _xlfn.TEXTJOIN("; ", TRUE, _xlfn._xlws.FILTER('Model output'!G:G, 'Model output'!Z:Z=A5)),1)),ISNUMBER(SEARCH("4", _xlfn.TEXTJOIN("; ", TRUE, _xlfn._xlws.FILTER('Model output'!G:G, 'Model output'!Z:Z=A5)),1)),ISNUMBER(SEARCH("five", _xlfn.TEXTJOIN("; ", TRUE, _xlfn._xlws.FILTER('Model output'!G:G, 'Model output'!Z:Z=A5)),1)),ISNUMBER(SEARCH("V ", _xlfn.TEXTJOIN("; ", TRUE, _xlfn._xlws.FILTER('Model output'!G:G, 'Model output'!Z:Z=A5)),1)),ISNUMBER(SEARCH("5", _xlfn.TEXTJOIN("; ", TRUE, _xlfn._xlws.FILTER('Model output'!G:G, 'Model output'!Z:Z=A5)),1)),ISNUMBER(SEARCH("five", _xlfn.TEXTJOIN("; ", TRUE, _xlfn._xlws.FILTER('Model output'!G:G, 'Model output'!Z:Z=A5)),1)),ISNUMBER(SEARCH(" lateral", _xlfn.TEXTJOIN("; ", TRUE, _xlfn._xlws.FILTER('Model output'!G:G, 'Model output'!Z:Z=A5)),1)))),ISNUMBER(SEARCH("cervical", _xlfn.TEXTJOIN("; ", TRUE, _xlfn._xlws.FILTER('Model output'!G:G, 'Model output'!Z:Z=A5)),1)),ISNUMBER(SEARCH("jugular", _xlfn.TEXTJOIN("; ", TRUE, _xlfn._xlws.FILTER('Model output'!G:G, 'Model output'!Z:Z=A5)),1)),ISNUMBER(SEARCH("left neck", _xlfn.TEXTJOIN("; ", TRUE, _xlfn._xlws.FILTER('Model output'!G:G, 'Model output'!Z:Z=A5)),1)),ISNUMBER(SEARCH("left anterior neck", _xlfn.TEXTJOIN("; ", TRUE, _xlfn._xlws.FILTER('Model output'!G:G, 'Model output'!Z:Z=A5)),1)),ISNUMBER(SEARCH("left posterior neck", _xlfn.TEXTJOIN("; ", TRUE, _xlfn._xlws.FILTER('Model output'!G:G, 'Model output'!Z:Z=A5)),1)),ISNUMBER(SEARCH("right neck", _xlfn.TEXTJOIN("; ", TRUE, _xlfn._xlws.FILTER('Model output'!G:G, 'Model output'!Z:Z=A5)),1)),ISNUMBER(SEARCH("right anterior neck", _xlfn.TEXTJOIN("; ", TRUE, _xlfn._xlws.FILTER('Model output'!G:G, 'Model output'!Z:Z=A5)),1)),ISNUMBER(SEARCH("right posterior neck", _xlfn.TEXTJOIN("; ", TRUE, _xlfn._xlws.FILTER('Model output'!G:G, 'Model output'!Z:Z=A5)),1)))),"lateral",IF(AND(M5=0, _xlfn.TEXTJOIN("; ", TRUE, _xlfn._xlws.FILTER('Model output'!G:G, 'Model output'!Z:Z=A5))=""),"", "central"))</f>
        <v>central</v>
      </c>
      <c r="K5" s="17" t="str" cm="1">
        <f t="array" ref="K5">IF(OR(ISNUMBER(SEARCH("lymph",_xlfn.TEXTJOIN("; ", TRUE, _xlfn._xlws.FILTER('Model output'!H:H, 'Model output'!Z:Z=A5)),1)), ISNUMBER(SEARCH("Not mentioned",_xlfn.TEXTJOIN("; ", TRUE, _xlfn._xlws.FILTER('Model output'!H:H, 'Model output'!Z:Z=A5)),1)),ISNUMBER(SEARCH("subcutaneous soft tissues",_xlfn.TEXTJOIN("; ", TRUE, _xlfn._xlws.FILTER('Model output'!H:H, 'Model output'!Z:Z=A5)),1)),ISNUMBER(SEARCH("larynx",_xlfn.TEXTJOIN("; ", TRUE, _xlfn._xlws.FILTER('Model output'!H:H, 'Model output'!Z:Z=A5)),1)),ISNUMBER(SEARCH("trachea",_xlfn.TEXTJOIN("; ", TRUE, _xlfn._xlws.FILTER('Model output'!H:H, 'Model output'!Z:Z=A5)),1)),ISNUMBER(SEARCH("esophagus",_xlfn.TEXTJOIN("; ", TRUE, _xlfn._xlws.FILTER('Model output'!H:H, 'Model output'!Z:Z=A5)),1)),ISNUMBER(SEARCH("recurrent laryngeal nerve",_xlfn.TEXTJOIN("; ", TRUE, _xlfn._xlws.FILTER('Model output'!H:H, 'Model output'!Z:Z=A5)),1)),ISNUMBER(SEARCH("RLN",_xlfn.TEXTJOIN("; ", TRUE, _xlfn._xlws.FILTER('Model output'!H:H, 'Model output'!Z:Z=A5)),1)),_xlfn.TEXTJOIN("; ", TRUE, _xlfn._xlws.FILTER('Model output'!H:H, 'Model output'!Z:Z=A5))=""),"negative","positive")</f>
        <v>negative</v>
      </c>
      <c r="L5" s="17">
        <f>IF(IFERROR(INDEX('Model output'!I:I, MATCH(A5, 'Model output'!Z:Z, 0)), "") &lt; M5, "", IFERROR(INDEX('Model output'!I:I, MATCH(A5, 'Model output'!Z:Z, 0)), ""))</f>
        <v>5</v>
      </c>
      <c r="M5" s="17">
        <f>IFERROR(INDEX('Model output'!J:J, MATCH(A5, 'Model output'!Z:Z, 0)), "")</f>
        <v>1</v>
      </c>
      <c r="N5" s="18" t="str" cm="1">
        <f t="array" ref="N5">ReplaceTo(ReplaceAnd(SUBSTITUTE(SUBSTITUTE(_xlfn.TEXTJOIN("; ", TRUE, _xlfn._xlws.FILTER('Model output'!K:K, 'Model output'!Z:Z=A5)), " ", ""), ",", ";")))</f>
        <v>1mm</v>
      </c>
      <c r="O5" t="str" cm="1">
        <f t="array" ref="O5">IF(LEFT(IF(RIGHT(SUBSTITUTE(FilterWithUnits(N5)&amp;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";")),1)=";",RIGHT(IF(RIGHT(SUBSTITUTE(FilterWithUnits(N5)&amp;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";")),LEN(IF(RIGHT(SUBSTITUTE(FilterWithUnits(N5)&amp;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";")))-1),IF(RIGHT(SUBSTITUTE(FilterWithUnits(N5)&amp;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f>
        <v>1mm</v>
      </c>
      <c r="P5" cm="1">
        <f t="array" ref="P5">IF(MaxSize((SplitDimensions(O5)))=0, "", MaxSize((SplitDimensions(O5))))</f>
        <v>0.1</v>
      </c>
      <c r="Q5" t="str" cm="1">
        <f t="array" ref="Q5">IF(ISERROR(INDEX(_xlfn._xlws.FILTER('Model output'!L:L, ('Model output'!Z:Z=A5)*('Model output'!L:L&lt;&gt;"")), 1)), " ", LOWER(INDEX(_xlfn._xlws.FILTER('Model output'!L:L, ('Model output'!Z:Z=A5)*('Model output'!L:L&lt;&gt;"")), 1)))</f>
        <v>papillary carcinoma</v>
      </c>
      <c r="R5" t="str" cm="1">
        <f t="array" ref="R5">IF(ISERROR(INDEX(_xlfn._xlws.FILTER('Model output'!M:M, ('Model output'!Z:Z=A5)*('Model output'!M:M&lt;&gt;"")), 1)), " ", LOWER(INDEX(_xlfn._xlws.FILTER('Model output'!M:M, ('Model output'!Z:Z=A5)*('Model output'!M:M&lt;&gt;"")), 1)))</f>
        <v>infiltrative follicular subtype</v>
      </c>
      <c r="S5" t="str" cm="1">
        <f t="array" ref="S5">IF(OR(ISNUMBER(SEARCH("ly",SUBSTITUTE(INDEX(_xlfn._xlws.FILTER('Model output'!N:N,('Model output'!Z:Z=A5)*('Model output'!N:N&lt;&gt;"")),1)," ",""),1)), ISNUMBER(SEARCH("pole",SUBSTITUTE(INDEX(_xlfn._xlws.FILTER('Model output'!N:N,('Model output'!Z:Z=A5)*('Model output'!N:N&lt;&gt;"")),1)," ",""),1))),"",SUBSTITUTE(INDEX(_xlfn._xlws.FILTER('Model output'!N:N,('Model output'!Z:Z=A5)*('Model output'!N:N&lt;&gt;"")),1)," ",""))</f>
        <v>8mmand2mm</v>
      </c>
      <c r="T5" t="str" cm="1">
        <f t="array" ref="T5">IF(LEFT(IF(RIGHT(SUBSTITUTE(FilterWithUnits(S5)&amp;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";")),1)=";",RIGHT(IF(RIGHT(SUBSTITUTE(FilterWithUnits(S5)&amp;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";")),LEN(IF(RIGHT(SUBSTITUTE(FilterWithUnits(S5)&amp;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";")))-1),IF(RIGHT(SUBSTITUTE(FilterWithUnits(S5)&amp;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f>
        <v>8mm</v>
      </c>
      <c r="U5" cm="1">
        <f t="array" ref="U5">IF(MaxSize((SplitDimensions(T5)))=0, "", MaxSize((SplitDimensions(T5))))</f>
        <v>0.8</v>
      </c>
      <c r="V5" s="17" t="str" cm="1">
        <f t="array" ref="V5">IF(ISERROR(INDEX(_xlfn._xlws.FILTER('Model output'!P:P,('Model output'!Z:Z=A5)*('Model output'!P:P&lt;&gt;"")),1)),"negative",IF(OR(ISNUMBER(SEARCH("foc",INDEX(_xlfn._xlws.FILTER('Model output'!P:P,('Model output'!Z:Z=A5)*('Model output'!P:P&lt;&gt;"")),1),1)),ISNUMBER(SEARCH("extensive",INDEX(_xlfn._xlws.FILTER('Model output'!P:P,('Model output'!Z:Z=A5)*('Model output'!P:P&lt;&gt;"")),1),1)),ISNUMBER(SEARCH("present",INDEX(_xlfn._xlws.FILTER('Model output'!P:P,('Model output'!Z:Z=A5)*('Model output'!P:P&lt;&gt;"")),1),1)),ISNUMBER(SEARCH("yes",INDEX(_xlfn._xlws.FILTER('Model output'!P:P,('Model output'!Z:Z=A5)*('Model output'!P:P&lt;&gt;"")),1),1))),"positive","negative"))</f>
        <v>negative</v>
      </c>
      <c r="X5" t="str" cm="1">
        <f t="array" ref="X5">IF(ISNUMBER(SEARCH("4",INDEX(_xlfn._xlws.FILTER('Model output'!P:P,('Model output'!Z:Z=A5)*('Model output'!P:P&lt;&gt;"")),1),1)),INDEX(_xlfn._xlws.FILTER('Model output'!P:P,('Model output'!Z:Z=A5)*('Model output'!P:P&lt;&gt;"")),1),"") &amp; _xlfn.TEXTJOIN("",TRUE,_xlfn._xlws.FILTER('Model output'!Q:Q,'Model output'!Z:Z=A5))</f>
        <v/>
      </c>
      <c r="Y5" t="str">
        <f t="shared" si="9"/>
        <v>no</v>
      </c>
      <c r="Z5" t="str" cm="1">
        <f t="array" ref="Z5">IF(OR(ISNUMBER(SEARCH("focal",_xlfn.TEXTJOIN("; ",TRUE,_xlfn._xlws.FILTER('Model output'!R:R,'Model output'!Z:Z=A5)),1)),ISNUMBER(SEARCH("present",_xlfn.TEXTJOIN("; ",TRUE,_xlfn._xlws.FILTER('Model output'!R:R,'Model output'!Z:Z=A5)),1))),"positive",IF(_xlfn.TEXTJOIN("; ",TRUE,_xlfn._xlws.FILTER('Model output'!R:R,'Model output'!Z:Z=A5))="","negative",IF(OR(ISNUMBER(SEARCH("no",_xlfn.TEXTJOIN("; ",TRUE,_xlfn._xlws.FILTER('Model output'!R:R,'Model output'!Z:Z=A5)),1)),ISNUMBER(SEARCH("absent",_xlfn.TEXTJOIN("; ",TRUE,_xlfn._xlws.FILTER('Model output'!R:R,'Model output'!Z:Z=A5)),1))),"negative","positive")))</f>
        <v>negative</v>
      </c>
      <c r="AA5" s="17" t="str">
        <f t="shared" si="10"/>
        <v>positive</v>
      </c>
      <c r="AE5" s="17" t="str">
        <f t="shared" si="11"/>
        <v>negative</v>
      </c>
      <c r="AF5" t="str" cm="1">
        <f t="array" ref="AF5">_xlfn.TEXTJOIN("; ",TRUE,_xlfn._xlws.FILTER('Model output'!S:S,'Model output'!Z:Z=A5))</f>
        <v>perithyroidal fibradipose tissue</v>
      </c>
      <c r="AG5" s="17" t="str" cm="1">
        <f t="array" ref="AG5">IF(OR(ISNUMBER(SEARCH("uninvolved",_xlfn.TEXTJOIN("; ",TRUE,_xlfn._xlws.FILTER('Model output'!V:V,'Model output'!Z:Z=A5)),1)),ISNUMBER(SEARCH("clear",_xlfn.TEXTJOIN("; ",TRUE,_xlfn._xlws.FILTER('Model output'!V:V,'Model output'!Z:Z=A5)),1))*ISNUMBER(SEARCH("not mentioned",_xlfn.TEXTJOIN("; ",TRUE,_xlfn._xlws.FILTER('Model output'!V:V,'Model output'!Z:Z=A5)),1))),"negative",IF(ISNUMBER(SEARCH("cannot be assessed",_xlfn.TEXTJOIN("; ",TRUE,_xlfn._xlws.FILTER('Model output'!V:V,'Model output'!Z:Z=A5)),1)),"unknown","negative"))</f>
        <v>negative</v>
      </c>
      <c r="AI5" s="45" t="str">
        <f t="shared" si="2"/>
        <v>intermediate</v>
      </c>
      <c r="AJ5" s="36" t="str">
        <f t="shared" si="3"/>
        <v>1a</v>
      </c>
      <c r="AK5" s="36" t="str">
        <f t="shared" si="4"/>
        <v>1a</v>
      </c>
      <c r="AL5" s="36">
        <f t="shared" si="5"/>
        <v>0</v>
      </c>
      <c r="AM5" s="36" t="str">
        <f t="shared" si="6"/>
        <v>I</v>
      </c>
      <c r="AN5" s="37" t="s">
        <v>168</v>
      </c>
      <c r="AO5" s="38" t="s">
        <v>193</v>
      </c>
      <c r="AP5" s="38" t="s">
        <v>193</v>
      </c>
      <c r="AQ5" s="38">
        <v>0</v>
      </c>
      <c r="AR5" s="38" t="s">
        <v>31</v>
      </c>
      <c r="AS5" s="37">
        <f t="shared" si="7"/>
        <v>1</v>
      </c>
      <c r="AT5" s="38">
        <f t="shared" si="8"/>
        <v>1</v>
      </c>
      <c r="AU5" s="38">
        <f t="shared" si="12"/>
        <v>1</v>
      </c>
      <c r="AV5" s="38">
        <f t="shared" si="13"/>
        <v>1</v>
      </c>
      <c r="AW5" s="39">
        <f t="shared" si="13"/>
        <v>1</v>
      </c>
    </row>
    <row r="6" spans="1:49">
      <c r="A6" s="13">
        <v>4</v>
      </c>
      <c r="B6" s="16">
        <f>_xlfn.MAXIFS('Model output'!B:B,'Model output'!Z:Z,'Classification result'!$A6)</f>
        <v>45412</v>
      </c>
      <c r="C6" s="16"/>
      <c r="D6" s="16"/>
      <c r="E6" s="17">
        <f>_xlfn.MAXIFS('Model output'!C:C,'Model output'!Z:Z,'Classification result'!$A6)</f>
        <v>61</v>
      </c>
      <c r="F6" s="17" t="str" cm="1">
        <f t="array" ref="F6">LEFT(IF(ISERROR(RIGHT(IF(INDEX(_xlfn._xlws.FILTER('Model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output'!Z:Z=A6)),1),""),1))),"",(RIGHT(IF(INDEX(_xlfn._xlws.FILTER('Model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output'!Z:Z=A6)),1)))))),2)</f>
        <v>1</v>
      </c>
      <c r="G6" s="17" t="str" cm="1">
        <f t="array" ref="G6">IF(ISNUMBER(SEARCH("N",IF(ISNUMBER(SEARCH("present",IF(INDEX(_xlfn._xlws.FILTER('Model output'!E:E,('Model output'!Z:Z=A6)),1)="","",INDEX(_xlfn._xlws.FILTER('Model output'!E:E,('Model output'!Z:Z=A6)),1)),1)),"N1", IF(INDEX(_xlfn._xlws.FILTER('Model output'!E:E,('Model output'!Z:Z=A6)),1)="","",INDEX(_xlfn._xlws.FILTER('Model output'!E:E,('Model output'!Z:Z=A6)),1))),1)),RIGHT(IF(ISNUMBER(SEARCH("present",IF(INDEX(_xlfn._xlws.FILTER('Model output'!E:E,('Model output'!Z:Z=A6)),1)="","",INDEX(_xlfn._xlws.FILTER('Model output'!E:E,('Model output'!Z:Z=A6)),1)),1)),"N1", IF(INDEX(_xlfn._xlws.FILTER('Model output'!E:E,('Model output'!Z:Z=A6)),1)="","",INDEX(_xlfn._xlws.FILTER('Model output'!E:E,('Model output'!Z:Z=A6)),1))),LEN(IF(ISNUMBER(SEARCH("present",IF(INDEX(_xlfn._xlws.FILTER('Model output'!E:E,('Model output'!Z:Z=A6)),1)="","",INDEX(_xlfn._xlws.FILTER('Model output'!E:E,('Model output'!Z:Z=A6)),1)),1)),"N1", IF(INDEX(_xlfn._xlws.FILTER('Model output'!E:E,('Model output'!Z:Z=A6)),1)="","",INDEX(_xlfn._xlws.FILTER('Model output'!E:E,('Model output'!Z:Z=A6)),1))))-FIND("N",IF(ISNUMBER(SEARCH("present",IF(INDEX(_xlfn._xlws.FILTER('Model output'!E:E,('Model output'!Z:Z=A6)),1)="","",INDEX(_xlfn._xlws.FILTER('Model output'!E:E,('Model output'!Z:Z=A6)),1)),1)),"N1", IF(INDEX(_xlfn._xlws.FILTER('Model output'!E:E,('Model output'!Z:Z=A6)),1)="","",INDEX(_xlfn._xlws.FILTER('Model output'!E:E,('Model output'!Z:Z=A6)),1))),1)), "")</f>
        <v>1a</v>
      </c>
      <c r="H6" s="17" cm="1">
        <f t="array" ref="H6">IF(AND(SUBSTITUTE(_xlfn.TEXTJOIN("/", TRUE, _xlfn._xlws.FILTER('Model output'!F:F, 'Model output'!Z:Z=A6)),"M", "")="", K6="negative"),0,IF(K6="positive",1,0))</f>
        <v>0</v>
      </c>
      <c r="I6" t="str">
        <f t="shared" si="0"/>
        <v>positive</v>
      </c>
      <c r="J6" t="str" cm="1">
        <f t="array" ref="J6">IF(AND(M6&gt;0, _xlfn.TEXTJOIN("; ", TRUE, _xlfn._xlws.FILTER('Model output'!G:G, 'Model output'!Z:Z=A6)) &lt;&gt;"", OR(AND(ISNUMBER(SEARCH("level", _xlfn.TEXTJOIN("; ", TRUE, _xlfn._xlws.FILTER('Model output'!G:G, 'Model output'!Z:Z=A6)),1)),OR(ISNUMBER(SEARCH(" II", _xlfn.TEXTJOIN("; ", TRUE, _xlfn._xlws.FILTER('Model output'!G:G, 'Model output'!Z:Z=A6)),1)),ISNUMBER(SEARCH("2", _xlfn.TEXTJOIN("; ", TRUE, _xlfn._xlws.FILTER('Model output'!G:G, 'Model output'!Z:Z=A6)),1)),ISNUMBER(SEARCH("two", _xlfn.TEXTJOIN("; ", TRUE, _xlfn._xlws.FILTER('Model output'!G:G, 'Model output'!Z:Z=A6)),1)),ISNUMBER(SEARCH("III", _xlfn.TEXTJOIN("; ", TRUE, _xlfn._xlws.FILTER('Model output'!G:G, 'Model output'!Z:Z=A6)),1)),ISNUMBER(SEARCH("3", _xlfn.TEXTJOIN("; ", TRUE, _xlfn._xlws.FILTER('Model output'!G:G, 'Model output'!Z:Z=A6)),1)),ISNUMBER(SEARCH("three", _xlfn.TEXTJOIN("; ", TRUE, _xlfn._xlws.FILTER('Model output'!G:G, 'Model output'!Z:Z=A6)),1)),ISNUMBER(SEARCH("IV", _xlfn.TEXTJOIN("; ", TRUE, _xlfn._xlws.FILTER('Model output'!G:G, 'Model output'!Z:Z=A6)),1)),ISNUMBER(SEARCH("4", _xlfn.TEXTJOIN("; ", TRUE, _xlfn._xlws.FILTER('Model output'!G:G, 'Model output'!Z:Z=A6)),1)),ISNUMBER(SEARCH("five", _xlfn.TEXTJOIN("; ", TRUE, _xlfn._xlws.FILTER('Model output'!G:G, 'Model output'!Z:Z=A6)),1)),ISNUMBER(SEARCH("V ", _xlfn.TEXTJOIN("; ", TRUE, _xlfn._xlws.FILTER('Model output'!G:G, 'Model output'!Z:Z=A6)),1)),ISNUMBER(SEARCH("5", _xlfn.TEXTJOIN("; ", TRUE, _xlfn._xlws.FILTER('Model output'!G:G, 'Model output'!Z:Z=A6)),1)),ISNUMBER(SEARCH("five", _xlfn.TEXTJOIN("; ", TRUE, _xlfn._xlws.FILTER('Model output'!G:G, 'Model output'!Z:Z=A6)),1)),ISNUMBER(SEARCH(" lateral", _xlfn.TEXTJOIN("; ", TRUE, _xlfn._xlws.FILTER('Model output'!G:G, 'Model output'!Z:Z=A6)),1)))),ISNUMBER(SEARCH("cervical", _xlfn.TEXTJOIN("; ", TRUE, _xlfn._xlws.FILTER('Model output'!G:G, 'Model output'!Z:Z=A6)),1)),ISNUMBER(SEARCH("jugular", _xlfn.TEXTJOIN("; ", TRUE, _xlfn._xlws.FILTER('Model output'!G:G, 'Model output'!Z:Z=A6)),1)),ISNUMBER(SEARCH("left neck", _xlfn.TEXTJOIN("; ", TRUE, _xlfn._xlws.FILTER('Model output'!G:G, 'Model output'!Z:Z=A6)),1)),ISNUMBER(SEARCH("left anterior neck", _xlfn.TEXTJOIN("; ", TRUE, _xlfn._xlws.FILTER('Model output'!G:G, 'Model output'!Z:Z=A6)),1)),ISNUMBER(SEARCH("left posterior neck", _xlfn.TEXTJOIN("; ", TRUE, _xlfn._xlws.FILTER('Model output'!G:G, 'Model output'!Z:Z=A6)),1)),ISNUMBER(SEARCH("right neck", _xlfn.TEXTJOIN("; ", TRUE, _xlfn._xlws.FILTER('Model output'!G:G, 'Model output'!Z:Z=A6)),1)),ISNUMBER(SEARCH("right anterior neck", _xlfn.TEXTJOIN("; ", TRUE, _xlfn._xlws.FILTER('Model output'!G:G, 'Model output'!Z:Z=A6)),1)),ISNUMBER(SEARCH("right posterior neck", _xlfn.TEXTJOIN("; ", TRUE, _xlfn._xlws.FILTER('Model output'!G:G, 'Model output'!Z:Z=A6)),1)))),"lateral",IF(AND(M6=0, _xlfn.TEXTJOIN("; ", TRUE, _xlfn._xlws.FILTER('Model output'!G:G, 'Model output'!Z:Z=A6))=""),"", "central"))</f>
        <v>central</v>
      </c>
      <c r="K6" s="17" t="str" cm="1">
        <f t="array" ref="K6">IF(OR(ISNUMBER(SEARCH("lymph",_xlfn.TEXTJOIN("; ", TRUE, _xlfn._xlws.FILTER('Model output'!H:H, 'Model output'!Z:Z=A6)),1)), ISNUMBER(SEARCH("Not mentioned",_xlfn.TEXTJOIN("; ", TRUE, _xlfn._xlws.FILTER('Model output'!H:H, 'Model output'!Z:Z=A6)),1)),ISNUMBER(SEARCH("subcutaneous soft tissues",_xlfn.TEXTJOIN("; ", TRUE, _xlfn._xlws.FILTER('Model output'!H:H, 'Model output'!Z:Z=A6)),1)),ISNUMBER(SEARCH("larynx",_xlfn.TEXTJOIN("; ", TRUE, _xlfn._xlws.FILTER('Model output'!H:H, 'Model output'!Z:Z=A6)),1)),ISNUMBER(SEARCH("trachea",_xlfn.TEXTJOIN("; ", TRUE, _xlfn._xlws.FILTER('Model output'!H:H, 'Model output'!Z:Z=A6)),1)),ISNUMBER(SEARCH("esophagus",_xlfn.TEXTJOIN("; ", TRUE, _xlfn._xlws.FILTER('Model output'!H:H, 'Model output'!Z:Z=A6)),1)),ISNUMBER(SEARCH("recurrent laryngeal nerve",_xlfn.TEXTJOIN("; ", TRUE, _xlfn._xlws.FILTER('Model output'!H:H, 'Model output'!Z:Z=A6)),1)),ISNUMBER(SEARCH("RLN",_xlfn.TEXTJOIN("; ", TRUE, _xlfn._xlws.FILTER('Model output'!H:H, 'Model output'!Z:Z=A6)),1)),_xlfn.TEXTJOIN("; ", TRUE, _xlfn._xlws.FILTER('Model output'!H:H, 'Model output'!Z:Z=A6))=""),"negative","positive")</f>
        <v>negative</v>
      </c>
      <c r="L6" s="17">
        <f>IF(IFERROR(INDEX('Model output'!I:I, MATCH(A6, 'Model output'!Z:Z, 0)), "") &lt; M6, "", IFERROR(INDEX('Model output'!I:I, MATCH(A6, 'Model output'!Z:Z, 0)), ""))</f>
        <v>6</v>
      </c>
      <c r="M6" s="17">
        <f>IFERROR(INDEX('Model output'!J:J, MATCH(A6, 'Model output'!Z:Z, 0)), "")</f>
        <v>4</v>
      </c>
      <c r="N6" s="18" t="str" cm="1">
        <f t="array" ref="N6">ReplaceTo(ReplaceAnd(SUBSTITUTE(SUBSTITUTE(_xlfn.TEXTJOIN("; ", TRUE, _xlfn._xlws.FILTER('Model output'!K:K, 'Model output'!Z:Z=A6)), " ", ""), ",", ";")))</f>
        <v>9.5mm</v>
      </c>
      <c r="O6" t="str" cm="1">
        <f t="array" ref="O6">IF(LEFT(IF(RIGHT(SUBSTITUTE(FilterWithUnits(N6)&amp;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";")),1)=";",RIGHT(IF(RIGHT(SUBSTITUTE(FilterWithUnits(N6)&amp;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";")),LEN(IF(RIGHT(SUBSTITUTE(FilterWithUnits(N6)&amp;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";")))-1),IF(RIGHT(SUBSTITUTE(FilterWithUnits(N6)&amp;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f>
        <v>9.5mm</v>
      </c>
      <c r="P6" cm="1">
        <f t="array" ref="P6">IF(MaxSize((SplitDimensions(O6)))=0, "", MaxSize((SplitDimensions(O6))))</f>
        <v>0.95</v>
      </c>
      <c r="Q6" t="str" cm="1">
        <f t="array" ref="Q6">IF(ISERROR(INDEX(_xlfn._xlws.FILTER('Model output'!L:L, ('Model output'!Z:Z=A6)*('Model output'!L:L&lt;&gt;"")), 1)), " ", LOWER(INDEX(_xlfn._xlws.FILTER('Model output'!L:L, ('Model output'!Z:Z=A6)*('Model output'!L:L&lt;&gt;"")), 1)))</f>
        <v>papillary carcinoma</v>
      </c>
      <c r="R6" t="str" cm="1">
        <f t="array" ref="R6">IF(ISERROR(INDEX(_xlfn._xlws.FILTER('Model output'!M:M, ('Model output'!Z:Z=A6)*('Model output'!M:M&lt;&gt;"")), 1)), " ", LOWER(INDEX(_xlfn._xlws.FILTER('Model output'!M:M, ('Model output'!Z:Z=A6)*('Model output'!M:M&lt;&gt;"")), 1)))</f>
        <v>classic</v>
      </c>
      <c r="S6" t="str" cm="1">
        <f t="array" ref="S6">IF(OR(ISNUMBER(SEARCH("ly",SUBSTITUTE(INDEX(_xlfn._xlws.FILTER('Model output'!N:N,('Model output'!Z:Z=A6)*('Model output'!N:N&lt;&gt;"")),1)," ",""),1)), ISNUMBER(SEARCH("pole",SUBSTITUTE(INDEX(_xlfn._xlws.FILTER('Model output'!N:N,('Model output'!Z:Z=A6)*('Model output'!N:N&lt;&gt;"")),1)," ",""),1))),"",SUBSTITUTE(INDEX(_xlfn._xlws.FILTER('Model output'!N:N,('Model output'!Z:Z=A6)*('Model output'!N:N&lt;&gt;"")),1)," ",""))</f>
        <v>15mm</v>
      </c>
      <c r="T6" t="str" cm="1">
        <f t="array" ref="T6">IF(LEFT(IF(RIGHT(SUBSTITUTE(FilterWithUnits(S6)&amp;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";")),1)=";",RIGHT(IF(RIGHT(SUBSTITUTE(FilterWithUnits(S6)&amp;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";")),LEN(IF(RIGHT(SUBSTITUTE(FilterWithUnits(S6)&amp;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";")))-1),IF(RIGHT(SUBSTITUTE(FilterWithUnits(S6)&amp;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f>
        <v>15mm</v>
      </c>
      <c r="U6" cm="1">
        <f t="array" ref="U6">IF(MaxSize((SplitDimensions(T6)))=0, "", MaxSize((SplitDimensions(T6))))</f>
        <v>1.5</v>
      </c>
      <c r="V6" s="17" t="str" cm="1">
        <f t="array" ref="V6">IF(ISERROR(INDEX(_xlfn._xlws.FILTER('Model output'!P:P,('Model output'!Z:Z=A6)*('Model output'!P:P&lt;&gt;"")),1)),"negative",IF(OR(ISNUMBER(SEARCH("foc",INDEX(_xlfn._xlws.FILTER('Model output'!P:P,('Model output'!Z:Z=A6)*('Model output'!P:P&lt;&gt;"")),1),1)),ISNUMBER(SEARCH("extensive",INDEX(_xlfn._xlws.FILTER('Model output'!P:P,('Model output'!Z:Z=A6)*('Model output'!P:P&lt;&gt;"")),1),1)),ISNUMBER(SEARCH("present",INDEX(_xlfn._xlws.FILTER('Model output'!P:P,('Model output'!Z:Z=A6)*('Model output'!P:P&lt;&gt;"")),1),1)),ISNUMBER(SEARCH("yes",INDEX(_xlfn._xlws.FILTER('Model output'!P:P,('Model output'!Z:Z=A6)*('Model output'!P:P&lt;&gt;"")),1),1))),"positive","negative"))</f>
        <v>negative</v>
      </c>
      <c r="X6" t="str" cm="1">
        <f t="array" ref="X6">IF(ISNUMBER(SEARCH("4",INDEX(_xlfn._xlws.FILTER('Model output'!P:P,('Model output'!Z:Z=A6)*('Model output'!P:P&lt;&gt;"")),1),1)),INDEX(_xlfn._xlws.FILTER('Model output'!P:P,('Model output'!Z:Z=A6)*('Model output'!P:P&lt;&gt;"")),1),"") &amp; _xlfn.TEXTJOIN("",TRUE,_xlfn._xlws.FILTER('Model output'!Q:Q,'Model output'!Z:Z=A6))</f>
        <v/>
      </c>
      <c r="Y6" t="str">
        <f t="shared" si="9"/>
        <v>no</v>
      </c>
      <c r="Z6" t="str" cm="1">
        <f t="array" ref="Z6">IF(OR(ISNUMBER(SEARCH("focal",_xlfn.TEXTJOIN("; ",TRUE,_xlfn._xlws.FILTER('Model output'!R:R,'Model output'!Z:Z=A6)),1)),ISNUMBER(SEARCH("present",_xlfn.TEXTJOIN("; ",TRUE,_xlfn._xlws.FILTER('Model output'!R:R,'Model output'!Z:Z=A6)),1))),"positive",IF(_xlfn.TEXTJOIN("; ",TRUE,_xlfn._xlws.FILTER('Model output'!R:R,'Model output'!Z:Z=A6))="","negative",IF(OR(ISNUMBER(SEARCH("no",_xlfn.TEXTJOIN("; ",TRUE,_xlfn._xlws.FILTER('Model output'!R:R,'Model output'!Z:Z=A6)),1)),ISNUMBER(SEARCH("absent",_xlfn.TEXTJOIN("; ",TRUE,_xlfn._xlws.FILTER('Model output'!R:R,'Model output'!Z:Z=A6)),1))),"negative","positive")))</f>
        <v>negative</v>
      </c>
      <c r="AA6" s="17" t="str">
        <f t="shared" si="10"/>
        <v>positive</v>
      </c>
      <c r="AE6" s="17" t="str">
        <f t="shared" si="11"/>
        <v>negative</v>
      </c>
      <c r="AF6" t="str" cm="1">
        <f t="array" ref="AF6">_xlfn.TEXTJOIN("; ",TRUE,_xlfn._xlws.FILTER('Model output'!S:S,'Model output'!Z:Z=A6))</f>
        <v>fatty soft tissue at isthmus</v>
      </c>
      <c r="AG6" s="17" t="str" cm="1">
        <f t="array" ref="AG6">IF(OR(ISNUMBER(SEARCH("uninvolved",_xlfn.TEXTJOIN("; ",TRUE,_xlfn._xlws.FILTER('Model output'!V:V,'Model output'!Z:Z=A6)),1)),ISNUMBER(SEARCH("clear",_xlfn.TEXTJOIN("; ",TRUE,_xlfn._xlws.FILTER('Model output'!V:V,'Model output'!Z:Z=A6)),1))*ISNUMBER(SEARCH("not mentioned",_xlfn.TEXTJOIN("; ",TRUE,_xlfn._xlws.FILTER('Model output'!V:V,'Model output'!Z:Z=A6)),1))),"negative",IF(ISNUMBER(SEARCH("cannot be assessed",_xlfn.TEXTJOIN("; ",TRUE,_xlfn._xlws.FILTER('Model output'!V:V,'Model output'!Z:Z=A6)),1)),"unknown","negative"))</f>
        <v>negative</v>
      </c>
      <c r="AI6" s="45" t="str">
        <f t="shared" si="2"/>
        <v>intermediate</v>
      </c>
      <c r="AJ6" s="36" t="str">
        <f t="shared" si="3"/>
        <v>1b</v>
      </c>
      <c r="AK6" s="36" t="str">
        <f t="shared" si="4"/>
        <v>1a</v>
      </c>
      <c r="AL6" s="36">
        <f t="shared" si="5"/>
        <v>0</v>
      </c>
      <c r="AM6" s="36" t="str">
        <f t="shared" si="6"/>
        <v>II</v>
      </c>
      <c r="AN6" s="37" t="s">
        <v>168</v>
      </c>
      <c r="AO6" s="36" t="s">
        <v>191</v>
      </c>
      <c r="AP6" s="38" t="s">
        <v>193</v>
      </c>
      <c r="AQ6" s="38">
        <v>0</v>
      </c>
      <c r="AR6" s="38" t="s">
        <v>44</v>
      </c>
      <c r="AS6" s="37">
        <f t="shared" si="7"/>
        <v>1</v>
      </c>
      <c r="AT6" s="38">
        <f t="shared" si="8"/>
        <v>1</v>
      </c>
      <c r="AU6" s="38">
        <f t="shared" si="12"/>
        <v>1</v>
      </c>
      <c r="AV6" s="38">
        <f t="shared" si="13"/>
        <v>1</v>
      </c>
      <c r="AW6" s="39">
        <f t="shared" si="13"/>
        <v>1</v>
      </c>
    </row>
    <row r="7" spans="1:49">
      <c r="A7" s="13">
        <v>5</v>
      </c>
      <c r="B7" s="16">
        <f>_xlfn.MAXIFS('Model output'!B:B,'Model output'!Z:Z,'Classification result'!$A7)</f>
        <v>45411</v>
      </c>
      <c r="C7" s="16"/>
      <c r="D7" s="16"/>
      <c r="E7" s="17">
        <f>_xlfn.MAXIFS('Model output'!C:C,'Model output'!Z:Z,'Classification result'!$A7)</f>
        <v>34</v>
      </c>
      <c r="F7" s="17" t="str" cm="1">
        <f t="array" ref="F7">LEFT(IF(ISERROR(RIGHT(IF(INDEX(_xlfn._xlws.FILTER('Model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output'!Z:Z=A7)),1),""),1))),"",(RIGHT(IF(INDEX(_xlfn._xlws.FILTER('Model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output'!Z:Z=A7)),1)))))),2)</f>
        <v>3b</v>
      </c>
      <c r="G7" s="17" t="str" cm="1">
        <f t="array" ref="G7">IF(ISNUMBER(SEARCH("N",IF(ISNUMBER(SEARCH("present",IF(INDEX(_xlfn._xlws.FILTER('Model output'!E:E,('Model output'!Z:Z=A7)),1)="","",INDEX(_xlfn._xlws.FILTER('Model output'!E:E,('Model output'!Z:Z=A7)),1)),1)),"N1", IF(INDEX(_xlfn._xlws.FILTER('Model output'!E:E,('Model output'!Z:Z=A7)),1)="","",INDEX(_xlfn._xlws.FILTER('Model output'!E:E,('Model output'!Z:Z=A7)),1))),1)),RIGHT(IF(ISNUMBER(SEARCH("present",IF(INDEX(_xlfn._xlws.FILTER('Model output'!E:E,('Model output'!Z:Z=A7)),1)="","",INDEX(_xlfn._xlws.FILTER('Model output'!E:E,('Model output'!Z:Z=A7)),1)),1)),"N1", IF(INDEX(_xlfn._xlws.FILTER('Model output'!E:E,('Model output'!Z:Z=A7)),1)="","",INDEX(_xlfn._xlws.FILTER('Model output'!E:E,('Model output'!Z:Z=A7)),1))),LEN(IF(ISNUMBER(SEARCH("present",IF(INDEX(_xlfn._xlws.FILTER('Model output'!E:E,('Model output'!Z:Z=A7)),1)="","",INDEX(_xlfn._xlws.FILTER('Model output'!E:E,('Model output'!Z:Z=A7)),1)),1)),"N1", IF(INDEX(_xlfn._xlws.FILTER('Model output'!E:E,('Model output'!Z:Z=A7)),1)="","",INDEX(_xlfn._xlws.FILTER('Model output'!E:E,('Model output'!Z:Z=A7)),1))))-FIND("N",IF(ISNUMBER(SEARCH("present",IF(INDEX(_xlfn._xlws.FILTER('Model output'!E:E,('Model output'!Z:Z=A7)),1)="","",INDEX(_xlfn._xlws.FILTER('Model output'!E:E,('Model output'!Z:Z=A7)),1)),1)),"N1", IF(INDEX(_xlfn._xlws.FILTER('Model output'!E:E,('Model output'!Z:Z=A7)),1)="","",INDEX(_xlfn._xlws.FILTER('Model output'!E:E,('Model output'!Z:Z=A7)),1))),1)), "")</f>
        <v>1a</v>
      </c>
      <c r="H7" s="17" cm="1">
        <f t="array" ref="H7">IF(AND(SUBSTITUTE(_xlfn.TEXTJOIN("/", TRUE, _xlfn._xlws.FILTER('Model output'!F:F, 'Model output'!Z:Z=A7)),"M", "")="", K7="negative"),0,IF(K7="positive",1,0))</f>
        <v>0</v>
      </c>
      <c r="I7" t="str">
        <f t="shared" si="0"/>
        <v>positive</v>
      </c>
      <c r="J7" t="str" cm="1">
        <f t="array" ref="J7">IF(AND(M7&gt;0, _xlfn.TEXTJOIN("; ", TRUE, _xlfn._xlws.FILTER('Model output'!G:G, 'Model output'!Z:Z=A7)) &lt;&gt;"", OR(AND(ISNUMBER(SEARCH("level", _xlfn.TEXTJOIN("; ", TRUE, _xlfn._xlws.FILTER('Model output'!G:G, 'Model output'!Z:Z=A7)),1)),OR(ISNUMBER(SEARCH(" II", _xlfn.TEXTJOIN("; ", TRUE, _xlfn._xlws.FILTER('Model output'!G:G, 'Model output'!Z:Z=A7)),1)),ISNUMBER(SEARCH("2", _xlfn.TEXTJOIN("; ", TRUE, _xlfn._xlws.FILTER('Model output'!G:G, 'Model output'!Z:Z=A7)),1)),ISNUMBER(SEARCH("two", _xlfn.TEXTJOIN("; ", TRUE, _xlfn._xlws.FILTER('Model output'!G:G, 'Model output'!Z:Z=A7)),1)),ISNUMBER(SEARCH("III", _xlfn.TEXTJOIN("; ", TRUE, _xlfn._xlws.FILTER('Model output'!G:G, 'Model output'!Z:Z=A7)),1)),ISNUMBER(SEARCH("3", _xlfn.TEXTJOIN("; ", TRUE, _xlfn._xlws.FILTER('Model output'!G:G, 'Model output'!Z:Z=A7)),1)),ISNUMBER(SEARCH("three", _xlfn.TEXTJOIN("; ", TRUE, _xlfn._xlws.FILTER('Model output'!G:G, 'Model output'!Z:Z=A7)),1)),ISNUMBER(SEARCH("IV", _xlfn.TEXTJOIN("; ", TRUE, _xlfn._xlws.FILTER('Model output'!G:G, 'Model output'!Z:Z=A7)),1)),ISNUMBER(SEARCH("4", _xlfn.TEXTJOIN("; ", TRUE, _xlfn._xlws.FILTER('Model output'!G:G, 'Model output'!Z:Z=A7)),1)),ISNUMBER(SEARCH("five", _xlfn.TEXTJOIN("; ", TRUE, _xlfn._xlws.FILTER('Model output'!G:G, 'Model output'!Z:Z=A7)),1)),ISNUMBER(SEARCH("V ", _xlfn.TEXTJOIN("; ", TRUE, _xlfn._xlws.FILTER('Model output'!G:G, 'Model output'!Z:Z=A7)),1)),ISNUMBER(SEARCH("5", _xlfn.TEXTJOIN("; ", TRUE, _xlfn._xlws.FILTER('Model output'!G:G, 'Model output'!Z:Z=A7)),1)),ISNUMBER(SEARCH("five", _xlfn.TEXTJOIN("; ", TRUE, _xlfn._xlws.FILTER('Model output'!G:G, 'Model output'!Z:Z=A7)),1)),ISNUMBER(SEARCH(" lateral", _xlfn.TEXTJOIN("; ", TRUE, _xlfn._xlws.FILTER('Model output'!G:G, 'Model output'!Z:Z=A7)),1)))),ISNUMBER(SEARCH("cervical", _xlfn.TEXTJOIN("; ", TRUE, _xlfn._xlws.FILTER('Model output'!G:G, 'Model output'!Z:Z=A7)),1)),ISNUMBER(SEARCH("jugular", _xlfn.TEXTJOIN("; ", TRUE, _xlfn._xlws.FILTER('Model output'!G:G, 'Model output'!Z:Z=A7)),1)),ISNUMBER(SEARCH("left neck", _xlfn.TEXTJOIN("; ", TRUE, _xlfn._xlws.FILTER('Model output'!G:G, 'Model output'!Z:Z=A7)),1)),ISNUMBER(SEARCH("left anterior neck", _xlfn.TEXTJOIN("; ", TRUE, _xlfn._xlws.FILTER('Model output'!G:G, 'Model output'!Z:Z=A7)),1)),ISNUMBER(SEARCH("left posterior neck", _xlfn.TEXTJOIN("; ", TRUE, _xlfn._xlws.FILTER('Model output'!G:G, 'Model output'!Z:Z=A7)),1)),ISNUMBER(SEARCH("right neck", _xlfn.TEXTJOIN("; ", TRUE, _xlfn._xlws.FILTER('Model output'!G:G, 'Model output'!Z:Z=A7)),1)),ISNUMBER(SEARCH("right anterior neck", _xlfn.TEXTJOIN("; ", TRUE, _xlfn._xlws.FILTER('Model output'!G:G, 'Model output'!Z:Z=A7)),1)),ISNUMBER(SEARCH("right posterior neck", _xlfn.TEXTJOIN("; ", TRUE, _xlfn._xlws.FILTER('Model output'!G:G, 'Model output'!Z:Z=A7)),1)))),"lateral",IF(AND(M7=0, _xlfn.TEXTJOIN("; ", TRUE, _xlfn._xlws.FILTER('Model output'!G:G, 'Model output'!Z:Z=A7))=""),"", "central"))</f>
        <v>central</v>
      </c>
      <c r="K7" s="17" t="str" cm="1">
        <f t="array" ref="K7">IF(OR(ISNUMBER(SEARCH("lymph",_xlfn.TEXTJOIN("; ", TRUE, _xlfn._xlws.FILTER('Model output'!H:H, 'Model output'!Z:Z=A7)),1)), ISNUMBER(SEARCH("Not mentioned",_xlfn.TEXTJOIN("; ", TRUE, _xlfn._xlws.FILTER('Model output'!H:H, 'Model output'!Z:Z=A7)),1)),ISNUMBER(SEARCH("subcutaneous soft tissues",_xlfn.TEXTJOIN("; ", TRUE, _xlfn._xlws.FILTER('Model output'!H:H, 'Model output'!Z:Z=A7)),1)),ISNUMBER(SEARCH("larynx",_xlfn.TEXTJOIN("; ", TRUE, _xlfn._xlws.FILTER('Model output'!H:H, 'Model output'!Z:Z=A7)),1)),ISNUMBER(SEARCH("trachea",_xlfn.TEXTJOIN("; ", TRUE, _xlfn._xlws.FILTER('Model output'!H:H, 'Model output'!Z:Z=A7)),1)),ISNUMBER(SEARCH("esophagus",_xlfn.TEXTJOIN("; ", TRUE, _xlfn._xlws.FILTER('Model output'!H:H, 'Model output'!Z:Z=A7)),1)),ISNUMBER(SEARCH("recurrent laryngeal nerve",_xlfn.TEXTJOIN("; ", TRUE, _xlfn._xlws.FILTER('Model output'!H:H, 'Model output'!Z:Z=A7)),1)),ISNUMBER(SEARCH("RLN",_xlfn.TEXTJOIN("; ", TRUE, _xlfn._xlws.FILTER('Model output'!H:H, 'Model output'!Z:Z=A7)),1)),_xlfn.TEXTJOIN("; ", TRUE, _xlfn._xlws.FILTER('Model output'!H:H, 'Model output'!Z:Z=A7))=""),"negative","positive")</f>
        <v>negative</v>
      </c>
      <c r="L7" s="17">
        <f>IF(IFERROR(INDEX('Model output'!I:I, MATCH(A7, 'Model output'!Z:Z, 0)), "") &lt; M7, "", IFERROR(INDEX('Model output'!I:I, MATCH(A7, 'Model output'!Z:Z, 0)), ""))</f>
        <v>5</v>
      </c>
      <c r="M7" s="17">
        <f>IFERROR(INDEX('Model output'!J:J, MATCH(A7, 'Model output'!Z:Z, 0)), "")</f>
        <v>1</v>
      </c>
      <c r="N7" s="18" t="str" cm="1">
        <f t="array" ref="N7">ReplaceTo(ReplaceAnd(SUBSTITUTE(SUBSTITUTE(_xlfn.TEXTJOIN("; ", TRUE, _xlfn._xlws.FILTER('Model output'!K:K, 'Model output'!Z:Z=A7)), " ", ""), ",", ";")))</f>
        <v>0.6mm;0.6mm</v>
      </c>
      <c r="O7" t="str" cm="1">
        <f t="array" ref="O7">IF(LEFT(IF(RIGHT(SUBSTITUTE(FilterWithUnits(N7)&amp;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";")),1)=";",RIGHT(IF(RIGHT(SUBSTITUTE(FilterWithUnits(N7)&amp;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";")),LEN(IF(RIGHT(SUBSTITUTE(FilterWithUnits(N7)&amp;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";")))-1),IF(RIGHT(SUBSTITUTE(FilterWithUnits(N7)&amp;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f>
        <v>0.6mm;0.6mm</v>
      </c>
      <c r="P7" cm="1">
        <f t="array" ref="P7">IF(MaxSize((SplitDimensions(O7)))=0, "", MaxSize((SplitDimensions(O7))))</f>
        <v>0.06</v>
      </c>
      <c r="Q7" t="str" cm="1">
        <f t="array" ref="Q7">IF(ISERROR(INDEX(_xlfn._xlws.FILTER('Model output'!L:L, ('Model output'!Z:Z=A7)*('Model output'!L:L&lt;&gt;"")), 1)), " ", LOWER(INDEX(_xlfn._xlws.FILTER('Model output'!L:L, ('Model output'!Z:Z=A7)*('Model output'!L:L&lt;&gt;"")), 1)))</f>
        <v>papillary carcinoma</v>
      </c>
      <c r="R7" t="str" cm="1">
        <f t="array" ref="R7">IF(ISERROR(INDEX(_xlfn._xlws.FILTER('Model output'!M:M, ('Model output'!Z:Z=A7)*('Model output'!M:M&lt;&gt;"")), 1)), " ", LOWER(INDEX(_xlfn._xlws.FILTER('Model output'!M:M, ('Model output'!Z:Z=A7)*('Model output'!M:M&lt;&gt;"")), 1)))</f>
        <v>oncocytic classic subtype</v>
      </c>
      <c r="S7" t="str" cm="1">
        <f t="array" ref="S7">IF(OR(ISNUMBER(SEARCH("ly",SUBSTITUTE(INDEX(_xlfn._xlws.FILTER('Model output'!N:N,('Model output'!Z:Z=A7)*('Model output'!N:N&lt;&gt;"")),1)," ",""),1)), ISNUMBER(SEARCH("pole",SUBSTITUTE(INDEX(_xlfn._xlws.FILTER('Model output'!N:N,('Model output'!Z:Z=A7)*('Model output'!N:N&lt;&gt;"")),1)," ",""),1))),"",SUBSTITUTE(INDEX(_xlfn._xlws.FILTER('Model output'!N:N,('Model output'!Z:Z=A7)*('Model output'!N:N&lt;&gt;"")),1)," ",""))</f>
        <v/>
      </c>
      <c r="T7" t="str" cm="1">
        <f t="array" ref="T7">IF(LEFT(IF(RIGHT(SUBSTITUTE(FilterWithUnits(S7)&amp;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";")),1)=";",RIGHT(IF(RIGHT(SUBSTITUTE(FilterWithUnits(S7)&amp;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";")),LEN(IF(RIGHT(SUBSTITUTE(FilterWithUnits(S7)&amp;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";")))-1),IF(RIGHT(SUBSTITUTE(FilterWithUnits(S7)&amp;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f>
        <v/>
      </c>
      <c r="U7" t="str" cm="1">
        <f t="array" ref="U7">IF(MaxSize((SplitDimensions(T7)))=0, "", MaxSize((SplitDimensions(T7))))</f>
        <v/>
      </c>
      <c r="V7" s="17" t="str" cm="1">
        <f t="array" ref="V7">IF(ISERROR(INDEX(_xlfn._xlws.FILTER('Model output'!P:P,('Model output'!Z:Z=A7)*('Model output'!P:P&lt;&gt;"")),1)),"negative",IF(OR(ISNUMBER(SEARCH("foc",INDEX(_xlfn._xlws.FILTER('Model output'!P:P,('Model output'!Z:Z=A7)*('Model output'!P:P&lt;&gt;"")),1),1)),ISNUMBER(SEARCH("extensive",INDEX(_xlfn._xlws.FILTER('Model output'!P:P,('Model output'!Z:Z=A7)*('Model output'!P:P&lt;&gt;"")),1),1)),ISNUMBER(SEARCH("present",INDEX(_xlfn._xlws.FILTER('Model output'!P:P,('Model output'!Z:Z=A7)*('Model output'!P:P&lt;&gt;"")),1),1)),ISNUMBER(SEARCH("yes",INDEX(_xlfn._xlws.FILTER('Model output'!P:P,('Model output'!Z:Z=A7)*('Model output'!P:P&lt;&gt;"")),1),1))),"positive","negative"))</f>
        <v>positive</v>
      </c>
      <c r="X7" t="str" cm="1">
        <f t="array" ref="X7">IF(ISNUMBER(SEARCH("4",INDEX(_xlfn._xlws.FILTER('Model output'!P:P,('Model output'!Z:Z=A7)*('Model output'!P:P&lt;&gt;"")),1),1)),INDEX(_xlfn._xlws.FILTER('Model output'!P:P,('Model output'!Z:Z=A7)*('Model output'!P:P&lt;&gt;"")),1),"") &amp; _xlfn.TEXTJOIN("",TRUE,_xlfn._xlws.FILTER('Model output'!Q:Q,'Model output'!Z:Z=A7))</f>
        <v>Extrathyroidal extension to overlying strap muscle</v>
      </c>
      <c r="Y7" t="str">
        <f t="shared" si="9"/>
        <v>minimal</v>
      </c>
      <c r="Z7" t="str" cm="1">
        <f t="array" ref="Z7">IF(OR(ISNUMBER(SEARCH("focal",_xlfn.TEXTJOIN("; ",TRUE,_xlfn._xlws.FILTER('Model output'!R:R,'Model output'!Z:Z=A7)),1)),ISNUMBER(SEARCH("present",_xlfn.TEXTJOIN("; ",TRUE,_xlfn._xlws.FILTER('Model output'!R:R,'Model output'!Z:Z=A7)),1))),"positive",IF(_xlfn.TEXTJOIN("; ",TRUE,_xlfn._xlws.FILTER('Model output'!R:R,'Model output'!Z:Z=A7))="","negative",IF(OR(ISNUMBER(SEARCH("no",_xlfn.TEXTJOIN("; ",TRUE,_xlfn._xlws.FILTER('Model output'!R:R,'Model output'!Z:Z=A7)),1)),ISNUMBER(SEARCH("absent",_xlfn.TEXTJOIN("; ",TRUE,_xlfn._xlws.FILTER('Model output'!R:R,'Model output'!Z:Z=A7)),1))),"negative","positive")))</f>
        <v>positive</v>
      </c>
      <c r="AA7" s="17" t="str">
        <f t="shared" si="10"/>
        <v>positive</v>
      </c>
      <c r="AE7" s="17" t="str">
        <f t="shared" si="11"/>
        <v>positive</v>
      </c>
      <c r="AF7" t="str" cm="1">
        <f t="array" ref="AF7">_xlfn.TEXTJOIN("; ",TRUE,_xlfn._xlws.FILTER('Model output'!S:S,'Model output'!Z:Z=A7))</f>
        <v>Invading soft tissue and strap muscles (microscopic); perithyroidal fibradipose tissue, skeletal muscle</v>
      </c>
      <c r="AG7" s="17" t="str" cm="1">
        <f t="array" ref="AG7">IF(OR(ISNUMBER(SEARCH("uninvolved",_xlfn.TEXTJOIN("; ",TRUE,_xlfn._xlws.FILTER('Model output'!V:V,'Model output'!Z:Z=A7)),1)),ISNUMBER(SEARCH("clear",_xlfn.TEXTJOIN("; ",TRUE,_xlfn._xlws.FILTER('Model output'!V:V,'Model output'!Z:Z=A7)),1))*ISNUMBER(SEARCH("not mentioned",_xlfn.TEXTJOIN("; ",TRUE,_xlfn._xlws.FILTER('Model output'!V:V,'Model output'!Z:Z=A7)),1))),"negative",IF(ISNUMBER(SEARCH("cannot be assessed",_xlfn.TEXTJOIN("; ",TRUE,_xlfn._xlws.FILTER('Model output'!V:V,'Model output'!Z:Z=A7)),1)),"unknown","negative"))</f>
        <v>negative</v>
      </c>
      <c r="AI7" s="45" t="str">
        <f t="shared" si="2"/>
        <v>high</v>
      </c>
      <c r="AJ7" s="36" t="str">
        <f t="shared" si="3"/>
        <v>4a</v>
      </c>
      <c r="AK7" s="36" t="str">
        <f t="shared" si="4"/>
        <v>1a</v>
      </c>
      <c r="AL7" s="36">
        <f t="shared" si="5"/>
        <v>0</v>
      </c>
      <c r="AM7" s="36" t="str">
        <f t="shared" si="6"/>
        <v>I</v>
      </c>
      <c r="AN7" s="37" t="s">
        <v>169</v>
      </c>
      <c r="AO7" s="38" t="s">
        <v>194</v>
      </c>
      <c r="AP7" s="38" t="s">
        <v>193</v>
      </c>
      <c r="AQ7" s="38">
        <v>0</v>
      </c>
      <c r="AR7" s="38" t="s">
        <v>31</v>
      </c>
      <c r="AS7" s="37">
        <f t="shared" si="7"/>
        <v>1</v>
      </c>
      <c r="AT7" s="38">
        <f t="shared" si="8"/>
        <v>0</v>
      </c>
      <c r="AU7" s="38">
        <f t="shared" si="12"/>
        <v>1</v>
      </c>
      <c r="AV7" s="38">
        <f t="shared" si="13"/>
        <v>1</v>
      </c>
      <c r="AW7" s="39">
        <f t="shared" si="13"/>
        <v>1</v>
      </c>
    </row>
    <row r="8" spans="1:49">
      <c r="A8" s="13">
        <v>6</v>
      </c>
      <c r="B8" s="16">
        <f>_xlfn.MAXIFS('Model output'!B:B,'Model output'!Z:Z,'Classification result'!$A8)</f>
        <v>45387</v>
      </c>
      <c r="C8" s="16"/>
      <c r="D8" s="16"/>
      <c r="E8" s="17">
        <f>_xlfn.MAXIFS('Model output'!C:C,'Model output'!Z:Z,'Classification result'!$A8)</f>
        <v>66</v>
      </c>
      <c r="F8" s="17" t="str" cm="1">
        <f t="array" ref="F8">LEFT(IF(ISERROR(RIGHT(IF(INDEX(_xlfn._xlws.FILTER('Model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output'!Z:Z=A8)),1),""),1))),"",(RIGHT(IF(INDEX(_xlfn._xlws.FILTER('Model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output'!Z:Z=A8)),1)))))),2)</f>
        <v/>
      </c>
      <c r="G8" s="17" t="str" cm="1">
        <f t="array" ref="G8">IF(ISNUMBER(SEARCH("N",IF(ISNUMBER(SEARCH("present",IF(INDEX(_xlfn._xlws.FILTER('Model output'!E:E,('Model output'!Z:Z=A8)),1)="","",INDEX(_xlfn._xlws.FILTER('Model output'!E:E,('Model output'!Z:Z=A8)),1)),1)),"N1", IF(INDEX(_xlfn._xlws.FILTER('Model output'!E:E,('Model output'!Z:Z=A8)),1)="","",INDEX(_xlfn._xlws.FILTER('Model output'!E:E,('Model output'!Z:Z=A8)),1))),1)),RIGHT(IF(ISNUMBER(SEARCH("present",IF(INDEX(_xlfn._xlws.FILTER('Model output'!E:E,('Model output'!Z:Z=A8)),1)="","",INDEX(_xlfn._xlws.FILTER('Model output'!E:E,('Model output'!Z:Z=A8)),1)),1)),"N1", IF(INDEX(_xlfn._xlws.FILTER('Model output'!E:E,('Model output'!Z:Z=A8)),1)="","",INDEX(_xlfn._xlws.FILTER('Model output'!E:E,('Model output'!Z:Z=A8)),1))),LEN(IF(ISNUMBER(SEARCH("present",IF(INDEX(_xlfn._xlws.FILTER('Model output'!E:E,('Model output'!Z:Z=A8)),1)="","",INDEX(_xlfn._xlws.FILTER('Model output'!E:E,('Model output'!Z:Z=A8)),1)),1)),"N1", IF(INDEX(_xlfn._xlws.FILTER('Model output'!E:E,('Model output'!Z:Z=A8)),1)="","",INDEX(_xlfn._xlws.FILTER('Model output'!E:E,('Model output'!Z:Z=A8)),1))))-FIND("N",IF(ISNUMBER(SEARCH("present",IF(INDEX(_xlfn._xlws.FILTER('Model output'!E:E,('Model output'!Z:Z=A8)),1)="","",INDEX(_xlfn._xlws.FILTER('Model output'!E:E,('Model output'!Z:Z=A8)),1)),1)),"N1", IF(INDEX(_xlfn._xlws.FILTER('Model output'!E:E,('Model output'!Z:Z=A8)),1)="","",INDEX(_xlfn._xlws.FILTER('Model output'!E:E,('Model output'!Z:Z=A8)),1))),1)), "")</f>
        <v/>
      </c>
      <c r="H8" s="17" cm="1">
        <f t="array" ref="H8">IF(AND(SUBSTITUTE(_xlfn.TEXTJOIN("/", TRUE, _xlfn._xlws.FILTER('Model output'!F:F, 'Model output'!Z:Z=A8)),"M", "")="", K8="negative"),0,IF(K8="positive",1,0))</f>
        <v>0</v>
      </c>
      <c r="I8" t="str">
        <f t="shared" si="0"/>
        <v/>
      </c>
      <c r="J8" t="str" cm="1">
        <f t="array" ref="J8">IF(AND(M8&gt;0, _xlfn.TEXTJOIN("; ", TRUE, _xlfn._xlws.FILTER('Model output'!G:G, 'Model output'!Z:Z=A8)) &lt;&gt;"", OR(AND(ISNUMBER(SEARCH("level", _xlfn.TEXTJOIN("; ", TRUE, _xlfn._xlws.FILTER('Model output'!G:G, 'Model output'!Z:Z=A8)),1)),OR(ISNUMBER(SEARCH(" II", _xlfn.TEXTJOIN("; ", TRUE, _xlfn._xlws.FILTER('Model output'!G:G, 'Model output'!Z:Z=A8)),1)),ISNUMBER(SEARCH("2", _xlfn.TEXTJOIN("; ", TRUE, _xlfn._xlws.FILTER('Model output'!G:G, 'Model output'!Z:Z=A8)),1)),ISNUMBER(SEARCH("two", _xlfn.TEXTJOIN("; ", TRUE, _xlfn._xlws.FILTER('Model output'!G:G, 'Model output'!Z:Z=A8)),1)),ISNUMBER(SEARCH("III", _xlfn.TEXTJOIN("; ", TRUE, _xlfn._xlws.FILTER('Model output'!G:G, 'Model output'!Z:Z=A8)),1)),ISNUMBER(SEARCH("3", _xlfn.TEXTJOIN("; ", TRUE, _xlfn._xlws.FILTER('Model output'!G:G, 'Model output'!Z:Z=A8)),1)),ISNUMBER(SEARCH("three", _xlfn.TEXTJOIN("; ", TRUE, _xlfn._xlws.FILTER('Model output'!G:G, 'Model output'!Z:Z=A8)),1)),ISNUMBER(SEARCH("IV", _xlfn.TEXTJOIN("; ", TRUE, _xlfn._xlws.FILTER('Model output'!G:G, 'Model output'!Z:Z=A8)),1)),ISNUMBER(SEARCH("4", _xlfn.TEXTJOIN("; ", TRUE, _xlfn._xlws.FILTER('Model output'!G:G, 'Model output'!Z:Z=A8)),1)),ISNUMBER(SEARCH("five", _xlfn.TEXTJOIN("; ", TRUE, _xlfn._xlws.FILTER('Model output'!G:G, 'Model output'!Z:Z=A8)),1)),ISNUMBER(SEARCH("V ", _xlfn.TEXTJOIN("; ", TRUE, _xlfn._xlws.FILTER('Model output'!G:G, 'Model output'!Z:Z=A8)),1)),ISNUMBER(SEARCH("5", _xlfn.TEXTJOIN("; ", TRUE, _xlfn._xlws.FILTER('Model output'!G:G, 'Model output'!Z:Z=A8)),1)),ISNUMBER(SEARCH("five", _xlfn.TEXTJOIN("; ", TRUE, _xlfn._xlws.FILTER('Model output'!G:G, 'Model output'!Z:Z=A8)),1)),ISNUMBER(SEARCH(" lateral", _xlfn.TEXTJOIN("; ", TRUE, _xlfn._xlws.FILTER('Model output'!G:G, 'Model output'!Z:Z=A8)),1)))),ISNUMBER(SEARCH("cervical", _xlfn.TEXTJOIN("; ", TRUE, _xlfn._xlws.FILTER('Model output'!G:G, 'Model output'!Z:Z=A8)),1)),ISNUMBER(SEARCH("jugular", _xlfn.TEXTJOIN("; ", TRUE, _xlfn._xlws.FILTER('Model output'!G:G, 'Model output'!Z:Z=A8)),1)),ISNUMBER(SEARCH("left neck", _xlfn.TEXTJOIN("; ", TRUE, _xlfn._xlws.FILTER('Model output'!G:G, 'Model output'!Z:Z=A8)),1)),ISNUMBER(SEARCH("left anterior neck", _xlfn.TEXTJOIN("; ", TRUE, _xlfn._xlws.FILTER('Model output'!G:G, 'Model output'!Z:Z=A8)),1)),ISNUMBER(SEARCH("left posterior neck", _xlfn.TEXTJOIN("; ", TRUE, _xlfn._xlws.FILTER('Model output'!G:G, 'Model output'!Z:Z=A8)),1)),ISNUMBER(SEARCH("right neck", _xlfn.TEXTJOIN("; ", TRUE, _xlfn._xlws.FILTER('Model output'!G:G, 'Model output'!Z:Z=A8)),1)),ISNUMBER(SEARCH("right anterior neck", _xlfn.TEXTJOIN("; ", TRUE, _xlfn._xlws.FILTER('Model output'!G:G, 'Model output'!Z:Z=A8)),1)),ISNUMBER(SEARCH("right posterior neck", _xlfn.TEXTJOIN("; ", TRUE, _xlfn._xlws.FILTER('Model output'!G:G, 'Model output'!Z:Z=A8)),1)))),"lateral",IF(AND(M8=0, _xlfn.TEXTJOIN("; ", TRUE, _xlfn._xlws.FILTER('Model output'!G:G, 'Model output'!Z:Z=A8))=""),"", "central"))</f>
        <v/>
      </c>
      <c r="K8" s="17" t="str" cm="1">
        <f t="array" ref="K8">IF(OR(ISNUMBER(SEARCH("lymph",_xlfn.TEXTJOIN("; ", TRUE, _xlfn._xlws.FILTER('Model output'!H:H, 'Model output'!Z:Z=A8)),1)), ISNUMBER(SEARCH("Not mentioned",_xlfn.TEXTJOIN("; ", TRUE, _xlfn._xlws.FILTER('Model output'!H:H, 'Model output'!Z:Z=A8)),1)),ISNUMBER(SEARCH("subcutaneous soft tissues",_xlfn.TEXTJOIN("; ", TRUE, _xlfn._xlws.FILTER('Model output'!H:H, 'Model output'!Z:Z=A8)),1)),ISNUMBER(SEARCH("larynx",_xlfn.TEXTJOIN("; ", TRUE, _xlfn._xlws.FILTER('Model output'!H:H, 'Model output'!Z:Z=A8)),1)),ISNUMBER(SEARCH("trachea",_xlfn.TEXTJOIN("; ", TRUE, _xlfn._xlws.FILTER('Model output'!H:H, 'Model output'!Z:Z=A8)),1)),ISNUMBER(SEARCH("esophagus",_xlfn.TEXTJOIN("; ", TRUE, _xlfn._xlws.FILTER('Model output'!H:H, 'Model output'!Z:Z=A8)),1)),ISNUMBER(SEARCH("recurrent laryngeal nerve",_xlfn.TEXTJOIN("; ", TRUE, _xlfn._xlws.FILTER('Model output'!H:H, 'Model output'!Z:Z=A8)),1)),ISNUMBER(SEARCH("RLN",_xlfn.TEXTJOIN("; ", TRUE, _xlfn._xlws.FILTER('Model output'!H:H, 'Model output'!Z:Z=A8)),1)),_xlfn.TEXTJOIN("; ", TRUE, _xlfn._xlws.FILTER('Model output'!H:H, 'Model output'!Z:Z=A8))=""),"negative","positive")</f>
        <v>negative</v>
      </c>
      <c r="L8" s="17">
        <f>IF(IFERROR(INDEX('Model output'!I:I, MATCH(A8, 'Model output'!Z:Z, 0)), "") &lt; M8, "", IFERROR(INDEX('Model output'!I:I, MATCH(A8, 'Model output'!Z:Z, 0)), ""))</f>
        <v>0</v>
      </c>
      <c r="M8" s="17">
        <f>IFERROR(INDEX('Model output'!J:J, MATCH(A8, 'Model output'!Z:Z, 0)), "")</f>
        <v>0</v>
      </c>
      <c r="N8" s="18" t="str" cm="1">
        <f t="array" ref="N8">ReplaceTo(ReplaceAnd(SUBSTITUTE(SUBSTITUTE(_xlfn.TEXTJOIN("; ", TRUE, _xlfn._xlws.FILTER('Model output'!K:K, 'Model output'!Z:Z=A8)), " ", ""), ",", ";")))</f>
        <v/>
      </c>
      <c r="O8" t="str" cm="1">
        <f t="array" ref="O8">IF(LEFT(IF(RIGHT(SUBSTITUTE(FilterWithUnits(N8)&amp;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";")),1)=";",RIGHT(IF(RIGHT(SUBSTITUTE(FilterWithUnits(N8)&amp;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";")),LEN(IF(RIGHT(SUBSTITUTE(FilterWithUnits(N8)&amp;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";")))-1),IF(RIGHT(SUBSTITUTE(FilterWithUnits(N8)&amp;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f>
        <v/>
      </c>
      <c r="P8" t="str" cm="1">
        <f t="array" ref="P8">IF(MaxSize((SplitDimensions(O8)))=0, "", MaxSize((SplitDimensions(O8))))</f>
        <v/>
      </c>
      <c r="Q8" t="str" cm="1">
        <f t="array" ref="Q8">IF(ISERROR(INDEX(_xlfn._xlws.FILTER('Model output'!L:L, ('Model output'!Z:Z=A8)*('Model output'!L:L&lt;&gt;"")), 1)), " ", LOWER(INDEX(_xlfn._xlws.FILTER('Model output'!L:L, ('Model output'!Z:Z=A8)*('Model output'!L:L&lt;&gt;"")), 1)))</f>
        <v>follicular</v>
      </c>
      <c r="R8" t="str" cm="1">
        <f t="array" ref="R8">IF(ISERROR(INDEX(_xlfn._xlws.FILTER('Model output'!M:M, ('Model output'!Z:Z=A8)*('Model output'!M:M&lt;&gt;"")), 1)), " ", LOWER(INDEX(_xlfn._xlws.FILTER('Model output'!M:M, ('Model output'!Z:Z=A8)*('Model output'!M:M&lt;&gt;"")), 1)))</f>
        <v>minimally invasive follicular carcinoma</v>
      </c>
      <c r="S8" t="str" cm="1">
        <f t="array" ref="S8">IF(OR(ISNUMBER(SEARCH("ly",SUBSTITUTE(INDEX(_xlfn._xlws.FILTER('Model output'!N:N,('Model output'!Z:Z=A8)*('Model output'!N:N&lt;&gt;"")),1)," ",""),1)), ISNUMBER(SEARCH("pole",SUBSTITUTE(INDEX(_xlfn._xlws.FILTER('Model output'!N:N,('Model output'!Z:Z=A8)*('Model output'!N:N&lt;&gt;"")),1)," ",""),1))),"",SUBSTITUTE(INDEX(_xlfn._xlws.FILTER('Model output'!N:N,('Model output'!Z:Z=A8)*('Model output'!N:N&lt;&gt;"")),1)," ",""))</f>
        <v/>
      </c>
      <c r="T8" t="str" cm="1">
        <f t="array" ref="T8">IF(LEFT(IF(RIGHT(SUBSTITUTE(FilterWithUnits(S8)&amp;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";")),1)=";",RIGHT(IF(RIGHT(SUBSTITUTE(FilterWithUnits(S8)&amp;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";")),LEN(IF(RIGHT(SUBSTITUTE(FilterWithUnits(S8)&amp;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";")))-1),IF(RIGHT(SUBSTITUTE(FilterWithUnits(S8)&amp;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f>
        <v/>
      </c>
      <c r="U8" t="str" cm="1">
        <f t="array" ref="U8">IF(MaxSize((SplitDimensions(T8)))=0, "", MaxSize((SplitDimensions(T8))))</f>
        <v/>
      </c>
      <c r="V8" s="17" t="str" cm="1">
        <f t="array" ref="V8">IF(ISERROR(INDEX(_xlfn._xlws.FILTER('Model output'!P:P,('Model output'!Z:Z=A8)*('Model output'!P:P&lt;&gt;"")),1)),"negative",IF(OR(ISNUMBER(SEARCH("foc",INDEX(_xlfn._xlws.FILTER('Model output'!P:P,('Model output'!Z:Z=A8)*('Model output'!P:P&lt;&gt;"")),1),1)),ISNUMBER(SEARCH("extensive",INDEX(_xlfn._xlws.FILTER('Model output'!P:P,('Model output'!Z:Z=A8)*('Model output'!P:P&lt;&gt;"")),1),1)),ISNUMBER(SEARCH("present",INDEX(_xlfn._xlws.FILTER('Model output'!P:P,('Model output'!Z:Z=A8)*('Model output'!P:P&lt;&gt;"")),1),1)),ISNUMBER(SEARCH("yes",INDEX(_xlfn._xlws.FILTER('Model output'!P:P,('Model output'!Z:Z=A8)*('Model output'!P:P&lt;&gt;"")),1),1))),"positive","negative"))</f>
        <v>positive</v>
      </c>
      <c r="X8" t="str" cm="1">
        <f t="array" ref="X8">IF(ISNUMBER(SEARCH("4",INDEX(_xlfn._xlws.FILTER('Model output'!P:P,('Model output'!Z:Z=A8)*('Model output'!P:P&lt;&gt;"")),1),1)),INDEX(_xlfn._xlws.FILTER('Model output'!P:P,('Model output'!Z:Z=A8)*('Model output'!P:P&lt;&gt;"")),1),"") &amp; _xlfn.TEXTJOIN("",TRUE,_xlfn._xlws.FILTER('Model output'!Q:Q,'Model output'!Z:Z=A8))</f>
        <v>Not specified in the note</v>
      </c>
      <c r="Y8" t="str">
        <f t="shared" si="9"/>
        <v>minimal</v>
      </c>
      <c r="Z8" t="str" cm="1">
        <f t="array" ref="Z8">IF(OR(ISNUMBER(SEARCH("focal",_xlfn.TEXTJOIN("; ",TRUE,_xlfn._xlws.FILTER('Model output'!R:R,'Model output'!Z:Z=A8)),1)),ISNUMBER(SEARCH("present",_xlfn.TEXTJOIN("; ",TRUE,_xlfn._xlws.FILTER('Model output'!R:R,'Model output'!Z:Z=A8)),1))),"positive",IF(_xlfn.TEXTJOIN("; ",TRUE,_xlfn._xlws.FILTER('Model output'!R:R,'Model output'!Z:Z=A8))="","negative",IF(OR(ISNUMBER(SEARCH("no",_xlfn.TEXTJOIN("; ",TRUE,_xlfn._xlws.FILTER('Model output'!R:R,'Model output'!Z:Z=A8)),1)),ISNUMBER(SEARCH("absent",_xlfn.TEXTJOIN("; ",TRUE,_xlfn._xlws.FILTER('Model output'!R:R,'Model output'!Z:Z=A8)),1))),"negative","positive")))</f>
        <v>negative</v>
      </c>
      <c r="AA8" s="17" t="str">
        <f t="shared" si="10"/>
        <v>negative</v>
      </c>
      <c r="AE8" s="17" t="str">
        <f t="shared" si="11"/>
        <v>negative</v>
      </c>
      <c r="AF8" t="str" cm="1">
        <f t="array" ref="AF8">_xlfn.TEXTJOIN("; ",TRUE,_xlfn._xlws.FILTER('Model output'!S:S,'Model output'!Z:Z=A8))</f>
        <v/>
      </c>
      <c r="AG8" s="17" t="str" cm="1">
        <f t="array" ref="AG8">IF(OR(ISNUMBER(SEARCH("uninvolved",_xlfn.TEXTJOIN("; ",TRUE,_xlfn._xlws.FILTER('Model output'!V:V,'Model output'!Z:Z=A8)),1)),ISNUMBER(SEARCH("clear",_xlfn.TEXTJOIN("; ",TRUE,_xlfn._xlws.FILTER('Model output'!V:V,'Model output'!Z:Z=A8)),1))*ISNUMBER(SEARCH("not mentioned",_xlfn.TEXTJOIN("; ",TRUE,_xlfn._xlws.FILTER('Model output'!V:V,'Model output'!Z:Z=A8)),1))),"negative",IF(ISNUMBER(SEARCH("cannot be assessed",_xlfn.TEXTJOIN("; ",TRUE,_xlfn._xlws.FILTER('Model output'!V:V,'Model output'!Z:Z=A8)),1)),"unknown","negative"))</f>
        <v>negative</v>
      </c>
      <c r="AI8" s="45" t="str">
        <f t="shared" si="2"/>
        <v>low</v>
      </c>
      <c r="AJ8" s="36" t="str">
        <f t="shared" si="3"/>
        <v>1a</v>
      </c>
      <c r="AK8" s="36" t="str">
        <f t="shared" si="4"/>
        <v>x</v>
      </c>
      <c r="AL8" s="36">
        <f t="shared" si="5"/>
        <v>0</v>
      </c>
      <c r="AM8" s="36" t="str">
        <f t="shared" si="6"/>
        <v>I</v>
      </c>
      <c r="AN8" s="37" t="s">
        <v>170</v>
      </c>
      <c r="AO8" s="36" t="s">
        <v>192</v>
      </c>
      <c r="AP8" s="38" t="s">
        <v>192</v>
      </c>
      <c r="AQ8" s="38">
        <v>0</v>
      </c>
      <c r="AR8" s="38" t="s">
        <v>31</v>
      </c>
      <c r="AS8" s="37">
        <f t="shared" si="7"/>
        <v>1</v>
      </c>
      <c r="AT8" s="38">
        <f t="shared" si="8"/>
        <v>0</v>
      </c>
      <c r="AU8" s="38">
        <f t="shared" si="12"/>
        <v>1</v>
      </c>
      <c r="AV8" s="38">
        <f t="shared" si="13"/>
        <v>1</v>
      </c>
      <c r="AW8" s="39">
        <f t="shared" si="13"/>
        <v>1</v>
      </c>
    </row>
    <row r="9" spans="1:49">
      <c r="A9" s="13">
        <v>7</v>
      </c>
      <c r="B9" s="16">
        <f>_xlfn.MAXIFS('Model output'!B:B,'Model output'!Z:Z,'Classification result'!$A9)</f>
        <v>45429</v>
      </c>
      <c r="C9" s="16"/>
      <c r="D9" s="16"/>
      <c r="E9" s="17">
        <f>_xlfn.MAXIFS('Model output'!C:C,'Model output'!Z:Z,'Classification result'!$A9)</f>
        <v>67</v>
      </c>
      <c r="F9" s="17" t="str" cm="1">
        <f t="array" ref="F9">LEFT(IF(ISERROR(RIGHT(IF(INDEX(_xlfn._xlws.FILTER('Model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output'!Z:Z=A9)),1),""),1))),"",(RIGHT(IF(INDEX(_xlfn._xlws.FILTER('Model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output'!Z:Z=A9)),1)))))),2)</f>
        <v>1a</v>
      </c>
      <c r="G9" s="17" t="str" cm="1">
        <f t="array" ref="G9">IF(ISNUMBER(SEARCH("N",IF(ISNUMBER(SEARCH("present",IF(INDEX(_xlfn._xlws.FILTER('Model output'!E:E,('Model output'!Z:Z=A9)),1)="","",INDEX(_xlfn._xlws.FILTER('Model output'!E:E,('Model output'!Z:Z=A9)),1)),1)),"N1", IF(INDEX(_xlfn._xlws.FILTER('Model output'!E:E,('Model output'!Z:Z=A9)),1)="","",INDEX(_xlfn._xlws.FILTER('Model output'!E:E,('Model output'!Z:Z=A9)),1))),1)),RIGHT(IF(ISNUMBER(SEARCH("present",IF(INDEX(_xlfn._xlws.FILTER('Model output'!E:E,('Model output'!Z:Z=A9)),1)="","",INDEX(_xlfn._xlws.FILTER('Model output'!E:E,('Model output'!Z:Z=A9)),1)),1)),"N1", IF(INDEX(_xlfn._xlws.FILTER('Model output'!E:E,('Model output'!Z:Z=A9)),1)="","",INDEX(_xlfn._xlws.FILTER('Model output'!E:E,('Model output'!Z:Z=A9)),1))),LEN(IF(ISNUMBER(SEARCH("present",IF(INDEX(_xlfn._xlws.FILTER('Model output'!E:E,('Model output'!Z:Z=A9)),1)="","",INDEX(_xlfn._xlws.FILTER('Model output'!E:E,('Model output'!Z:Z=A9)),1)),1)),"N1", IF(INDEX(_xlfn._xlws.FILTER('Model output'!E:E,('Model output'!Z:Z=A9)),1)="","",INDEX(_xlfn._xlws.FILTER('Model output'!E:E,('Model output'!Z:Z=A9)),1))))-FIND("N",IF(ISNUMBER(SEARCH("present",IF(INDEX(_xlfn._xlws.FILTER('Model output'!E:E,('Model output'!Z:Z=A9)),1)="","",INDEX(_xlfn._xlws.FILTER('Model output'!E:E,('Model output'!Z:Z=A9)),1)),1)),"N1", IF(INDEX(_xlfn._xlws.FILTER('Model output'!E:E,('Model output'!Z:Z=A9)),1)="","",INDEX(_xlfn._xlws.FILTER('Model output'!E:E,('Model output'!Z:Z=A9)),1))),1)), "")</f>
        <v/>
      </c>
      <c r="H9" s="17" cm="1">
        <f t="array" ref="H9">IF(AND(SUBSTITUTE(_xlfn.TEXTJOIN("/", TRUE, _xlfn._xlws.FILTER('Model output'!F:F, 'Model output'!Z:Z=A9)),"M", "")="", K9="negative"),0,IF(K9="positive",1,0))</f>
        <v>0</v>
      </c>
      <c r="I9" t="str">
        <f t="shared" si="0"/>
        <v/>
      </c>
      <c r="J9" t="str" cm="1">
        <f t="array" ref="J9">IF(AND(M9&gt;0, _xlfn.TEXTJOIN("; ", TRUE, _xlfn._xlws.FILTER('Model output'!G:G, 'Model output'!Z:Z=A9)) &lt;&gt;"", OR(AND(ISNUMBER(SEARCH("level", _xlfn.TEXTJOIN("; ", TRUE, _xlfn._xlws.FILTER('Model output'!G:G, 'Model output'!Z:Z=A9)),1)),OR(ISNUMBER(SEARCH(" II", _xlfn.TEXTJOIN("; ", TRUE, _xlfn._xlws.FILTER('Model output'!G:G, 'Model output'!Z:Z=A9)),1)),ISNUMBER(SEARCH("2", _xlfn.TEXTJOIN("; ", TRUE, _xlfn._xlws.FILTER('Model output'!G:G, 'Model output'!Z:Z=A9)),1)),ISNUMBER(SEARCH("two", _xlfn.TEXTJOIN("; ", TRUE, _xlfn._xlws.FILTER('Model output'!G:G, 'Model output'!Z:Z=A9)),1)),ISNUMBER(SEARCH("III", _xlfn.TEXTJOIN("; ", TRUE, _xlfn._xlws.FILTER('Model output'!G:G, 'Model output'!Z:Z=A9)),1)),ISNUMBER(SEARCH("3", _xlfn.TEXTJOIN("; ", TRUE, _xlfn._xlws.FILTER('Model output'!G:G, 'Model output'!Z:Z=A9)),1)),ISNUMBER(SEARCH("three", _xlfn.TEXTJOIN("; ", TRUE, _xlfn._xlws.FILTER('Model output'!G:G, 'Model output'!Z:Z=A9)),1)),ISNUMBER(SEARCH("IV", _xlfn.TEXTJOIN("; ", TRUE, _xlfn._xlws.FILTER('Model output'!G:G, 'Model output'!Z:Z=A9)),1)),ISNUMBER(SEARCH("4", _xlfn.TEXTJOIN("; ", TRUE, _xlfn._xlws.FILTER('Model output'!G:G, 'Model output'!Z:Z=A9)),1)),ISNUMBER(SEARCH("five", _xlfn.TEXTJOIN("; ", TRUE, _xlfn._xlws.FILTER('Model output'!G:G, 'Model output'!Z:Z=A9)),1)),ISNUMBER(SEARCH("V ", _xlfn.TEXTJOIN("; ", TRUE, _xlfn._xlws.FILTER('Model output'!G:G, 'Model output'!Z:Z=A9)),1)),ISNUMBER(SEARCH("5", _xlfn.TEXTJOIN("; ", TRUE, _xlfn._xlws.FILTER('Model output'!G:G, 'Model output'!Z:Z=A9)),1)),ISNUMBER(SEARCH("five", _xlfn.TEXTJOIN("; ", TRUE, _xlfn._xlws.FILTER('Model output'!G:G, 'Model output'!Z:Z=A9)),1)),ISNUMBER(SEARCH(" lateral", _xlfn.TEXTJOIN("; ", TRUE, _xlfn._xlws.FILTER('Model output'!G:G, 'Model output'!Z:Z=A9)),1)))),ISNUMBER(SEARCH("cervical", _xlfn.TEXTJOIN("; ", TRUE, _xlfn._xlws.FILTER('Model output'!G:G, 'Model output'!Z:Z=A9)),1)),ISNUMBER(SEARCH("jugular", _xlfn.TEXTJOIN("; ", TRUE, _xlfn._xlws.FILTER('Model output'!G:G, 'Model output'!Z:Z=A9)),1)),ISNUMBER(SEARCH("left neck", _xlfn.TEXTJOIN("; ", TRUE, _xlfn._xlws.FILTER('Model output'!G:G, 'Model output'!Z:Z=A9)),1)),ISNUMBER(SEARCH("left anterior neck", _xlfn.TEXTJOIN("; ", TRUE, _xlfn._xlws.FILTER('Model output'!G:G, 'Model output'!Z:Z=A9)),1)),ISNUMBER(SEARCH("left posterior neck", _xlfn.TEXTJOIN("; ", TRUE, _xlfn._xlws.FILTER('Model output'!G:G, 'Model output'!Z:Z=A9)),1)),ISNUMBER(SEARCH("right neck", _xlfn.TEXTJOIN("; ", TRUE, _xlfn._xlws.FILTER('Model output'!G:G, 'Model output'!Z:Z=A9)),1)),ISNUMBER(SEARCH("right anterior neck", _xlfn.TEXTJOIN("; ", TRUE, _xlfn._xlws.FILTER('Model output'!G:G, 'Model output'!Z:Z=A9)),1)),ISNUMBER(SEARCH("right posterior neck", _xlfn.TEXTJOIN("; ", TRUE, _xlfn._xlws.FILTER('Model output'!G:G, 'Model output'!Z:Z=A9)),1)))),"lateral",IF(AND(M9=0, _xlfn.TEXTJOIN("; ", TRUE, _xlfn._xlws.FILTER('Model output'!G:G, 'Model output'!Z:Z=A9))=""),"", "central"))</f>
        <v/>
      </c>
      <c r="K9" s="17" t="str" cm="1">
        <f t="array" ref="K9">IF(OR(ISNUMBER(SEARCH("lymph",_xlfn.TEXTJOIN("; ", TRUE, _xlfn._xlws.FILTER('Model output'!H:H, 'Model output'!Z:Z=A9)),1)), ISNUMBER(SEARCH("Not mentioned",_xlfn.TEXTJOIN("; ", TRUE, _xlfn._xlws.FILTER('Model output'!H:H, 'Model output'!Z:Z=A9)),1)),ISNUMBER(SEARCH("subcutaneous soft tissues",_xlfn.TEXTJOIN("; ", TRUE, _xlfn._xlws.FILTER('Model output'!H:H, 'Model output'!Z:Z=A9)),1)),ISNUMBER(SEARCH("larynx",_xlfn.TEXTJOIN("; ", TRUE, _xlfn._xlws.FILTER('Model output'!H:H, 'Model output'!Z:Z=A9)),1)),ISNUMBER(SEARCH("trachea",_xlfn.TEXTJOIN("; ", TRUE, _xlfn._xlws.FILTER('Model output'!H:H, 'Model output'!Z:Z=A9)),1)),ISNUMBER(SEARCH("esophagus",_xlfn.TEXTJOIN("; ", TRUE, _xlfn._xlws.FILTER('Model output'!H:H, 'Model output'!Z:Z=A9)),1)),ISNUMBER(SEARCH("recurrent laryngeal nerve",_xlfn.TEXTJOIN("; ", TRUE, _xlfn._xlws.FILTER('Model output'!H:H, 'Model output'!Z:Z=A9)),1)),ISNUMBER(SEARCH("RLN",_xlfn.TEXTJOIN("; ", TRUE, _xlfn._xlws.FILTER('Model output'!H:H, 'Model output'!Z:Z=A9)),1)),_xlfn.TEXTJOIN("; ", TRUE, _xlfn._xlws.FILTER('Model output'!H:H, 'Model output'!Z:Z=A9))=""),"negative","positive")</f>
        <v>negative</v>
      </c>
      <c r="L9" s="17">
        <f>IF(IFERROR(INDEX('Model output'!I:I, MATCH(A9, 'Model output'!Z:Z, 0)), "") &lt; M9, "", IFERROR(INDEX('Model output'!I:I, MATCH(A9, 'Model output'!Z:Z, 0)), ""))</f>
        <v>0</v>
      </c>
      <c r="M9" s="17">
        <f>IFERROR(INDEX('Model output'!J:J, MATCH(A9, 'Model output'!Z:Z, 0)), "")</f>
        <v>0</v>
      </c>
      <c r="N9" s="18" t="str" cm="1">
        <f t="array" ref="N9">ReplaceTo(ReplaceAnd(SUBSTITUTE(SUBSTITUTE(_xlfn.TEXTJOIN("; ", TRUE, _xlfn._xlws.FILTER('Model output'!K:K, 'Model output'!Z:Z=A9)), " ", ""), ",", ";")))</f>
        <v/>
      </c>
      <c r="O9" t="str" cm="1">
        <f t="array" ref="O9">IF(LEFT(IF(RIGHT(SUBSTITUTE(FilterWithUnits(N9)&amp;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";")),1)=";",RIGHT(IF(RIGHT(SUBSTITUTE(FilterWithUnits(N9)&amp;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";")),LEN(IF(RIGHT(SUBSTITUTE(FilterWithUnits(N9)&amp;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";")))-1),IF(RIGHT(SUBSTITUTE(FilterWithUnits(N9)&amp;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f>
        <v/>
      </c>
      <c r="P9" t="str" cm="1">
        <f t="array" ref="P9">IF(MaxSize((SplitDimensions(O9)))=0, "", MaxSize((SplitDimensions(O9))))</f>
        <v/>
      </c>
      <c r="Q9" t="str" cm="1">
        <f t="array" ref="Q9">IF(ISERROR(INDEX(_xlfn._xlws.FILTER('Model output'!L:L, ('Model output'!Z:Z=A9)*('Model output'!L:L&lt;&gt;"")), 1)), " ", LOWER(INDEX(_xlfn._xlws.FILTER('Model output'!L:L, ('Model output'!Z:Z=A9)*('Model output'!L:L&lt;&gt;"")), 1)))</f>
        <v>papillary carcinoma</v>
      </c>
      <c r="R9" t="str" cm="1">
        <f t="array" ref="R9">IF(ISERROR(INDEX(_xlfn._xlws.FILTER('Model output'!M:M, ('Model output'!Z:Z=A9)*('Model output'!M:M&lt;&gt;"")), 1)), " ", LOWER(INDEX(_xlfn._xlws.FILTER('Model output'!M:M, ('Model output'!Z:Z=A9)*('Model output'!M:M&lt;&gt;"")), 1)))</f>
        <v>infiltrative follicular subtype</v>
      </c>
      <c r="S9" t="str" cm="1">
        <f t="array" ref="S9">IF(OR(ISNUMBER(SEARCH("ly",SUBSTITUTE(INDEX(_xlfn._xlws.FILTER('Model output'!N:N,('Model output'!Z:Z=A9)*('Model output'!N:N&lt;&gt;"")),1)," ",""),1)), ISNUMBER(SEARCH("pole",SUBSTITUTE(INDEX(_xlfn._xlws.FILTER('Model output'!N:N,('Model output'!Z:Z=A9)*('Model output'!N:N&lt;&gt;"")),1)," ",""),1))),"",SUBSTITUTE(INDEX(_xlfn._xlws.FILTER('Model output'!N:N,('Model output'!Z:Z=A9)*('Model output'!N:N&lt;&gt;"")),1)," ",""))</f>
        <v>3mm(blockA7),4mm(blockB4)</v>
      </c>
      <c r="T9" t="str" cm="1">
        <f t="array" ref="T9">IF(LEFT(IF(RIGHT(SUBSTITUTE(FilterWithUnits(S9)&amp;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";")),1)=";",RIGHT(IF(RIGHT(SUBSTITUTE(FilterWithUnits(S9)&amp;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";")),LEN(IF(RIGHT(SUBSTITUTE(FilterWithUnits(S9)&amp;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";")))-1),IF(RIGHT(SUBSTITUTE(FilterWithUnits(S9)&amp;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f>
        <v>3mm</v>
      </c>
      <c r="U9" cm="1">
        <f t="array" ref="U9">IF(MaxSize((SplitDimensions(T9)))=0, "", MaxSize((SplitDimensions(T9))))</f>
        <v>0.3</v>
      </c>
      <c r="V9" s="17" t="str" cm="1">
        <f t="array" ref="V9">IF(ISERROR(INDEX(_xlfn._xlws.FILTER('Model output'!P:P,('Model output'!Z:Z=A9)*('Model output'!P:P&lt;&gt;"")),1)),"negative",IF(OR(ISNUMBER(SEARCH("foc",INDEX(_xlfn._xlws.FILTER('Model output'!P:P,('Model output'!Z:Z=A9)*('Model output'!P:P&lt;&gt;"")),1),1)),ISNUMBER(SEARCH("extensive",INDEX(_xlfn._xlws.FILTER('Model output'!P:P,('Model output'!Z:Z=A9)*('Model output'!P:P&lt;&gt;"")),1),1)),ISNUMBER(SEARCH("present",INDEX(_xlfn._xlws.FILTER('Model output'!P:P,('Model output'!Z:Z=A9)*('Model output'!P:P&lt;&gt;"")),1),1)),ISNUMBER(SEARCH("yes",INDEX(_xlfn._xlws.FILTER('Model output'!P:P,('Model output'!Z:Z=A9)*('Model output'!P:P&lt;&gt;"")),1),1))),"positive","negative"))</f>
        <v>negative</v>
      </c>
      <c r="X9" t="str" cm="1">
        <f t="array" ref="X9">IF(ISNUMBER(SEARCH("4",INDEX(_xlfn._xlws.FILTER('Model output'!P:P,('Model output'!Z:Z=A9)*('Model output'!P:P&lt;&gt;"")),1),1)),INDEX(_xlfn._xlws.FILTER('Model output'!P:P,('Model output'!Z:Z=A9)*('Model output'!P:P&lt;&gt;"")),1),"") &amp; _xlfn.TEXTJOIN("",TRUE,_xlfn._xlws.FILTER('Model output'!Q:Q,'Model output'!Z:Z=A9))</f>
        <v/>
      </c>
      <c r="Y9" t="str">
        <f t="shared" si="9"/>
        <v>no</v>
      </c>
      <c r="Z9" t="str" cm="1">
        <f t="array" ref="Z9">IF(OR(ISNUMBER(SEARCH("focal",_xlfn.TEXTJOIN("; ",TRUE,_xlfn._xlws.FILTER('Model output'!R:R,'Model output'!Z:Z=A9)),1)),ISNUMBER(SEARCH("present",_xlfn.TEXTJOIN("; ",TRUE,_xlfn._xlws.FILTER('Model output'!R:R,'Model output'!Z:Z=A9)),1))),"positive",IF(_xlfn.TEXTJOIN("; ",TRUE,_xlfn._xlws.FILTER('Model output'!R:R,'Model output'!Z:Z=A9))="","negative",IF(OR(ISNUMBER(SEARCH("no",_xlfn.TEXTJOIN("; ",TRUE,_xlfn._xlws.FILTER('Model output'!R:R,'Model output'!Z:Z=A9)),1)),ISNUMBER(SEARCH("absent",_xlfn.TEXTJOIN("; ",TRUE,_xlfn._xlws.FILTER('Model output'!R:R,'Model output'!Z:Z=A9)),1))),"negative","positive")))</f>
        <v>negative</v>
      </c>
      <c r="AA9" s="17" t="str">
        <f t="shared" si="10"/>
        <v>negative</v>
      </c>
      <c r="AE9" s="17" t="str">
        <f t="shared" si="11"/>
        <v>negative</v>
      </c>
      <c r="AF9" t="str" cm="1">
        <f t="array" ref="AF9">_xlfn.TEXTJOIN("; ",TRUE,_xlfn._xlws.FILTER('Model output'!S:S,'Model output'!Z:Z=A9))</f>
        <v>Reaches anterior surface of left lobe</v>
      </c>
      <c r="AG9" s="17" t="str" cm="1">
        <f t="array" ref="AG9">IF(OR(ISNUMBER(SEARCH("uninvolved",_xlfn.TEXTJOIN("; ",TRUE,_xlfn._xlws.FILTER('Model output'!V:V,'Model output'!Z:Z=A9)),1)),ISNUMBER(SEARCH("clear",_xlfn.TEXTJOIN("; ",TRUE,_xlfn._xlws.FILTER('Model output'!V:V,'Model output'!Z:Z=A9)),1))*ISNUMBER(SEARCH("not mentioned",_xlfn.TEXTJOIN("; ",TRUE,_xlfn._xlws.FILTER('Model output'!V:V,'Model output'!Z:Z=A9)),1))),"negative",IF(ISNUMBER(SEARCH("cannot be assessed",_xlfn.TEXTJOIN("; ",TRUE,_xlfn._xlws.FILTER('Model output'!V:V,'Model output'!Z:Z=A9)),1)),"unknown","negative"))</f>
        <v>negative</v>
      </c>
      <c r="AI9" s="45" t="str">
        <f t="shared" si="2"/>
        <v>low</v>
      </c>
      <c r="AJ9" s="36" t="str">
        <f t="shared" si="3"/>
        <v>1a</v>
      </c>
      <c r="AK9" s="36" t="str">
        <f t="shared" ref="AK9:AK15" si="14">IF(OR(ISNUMBER(SEARCH("non-invasive follicular",Q9,1)),ISNUMBER(SEARCH("non-invasive follicular",R9,1))),"NIFTP",IF(AND(M9&gt;0,I9="positive",J9="central"),"1a",IF(AND(M9&gt;0,I9="positive",J9="lateral"),"1b",IF(AND(M9=0,L9=0),"x",0))))</f>
        <v>x</v>
      </c>
      <c r="AL9" s="36">
        <f t="shared" si="5"/>
        <v>0</v>
      </c>
      <c r="AM9" s="36" t="str">
        <f t="shared" si="6"/>
        <v>I</v>
      </c>
      <c r="AN9" s="37" t="s">
        <v>170</v>
      </c>
      <c r="AO9" s="38" t="s">
        <v>193</v>
      </c>
      <c r="AP9" s="38" t="s">
        <v>192</v>
      </c>
      <c r="AQ9" s="38">
        <v>0</v>
      </c>
      <c r="AR9" s="38" t="s">
        <v>31</v>
      </c>
      <c r="AS9" s="37">
        <f t="shared" si="7"/>
        <v>1</v>
      </c>
      <c r="AT9" s="38">
        <f t="shared" si="8"/>
        <v>1</v>
      </c>
      <c r="AU9" s="38">
        <f t="shared" si="12"/>
        <v>1</v>
      </c>
      <c r="AV9" s="38">
        <f t="shared" si="13"/>
        <v>1</v>
      </c>
      <c r="AW9" s="39">
        <f t="shared" si="13"/>
        <v>1</v>
      </c>
    </row>
    <row r="10" spans="1:49">
      <c r="A10" s="13">
        <v>8</v>
      </c>
      <c r="B10" s="16">
        <f>_xlfn.MAXIFS('Model output'!B:B,'Model output'!Z:Z,'Classification result'!$A10)</f>
        <v>45443</v>
      </c>
      <c r="C10" s="16"/>
      <c r="D10" s="16"/>
      <c r="E10" s="17">
        <f>_xlfn.MAXIFS('Model output'!C:C,'Model output'!Z:Z,'Classification result'!$A10)</f>
        <v>78</v>
      </c>
      <c r="F10" s="17" t="str" cm="1">
        <f t="array" ref="F10">LEFT(IF(ISERROR(RIGHT(IF(INDEX(_xlfn._xlws.FILTER('Model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output'!Z:Z=A10)),1),""),1))),"",(RIGHT(IF(INDEX(_xlfn._xlws.FILTER('Model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output'!Z:Z=A10)),1)))))),2)</f>
        <v>1b</v>
      </c>
      <c r="G10" s="17" t="str" cm="1">
        <f t="array" ref="G10">IF(ISNUMBER(SEARCH("N",IF(ISNUMBER(SEARCH("present",IF(INDEX(_xlfn._xlws.FILTER('Model output'!E:E,('Model output'!Z:Z=A10)),1)="","",INDEX(_xlfn._xlws.FILTER('Model output'!E:E,('Model output'!Z:Z=A10)),1)),1)),"N1", IF(INDEX(_xlfn._xlws.FILTER('Model output'!E:E,('Model output'!Z:Z=A10)),1)="","",INDEX(_xlfn._xlws.FILTER('Model output'!E:E,('Model output'!Z:Z=A10)),1))),1)),RIGHT(IF(ISNUMBER(SEARCH("present",IF(INDEX(_xlfn._xlws.FILTER('Model output'!E:E,('Model output'!Z:Z=A10)),1)="","",INDEX(_xlfn._xlws.FILTER('Model output'!E:E,('Model output'!Z:Z=A10)),1)),1)),"N1", IF(INDEX(_xlfn._xlws.FILTER('Model output'!E:E,('Model output'!Z:Z=A10)),1)="","",INDEX(_xlfn._xlws.FILTER('Model output'!E:E,('Model output'!Z:Z=A10)),1))),LEN(IF(ISNUMBER(SEARCH("present",IF(INDEX(_xlfn._xlws.FILTER('Model output'!E:E,('Model output'!Z:Z=A10)),1)="","",INDEX(_xlfn._xlws.FILTER('Model output'!E:E,('Model output'!Z:Z=A10)),1)),1)),"N1", IF(INDEX(_xlfn._xlws.FILTER('Model output'!E:E,('Model output'!Z:Z=A10)),1)="","",INDEX(_xlfn._xlws.FILTER('Model output'!E:E,('Model output'!Z:Z=A10)),1))))-FIND("N",IF(ISNUMBER(SEARCH("present",IF(INDEX(_xlfn._xlws.FILTER('Model output'!E:E,('Model output'!Z:Z=A10)),1)="","",INDEX(_xlfn._xlws.FILTER('Model output'!E:E,('Model output'!Z:Z=A10)),1)),1)),"N1", IF(INDEX(_xlfn._xlws.FILTER('Model output'!E:E,('Model output'!Z:Z=A10)),1)="","",INDEX(_xlfn._xlws.FILTER('Model output'!E:E,('Model output'!Z:Z=A10)),1))),1)), "")</f>
        <v/>
      </c>
      <c r="H10" s="17" cm="1">
        <f t="array" ref="H10">IF(AND(SUBSTITUTE(_xlfn.TEXTJOIN("/", TRUE, _xlfn._xlws.FILTER('Model output'!F:F, 'Model output'!Z:Z=A10)),"M", "")="", K10="negative"),0,IF(K10="positive",1,0))</f>
        <v>0</v>
      </c>
      <c r="I10" t="str">
        <f t="shared" si="0"/>
        <v/>
      </c>
      <c r="J10" t="str" cm="1">
        <f t="array" ref="J10">IF(AND(M10&gt;0, _xlfn.TEXTJOIN("; ", TRUE, _xlfn._xlws.FILTER('Model output'!G:G, 'Model output'!Z:Z=A10)) &lt;&gt;"", OR(AND(ISNUMBER(SEARCH("level", _xlfn.TEXTJOIN("; ", TRUE, _xlfn._xlws.FILTER('Model output'!G:G, 'Model output'!Z:Z=A10)),1)),OR(ISNUMBER(SEARCH(" II", _xlfn.TEXTJOIN("; ", TRUE, _xlfn._xlws.FILTER('Model output'!G:G, 'Model output'!Z:Z=A10)),1)),ISNUMBER(SEARCH("2", _xlfn.TEXTJOIN("; ", TRUE, _xlfn._xlws.FILTER('Model output'!G:G, 'Model output'!Z:Z=A10)),1)),ISNUMBER(SEARCH("two", _xlfn.TEXTJOIN("; ", TRUE, _xlfn._xlws.FILTER('Model output'!G:G, 'Model output'!Z:Z=A10)),1)),ISNUMBER(SEARCH("III", _xlfn.TEXTJOIN("; ", TRUE, _xlfn._xlws.FILTER('Model output'!G:G, 'Model output'!Z:Z=A10)),1)),ISNUMBER(SEARCH("3", _xlfn.TEXTJOIN("; ", TRUE, _xlfn._xlws.FILTER('Model output'!G:G, 'Model output'!Z:Z=A10)),1)),ISNUMBER(SEARCH("three", _xlfn.TEXTJOIN("; ", TRUE, _xlfn._xlws.FILTER('Model output'!G:G, 'Model output'!Z:Z=A10)),1)),ISNUMBER(SEARCH("IV", _xlfn.TEXTJOIN("; ", TRUE, _xlfn._xlws.FILTER('Model output'!G:G, 'Model output'!Z:Z=A10)),1)),ISNUMBER(SEARCH("4", _xlfn.TEXTJOIN("; ", TRUE, _xlfn._xlws.FILTER('Model output'!G:G, 'Model output'!Z:Z=A10)),1)),ISNUMBER(SEARCH("five", _xlfn.TEXTJOIN("; ", TRUE, _xlfn._xlws.FILTER('Model output'!G:G, 'Model output'!Z:Z=A10)),1)),ISNUMBER(SEARCH("V ", _xlfn.TEXTJOIN("; ", TRUE, _xlfn._xlws.FILTER('Model output'!G:G, 'Model output'!Z:Z=A10)),1)),ISNUMBER(SEARCH("5", _xlfn.TEXTJOIN("; ", TRUE, _xlfn._xlws.FILTER('Model output'!G:G, 'Model output'!Z:Z=A10)),1)),ISNUMBER(SEARCH("five", _xlfn.TEXTJOIN("; ", TRUE, _xlfn._xlws.FILTER('Model output'!G:G, 'Model output'!Z:Z=A10)),1)),ISNUMBER(SEARCH(" lateral", _xlfn.TEXTJOIN("; ", TRUE, _xlfn._xlws.FILTER('Model output'!G:G, 'Model output'!Z:Z=A10)),1)))),ISNUMBER(SEARCH("cervical", _xlfn.TEXTJOIN("; ", TRUE, _xlfn._xlws.FILTER('Model output'!G:G, 'Model output'!Z:Z=A10)),1)),ISNUMBER(SEARCH("jugular", _xlfn.TEXTJOIN("; ", TRUE, _xlfn._xlws.FILTER('Model output'!G:G, 'Model output'!Z:Z=A10)),1)),ISNUMBER(SEARCH("left neck", _xlfn.TEXTJOIN("; ", TRUE, _xlfn._xlws.FILTER('Model output'!G:G, 'Model output'!Z:Z=A10)),1)),ISNUMBER(SEARCH("left anterior neck", _xlfn.TEXTJOIN("; ", TRUE, _xlfn._xlws.FILTER('Model output'!G:G, 'Model output'!Z:Z=A10)),1)),ISNUMBER(SEARCH("left posterior neck", _xlfn.TEXTJOIN("; ", TRUE, _xlfn._xlws.FILTER('Model output'!G:G, 'Model output'!Z:Z=A10)),1)),ISNUMBER(SEARCH("right neck", _xlfn.TEXTJOIN("; ", TRUE, _xlfn._xlws.FILTER('Model output'!G:G, 'Model output'!Z:Z=A10)),1)),ISNUMBER(SEARCH("right anterior neck", _xlfn.TEXTJOIN("; ", TRUE, _xlfn._xlws.FILTER('Model output'!G:G, 'Model output'!Z:Z=A10)),1)),ISNUMBER(SEARCH("right posterior neck", _xlfn.TEXTJOIN("; ", TRUE, _xlfn._xlws.FILTER('Model output'!G:G, 'Model output'!Z:Z=A10)),1)))),"lateral",IF(AND(M10=0, _xlfn.TEXTJOIN("; ", TRUE, _xlfn._xlws.FILTER('Model output'!G:G, 'Model output'!Z:Z=A10))=""),"", "central"))</f>
        <v/>
      </c>
      <c r="K10" s="17" t="str" cm="1">
        <f t="array" ref="K10">IF(OR(ISNUMBER(SEARCH("lymph",_xlfn.TEXTJOIN("; ", TRUE, _xlfn._xlws.FILTER('Model output'!H:H, 'Model output'!Z:Z=A10)),1)), ISNUMBER(SEARCH("Not mentioned",_xlfn.TEXTJOIN("; ", TRUE, _xlfn._xlws.FILTER('Model output'!H:H, 'Model output'!Z:Z=A10)),1)),ISNUMBER(SEARCH("subcutaneous soft tissues",_xlfn.TEXTJOIN("; ", TRUE, _xlfn._xlws.FILTER('Model output'!H:H, 'Model output'!Z:Z=A10)),1)),ISNUMBER(SEARCH("larynx",_xlfn.TEXTJOIN("; ", TRUE, _xlfn._xlws.FILTER('Model output'!H:H, 'Model output'!Z:Z=A10)),1)),ISNUMBER(SEARCH("trachea",_xlfn.TEXTJOIN("; ", TRUE, _xlfn._xlws.FILTER('Model output'!H:H, 'Model output'!Z:Z=A10)),1)),ISNUMBER(SEARCH("esophagus",_xlfn.TEXTJOIN("; ", TRUE, _xlfn._xlws.FILTER('Model output'!H:H, 'Model output'!Z:Z=A10)),1)),ISNUMBER(SEARCH("recurrent laryngeal nerve",_xlfn.TEXTJOIN("; ", TRUE, _xlfn._xlws.FILTER('Model output'!H:H, 'Model output'!Z:Z=A10)),1)),ISNUMBER(SEARCH("RLN",_xlfn.TEXTJOIN("; ", TRUE, _xlfn._xlws.FILTER('Model output'!H:H, 'Model output'!Z:Z=A10)),1)),_xlfn.TEXTJOIN("; ", TRUE, _xlfn._xlws.FILTER('Model output'!H:H, 'Model output'!Z:Z=A10))=""),"negative","positive")</f>
        <v>negative</v>
      </c>
      <c r="L10" s="17">
        <f>IF(IFERROR(INDEX('Model output'!I:I, MATCH(A10, 'Model output'!Z:Z, 0)), "") &lt; M10, "", IFERROR(INDEX('Model output'!I:I, MATCH(A10, 'Model output'!Z:Z, 0)), ""))</f>
        <v>0</v>
      </c>
      <c r="M10" s="17">
        <f>IFERROR(INDEX('Model output'!J:J, MATCH(A10, 'Model output'!Z:Z, 0)), "")</f>
        <v>0</v>
      </c>
      <c r="N10" s="18" t="str" cm="1">
        <f t="array" ref="N10">ReplaceTo(ReplaceAnd(SUBSTITUTE(SUBSTITUTE(_xlfn.TEXTJOIN("; ", TRUE, _xlfn._xlws.FILTER('Model output'!K:K, 'Model output'!Z:Z=A10)), " ", ""), ",", ";")))</f>
        <v/>
      </c>
      <c r="O10" t="str" cm="1">
        <f t="array" ref="O10">IF(LEFT(IF(RIGHT(SUBSTITUTE(FilterWithUnits(N10)&amp;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";")),1)=";",RIGHT(IF(RIGHT(SUBSTITUTE(FilterWithUnits(N10)&amp;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";")),LEN(IF(RIGHT(SUBSTITUTE(FilterWithUnits(N10)&amp;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";")))-1),IF(RIGHT(SUBSTITUTE(FilterWithUnits(N10)&amp;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f>
        <v/>
      </c>
      <c r="P10" t="str" cm="1">
        <f t="array" ref="P10">IF(MaxSize((SplitDimensions(O10)))=0, "", MaxSize((SplitDimensions(O10))))</f>
        <v/>
      </c>
      <c r="Q10" t="str" cm="1">
        <f t="array" ref="Q10">IF(ISERROR(INDEX(_xlfn._xlws.FILTER('Model output'!L:L, ('Model output'!Z:Z=A10)*('Model output'!L:L&lt;&gt;"")), 1)), " ", LOWER(INDEX(_xlfn._xlws.FILTER('Model output'!L:L, ('Model output'!Z:Z=A10)*('Model output'!L:L&lt;&gt;"")), 1)))</f>
        <v>papillary carcinoma</v>
      </c>
      <c r="R10" t="str" cm="1">
        <f t="array" ref="R10">IF(ISERROR(INDEX(_xlfn._xlws.FILTER('Model output'!M:M, ('Model output'!Z:Z=A10)*('Model output'!M:M&lt;&gt;"")), 1)), " ", LOWER(INDEX(_xlfn._xlws.FILTER('Model output'!M:M, ('Model output'!Z:Z=A10)*('Model output'!M:M&lt;&gt;"")), 1)))</f>
        <v>classic</v>
      </c>
      <c r="S10" t="str" cm="1">
        <f t="array" ref="S10">IF(OR(ISNUMBER(SEARCH("ly",SUBSTITUTE(INDEX(_xlfn._xlws.FILTER('Model output'!N:N,('Model output'!Z:Z=A10)*('Model output'!N:N&lt;&gt;"")),1)," ",""),1)), ISNUMBER(SEARCH("pole",SUBSTITUTE(INDEX(_xlfn._xlws.FILTER('Model output'!N:N,('Model output'!Z:Z=A10)*('Model output'!N:N&lt;&gt;"")),1)," ",""),1))),"",SUBSTITUTE(INDEX(_xlfn._xlws.FILTER('Model output'!N:N,('Model output'!Z:Z=A10)*('Model output'!N:N&lt;&gt;"")),1)," ",""))</f>
        <v>11.5mm</v>
      </c>
      <c r="T10" t="str" cm="1">
        <f t="array" ref="T10">IF(LEFT(IF(RIGHT(SUBSTITUTE(FilterWithUnits(S10)&amp;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";")),1)=";",RIGHT(IF(RIGHT(SUBSTITUTE(FilterWithUnits(S10)&amp;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";")),LEN(IF(RIGHT(SUBSTITUTE(FilterWithUnits(S10)&amp;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";")))-1),IF(RIGHT(SUBSTITUTE(FilterWithUnits(S10)&amp;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f>
        <v>11.5mm</v>
      </c>
      <c r="U10" cm="1">
        <f t="array" ref="U10">IF(MaxSize((SplitDimensions(T10)))=0, "", MaxSize((SplitDimensions(T10))))</f>
        <v>1.1499999999999999</v>
      </c>
      <c r="V10" s="17" t="str" cm="1">
        <f t="array" ref="V10">IF(ISERROR(INDEX(_xlfn._xlws.FILTER('Model output'!P:P,('Model output'!Z:Z=A10)*('Model output'!P:P&lt;&gt;"")),1)),"negative",IF(OR(ISNUMBER(SEARCH("foc",INDEX(_xlfn._xlws.FILTER('Model output'!P:P,('Model output'!Z:Z=A10)*('Model output'!P:P&lt;&gt;"")),1),1)),ISNUMBER(SEARCH("extensive",INDEX(_xlfn._xlws.FILTER('Model output'!P:P,('Model output'!Z:Z=A10)*('Model output'!P:P&lt;&gt;"")),1),1)),ISNUMBER(SEARCH("present",INDEX(_xlfn._xlws.FILTER('Model output'!P:P,('Model output'!Z:Z=A10)*('Model output'!P:P&lt;&gt;"")),1),1)),ISNUMBER(SEARCH("yes",INDEX(_xlfn._xlws.FILTER('Model output'!P:P,('Model output'!Z:Z=A10)*('Model output'!P:P&lt;&gt;"")),1),1))),"positive","negative"))</f>
        <v>negative</v>
      </c>
      <c r="X10" t="str" cm="1">
        <f t="array" ref="X10">IF(ISNUMBER(SEARCH("4",INDEX(_xlfn._xlws.FILTER('Model output'!P:P,('Model output'!Z:Z=A10)*('Model output'!P:P&lt;&gt;"")),1),1)),INDEX(_xlfn._xlws.FILTER('Model output'!P:P,('Model output'!Z:Z=A10)*('Model output'!P:P&lt;&gt;"")),1),"") &amp; _xlfn.TEXTJOIN("",TRUE,_xlfn._xlws.FILTER('Model output'!Q:Q,'Model output'!Z:Z=A10))</f>
        <v/>
      </c>
      <c r="Y10" t="str">
        <f t="shared" si="9"/>
        <v>no</v>
      </c>
      <c r="Z10" t="str" cm="1">
        <f t="array" ref="Z10">IF(OR(ISNUMBER(SEARCH("focal",_xlfn.TEXTJOIN("; ",TRUE,_xlfn._xlws.FILTER('Model output'!R:R,'Model output'!Z:Z=A10)),1)),ISNUMBER(SEARCH("present",_xlfn.TEXTJOIN("; ",TRUE,_xlfn._xlws.FILTER('Model output'!R:R,'Model output'!Z:Z=A10)),1))),"positive",IF(_xlfn.TEXTJOIN("; ",TRUE,_xlfn._xlws.FILTER('Model output'!R:R,'Model output'!Z:Z=A10))="","negative",IF(OR(ISNUMBER(SEARCH("no",_xlfn.TEXTJOIN("; ",TRUE,_xlfn._xlws.FILTER('Model output'!R:R,'Model output'!Z:Z=A10)),1)),ISNUMBER(SEARCH("absent",_xlfn.TEXTJOIN("; ",TRUE,_xlfn._xlws.FILTER('Model output'!R:R,'Model output'!Z:Z=A10)),1))),"negative","positive")))</f>
        <v>negative</v>
      </c>
      <c r="AA10" s="17" t="str">
        <f t="shared" si="10"/>
        <v>negative</v>
      </c>
      <c r="AE10" s="17" t="str">
        <f t="shared" si="11"/>
        <v>negative</v>
      </c>
      <c r="AF10" t="str" cm="1">
        <f t="array" ref="AF10">_xlfn.TEXTJOIN("; ",TRUE,_xlfn._xlws.FILTER('Model output'!S:S,'Model output'!Z:Z=A10))</f>
        <v>Not identified</v>
      </c>
      <c r="AG10" s="17" t="str" cm="1">
        <f t="array" ref="AG10">IF(OR(ISNUMBER(SEARCH("uninvolved",_xlfn.TEXTJOIN("; ",TRUE,_xlfn._xlws.FILTER('Model output'!V:V,'Model output'!Z:Z=A10)),1)),ISNUMBER(SEARCH("clear",_xlfn.TEXTJOIN("; ",TRUE,_xlfn._xlws.FILTER('Model output'!V:V,'Model output'!Z:Z=A10)),1))*ISNUMBER(SEARCH("not mentioned",_xlfn.TEXTJOIN("; ",TRUE,_xlfn._xlws.FILTER('Model output'!V:V,'Model output'!Z:Z=A10)),1))),"negative",IF(ISNUMBER(SEARCH("cannot be assessed",_xlfn.TEXTJOIN("; ",TRUE,_xlfn._xlws.FILTER('Model output'!V:V,'Model output'!Z:Z=A10)),1)),"unknown","negative"))</f>
        <v>negative</v>
      </c>
      <c r="AI10" s="45" t="str">
        <f t="shared" si="2"/>
        <v>low</v>
      </c>
      <c r="AJ10" s="36" t="str">
        <f t="shared" si="3"/>
        <v>1b</v>
      </c>
      <c r="AK10" s="36" t="str">
        <f t="shared" si="14"/>
        <v>x</v>
      </c>
      <c r="AL10" s="36">
        <f t="shared" si="5"/>
        <v>0</v>
      </c>
      <c r="AM10" s="36" t="str">
        <f t="shared" si="6"/>
        <v>I</v>
      </c>
      <c r="AN10" s="37" t="s">
        <v>170</v>
      </c>
      <c r="AO10" s="38" t="s">
        <v>191</v>
      </c>
      <c r="AP10" s="38" t="s">
        <v>192</v>
      </c>
      <c r="AQ10" s="38">
        <v>0</v>
      </c>
      <c r="AR10" s="38" t="s">
        <v>31</v>
      </c>
      <c r="AS10" s="37">
        <f t="shared" si="7"/>
        <v>1</v>
      </c>
      <c r="AT10" s="38">
        <f t="shared" si="8"/>
        <v>1</v>
      </c>
      <c r="AU10" s="38">
        <f t="shared" si="12"/>
        <v>1</v>
      </c>
      <c r="AV10" s="38">
        <f t="shared" si="13"/>
        <v>1</v>
      </c>
      <c r="AW10" s="39">
        <f t="shared" si="13"/>
        <v>1</v>
      </c>
    </row>
    <row r="11" spans="1:49">
      <c r="A11" s="13">
        <v>9</v>
      </c>
      <c r="B11" s="16">
        <f>_xlfn.MAXIFS('Model output'!B:B,'Model output'!Z:Z,'Classification result'!$A11)</f>
        <v>45331</v>
      </c>
      <c r="C11" s="16"/>
      <c r="D11" s="16"/>
      <c r="E11" s="17">
        <f>_xlfn.MAXIFS('Model output'!C:C,'Model output'!Z:Z,'Classification result'!$A11)</f>
        <v>55</v>
      </c>
      <c r="F11" s="17" t="str" cm="1">
        <f t="array" ref="F11">LEFT(IF(ISERROR(RIGHT(IF(INDEX(_xlfn._xlws.FILTER('Model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output'!Z:Z=A11)),1),""),1))),"",(RIGHT(IF(INDEX(_xlfn._xlws.FILTER('Model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output'!Z:Z=A11)),1)))))),2)</f>
        <v>2</v>
      </c>
      <c r="G11" s="17" t="str" cm="1">
        <f t="array" ref="G11">IF(ISNUMBER(SEARCH("N",IF(ISNUMBER(SEARCH("present",IF(INDEX(_xlfn._xlws.FILTER('Model output'!E:E,('Model output'!Z:Z=A11)),1)="","",INDEX(_xlfn._xlws.FILTER('Model output'!E:E,('Model output'!Z:Z=A11)),1)),1)),"N1", IF(INDEX(_xlfn._xlws.FILTER('Model output'!E:E,('Model output'!Z:Z=A11)),1)="","",INDEX(_xlfn._xlws.FILTER('Model output'!E:E,('Model output'!Z:Z=A11)),1))),1)),RIGHT(IF(ISNUMBER(SEARCH("present",IF(INDEX(_xlfn._xlws.FILTER('Model output'!E:E,('Model output'!Z:Z=A11)),1)="","",INDEX(_xlfn._xlws.FILTER('Model output'!E:E,('Model output'!Z:Z=A11)),1)),1)),"N1", IF(INDEX(_xlfn._xlws.FILTER('Model output'!E:E,('Model output'!Z:Z=A11)),1)="","",INDEX(_xlfn._xlws.FILTER('Model output'!E:E,('Model output'!Z:Z=A11)),1))),LEN(IF(ISNUMBER(SEARCH("present",IF(INDEX(_xlfn._xlws.FILTER('Model output'!E:E,('Model output'!Z:Z=A11)),1)="","",INDEX(_xlfn._xlws.FILTER('Model output'!E:E,('Model output'!Z:Z=A11)),1)),1)),"N1", IF(INDEX(_xlfn._xlws.FILTER('Model output'!E:E,('Model output'!Z:Z=A11)),1)="","",INDEX(_xlfn._xlws.FILTER('Model output'!E:E,('Model output'!Z:Z=A11)),1))))-FIND("N",IF(ISNUMBER(SEARCH("present",IF(INDEX(_xlfn._xlws.FILTER('Model output'!E:E,('Model output'!Z:Z=A11)),1)="","",INDEX(_xlfn._xlws.FILTER('Model output'!E:E,('Model output'!Z:Z=A11)),1)),1)),"N1", IF(INDEX(_xlfn._xlws.FILTER('Model output'!E:E,('Model output'!Z:Z=A11)),1)="","",INDEX(_xlfn._xlws.FILTER('Model output'!E:E,('Model output'!Z:Z=A11)),1))),1)), "")</f>
        <v>1a</v>
      </c>
      <c r="H11" s="17" cm="1">
        <f t="array" ref="H11">IF(AND(SUBSTITUTE(_xlfn.TEXTJOIN("/", TRUE, _xlfn._xlws.FILTER('Model output'!F:F, 'Model output'!Z:Z=A11)),"M", "")="", K11="negative"),0,IF(K11="positive",1,0))</f>
        <v>0</v>
      </c>
      <c r="I11" t="str">
        <f t="shared" si="0"/>
        <v>positive</v>
      </c>
      <c r="J11" t="str" cm="1">
        <f t="array" ref="J11">IF(AND(M11&gt;0, _xlfn.TEXTJOIN("; ", TRUE, _xlfn._xlws.FILTER('Model output'!G:G, 'Model output'!Z:Z=A11)) &lt;&gt;"", OR(AND(ISNUMBER(SEARCH("level", _xlfn.TEXTJOIN("; ", TRUE, _xlfn._xlws.FILTER('Model output'!G:G, 'Model output'!Z:Z=A11)),1)),OR(ISNUMBER(SEARCH(" II", _xlfn.TEXTJOIN("; ", TRUE, _xlfn._xlws.FILTER('Model output'!G:G, 'Model output'!Z:Z=A11)),1)),ISNUMBER(SEARCH("2", _xlfn.TEXTJOIN("; ", TRUE, _xlfn._xlws.FILTER('Model output'!G:G, 'Model output'!Z:Z=A11)),1)),ISNUMBER(SEARCH("two", _xlfn.TEXTJOIN("; ", TRUE, _xlfn._xlws.FILTER('Model output'!G:G, 'Model output'!Z:Z=A11)),1)),ISNUMBER(SEARCH("III", _xlfn.TEXTJOIN("; ", TRUE, _xlfn._xlws.FILTER('Model output'!G:G, 'Model output'!Z:Z=A11)),1)),ISNUMBER(SEARCH("3", _xlfn.TEXTJOIN("; ", TRUE, _xlfn._xlws.FILTER('Model output'!G:G, 'Model output'!Z:Z=A11)),1)),ISNUMBER(SEARCH("three", _xlfn.TEXTJOIN("; ", TRUE, _xlfn._xlws.FILTER('Model output'!G:G, 'Model output'!Z:Z=A11)),1)),ISNUMBER(SEARCH("IV", _xlfn.TEXTJOIN("; ", TRUE, _xlfn._xlws.FILTER('Model output'!G:G, 'Model output'!Z:Z=A11)),1)),ISNUMBER(SEARCH("4", _xlfn.TEXTJOIN("; ", TRUE, _xlfn._xlws.FILTER('Model output'!G:G, 'Model output'!Z:Z=A11)),1)),ISNUMBER(SEARCH("five", _xlfn.TEXTJOIN("; ", TRUE, _xlfn._xlws.FILTER('Model output'!G:G, 'Model output'!Z:Z=A11)),1)),ISNUMBER(SEARCH("V ", _xlfn.TEXTJOIN("; ", TRUE, _xlfn._xlws.FILTER('Model output'!G:G, 'Model output'!Z:Z=A11)),1)),ISNUMBER(SEARCH("5", _xlfn.TEXTJOIN("; ", TRUE, _xlfn._xlws.FILTER('Model output'!G:G, 'Model output'!Z:Z=A11)),1)),ISNUMBER(SEARCH("five", _xlfn.TEXTJOIN("; ", TRUE, _xlfn._xlws.FILTER('Model output'!G:G, 'Model output'!Z:Z=A11)),1)),ISNUMBER(SEARCH(" lateral", _xlfn.TEXTJOIN("; ", TRUE, _xlfn._xlws.FILTER('Model output'!G:G, 'Model output'!Z:Z=A11)),1)))),ISNUMBER(SEARCH("cervical", _xlfn.TEXTJOIN("; ", TRUE, _xlfn._xlws.FILTER('Model output'!G:G, 'Model output'!Z:Z=A11)),1)),ISNUMBER(SEARCH("jugular", _xlfn.TEXTJOIN("; ", TRUE, _xlfn._xlws.FILTER('Model output'!G:G, 'Model output'!Z:Z=A11)),1)),ISNUMBER(SEARCH("left neck", _xlfn.TEXTJOIN("; ", TRUE, _xlfn._xlws.FILTER('Model output'!G:G, 'Model output'!Z:Z=A11)),1)),ISNUMBER(SEARCH("left anterior neck", _xlfn.TEXTJOIN("; ", TRUE, _xlfn._xlws.FILTER('Model output'!G:G, 'Model output'!Z:Z=A11)),1)),ISNUMBER(SEARCH("left posterior neck", _xlfn.TEXTJOIN("; ", TRUE, _xlfn._xlws.FILTER('Model output'!G:G, 'Model output'!Z:Z=A11)),1)),ISNUMBER(SEARCH("right neck", _xlfn.TEXTJOIN("; ", TRUE, _xlfn._xlws.FILTER('Model output'!G:G, 'Model output'!Z:Z=A11)),1)),ISNUMBER(SEARCH("right anterior neck", _xlfn.TEXTJOIN("; ", TRUE, _xlfn._xlws.FILTER('Model output'!G:G, 'Model output'!Z:Z=A11)),1)),ISNUMBER(SEARCH("right posterior neck", _xlfn.TEXTJOIN("; ", TRUE, _xlfn._xlws.FILTER('Model output'!G:G, 'Model output'!Z:Z=A11)),1)))),"lateral",IF(AND(M11=0, _xlfn.TEXTJOIN("; ", TRUE, _xlfn._xlws.FILTER('Model output'!G:G, 'Model output'!Z:Z=A11))=""),"", "central"))</f>
        <v>central</v>
      </c>
      <c r="K11" s="17" t="str" cm="1">
        <f t="array" ref="K11">IF(OR(ISNUMBER(SEARCH("lymph",_xlfn.TEXTJOIN("; ", TRUE, _xlfn._xlws.FILTER('Model output'!H:H, 'Model output'!Z:Z=A11)),1)), ISNUMBER(SEARCH("Not mentioned",_xlfn.TEXTJOIN("; ", TRUE, _xlfn._xlws.FILTER('Model output'!H:H, 'Model output'!Z:Z=A11)),1)),ISNUMBER(SEARCH("subcutaneous soft tissues",_xlfn.TEXTJOIN("; ", TRUE, _xlfn._xlws.FILTER('Model output'!H:H, 'Model output'!Z:Z=A11)),1)),ISNUMBER(SEARCH("larynx",_xlfn.TEXTJOIN("; ", TRUE, _xlfn._xlws.FILTER('Model output'!H:H, 'Model output'!Z:Z=A11)),1)),ISNUMBER(SEARCH("trachea",_xlfn.TEXTJOIN("; ", TRUE, _xlfn._xlws.FILTER('Model output'!H:H, 'Model output'!Z:Z=A11)),1)),ISNUMBER(SEARCH("esophagus",_xlfn.TEXTJOIN("; ", TRUE, _xlfn._xlws.FILTER('Model output'!H:H, 'Model output'!Z:Z=A11)),1)),ISNUMBER(SEARCH("recurrent laryngeal nerve",_xlfn.TEXTJOIN("; ", TRUE, _xlfn._xlws.FILTER('Model output'!H:H, 'Model output'!Z:Z=A11)),1)),ISNUMBER(SEARCH("RLN",_xlfn.TEXTJOIN("; ", TRUE, _xlfn._xlws.FILTER('Model output'!H:H, 'Model output'!Z:Z=A11)),1)),_xlfn.TEXTJOIN("; ", TRUE, _xlfn._xlws.FILTER('Model output'!H:H, 'Model output'!Z:Z=A11))=""),"negative","positive")</f>
        <v>negative</v>
      </c>
      <c r="L11" s="17">
        <f>IF(IFERROR(INDEX('Model output'!I:I, MATCH(A11, 'Model output'!Z:Z, 0)), "") &lt; M11, "", IFERROR(INDEX('Model output'!I:I, MATCH(A11, 'Model output'!Z:Z, 0)), ""))</f>
        <v>8</v>
      </c>
      <c r="M11" s="17">
        <f>IFERROR(INDEX('Model output'!J:J, MATCH(A11, 'Model output'!Z:Z, 0)), "")</f>
        <v>4</v>
      </c>
      <c r="N11" s="18" t="str" cm="1">
        <f t="array" ref="N11">ReplaceTo(ReplaceAnd(SUBSTITUTE(SUBSTITUTE(_xlfn.TEXTJOIN("; ", TRUE, _xlfn._xlws.FILTER('Model output'!K:K, 'Model output'!Z:Z=A11)), " ", ""), ",", ";")))</f>
        <v/>
      </c>
      <c r="O11" t="str" cm="1">
        <f t="array" ref="O11">IF(LEFT(IF(RIGHT(SUBSTITUTE(FilterWithUnits(N11)&amp;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";")),1)=";",RIGHT(IF(RIGHT(SUBSTITUTE(FilterWithUnits(N11)&amp;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";")),LEN(IF(RIGHT(SUBSTITUTE(FilterWithUnits(N11)&amp;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";")))-1),IF(RIGHT(SUBSTITUTE(FilterWithUnits(N11)&amp;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f>
        <v/>
      </c>
      <c r="P11" t="str" cm="1">
        <f t="array" ref="P11">IF(MaxSize((SplitDimensions(O11)))=0, "", MaxSize((SplitDimensions(O11))))</f>
        <v/>
      </c>
      <c r="Q11" t="str" cm="1">
        <f t="array" ref="Q11">IF(ISERROR(INDEX(_xlfn._xlws.FILTER('Model output'!L:L, ('Model output'!Z:Z=A11)*('Model output'!L:L&lt;&gt;"")), 1)), " ", LOWER(INDEX(_xlfn._xlws.FILTER('Model output'!L:L, ('Model output'!Z:Z=A11)*('Model output'!L:L&lt;&gt;"")), 1)))</f>
        <v>papillary carcinoma</v>
      </c>
      <c r="R11" t="str" cm="1">
        <f t="array" ref="R11">IF(ISERROR(INDEX(_xlfn._xlws.FILTER('Model output'!M:M, ('Model output'!Z:Z=A11)*('Model output'!M:M&lt;&gt;"")), 1)), " ", LOWER(INDEX(_xlfn._xlws.FILTER('Model output'!M:M, ('Model output'!Z:Z=A11)*('Model output'!M:M&lt;&gt;"")), 1)))</f>
        <v>classic</v>
      </c>
      <c r="S11" t="str" cm="1">
        <f t="array" ref="S11">IF(OR(ISNUMBER(SEARCH("ly",SUBSTITUTE(INDEX(_xlfn._xlws.FILTER('Model output'!N:N,('Model output'!Z:Z=A11)*('Model output'!N:N&lt;&gt;"")),1)," ",""),1)), ISNUMBER(SEARCH("pole",SUBSTITUTE(INDEX(_xlfn._xlws.FILTER('Model output'!N:N,('Model output'!Z:Z=A11)*('Model output'!N:N&lt;&gt;"")),1)," ",""),1))),"",SUBSTITUTE(INDEX(_xlfn._xlws.FILTER('Model output'!N:N,('Model output'!Z:Z=A11)*('Model output'!N:N&lt;&gt;"")),1)," ",""))</f>
        <v/>
      </c>
      <c r="T11" t="str" cm="1">
        <f t="array" ref="T11">IF(LEFT(IF(RIGHT(SUBSTITUTE(FilterWithUnits(S11)&amp;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";")),1)=";",RIGHT(IF(RIGHT(SUBSTITUTE(FilterWithUnits(S11)&amp;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";")),LEN(IF(RIGHT(SUBSTITUTE(FilterWithUnits(S11)&amp;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";")))-1),IF(RIGHT(SUBSTITUTE(FilterWithUnits(S11)&amp;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f>
        <v/>
      </c>
      <c r="U11" t="str" cm="1">
        <f t="array" ref="U11">IF(MaxSize((SplitDimensions(T11)))=0, "", MaxSize((SplitDimensions(T11))))</f>
        <v/>
      </c>
      <c r="V11" s="17" t="str" cm="1">
        <f t="array" ref="V11">IF(ISERROR(INDEX(_xlfn._xlws.FILTER('Model output'!P:P,('Model output'!Z:Z=A11)*('Model output'!P:P&lt;&gt;"")),1)),"negative",IF(OR(ISNUMBER(SEARCH("foc",INDEX(_xlfn._xlws.FILTER('Model output'!P:P,('Model output'!Z:Z=A11)*('Model output'!P:P&lt;&gt;"")),1),1)),ISNUMBER(SEARCH("extensive",INDEX(_xlfn._xlws.FILTER('Model output'!P:P,('Model output'!Z:Z=A11)*('Model output'!P:P&lt;&gt;"")),1),1)),ISNUMBER(SEARCH("present",INDEX(_xlfn._xlws.FILTER('Model output'!P:P,('Model output'!Z:Z=A11)*('Model output'!P:P&lt;&gt;"")),1),1)),ISNUMBER(SEARCH("yes",INDEX(_xlfn._xlws.FILTER('Model output'!P:P,('Model output'!Z:Z=A11)*('Model output'!P:P&lt;&gt;"")),1),1))),"positive","negative"))</f>
        <v>negative</v>
      </c>
      <c r="X11" t="str" cm="1">
        <f t="array" ref="X11">IF(ISNUMBER(SEARCH("4",INDEX(_xlfn._xlws.FILTER('Model output'!P:P,('Model output'!Z:Z=A11)*('Model output'!P:P&lt;&gt;"")),1),1)),INDEX(_xlfn._xlws.FILTER('Model output'!P:P,('Model output'!Z:Z=A11)*('Model output'!P:P&lt;&gt;"")),1),"") &amp; _xlfn.TEXTJOIN("",TRUE,_xlfn._xlws.FILTER('Model output'!Q:Q,'Model output'!Z:Z=A11))</f>
        <v/>
      </c>
      <c r="Y11" t="str">
        <f t="shared" si="9"/>
        <v>no</v>
      </c>
      <c r="Z11" t="str" cm="1">
        <f t="array" ref="Z11">IF(OR(ISNUMBER(SEARCH("focal",_xlfn.TEXTJOIN("; ",TRUE,_xlfn._xlws.FILTER('Model output'!R:R,'Model output'!Z:Z=A11)),1)),ISNUMBER(SEARCH("present",_xlfn.TEXTJOIN("; ",TRUE,_xlfn._xlws.FILTER('Model output'!R:R,'Model output'!Z:Z=A11)),1))),"positive",IF(_xlfn.TEXTJOIN("; ",TRUE,_xlfn._xlws.FILTER('Model output'!R:R,'Model output'!Z:Z=A11))="","negative",IF(OR(ISNUMBER(SEARCH("no",_xlfn.TEXTJOIN("; ",TRUE,_xlfn._xlws.FILTER('Model output'!R:R,'Model output'!Z:Z=A11)),1)),ISNUMBER(SEARCH("absent",_xlfn.TEXTJOIN("; ",TRUE,_xlfn._xlws.FILTER('Model output'!R:R,'Model output'!Z:Z=A11)),1))),"negative","positive")))</f>
        <v>positive</v>
      </c>
      <c r="AA11" s="17" t="str">
        <f t="shared" si="10"/>
        <v>negative</v>
      </c>
      <c r="AE11" s="17" t="str">
        <f t="shared" si="11"/>
        <v>negative</v>
      </c>
      <c r="AF11" t="str" cm="1">
        <f t="array" ref="AF11">_xlfn.TEXTJOIN("; ",TRUE,_xlfn._xlws.FILTER('Model output'!S:S,'Model output'!Z:Z=A11))</f>
        <v>Not identified</v>
      </c>
      <c r="AG11" s="17" t="str" cm="1">
        <f t="array" ref="AG11">IF(OR(ISNUMBER(SEARCH("uninvolved",_xlfn.TEXTJOIN("; ",TRUE,_xlfn._xlws.FILTER('Model output'!V:V,'Model output'!Z:Z=A11)),1)),ISNUMBER(SEARCH("clear",_xlfn.TEXTJOIN("; ",TRUE,_xlfn._xlws.FILTER('Model output'!V:V,'Model output'!Z:Z=A11)),1))*ISNUMBER(SEARCH("not mentioned",_xlfn.TEXTJOIN("; ",TRUE,_xlfn._xlws.FILTER('Model output'!V:V,'Model output'!Z:Z=A11)),1))),"negative",IF(ISNUMBER(SEARCH("cannot be assessed",_xlfn.TEXTJOIN("; ",TRUE,_xlfn._xlws.FILTER('Model output'!V:V,'Model output'!Z:Z=A11)),1)),"unknown","negative"))</f>
        <v>negative</v>
      </c>
      <c r="AI11" s="45" t="str">
        <f t="shared" si="2"/>
        <v>low</v>
      </c>
      <c r="AJ11" s="36" t="str">
        <f t="shared" si="3"/>
        <v>1a</v>
      </c>
      <c r="AK11" s="36" t="str">
        <f t="shared" si="14"/>
        <v>1a</v>
      </c>
      <c r="AL11" s="36">
        <f t="shared" si="5"/>
        <v>0</v>
      </c>
      <c r="AM11" s="36" t="str">
        <f t="shared" si="6"/>
        <v>II</v>
      </c>
      <c r="AN11" s="37" t="s">
        <v>168</v>
      </c>
      <c r="AO11" s="38" t="s">
        <v>403</v>
      </c>
      <c r="AP11" s="38" t="s">
        <v>193</v>
      </c>
      <c r="AQ11" s="38">
        <v>0</v>
      </c>
      <c r="AR11" s="38" t="s">
        <v>44</v>
      </c>
      <c r="AS11" s="37">
        <f t="shared" si="7"/>
        <v>0</v>
      </c>
      <c r="AT11" s="38">
        <f t="shared" si="8"/>
        <v>0</v>
      </c>
      <c r="AU11" s="38">
        <f t="shared" si="12"/>
        <v>1</v>
      </c>
      <c r="AV11" s="38">
        <f t="shared" si="13"/>
        <v>1</v>
      </c>
      <c r="AW11" s="39">
        <f t="shared" si="13"/>
        <v>1</v>
      </c>
    </row>
    <row r="12" spans="1:49">
      <c r="A12" s="13">
        <v>10</v>
      </c>
      <c r="B12" s="16">
        <f>_xlfn.MAXIFS('Model output'!B:B,'Model output'!Z:Z,'Classification result'!$A12)</f>
        <v>45436</v>
      </c>
      <c r="C12" s="16"/>
      <c r="D12" s="16"/>
      <c r="E12" s="17">
        <f>_xlfn.MAXIFS('Model output'!C:C,'Model output'!Z:Z,'Classification result'!$A12)</f>
        <v>24</v>
      </c>
      <c r="F12" s="17" t="str" cm="1">
        <f t="array" ref="F12">LEFT(IF(ISERROR(RIGHT(IF(INDEX(_xlfn._xlws.FILTER('Model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output'!Z:Z=A12)),1),""),1))),"",(RIGHT(IF(INDEX(_xlfn._xlws.FILTER('Model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output'!Z:Z=A12)),1)))))),2)</f>
        <v>1b</v>
      </c>
      <c r="G12" s="17" t="str" cm="1">
        <f t="array" ref="G12">IF(ISNUMBER(SEARCH("N",IF(ISNUMBER(SEARCH("present",IF(INDEX(_xlfn._xlws.FILTER('Model output'!E:E,('Model output'!Z:Z=A12)),1)="","",INDEX(_xlfn._xlws.FILTER('Model output'!E:E,('Model output'!Z:Z=A12)),1)),1)),"N1", IF(INDEX(_xlfn._xlws.FILTER('Model output'!E:E,('Model output'!Z:Z=A12)),1)="","",INDEX(_xlfn._xlws.FILTER('Model output'!E:E,('Model output'!Z:Z=A12)),1))),1)),RIGHT(IF(ISNUMBER(SEARCH("present",IF(INDEX(_xlfn._xlws.FILTER('Model output'!E:E,('Model output'!Z:Z=A12)),1)="","",INDEX(_xlfn._xlws.FILTER('Model output'!E:E,('Model output'!Z:Z=A12)),1)),1)),"N1", IF(INDEX(_xlfn._xlws.FILTER('Model output'!E:E,('Model output'!Z:Z=A12)),1)="","",INDEX(_xlfn._xlws.FILTER('Model output'!E:E,('Model output'!Z:Z=A12)),1))),LEN(IF(ISNUMBER(SEARCH("present",IF(INDEX(_xlfn._xlws.FILTER('Model output'!E:E,('Model output'!Z:Z=A12)),1)="","",INDEX(_xlfn._xlws.FILTER('Model output'!E:E,('Model output'!Z:Z=A12)),1)),1)),"N1", IF(INDEX(_xlfn._xlws.FILTER('Model output'!E:E,('Model output'!Z:Z=A12)),1)="","",INDEX(_xlfn._xlws.FILTER('Model output'!E:E,('Model output'!Z:Z=A12)),1))))-FIND("N",IF(ISNUMBER(SEARCH("present",IF(INDEX(_xlfn._xlws.FILTER('Model output'!E:E,('Model output'!Z:Z=A12)),1)="","",INDEX(_xlfn._xlws.FILTER('Model output'!E:E,('Model output'!Z:Z=A12)),1)),1)),"N1", IF(INDEX(_xlfn._xlws.FILTER('Model output'!E:E,('Model output'!Z:Z=A12)),1)="","",INDEX(_xlfn._xlws.FILTER('Model output'!E:E,('Model output'!Z:Z=A12)),1))),1)), "")</f>
        <v/>
      </c>
      <c r="H12" s="17" cm="1">
        <f t="array" ref="H12">IF(AND(SUBSTITUTE(_xlfn.TEXTJOIN("/", TRUE, _xlfn._xlws.FILTER('Model output'!F:F, 'Model output'!Z:Z=A12)),"M", "")="", K12="negative"),0,IF(K12="positive",1,0))</f>
        <v>0</v>
      </c>
      <c r="I12" t="str">
        <f t="shared" si="0"/>
        <v/>
      </c>
      <c r="J12" t="str" cm="1">
        <f t="array" ref="J12">IF(AND(M12&gt;0, _xlfn.TEXTJOIN("; ", TRUE, _xlfn._xlws.FILTER('Model output'!G:G, 'Model output'!Z:Z=A12)) &lt;&gt;"", OR(AND(ISNUMBER(SEARCH("level", _xlfn.TEXTJOIN("; ", TRUE, _xlfn._xlws.FILTER('Model output'!G:G, 'Model output'!Z:Z=A12)),1)),OR(ISNUMBER(SEARCH(" II", _xlfn.TEXTJOIN("; ", TRUE, _xlfn._xlws.FILTER('Model output'!G:G, 'Model output'!Z:Z=A12)),1)),ISNUMBER(SEARCH("2", _xlfn.TEXTJOIN("; ", TRUE, _xlfn._xlws.FILTER('Model output'!G:G, 'Model output'!Z:Z=A12)),1)),ISNUMBER(SEARCH("two", _xlfn.TEXTJOIN("; ", TRUE, _xlfn._xlws.FILTER('Model output'!G:G, 'Model output'!Z:Z=A12)),1)),ISNUMBER(SEARCH("III", _xlfn.TEXTJOIN("; ", TRUE, _xlfn._xlws.FILTER('Model output'!G:G, 'Model output'!Z:Z=A12)),1)),ISNUMBER(SEARCH("3", _xlfn.TEXTJOIN("; ", TRUE, _xlfn._xlws.FILTER('Model output'!G:G, 'Model output'!Z:Z=A12)),1)),ISNUMBER(SEARCH("three", _xlfn.TEXTJOIN("; ", TRUE, _xlfn._xlws.FILTER('Model output'!G:G, 'Model output'!Z:Z=A12)),1)),ISNUMBER(SEARCH("IV", _xlfn.TEXTJOIN("; ", TRUE, _xlfn._xlws.FILTER('Model output'!G:G, 'Model output'!Z:Z=A12)),1)),ISNUMBER(SEARCH("4", _xlfn.TEXTJOIN("; ", TRUE, _xlfn._xlws.FILTER('Model output'!G:G, 'Model output'!Z:Z=A12)),1)),ISNUMBER(SEARCH("five", _xlfn.TEXTJOIN("; ", TRUE, _xlfn._xlws.FILTER('Model output'!G:G, 'Model output'!Z:Z=A12)),1)),ISNUMBER(SEARCH("V ", _xlfn.TEXTJOIN("; ", TRUE, _xlfn._xlws.FILTER('Model output'!G:G, 'Model output'!Z:Z=A12)),1)),ISNUMBER(SEARCH("5", _xlfn.TEXTJOIN("; ", TRUE, _xlfn._xlws.FILTER('Model output'!G:G, 'Model output'!Z:Z=A12)),1)),ISNUMBER(SEARCH("five", _xlfn.TEXTJOIN("; ", TRUE, _xlfn._xlws.FILTER('Model output'!G:G, 'Model output'!Z:Z=A12)),1)),ISNUMBER(SEARCH(" lateral", _xlfn.TEXTJOIN("; ", TRUE, _xlfn._xlws.FILTER('Model output'!G:G, 'Model output'!Z:Z=A12)),1)))),ISNUMBER(SEARCH("cervical", _xlfn.TEXTJOIN("; ", TRUE, _xlfn._xlws.FILTER('Model output'!G:G, 'Model output'!Z:Z=A12)),1)),ISNUMBER(SEARCH("jugular", _xlfn.TEXTJOIN("; ", TRUE, _xlfn._xlws.FILTER('Model output'!G:G, 'Model output'!Z:Z=A12)),1)),ISNUMBER(SEARCH("left neck", _xlfn.TEXTJOIN("; ", TRUE, _xlfn._xlws.FILTER('Model output'!G:G, 'Model output'!Z:Z=A12)),1)),ISNUMBER(SEARCH("left anterior neck", _xlfn.TEXTJOIN("; ", TRUE, _xlfn._xlws.FILTER('Model output'!G:G, 'Model output'!Z:Z=A12)),1)),ISNUMBER(SEARCH("left posterior neck", _xlfn.TEXTJOIN("; ", TRUE, _xlfn._xlws.FILTER('Model output'!G:G, 'Model output'!Z:Z=A12)),1)),ISNUMBER(SEARCH("right neck", _xlfn.TEXTJOIN("; ", TRUE, _xlfn._xlws.FILTER('Model output'!G:G, 'Model output'!Z:Z=A12)),1)),ISNUMBER(SEARCH("right anterior neck", _xlfn.TEXTJOIN("; ", TRUE, _xlfn._xlws.FILTER('Model output'!G:G, 'Model output'!Z:Z=A12)),1)),ISNUMBER(SEARCH("right posterior neck", _xlfn.TEXTJOIN("; ", TRUE, _xlfn._xlws.FILTER('Model output'!G:G, 'Model output'!Z:Z=A12)),1)))),"lateral",IF(AND(M12=0, _xlfn.TEXTJOIN("; ", TRUE, _xlfn._xlws.FILTER('Model output'!G:G, 'Model output'!Z:Z=A12))=""),"", "central"))</f>
        <v/>
      </c>
      <c r="K12" s="17" t="str" cm="1">
        <f t="array" ref="K12">IF(OR(ISNUMBER(SEARCH("lymph",_xlfn.TEXTJOIN("; ", TRUE, _xlfn._xlws.FILTER('Model output'!H:H, 'Model output'!Z:Z=A12)),1)), ISNUMBER(SEARCH("Not mentioned",_xlfn.TEXTJOIN("; ", TRUE, _xlfn._xlws.FILTER('Model output'!H:H, 'Model output'!Z:Z=A12)),1)),ISNUMBER(SEARCH("subcutaneous soft tissues",_xlfn.TEXTJOIN("; ", TRUE, _xlfn._xlws.FILTER('Model output'!H:H, 'Model output'!Z:Z=A12)),1)),ISNUMBER(SEARCH("larynx",_xlfn.TEXTJOIN("; ", TRUE, _xlfn._xlws.FILTER('Model output'!H:H, 'Model output'!Z:Z=A12)),1)),ISNUMBER(SEARCH("trachea",_xlfn.TEXTJOIN("; ", TRUE, _xlfn._xlws.FILTER('Model output'!H:H, 'Model output'!Z:Z=A12)),1)),ISNUMBER(SEARCH("esophagus",_xlfn.TEXTJOIN("; ", TRUE, _xlfn._xlws.FILTER('Model output'!H:H, 'Model output'!Z:Z=A12)),1)),ISNUMBER(SEARCH("recurrent laryngeal nerve",_xlfn.TEXTJOIN("; ", TRUE, _xlfn._xlws.FILTER('Model output'!H:H, 'Model output'!Z:Z=A12)),1)),ISNUMBER(SEARCH("RLN",_xlfn.TEXTJOIN("; ", TRUE, _xlfn._xlws.FILTER('Model output'!H:H, 'Model output'!Z:Z=A12)),1)),_xlfn.TEXTJOIN("; ", TRUE, _xlfn._xlws.FILTER('Model output'!H:H, 'Model output'!Z:Z=A12))=""),"negative","positive")</f>
        <v>negative</v>
      </c>
      <c r="L12" s="17">
        <f>IF(IFERROR(INDEX('Model output'!I:I, MATCH(A12, 'Model output'!Z:Z, 0)), "") &lt; M12, "", IFERROR(INDEX('Model output'!I:I, MATCH(A12, 'Model output'!Z:Z, 0)), ""))</f>
        <v>1</v>
      </c>
      <c r="M12" s="17">
        <f>IFERROR(INDEX('Model output'!J:J, MATCH(A12, 'Model output'!Z:Z, 0)), "")</f>
        <v>0</v>
      </c>
      <c r="N12" s="18" t="str" cm="1">
        <f t="array" ref="N12">ReplaceTo(ReplaceAnd(SUBSTITUTE(SUBSTITUTE(_xlfn.TEXTJOIN("; ", TRUE, _xlfn._xlws.FILTER('Model output'!K:K, 'Model output'!Z:Z=A12)), " ", ""), ",", ";")))</f>
        <v/>
      </c>
      <c r="O12" t="str" cm="1">
        <f t="array" ref="O12">IF(LEFT(IF(RIGHT(SUBSTITUTE(FilterWithUnits(N12)&amp;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";")),1)=";",RIGHT(IF(RIGHT(SUBSTITUTE(FilterWithUnits(N12)&amp;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";")),LEN(IF(RIGHT(SUBSTITUTE(FilterWithUnits(N12)&amp;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";")))-1),IF(RIGHT(SUBSTITUTE(FilterWithUnits(N12)&amp;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f>
        <v/>
      </c>
      <c r="P12" t="str" cm="1">
        <f t="array" ref="P12">IF(MaxSize((SplitDimensions(O12)))=0, "", MaxSize((SplitDimensions(O12))))</f>
        <v/>
      </c>
      <c r="Q12" t="str" cm="1">
        <f t="array" ref="Q12">IF(ISERROR(INDEX(_xlfn._xlws.FILTER('Model output'!L:L, ('Model output'!Z:Z=A12)*('Model output'!L:L&lt;&gt;"")), 1)), " ", LOWER(INDEX(_xlfn._xlws.FILTER('Model output'!L:L, ('Model output'!Z:Z=A12)*('Model output'!L:L&lt;&gt;"")), 1)))</f>
        <v>papillary carcinoma</v>
      </c>
      <c r="R12" t="str" cm="1">
        <f t="array" ref="R12">IF(ISERROR(INDEX(_xlfn._xlws.FILTER('Model output'!M:M, ('Model output'!Z:Z=A12)*('Model output'!M:M&lt;&gt;"")), 1)), " ", LOWER(INDEX(_xlfn._xlws.FILTER('Model output'!M:M, ('Model output'!Z:Z=A12)*('Model output'!M:M&lt;&gt;"")), 1)))</f>
        <v>classic</v>
      </c>
      <c r="S12" t="str" cm="1">
        <f t="array" ref="S12">IF(OR(ISNUMBER(SEARCH("ly",SUBSTITUTE(INDEX(_xlfn._xlws.FILTER('Model output'!N:N,('Model output'!Z:Z=A12)*('Model output'!N:N&lt;&gt;"")),1)," ",""),1)), ISNUMBER(SEARCH("pole",SUBSTITUTE(INDEX(_xlfn._xlws.FILTER('Model output'!N:N,('Model output'!Z:Z=A12)*('Model output'!N:N&lt;&gt;"")),1)," ",""),1))),"",SUBSTITUTE(INDEX(_xlfn._xlws.FILTER('Model output'!N:N,('Model output'!Z:Z=A12)*('Model output'!N:N&lt;&gt;"")),1)," ",""))</f>
        <v>16mm</v>
      </c>
      <c r="T12" t="str" cm="1">
        <f t="array" ref="T12">IF(LEFT(IF(RIGHT(SUBSTITUTE(FilterWithUnits(S12)&amp;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";")),1)=";",RIGHT(IF(RIGHT(SUBSTITUTE(FilterWithUnits(S12)&amp;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";")),LEN(IF(RIGHT(SUBSTITUTE(FilterWithUnits(S12)&amp;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";")))-1),IF(RIGHT(SUBSTITUTE(FilterWithUnits(S12)&amp;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f>
        <v>16mm</v>
      </c>
      <c r="U12" cm="1">
        <f t="array" ref="U12">IF(MaxSize((SplitDimensions(T12)))=0, "", MaxSize((SplitDimensions(T12))))</f>
        <v>1.6</v>
      </c>
      <c r="V12" s="17" t="str" cm="1">
        <f t="array" ref="V12">IF(ISERROR(INDEX(_xlfn._xlws.FILTER('Model output'!P:P,('Model output'!Z:Z=A12)*('Model output'!P:P&lt;&gt;"")),1)),"negative",IF(OR(ISNUMBER(SEARCH("foc",INDEX(_xlfn._xlws.FILTER('Model output'!P:P,('Model output'!Z:Z=A12)*('Model output'!P:P&lt;&gt;"")),1),1)),ISNUMBER(SEARCH("extensive",INDEX(_xlfn._xlws.FILTER('Model output'!P:P,('Model output'!Z:Z=A12)*('Model output'!P:P&lt;&gt;"")),1),1)),ISNUMBER(SEARCH("present",INDEX(_xlfn._xlws.FILTER('Model output'!P:P,('Model output'!Z:Z=A12)*('Model output'!P:P&lt;&gt;"")),1),1)),ISNUMBER(SEARCH("yes",INDEX(_xlfn._xlws.FILTER('Model output'!P:P,('Model output'!Z:Z=A12)*('Model output'!P:P&lt;&gt;"")),1),1))),"positive","negative"))</f>
        <v>negative</v>
      </c>
      <c r="X12" t="str" cm="1">
        <f t="array" ref="X12">IF(ISNUMBER(SEARCH("4",INDEX(_xlfn._xlws.FILTER('Model output'!P:P,('Model output'!Z:Z=A12)*('Model output'!P:P&lt;&gt;"")),1),1)),INDEX(_xlfn._xlws.FILTER('Model output'!P:P,('Model output'!Z:Z=A12)*('Model output'!P:P&lt;&gt;"")),1),"") &amp; _xlfn.TEXTJOIN("",TRUE,_xlfn._xlws.FILTER('Model output'!Q:Q,'Model output'!Z:Z=A12))</f>
        <v/>
      </c>
      <c r="Y12" t="str">
        <f t="shared" si="9"/>
        <v>no</v>
      </c>
      <c r="Z12" t="str" cm="1">
        <f t="array" ref="Z12">IF(OR(ISNUMBER(SEARCH("focal",_xlfn.TEXTJOIN("; ",TRUE,_xlfn._xlws.FILTER('Model output'!R:R,'Model output'!Z:Z=A12)),1)),ISNUMBER(SEARCH("present",_xlfn.TEXTJOIN("; ",TRUE,_xlfn._xlws.FILTER('Model output'!R:R,'Model output'!Z:Z=A12)),1))),"positive",IF(_xlfn.TEXTJOIN("; ",TRUE,_xlfn._xlws.FILTER('Model output'!R:R,'Model output'!Z:Z=A12))="","negative",IF(OR(ISNUMBER(SEARCH("no",_xlfn.TEXTJOIN("; ",TRUE,_xlfn._xlws.FILTER('Model output'!R:R,'Model output'!Z:Z=A12)),1)),ISNUMBER(SEARCH("absent",_xlfn.TEXTJOIN("; ",TRUE,_xlfn._xlws.FILTER('Model output'!R:R,'Model output'!Z:Z=A12)),1))),"negative","positive")))</f>
        <v>negative</v>
      </c>
      <c r="AA12" s="17" t="str">
        <f t="shared" si="10"/>
        <v>negative</v>
      </c>
      <c r="AE12" s="17" t="str">
        <f t="shared" si="11"/>
        <v>negative</v>
      </c>
      <c r="AF12" t="str" cm="1">
        <f t="array" ref="AF12">_xlfn.TEXTJOIN("; ",TRUE,_xlfn._xlws.FILTER('Model output'!S:S,'Model output'!Z:Z=A12))</f>
        <v/>
      </c>
      <c r="AG12" s="17" t="str" cm="1">
        <f t="array" ref="AG12">IF(OR(ISNUMBER(SEARCH("uninvolved",_xlfn.TEXTJOIN("; ",TRUE,_xlfn._xlws.FILTER('Model output'!V:V,'Model output'!Z:Z=A12)),1)),ISNUMBER(SEARCH("clear",_xlfn.TEXTJOIN("; ",TRUE,_xlfn._xlws.FILTER('Model output'!V:V,'Model output'!Z:Z=A12)),1))*ISNUMBER(SEARCH("not mentioned",_xlfn.TEXTJOIN("; ",TRUE,_xlfn._xlws.FILTER('Model output'!V:V,'Model output'!Z:Z=A12)),1))),"negative",IF(ISNUMBER(SEARCH("cannot be assessed",_xlfn.TEXTJOIN("; ",TRUE,_xlfn._xlws.FILTER('Model output'!V:V,'Model output'!Z:Z=A12)),1)),"unknown","negative"))</f>
        <v>negative</v>
      </c>
      <c r="AI12" s="45" t="str">
        <f t="shared" si="2"/>
        <v>low</v>
      </c>
      <c r="AJ12" s="36" t="str">
        <f t="shared" si="3"/>
        <v>1b</v>
      </c>
      <c r="AK12" s="36">
        <f t="shared" si="14"/>
        <v>0</v>
      </c>
      <c r="AL12" s="36">
        <f t="shared" si="5"/>
        <v>0</v>
      </c>
      <c r="AM12" s="36" t="str">
        <f t="shared" si="6"/>
        <v>I</v>
      </c>
      <c r="AN12" s="37" t="s">
        <v>170</v>
      </c>
      <c r="AO12" s="38" t="s">
        <v>191</v>
      </c>
      <c r="AP12" s="38" t="s">
        <v>193</v>
      </c>
      <c r="AQ12" s="38">
        <v>0</v>
      </c>
      <c r="AR12" s="38" t="s">
        <v>31</v>
      </c>
      <c r="AS12" s="37">
        <f t="shared" si="7"/>
        <v>1</v>
      </c>
      <c r="AT12" s="38">
        <f t="shared" si="8"/>
        <v>1</v>
      </c>
      <c r="AU12" s="38">
        <f t="shared" si="12"/>
        <v>0</v>
      </c>
      <c r="AV12" s="38">
        <f t="shared" si="13"/>
        <v>1</v>
      </c>
      <c r="AW12" s="39">
        <f t="shared" si="13"/>
        <v>1</v>
      </c>
    </row>
    <row r="13" spans="1:49">
      <c r="A13" s="13">
        <v>11</v>
      </c>
      <c r="B13" s="16">
        <f>_xlfn.MAXIFS('Model output'!B:B,'Model output'!Z:Z,'Classification result'!$A13)</f>
        <v>45443</v>
      </c>
      <c r="C13" s="16"/>
      <c r="D13" s="16"/>
      <c r="E13" s="17">
        <f>_xlfn.MAXIFS('Model output'!C:C,'Model output'!Z:Z,'Classification result'!$A13)</f>
        <v>70</v>
      </c>
      <c r="F13" s="17" t="str" cm="1">
        <f t="array" ref="F13">LEFT(IF(ISERROR(RIGHT(IF(INDEX(_xlfn._xlws.FILTER('Model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output'!Z:Z=A13)),1),""),1))),"",(RIGHT(IF(INDEX(_xlfn._xlws.FILTER('Model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output'!Z:Z=A13)),1)))))),2)</f>
        <v>3a</v>
      </c>
      <c r="G13" s="17" t="str" cm="1">
        <f t="array" ref="G13">IF(ISNUMBER(SEARCH("N",IF(ISNUMBER(SEARCH("present",IF(INDEX(_xlfn._xlws.FILTER('Model output'!E:E,('Model output'!Z:Z=A13)),1)="","",INDEX(_xlfn._xlws.FILTER('Model output'!E:E,('Model output'!Z:Z=A13)),1)),1)),"N1", IF(INDEX(_xlfn._xlws.FILTER('Model output'!E:E,('Model output'!Z:Z=A13)),1)="","",INDEX(_xlfn._xlws.FILTER('Model output'!E:E,('Model output'!Z:Z=A13)),1))),1)),RIGHT(IF(ISNUMBER(SEARCH("present",IF(INDEX(_xlfn._xlws.FILTER('Model output'!E:E,('Model output'!Z:Z=A13)),1)="","",INDEX(_xlfn._xlws.FILTER('Model output'!E:E,('Model output'!Z:Z=A13)),1)),1)),"N1", IF(INDEX(_xlfn._xlws.FILTER('Model output'!E:E,('Model output'!Z:Z=A13)),1)="","",INDEX(_xlfn._xlws.FILTER('Model output'!E:E,('Model output'!Z:Z=A13)),1))),LEN(IF(ISNUMBER(SEARCH("present",IF(INDEX(_xlfn._xlws.FILTER('Model output'!E:E,('Model output'!Z:Z=A13)),1)="","",INDEX(_xlfn._xlws.FILTER('Model output'!E:E,('Model output'!Z:Z=A13)),1)),1)),"N1", IF(INDEX(_xlfn._xlws.FILTER('Model output'!E:E,('Model output'!Z:Z=A13)),1)="","",INDEX(_xlfn._xlws.FILTER('Model output'!E:E,('Model output'!Z:Z=A13)),1))))-FIND("N",IF(ISNUMBER(SEARCH("present",IF(INDEX(_xlfn._xlws.FILTER('Model output'!E:E,('Model output'!Z:Z=A13)),1)="","",INDEX(_xlfn._xlws.FILTER('Model output'!E:E,('Model output'!Z:Z=A13)),1)),1)),"N1", IF(INDEX(_xlfn._xlws.FILTER('Model output'!E:E,('Model output'!Z:Z=A13)),1)="","",INDEX(_xlfn._xlws.FILTER('Model output'!E:E,('Model output'!Z:Z=A13)),1))),1)), "")</f>
        <v/>
      </c>
      <c r="H13" s="17" cm="1">
        <f t="array" ref="H13">IF(AND(SUBSTITUTE(_xlfn.TEXTJOIN("/", TRUE, _xlfn._xlws.FILTER('Model output'!F:F, 'Model output'!Z:Z=A13)),"M", "")="", K13="negative"),0,IF(K13="positive",1,0))</f>
        <v>0</v>
      </c>
      <c r="I13" t="str">
        <f t="shared" si="0"/>
        <v/>
      </c>
      <c r="J13" t="str" cm="1">
        <f t="array" ref="J13">IF(AND(M13&gt;0, _xlfn.TEXTJOIN("; ", TRUE, _xlfn._xlws.FILTER('Model output'!G:G, 'Model output'!Z:Z=A13)) &lt;&gt;"", OR(AND(ISNUMBER(SEARCH("level", _xlfn.TEXTJOIN("; ", TRUE, _xlfn._xlws.FILTER('Model output'!G:G, 'Model output'!Z:Z=A13)),1)),OR(ISNUMBER(SEARCH(" II", _xlfn.TEXTJOIN("; ", TRUE, _xlfn._xlws.FILTER('Model output'!G:G, 'Model output'!Z:Z=A13)),1)),ISNUMBER(SEARCH("2", _xlfn.TEXTJOIN("; ", TRUE, _xlfn._xlws.FILTER('Model output'!G:G, 'Model output'!Z:Z=A13)),1)),ISNUMBER(SEARCH("two", _xlfn.TEXTJOIN("; ", TRUE, _xlfn._xlws.FILTER('Model output'!G:G, 'Model output'!Z:Z=A13)),1)),ISNUMBER(SEARCH("III", _xlfn.TEXTJOIN("; ", TRUE, _xlfn._xlws.FILTER('Model output'!G:G, 'Model output'!Z:Z=A13)),1)),ISNUMBER(SEARCH("3", _xlfn.TEXTJOIN("; ", TRUE, _xlfn._xlws.FILTER('Model output'!G:G, 'Model output'!Z:Z=A13)),1)),ISNUMBER(SEARCH("three", _xlfn.TEXTJOIN("; ", TRUE, _xlfn._xlws.FILTER('Model output'!G:G, 'Model output'!Z:Z=A13)),1)),ISNUMBER(SEARCH("IV", _xlfn.TEXTJOIN("; ", TRUE, _xlfn._xlws.FILTER('Model output'!G:G, 'Model output'!Z:Z=A13)),1)),ISNUMBER(SEARCH("4", _xlfn.TEXTJOIN("; ", TRUE, _xlfn._xlws.FILTER('Model output'!G:G, 'Model output'!Z:Z=A13)),1)),ISNUMBER(SEARCH("five", _xlfn.TEXTJOIN("; ", TRUE, _xlfn._xlws.FILTER('Model output'!G:G, 'Model output'!Z:Z=A13)),1)),ISNUMBER(SEARCH("V ", _xlfn.TEXTJOIN("; ", TRUE, _xlfn._xlws.FILTER('Model output'!G:G, 'Model output'!Z:Z=A13)),1)),ISNUMBER(SEARCH("5", _xlfn.TEXTJOIN("; ", TRUE, _xlfn._xlws.FILTER('Model output'!G:G, 'Model output'!Z:Z=A13)),1)),ISNUMBER(SEARCH("five", _xlfn.TEXTJOIN("; ", TRUE, _xlfn._xlws.FILTER('Model output'!G:G, 'Model output'!Z:Z=A13)),1)),ISNUMBER(SEARCH(" lateral", _xlfn.TEXTJOIN("; ", TRUE, _xlfn._xlws.FILTER('Model output'!G:G, 'Model output'!Z:Z=A13)),1)))),ISNUMBER(SEARCH("cervical", _xlfn.TEXTJOIN("; ", TRUE, _xlfn._xlws.FILTER('Model output'!G:G, 'Model output'!Z:Z=A13)),1)),ISNUMBER(SEARCH("jugular", _xlfn.TEXTJOIN("; ", TRUE, _xlfn._xlws.FILTER('Model output'!G:G, 'Model output'!Z:Z=A13)),1)),ISNUMBER(SEARCH("left neck", _xlfn.TEXTJOIN("; ", TRUE, _xlfn._xlws.FILTER('Model output'!G:G, 'Model output'!Z:Z=A13)),1)),ISNUMBER(SEARCH("left anterior neck", _xlfn.TEXTJOIN("; ", TRUE, _xlfn._xlws.FILTER('Model output'!G:G, 'Model output'!Z:Z=A13)),1)),ISNUMBER(SEARCH("left posterior neck", _xlfn.TEXTJOIN("; ", TRUE, _xlfn._xlws.FILTER('Model output'!G:G, 'Model output'!Z:Z=A13)),1)),ISNUMBER(SEARCH("right neck", _xlfn.TEXTJOIN("; ", TRUE, _xlfn._xlws.FILTER('Model output'!G:G, 'Model output'!Z:Z=A13)),1)),ISNUMBER(SEARCH("right anterior neck", _xlfn.TEXTJOIN("; ", TRUE, _xlfn._xlws.FILTER('Model output'!G:G, 'Model output'!Z:Z=A13)),1)),ISNUMBER(SEARCH("right posterior neck", _xlfn.TEXTJOIN("; ", TRUE, _xlfn._xlws.FILTER('Model output'!G:G, 'Model output'!Z:Z=A13)),1)))),"lateral",IF(AND(M13=0, _xlfn.TEXTJOIN("; ", TRUE, _xlfn._xlws.FILTER('Model output'!G:G, 'Model output'!Z:Z=A13))=""),"", "central"))</f>
        <v/>
      </c>
      <c r="K13" s="17" t="str" cm="1">
        <f t="array" ref="K13">IF(OR(ISNUMBER(SEARCH("lymph",_xlfn.TEXTJOIN("; ", TRUE, _xlfn._xlws.FILTER('Model output'!H:H, 'Model output'!Z:Z=A13)),1)), ISNUMBER(SEARCH("Not mentioned",_xlfn.TEXTJOIN("; ", TRUE, _xlfn._xlws.FILTER('Model output'!H:H, 'Model output'!Z:Z=A13)),1)),ISNUMBER(SEARCH("subcutaneous soft tissues",_xlfn.TEXTJOIN("; ", TRUE, _xlfn._xlws.FILTER('Model output'!H:H, 'Model output'!Z:Z=A13)),1)),ISNUMBER(SEARCH("larynx",_xlfn.TEXTJOIN("; ", TRUE, _xlfn._xlws.FILTER('Model output'!H:H, 'Model output'!Z:Z=A13)),1)),ISNUMBER(SEARCH("trachea",_xlfn.TEXTJOIN("; ", TRUE, _xlfn._xlws.FILTER('Model output'!H:H, 'Model output'!Z:Z=A13)),1)),ISNUMBER(SEARCH("esophagus",_xlfn.TEXTJOIN("; ", TRUE, _xlfn._xlws.FILTER('Model output'!H:H, 'Model output'!Z:Z=A13)),1)),ISNUMBER(SEARCH("recurrent laryngeal nerve",_xlfn.TEXTJOIN("; ", TRUE, _xlfn._xlws.FILTER('Model output'!H:H, 'Model output'!Z:Z=A13)),1)),ISNUMBER(SEARCH("RLN",_xlfn.TEXTJOIN("; ", TRUE, _xlfn._xlws.FILTER('Model output'!H:H, 'Model output'!Z:Z=A13)),1)),_xlfn.TEXTJOIN("; ", TRUE, _xlfn._xlws.FILTER('Model output'!H:H, 'Model output'!Z:Z=A13))=""),"negative","positive")</f>
        <v>negative</v>
      </c>
      <c r="L13" s="17">
        <f>IF(IFERROR(INDEX('Model output'!I:I, MATCH(A13, 'Model output'!Z:Z, 0)), "") &lt; M13, "", IFERROR(INDEX('Model output'!I:I, MATCH(A13, 'Model output'!Z:Z, 0)), ""))</f>
        <v>0</v>
      </c>
      <c r="M13" s="17">
        <f>IFERROR(INDEX('Model output'!J:J, MATCH(A13, 'Model output'!Z:Z, 0)), "")</f>
        <v>0</v>
      </c>
      <c r="N13" s="18" t="str" cm="1">
        <f t="array" ref="N13">ReplaceTo(ReplaceAnd(SUBSTITUTE(SUBSTITUTE(_xlfn.TEXTJOIN("; ", TRUE, _xlfn._xlws.FILTER('Model output'!K:K, 'Model output'!Z:Z=A13)), " ", ""), ",", ";")))</f>
        <v/>
      </c>
      <c r="O13" t="str" cm="1">
        <f t="array" ref="O13">IF(LEFT(IF(RIGHT(SUBSTITUTE(FilterWithUnits(N13)&amp;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";")),1)=";",RIGHT(IF(RIGHT(SUBSTITUTE(FilterWithUnits(N13)&amp;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";")),LEN(IF(RIGHT(SUBSTITUTE(FilterWithUnits(N13)&amp;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";")))-1),IF(RIGHT(SUBSTITUTE(FilterWithUnits(N13)&amp;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f>
        <v/>
      </c>
      <c r="P13" t="str" cm="1">
        <f t="array" ref="P13">IF(MaxSize((SplitDimensions(O13)))=0, "", MaxSize((SplitDimensions(O13))))</f>
        <v/>
      </c>
      <c r="Q13" t="str" cm="1">
        <f t="array" ref="Q13">IF(ISERROR(INDEX(_xlfn._xlws.FILTER('Model output'!L:L, ('Model output'!Z:Z=A13)*('Model output'!L:L&lt;&gt;"")), 1)), " ", LOWER(INDEX(_xlfn._xlws.FILTER('Model output'!L:L, ('Model output'!Z:Z=A13)*('Model output'!L:L&lt;&gt;"")), 1)))</f>
        <v>follicular carcinoma</v>
      </c>
      <c r="R13" t="str" cm="1">
        <f t="array" ref="R13">IF(ISERROR(INDEX(_xlfn._xlws.FILTER('Model output'!M:M, ('Model output'!Z:Z=A13)*('Model output'!M:M&lt;&gt;"")), 1)), " ", LOWER(INDEX(_xlfn._xlws.FILTER('Model output'!M:M, ('Model output'!Z:Z=A13)*('Model output'!M:M&lt;&gt;"")), 1)))</f>
        <v>minimally invasive</v>
      </c>
      <c r="S13" t="str" cm="1">
        <f t="array" ref="S13">IF(OR(ISNUMBER(SEARCH("ly",SUBSTITUTE(INDEX(_xlfn._xlws.FILTER('Model output'!N:N,('Model output'!Z:Z=A13)*('Model output'!N:N&lt;&gt;"")),1)," ",""),1)), ISNUMBER(SEARCH("pole",SUBSTITUTE(INDEX(_xlfn._xlws.FILTER('Model output'!N:N,('Model output'!Z:Z=A13)*('Model output'!N:N&lt;&gt;"")),1)," ",""),1))),"",SUBSTITUTE(INDEX(_xlfn._xlws.FILTER('Model output'!N:N,('Model output'!Z:Z=A13)*('Model output'!N:N&lt;&gt;"")),1)," ",""))</f>
        <v/>
      </c>
      <c r="T13" t="str" cm="1">
        <f t="array" ref="T13">IF(LEFT(IF(RIGHT(SUBSTITUTE(FilterWithUnits(S13)&amp;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";")),1)=";",RIGHT(IF(RIGHT(SUBSTITUTE(FilterWithUnits(S13)&amp;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";")),LEN(IF(RIGHT(SUBSTITUTE(FilterWithUnits(S13)&amp;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";")))-1),IF(RIGHT(SUBSTITUTE(FilterWithUnits(S13)&amp;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f>
        <v/>
      </c>
      <c r="U13" t="str" cm="1">
        <f t="array" ref="U13">IF(MaxSize((SplitDimensions(T13)))=0, "", MaxSize((SplitDimensions(T13))))</f>
        <v/>
      </c>
      <c r="V13" s="17" t="str" cm="1">
        <f t="array" ref="V13">IF(ISERROR(INDEX(_xlfn._xlws.FILTER('Model output'!P:P,('Model output'!Z:Z=A13)*('Model output'!P:P&lt;&gt;"")),1)),"negative",IF(OR(ISNUMBER(SEARCH("foc",INDEX(_xlfn._xlws.FILTER('Model output'!P:P,('Model output'!Z:Z=A13)*('Model output'!P:P&lt;&gt;"")),1),1)),ISNUMBER(SEARCH("extensive",INDEX(_xlfn._xlws.FILTER('Model output'!P:P,('Model output'!Z:Z=A13)*('Model output'!P:P&lt;&gt;"")),1),1)),ISNUMBER(SEARCH("present",INDEX(_xlfn._xlws.FILTER('Model output'!P:P,('Model output'!Z:Z=A13)*('Model output'!P:P&lt;&gt;"")),1),1)),ISNUMBER(SEARCH("yes",INDEX(_xlfn._xlws.FILTER('Model output'!P:P,('Model output'!Z:Z=A13)*('Model output'!P:P&lt;&gt;"")),1),1))),"positive","negative"))</f>
        <v>negative</v>
      </c>
      <c r="X13" t="str" cm="1">
        <f t="array" ref="X13">IF(ISNUMBER(SEARCH("4",INDEX(_xlfn._xlws.FILTER('Model output'!P:P,('Model output'!Z:Z=A13)*('Model output'!P:P&lt;&gt;"")),1),1)),INDEX(_xlfn._xlws.FILTER('Model output'!P:P,('Model output'!Z:Z=A13)*('Model output'!P:P&lt;&gt;"")),1),"") &amp; _xlfn.TEXTJOIN("",TRUE,_xlfn._xlws.FILTER('Model output'!Q:Q,'Model output'!Z:Z=A13))</f>
        <v/>
      </c>
      <c r="Y13" t="str">
        <f t="shared" si="9"/>
        <v>no</v>
      </c>
      <c r="Z13" t="str" cm="1">
        <f t="array" ref="Z13">IF(OR(ISNUMBER(SEARCH("focal",_xlfn.TEXTJOIN("; ",TRUE,_xlfn._xlws.FILTER('Model output'!R:R,'Model output'!Z:Z=A13)),1)),ISNUMBER(SEARCH("present",_xlfn.TEXTJOIN("; ",TRUE,_xlfn._xlws.FILTER('Model output'!R:R,'Model output'!Z:Z=A13)),1))),"positive",IF(_xlfn.TEXTJOIN("; ",TRUE,_xlfn._xlws.FILTER('Model output'!R:R,'Model output'!Z:Z=A13))="","negative",IF(OR(ISNUMBER(SEARCH("no",_xlfn.TEXTJOIN("; ",TRUE,_xlfn._xlws.FILTER('Model output'!R:R,'Model output'!Z:Z=A13)),1)),ISNUMBER(SEARCH("absent",_xlfn.TEXTJOIN("; ",TRUE,_xlfn._xlws.FILTER('Model output'!R:R,'Model output'!Z:Z=A13)),1))),"negative","positive")))</f>
        <v>positive</v>
      </c>
      <c r="AA13" s="17" t="str">
        <f t="shared" si="10"/>
        <v>negative</v>
      </c>
      <c r="AE13" s="17" t="str">
        <f t="shared" si="11"/>
        <v>negative</v>
      </c>
      <c r="AF13" t="str" cm="1">
        <f t="array" ref="AF13">_xlfn.TEXTJOIN("; ",TRUE,_xlfn._xlws.FILTER('Model output'!S:S,'Model output'!Z:Z=A13))</f>
        <v>Not identified</v>
      </c>
      <c r="AG13" s="17" t="str" cm="1">
        <f t="array" ref="AG13">IF(OR(ISNUMBER(SEARCH("uninvolved",_xlfn.TEXTJOIN("; ",TRUE,_xlfn._xlws.FILTER('Model output'!V:V,'Model output'!Z:Z=A13)),1)),ISNUMBER(SEARCH("clear",_xlfn.TEXTJOIN("; ",TRUE,_xlfn._xlws.FILTER('Model output'!V:V,'Model output'!Z:Z=A13)),1))*ISNUMBER(SEARCH("not mentioned",_xlfn.TEXTJOIN("; ",TRUE,_xlfn._xlws.FILTER('Model output'!V:V,'Model output'!Z:Z=A13)),1))),"negative",IF(ISNUMBER(SEARCH("cannot be assessed",_xlfn.TEXTJOIN("; ",TRUE,_xlfn._xlws.FILTER('Model output'!V:V,'Model output'!Z:Z=A13)),1)),"unknown","negative"))</f>
        <v>negative</v>
      </c>
      <c r="AI13" s="45" t="str">
        <f t="shared" si="2"/>
        <v>low</v>
      </c>
      <c r="AJ13" s="36" t="str">
        <f t="shared" si="3"/>
        <v>3a</v>
      </c>
      <c r="AK13" s="36" t="str">
        <f t="shared" si="14"/>
        <v>x</v>
      </c>
      <c r="AL13" s="36">
        <f t="shared" si="5"/>
        <v>0</v>
      </c>
      <c r="AM13" s="36" t="str">
        <f t="shared" si="6"/>
        <v>II</v>
      </c>
      <c r="AN13" s="37" t="s">
        <v>170</v>
      </c>
      <c r="AO13" s="38" t="s">
        <v>195</v>
      </c>
      <c r="AP13" s="38" t="s">
        <v>192</v>
      </c>
      <c r="AQ13" s="38">
        <v>0</v>
      </c>
      <c r="AR13" s="38" t="s">
        <v>44</v>
      </c>
      <c r="AS13" s="37">
        <f t="shared" si="7"/>
        <v>1</v>
      </c>
      <c r="AT13" s="38">
        <f t="shared" si="8"/>
        <v>1</v>
      </c>
      <c r="AU13" s="38">
        <f t="shared" si="12"/>
        <v>1</v>
      </c>
      <c r="AV13" s="38">
        <f t="shared" si="13"/>
        <v>1</v>
      </c>
      <c r="AW13" s="39">
        <f t="shared" si="13"/>
        <v>1</v>
      </c>
    </row>
    <row r="14" spans="1:49">
      <c r="A14" s="13">
        <v>12</v>
      </c>
      <c r="B14" s="16">
        <f>_xlfn.MAXIFS('Model output'!B:B,'Model output'!Z:Z,'Classification result'!$A14)</f>
        <v>45415</v>
      </c>
      <c r="C14" s="16"/>
      <c r="D14" s="16"/>
      <c r="E14" s="17">
        <f>_xlfn.MAXIFS('Model output'!C:C,'Model output'!Z:Z,'Classification result'!$A14)</f>
        <v>67</v>
      </c>
      <c r="F14" s="17" t="str" cm="1">
        <f t="array" ref="F14">LEFT(IF(ISERROR(RIGHT(IF(INDEX(_xlfn._xlws.FILTER('Model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output'!Z:Z=A14)),1),""),1))),"",(RIGHT(IF(INDEX(_xlfn._xlws.FILTER('Model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output'!Z:Z=A14)),1)))))),2)</f>
        <v>3a</v>
      </c>
      <c r="G14" s="17" t="str" cm="1">
        <f t="array" ref="G14">IF(ISNUMBER(SEARCH("N",IF(ISNUMBER(SEARCH("present",IF(INDEX(_xlfn._xlws.FILTER('Model output'!E:E,('Model output'!Z:Z=A14)),1)="","",INDEX(_xlfn._xlws.FILTER('Model output'!E:E,('Model output'!Z:Z=A14)),1)),1)),"N1", IF(INDEX(_xlfn._xlws.FILTER('Model output'!E:E,('Model output'!Z:Z=A14)),1)="","",INDEX(_xlfn._xlws.FILTER('Model output'!E:E,('Model output'!Z:Z=A14)),1))),1)),RIGHT(IF(ISNUMBER(SEARCH("present",IF(INDEX(_xlfn._xlws.FILTER('Model output'!E:E,('Model output'!Z:Z=A14)),1)="","",INDEX(_xlfn._xlws.FILTER('Model output'!E:E,('Model output'!Z:Z=A14)),1)),1)),"N1", IF(INDEX(_xlfn._xlws.FILTER('Model output'!E:E,('Model output'!Z:Z=A14)),1)="","",INDEX(_xlfn._xlws.FILTER('Model output'!E:E,('Model output'!Z:Z=A14)),1))),LEN(IF(ISNUMBER(SEARCH("present",IF(INDEX(_xlfn._xlws.FILTER('Model output'!E:E,('Model output'!Z:Z=A14)),1)="","",INDEX(_xlfn._xlws.FILTER('Model output'!E:E,('Model output'!Z:Z=A14)),1)),1)),"N1", IF(INDEX(_xlfn._xlws.FILTER('Model output'!E:E,('Model output'!Z:Z=A14)),1)="","",INDEX(_xlfn._xlws.FILTER('Model output'!E:E,('Model output'!Z:Z=A14)),1))))-FIND("N",IF(ISNUMBER(SEARCH("present",IF(INDEX(_xlfn._xlws.FILTER('Model output'!E:E,('Model output'!Z:Z=A14)),1)="","",INDEX(_xlfn._xlws.FILTER('Model output'!E:E,('Model output'!Z:Z=A14)),1)),1)),"N1", IF(INDEX(_xlfn._xlws.FILTER('Model output'!E:E,('Model output'!Z:Z=A14)),1)="","",INDEX(_xlfn._xlws.FILTER('Model output'!E:E,('Model output'!Z:Z=A14)),1))),1)), "")</f>
        <v/>
      </c>
      <c r="H14" s="17" cm="1">
        <f t="array" ref="H14">IF(AND(SUBSTITUTE(_xlfn.TEXTJOIN("/", TRUE, _xlfn._xlws.FILTER('Model output'!F:F, 'Model output'!Z:Z=A14)),"M", "")="", K14="negative"),0,IF(K14="positive",1,0))</f>
        <v>0</v>
      </c>
      <c r="I14" t="str">
        <f t="shared" si="0"/>
        <v/>
      </c>
      <c r="J14" t="str" cm="1">
        <f t="array" ref="J14">IF(AND(M14&gt;0, _xlfn.TEXTJOIN("; ", TRUE, _xlfn._xlws.FILTER('Model output'!G:G, 'Model output'!Z:Z=A14)) &lt;&gt;"", OR(AND(ISNUMBER(SEARCH("level", _xlfn.TEXTJOIN("; ", TRUE, _xlfn._xlws.FILTER('Model output'!G:G, 'Model output'!Z:Z=A14)),1)),OR(ISNUMBER(SEARCH(" II", _xlfn.TEXTJOIN("; ", TRUE, _xlfn._xlws.FILTER('Model output'!G:G, 'Model output'!Z:Z=A14)),1)),ISNUMBER(SEARCH("2", _xlfn.TEXTJOIN("; ", TRUE, _xlfn._xlws.FILTER('Model output'!G:G, 'Model output'!Z:Z=A14)),1)),ISNUMBER(SEARCH("two", _xlfn.TEXTJOIN("; ", TRUE, _xlfn._xlws.FILTER('Model output'!G:G, 'Model output'!Z:Z=A14)),1)),ISNUMBER(SEARCH("III", _xlfn.TEXTJOIN("; ", TRUE, _xlfn._xlws.FILTER('Model output'!G:G, 'Model output'!Z:Z=A14)),1)),ISNUMBER(SEARCH("3", _xlfn.TEXTJOIN("; ", TRUE, _xlfn._xlws.FILTER('Model output'!G:G, 'Model output'!Z:Z=A14)),1)),ISNUMBER(SEARCH("three", _xlfn.TEXTJOIN("; ", TRUE, _xlfn._xlws.FILTER('Model output'!G:G, 'Model output'!Z:Z=A14)),1)),ISNUMBER(SEARCH("IV", _xlfn.TEXTJOIN("; ", TRUE, _xlfn._xlws.FILTER('Model output'!G:G, 'Model output'!Z:Z=A14)),1)),ISNUMBER(SEARCH("4", _xlfn.TEXTJOIN("; ", TRUE, _xlfn._xlws.FILTER('Model output'!G:G, 'Model output'!Z:Z=A14)),1)),ISNUMBER(SEARCH("five", _xlfn.TEXTJOIN("; ", TRUE, _xlfn._xlws.FILTER('Model output'!G:G, 'Model output'!Z:Z=A14)),1)),ISNUMBER(SEARCH("V ", _xlfn.TEXTJOIN("; ", TRUE, _xlfn._xlws.FILTER('Model output'!G:G, 'Model output'!Z:Z=A14)),1)),ISNUMBER(SEARCH("5", _xlfn.TEXTJOIN("; ", TRUE, _xlfn._xlws.FILTER('Model output'!G:G, 'Model output'!Z:Z=A14)),1)),ISNUMBER(SEARCH("five", _xlfn.TEXTJOIN("; ", TRUE, _xlfn._xlws.FILTER('Model output'!G:G, 'Model output'!Z:Z=A14)),1)),ISNUMBER(SEARCH(" lateral", _xlfn.TEXTJOIN("; ", TRUE, _xlfn._xlws.FILTER('Model output'!G:G, 'Model output'!Z:Z=A14)),1)))),ISNUMBER(SEARCH("cervical", _xlfn.TEXTJOIN("; ", TRUE, _xlfn._xlws.FILTER('Model output'!G:G, 'Model output'!Z:Z=A14)),1)),ISNUMBER(SEARCH("jugular", _xlfn.TEXTJOIN("; ", TRUE, _xlfn._xlws.FILTER('Model output'!G:G, 'Model output'!Z:Z=A14)),1)),ISNUMBER(SEARCH("left neck", _xlfn.TEXTJOIN("; ", TRUE, _xlfn._xlws.FILTER('Model output'!G:G, 'Model output'!Z:Z=A14)),1)),ISNUMBER(SEARCH("left anterior neck", _xlfn.TEXTJOIN("; ", TRUE, _xlfn._xlws.FILTER('Model output'!G:G, 'Model output'!Z:Z=A14)),1)),ISNUMBER(SEARCH("left posterior neck", _xlfn.TEXTJOIN("; ", TRUE, _xlfn._xlws.FILTER('Model output'!G:G, 'Model output'!Z:Z=A14)),1)),ISNUMBER(SEARCH("right neck", _xlfn.TEXTJOIN("; ", TRUE, _xlfn._xlws.FILTER('Model output'!G:G, 'Model output'!Z:Z=A14)),1)),ISNUMBER(SEARCH("right anterior neck", _xlfn.TEXTJOIN("; ", TRUE, _xlfn._xlws.FILTER('Model output'!G:G, 'Model output'!Z:Z=A14)),1)),ISNUMBER(SEARCH("right posterior neck", _xlfn.TEXTJOIN("; ", TRUE, _xlfn._xlws.FILTER('Model output'!G:G, 'Model output'!Z:Z=A14)),1)))),"lateral",IF(AND(M14=0, _xlfn.TEXTJOIN("; ", TRUE, _xlfn._xlws.FILTER('Model output'!G:G, 'Model output'!Z:Z=A14))=""),"", "central"))</f>
        <v/>
      </c>
      <c r="K14" s="17" t="str" cm="1">
        <f t="array" ref="K14">IF(OR(ISNUMBER(SEARCH("lymph",_xlfn.TEXTJOIN("; ", TRUE, _xlfn._xlws.FILTER('Model output'!H:H, 'Model output'!Z:Z=A14)),1)), ISNUMBER(SEARCH("Not mentioned",_xlfn.TEXTJOIN("; ", TRUE, _xlfn._xlws.FILTER('Model output'!H:H, 'Model output'!Z:Z=A14)),1)),ISNUMBER(SEARCH("subcutaneous soft tissues",_xlfn.TEXTJOIN("; ", TRUE, _xlfn._xlws.FILTER('Model output'!H:H, 'Model output'!Z:Z=A14)),1)),ISNUMBER(SEARCH("larynx",_xlfn.TEXTJOIN("; ", TRUE, _xlfn._xlws.FILTER('Model output'!H:H, 'Model output'!Z:Z=A14)),1)),ISNUMBER(SEARCH("trachea",_xlfn.TEXTJOIN("; ", TRUE, _xlfn._xlws.FILTER('Model output'!H:H, 'Model output'!Z:Z=A14)),1)),ISNUMBER(SEARCH("esophagus",_xlfn.TEXTJOIN("; ", TRUE, _xlfn._xlws.FILTER('Model output'!H:H, 'Model output'!Z:Z=A14)),1)),ISNUMBER(SEARCH("recurrent laryngeal nerve",_xlfn.TEXTJOIN("; ", TRUE, _xlfn._xlws.FILTER('Model output'!H:H, 'Model output'!Z:Z=A14)),1)),ISNUMBER(SEARCH("RLN",_xlfn.TEXTJOIN("; ", TRUE, _xlfn._xlws.FILTER('Model output'!H:H, 'Model output'!Z:Z=A14)),1)),_xlfn.TEXTJOIN("; ", TRUE, _xlfn._xlws.FILTER('Model output'!H:H, 'Model output'!Z:Z=A14))=""),"negative","positive")</f>
        <v>negative</v>
      </c>
      <c r="L14" s="17">
        <f>IF(IFERROR(INDEX('Model output'!I:I, MATCH(A14, 'Model output'!Z:Z, 0)), "") &lt; M14, "", IFERROR(INDEX('Model output'!I:I, MATCH(A14, 'Model output'!Z:Z, 0)), ""))</f>
        <v>0</v>
      </c>
      <c r="M14" s="17">
        <f>IFERROR(INDEX('Model output'!J:J, MATCH(A14, 'Model output'!Z:Z, 0)), "")</f>
        <v>0</v>
      </c>
      <c r="N14" s="18" t="str" cm="1">
        <f t="array" ref="N14">ReplaceTo(ReplaceAnd(SUBSTITUTE(SUBSTITUTE(_xlfn.TEXTJOIN("; ", TRUE, _xlfn._xlws.FILTER('Model output'!K:K, 'Model output'!Z:Z=A14)), " ", ""), ",", ";")))</f>
        <v/>
      </c>
      <c r="O14" t="str" cm="1">
        <f t="array" ref="O14">IF(LEFT(IF(RIGHT(SUBSTITUTE(FilterWithUnits(N14)&amp;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";")),1)=";",RIGHT(IF(RIGHT(SUBSTITUTE(FilterWithUnits(N14)&amp;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";")),LEN(IF(RIGHT(SUBSTITUTE(FilterWithUnits(N14)&amp;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";")))-1),IF(RIGHT(SUBSTITUTE(FilterWithUnits(N14)&amp;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f>
        <v/>
      </c>
      <c r="P14" t="str" cm="1">
        <f t="array" ref="P14">IF(MaxSize((SplitDimensions(O14)))=0, "", MaxSize((SplitDimensions(O14))))</f>
        <v/>
      </c>
      <c r="Q14" t="str" cm="1">
        <f t="array" ref="Q14">IF(ISERROR(INDEX(_xlfn._xlws.FILTER('Model output'!L:L, ('Model output'!Z:Z=A14)*('Model output'!L:L&lt;&gt;"")), 1)), " ", LOWER(INDEX(_xlfn._xlws.FILTER('Model output'!L:L, ('Model output'!Z:Z=A14)*('Model output'!L:L&lt;&gt;"")), 1)))</f>
        <v>minimally invasive follicular carcinoma</v>
      </c>
      <c r="R14" t="str" cm="1">
        <f t="array" ref="R14">IF(ISERROR(INDEX(_xlfn._xlws.FILTER('Model output'!M:M, ('Model output'!Z:Z=A14)*('Model output'!M:M&lt;&gt;"")), 1)), " ", LOWER(INDEX(_xlfn._xlws.FILTER('Model output'!M:M, ('Model output'!Z:Z=A14)*('Model output'!M:M&lt;&gt;"")), 1)))</f>
        <v xml:space="preserve"> </v>
      </c>
      <c r="S14" t="str" cm="1">
        <f t="array" ref="S14">IF(OR(ISNUMBER(SEARCH("ly",SUBSTITUTE(INDEX(_xlfn._xlws.FILTER('Model output'!N:N,('Model output'!Z:Z=A14)*('Model output'!N:N&lt;&gt;"")),1)," ",""),1)), ISNUMBER(SEARCH("pole",SUBSTITUTE(INDEX(_xlfn._xlws.FILTER('Model output'!N:N,('Model output'!Z:Z=A14)*('Model output'!N:N&lt;&gt;"")),1)," ",""),1))),"",SUBSTITUTE(INDEX(_xlfn._xlws.FILTER('Model output'!N:N,('Model output'!Z:Z=A14)*('Model output'!N:N&lt;&gt;"")),1)," ",""))</f>
        <v>50mm</v>
      </c>
      <c r="T14" t="str" cm="1">
        <f t="array" ref="T14">IF(LEFT(IF(RIGHT(SUBSTITUTE(FilterWithUnits(S14)&amp;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";")),1)=";",RIGHT(IF(RIGHT(SUBSTITUTE(FilterWithUnits(S14)&amp;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";")),LEN(IF(RIGHT(SUBSTITUTE(FilterWithUnits(S14)&amp;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";")))-1),IF(RIGHT(SUBSTITUTE(FilterWithUnits(S14)&amp;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f>
        <v>50mm</v>
      </c>
      <c r="U14" cm="1">
        <f t="array" ref="U14">IF(MaxSize((SplitDimensions(T14)))=0, "", MaxSize((SplitDimensions(T14))))</f>
        <v>5</v>
      </c>
      <c r="V14" s="17" t="str" cm="1">
        <f t="array" ref="V14">IF(ISERROR(INDEX(_xlfn._xlws.FILTER('Model output'!P:P,('Model output'!Z:Z=A14)*('Model output'!P:P&lt;&gt;"")),1)),"negative",IF(OR(ISNUMBER(SEARCH("foc",INDEX(_xlfn._xlws.FILTER('Model output'!P:P,('Model output'!Z:Z=A14)*('Model output'!P:P&lt;&gt;"")),1),1)),ISNUMBER(SEARCH("extensive",INDEX(_xlfn._xlws.FILTER('Model output'!P:P,('Model output'!Z:Z=A14)*('Model output'!P:P&lt;&gt;"")),1),1)),ISNUMBER(SEARCH("present",INDEX(_xlfn._xlws.FILTER('Model output'!P:P,('Model output'!Z:Z=A14)*('Model output'!P:P&lt;&gt;"")),1),1)),ISNUMBER(SEARCH("yes",INDEX(_xlfn._xlws.FILTER('Model output'!P:P,('Model output'!Z:Z=A14)*('Model output'!P:P&lt;&gt;"")),1),1))),"positive","negative"))</f>
        <v>positive</v>
      </c>
      <c r="X14" t="str" cm="1">
        <f t="array" ref="X14">IF(ISNUMBER(SEARCH("4",INDEX(_xlfn._xlws.FILTER('Model output'!P:P,('Model output'!Z:Z=A14)*('Model output'!P:P&lt;&gt;"")),1),1)),INDEX(_xlfn._xlws.FILTER('Model output'!P:P,('Model output'!Z:Z=A14)*('Model output'!P:P&lt;&gt;"")),1),"") &amp; _xlfn.TEXTJOIN("",TRUE,_xlfn._xlws.FILTER('Model output'!Q:Q,'Model output'!Z:Z=A14))</f>
        <v>Focal (&lt; 4 vessels)&lt; 4 vessels</v>
      </c>
      <c r="Y14" t="str">
        <f t="shared" si="9"/>
        <v>minimal</v>
      </c>
      <c r="Z14" t="str" cm="1">
        <f t="array" ref="Z14">IF(OR(ISNUMBER(SEARCH("focal",_xlfn.TEXTJOIN("; ",TRUE,_xlfn._xlws.FILTER('Model output'!R:R,'Model output'!Z:Z=A14)),1)),ISNUMBER(SEARCH("present",_xlfn.TEXTJOIN("; ",TRUE,_xlfn._xlws.FILTER('Model output'!R:R,'Model output'!Z:Z=A14)),1))),"positive",IF(_xlfn.TEXTJOIN("; ",TRUE,_xlfn._xlws.FILTER('Model output'!R:R,'Model output'!Z:Z=A14))="","negative",IF(OR(ISNUMBER(SEARCH("no",_xlfn.TEXTJOIN("; ",TRUE,_xlfn._xlws.FILTER('Model output'!R:R,'Model output'!Z:Z=A14)),1)),ISNUMBER(SEARCH("absent",_xlfn.TEXTJOIN("; ",TRUE,_xlfn._xlws.FILTER('Model output'!R:R,'Model output'!Z:Z=A14)),1))),"negative","positive")))</f>
        <v>positive</v>
      </c>
      <c r="AA14" s="17" t="str">
        <f t="shared" si="10"/>
        <v>positive</v>
      </c>
      <c r="AE14" s="17" t="str">
        <f t="shared" si="11"/>
        <v>negative</v>
      </c>
      <c r="AF14" t="str" cm="1">
        <f t="array" ref="AF14">_xlfn.TEXTJOIN("; ",TRUE,_xlfn._xlws.FILTER('Model output'!S:S,'Model output'!Z:Z=A14))</f>
        <v>Invading perithyroid soft tissue</v>
      </c>
      <c r="AG14" s="17" t="str" cm="1">
        <f t="array" ref="AG14">IF(OR(ISNUMBER(SEARCH("uninvolved",_xlfn.TEXTJOIN("; ",TRUE,_xlfn._xlws.FILTER('Model output'!V:V,'Model output'!Z:Z=A14)),1)),ISNUMBER(SEARCH("clear",_xlfn.TEXTJOIN("; ",TRUE,_xlfn._xlws.FILTER('Model output'!V:V,'Model output'!Z:Z=A14)),1))*ISNUMBER(SEARCH("not mentioned",_xlfn.TEXTJOIN("; ",TRUE,_xlfn._xlws.FILTER('Model output'!V:V,'Model output'!Z:Z=A14)),1))),"negative",IF(ISNUMBER(SEARCH("cannot be assessed",_xlfn.TEXTJOIN("; ",TRUE,_xlfn._xlws.FILTER('Model output'!V:V,'Model output'!Z:Z=A14)),1)),"unknown","negative"))</f>
        <v>negative</v>
      </c>
      <c r="AI14" s="45" t="str">
        <f t="shared" si="2"/>
        <v>intermediate</v>
      </c>
      <c r="AJ14" s="36" t="str">
        <f t="shared" si="3"/>
        <v>3a</v>
      </c>
      <c r="AK14" s="36" t="str">
        <f t="shared" si="14"/>
        <v>x</v>
      </c>
      <c r="AL14" s="36">
        <f t="shared" si="5"/>
        <v>0</v>
      </c>
      <c r="AM14" s="36" t="str">
        <f t="shared" si="6"/>
        <v>II</v>
      </c>
      <c r="AN14" s="37" t="s">
        <v>168</v>
      </c>
      <c r="AO14" s="38" t="s">
        <v>195</v>
      </c>
      <c r="AP14" s="38" t="s">
        <v>192</v>
      </c>
      <c r="AQ14" s="38">
        <v>0</v>
      </c>
      <c r="AR14" s="38" t="s">
        <v>44</v>
      </c>
      <c r="AS14" s="37">
        <f t="shared" si="7"/>
        <v>1</v>
      </c>
      <c r="AT14" s="38">
        <f t="shared" si="8"/>
        <v>1</v>
      </c>
      <c r="AU14" s="38">
        <f t="shared" si="12"/>
        <v>1</v>
      </c>
      <c r="AV14" s="38">
        <f t="shared" si="13"/>
        <v>1</v>
      </c>
      <c r="AW14" s="39">
        <f t="shared" si="13"/>
        <v>1</v>
      </c>
    </row>
    <row r="15" spans="1:49">
      <c r="A15" s="13">
        <v>13</v>
      </c>
      <c r="B15" s="16">
        <f>_xlfn.MAXIFS('Model output'!B:B,'Model output'!Z:Z,'Classification result'!$A15)</f>
        <v>45420</v>
      </c>
      <c r="C15" s="16"/>
      <c r="D15" s="16"/>
      <c r="E15" s="17">
        <f>_xlfn.MAXIFS('Model output'!C:C,'Model output'!Z:Z,'Classification result'!$A15)</f>
        <v>66</v>
      </c>
      <c r="F15" s="17" t="str" cm="1">
        <f t="array" ref="F15">LEFT(IF(ISERROR(RIGHT(IF(INDEX(_xlfn._xlws.FILTER('Model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output'!Z:Z=A15)),1),""),1))),"",(RIGHT(IF(INDEX(_xlfn._xlws.FILTER('Model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output'!Z:Z=A15)),1)))))),2)</f>
        <v/>
      </c>
      <c r="G15" s="17" t="str" cm="1">
        <f t="array" ref="G15">IF(ISNUMBER(SEARCH("N",IF(ISNUMBER(SEARCH("present",IF(INDEX(_xlfn._xlws.FILTER('Model output'!E:E,('Model output'!Z:Z=A15)),1)="","",INDEX(_xlfn._xlws.FILTER('Model output'!E:E,('Model output'!Z:Z=A15)),1)),1)),"N1", IF(INDEX(_xlfn._xlws.FILTER('Model output'!E:E,('Model output'!Z:Z=A15)),1)="","",INDEX(_xlfn._xlws.FILTER('Model output'!E:E,('Model output'!Z:Z=A15)),1))),1)),RIGHT(IF(ISNUMBER(SEARCH("present",IF(INDEX(_xlfn._xlws.FILTER('Model output'!E:E,('Model output'!Z:Z=A15)),1)="","",INDEX(_xlfn._xlws.FILTER('Model output'!E:E,('Model output'!Z:Z=A15)),1)),1)),"N1", IF(INDEX(_xlfn._xlws.FILTER('Model output'!E:E,('Model output'!Z:Z=A15)),1)="","",INDEX(_xlfn._xlws.FILTER('Model output'!E:E,('Model output'!Z:Z=A15)),1))),LEN(IF(ISNUMBER(SEARCH("present",IF(INDEX(_xlfn._xlws.FILTER('Model output'!E:E,('Model output'!Z:Z=A15)),1)="","",INDEX(_xlfn._xlws.FILTER('Model output'!E:E,('Model output'!Z:Z=A15)),1)),1)),"N1", IF(INDEX(_xlfn._xlws.FILTER('Model output'!E:E,('Model output'!Z:Z=A15)),1)="","",INDEX(_xlfn._xlws.FILTER('Model output'!E:E,('Model output'!Z:Z=A15)),1))))-FIND("N",IF(ISNUMBER(SEARCH("present",IF(INDEX(_xlfn._xlws.FILTER('Model output'!E:E,('Model output'!Z:Z=A15)),1)="","",INDEX(_xlfn._xlws.FILTER('Model output'!E:E,('Model output'!Z:Z=A15)),1)),1)),"N1", IF(INDEX(_xlfn._xlws.FILTER('Model output'!E:E,('Model output'!Z:Z=A15)),1)="","",INDEX(_xlfn._xlws.FILTER('Model output'!E:E,('Model output'!Z:Z=A15)),1))),1)), "")</f>
        <v>1b</v>
      </c>
      <c r="H15" s="17" cm="1">
        <f t="array" ref="H15">IF(AND(SUBSTITUTE(_xlfn.TEXTJOIN("/", TRUE, _xlfn._xlws.FILTER('Model output'!F:F, 'Model output'!Z:Z=A15)),"M", "")="", K15="negative"),0,IF(K15="positive",1,0))</f>
        <v>0</v>
      </c>
      <c r="I15" t="str">
        <f t="shared" si="0"/>
        <v>positive</v>
      </c>
      <c r="J15" t="str" cm="1">
        <f t="array" ref="J15">IF(AND(M15&gt;0, _xlfn.TEXTJOIN("; ", TRUE, _xlfn._xlws.FILTER('Model output'!G:G, 'Model output'!Z:Z=A15)) &lt;&gt;"", OR(AND(ISNUMBER(SEARCH("level", _xlfn.TEXTJOIN("; ", TRUE, _xlfn._xlws.FILTER('Model output'!G:G, 'Model output'!Z:Z=A15)),1)),OR(ISNUMBER(SEARCH(" II", _xlfn.TEXTJOIN("; ", TRUE, _xlfn._xlws.FILTER('Model output'!G:G, 'Model output'!Z:Z=A15)),1)),ISNUMBER(SEARCH("2", _xlfn.TEXTJOIN("; ", TRUE, _xlfn._xlws.FILTER('Model output'!G:G, 'Model output'!Z:Z=A15)),1)),ISNUMBER(SEARCH("two", _xlfn.TEXTJOIN("; ", TRUE, _xlfn._xlws.FILTER('Model output'!G:G, 'Model output'!Z:Z=A15)),1)),ISNUMBER(SEARCH("III", _xlfn.TEXTJOIN("; ", TRUE, _xlfn._xlws.FILTER('Model output'!G:G, 'Model output'!Z:Z=A15)),1)),ISNUMBER(SEARCH("3", _xlfn.TEXTJOIN("; ", TRUE, _xlfn._xlws.FILTER('Model output'!G:G, 'Model output'!Z:Z=A15)),1)),ISNUMBER(SEARCH("three", _xlfn.TEXTJOIN("; ", TRUE, _xlfn._xlws.FILTER('Model output'!G:G, 'Model output'!Z:Z=A15)),1)),ISNUMBER(SEARCH("IV", _xlfn.TEXTJOIN("; ", TRUE, _xlfn._xlws.FILTER('Model output'!G:G, 'Model output'!Z:Z=A15)),1)),ISNUMBER(SEARCH("4", _xlfn.TEXTJOIN("; ", TRUE, _xlfn._xlws.FILTER('Model output'!G:G, 'Model output'!Z:Z=A15)),1)),ISNUMBER(SEARCH("five", _xlfn.TEXTJOIN("; ", TRUE, _xlfn._xlws.FILTER('Model output'!G:G, 'Model output'!Z:Z=A15)),1)),ISNUMBER(SEARCH("V ", _xlfn.TEXTJOIN("; ", TRUE, _xlfn._xlws.FILTER('Model output'!G:G, 'Model output'!Z:Z=A15)),1)),ISNUMBER(SEARCH("5", _xlfn.TEXTJOIN("; ", TRUE, _xlfn._xlws.FILTER('Model output'!G:G, 'Model output'!Z:Z=A15)),1)),ISNUMBER(SEARCH("five", _xlfn.TEXTJOIN("; ", TRUE, _xlfn._xlws.FILTER('Model output'!G:G, 'Model output'!Z:Z=A15)),1)),ISNUMBER(SEARCH(" lateral", _xlfn.TEXTJOIN("; ", TRUE, _xlfn._xlws.FILTER('Model output'!G:G, 'Model output'!Z:Z=A15)),1)))),ISNUMBER(SEARCH("cervical", _xlfn.TEXTJOIN("; ", TRUE, _xlfn._xlws.FILTER('Model output'!G:G, 'Model output'!Z:Z=A15)),1)),ISNUMBER(SEARCH("jugular", _xlfn.TEXTJOIN("; ", TRUE, _xlfn._xlws.FILTER('Model output'!G:G, 'Model output'!Z:Z=A15)),1)),ISNUMBER(SEARCH("left neck", _xlfn.TEXTJOIN("; ", TRUE, _xlfn._xlws.FILTER('Model output'!G:G, 'Model output'!Z:Z=A15)),1)),ISNUMBER(SEARCH("left anterior neck", _xlfn.TEXTJOIN("; ", TRUE, _xlfn._xlws.FILTER('Model output'!G:G, 'Model output'!Z:Z=A15)),1)),ISNUMBER(SEARCH("left posterior neck", _xlfn.TEXTJOIN("; ", TRUE, _xlfn._xlws.FILTER('Model output'!G:G, 'Model output'!Z:Z=A15)),1)),ISNUMBER(SEARCH("right neck", _xlfn.TEXTJOIN("; ", TRUE, _xlfn._xlws.FILTER('Model output'!G:G, 'Model output'!Z:Z=A15)),1)),ISNUMBER(SEARCH("right anterior neck", _xlfn.TEXTJOIN("; ", TRUE, _xlfn._xlws.FILTER('Model output'!G:G, 'Model output'!Z:Z=A15)),1)),ISNUMBER(SEARCH("right posterior neck", _xlfn.TEXTJOIN("; ", TRUE, _xlfn._xlws.FILTER('Model output'!G:G, 'Model output'!Z:Z=A15)),1)))),"lateral",IF(AND(M15=0, _xlfn.TEXTJOIN("; ", TRUE, _xlfn._xlws.FILTER('Model output'!G:G, 'Model output'!Z:Z=A15))=""),"", "central"))</f>
        <v>lateral</v>
      </c>
      <c r="K15" s="17" t="str" cm="1">
        <f t="array" ref="K15">IF(OR(ISNUMBER(SEARCH("lymph",_xlfn.TEXTJOIN("; ", TRUE, _xlfn._xlws.FILTER('Model output'!H:H, 'Model output'!Z:Z=A15)),1)), ISNUMBER(SEARCH("Not mentioned",_xlfn.TEXTJOIN("; ", TRUE, _xlfn._xlws.FILTER('Model output'!H:H, 'Model output'!Z:Z=A15)),1)),ISNUMBER(SEARCH("subcutaneous soft tissues",_xlfn.TEXTJOIN("; ", TRUE, _xlfn._xlws.FILTER('Model output'!H:H, 'Model output'!Z:Z=A15)),1)),ISNUMBER(SEARCH("larynx",_xlfn.TEXTJOIN("; ", TRUE, _xlfn._xlws.FILTER('Model output'!H:H, 'Model output'!Z:Z=A15)),1)),ISNUMBER(SEARCH("trachea",_xlfn.TEXTJOIN("; ", TRUE, _xlfn._xlws.FILTER('Model output'!H:H, 'Model output'!Z:Z=A15)),1)),ISNUMBER(SEARCH("esophagus",_xlfn.TEXTJOIN("; ", TRUE, _xlfn._xlws.FILTER('Model output'!H:H, 'Model output'!Z:Z=A15)),1)),ISNUMBER(SEARCH("recurrent laryngeal nerve",_xlfn.TEXTJOIN("; ", TRUE, _xlfn._xlws.FILTER('Model output'!H:H, 'Model output'!Z:Z=A15)),1)),ISNUMBER(SEARCH("RLN",_xlfn.TEXTJOIN("; ", TRUE, _xlfn._xlws.FILTER('Model output'!H:H, 'Model output'!Z:Z=A15)),1)),_xlfn.TEXTJOIN("; ", TRUE, _xlfn._xlws.FILTER('Model output'!H:H, 'Model output'!Z:Z=A15))=""),"negative","positive")</f>
        <v>negative</v>
      </c>
      <c r="L15" s="17">
        <f>IF(IFERROR(INDEX('Model output'!I:I, MATCH(A15, 'Model output'!Z:Z, 0)), "") &lt; M15, "", IFERROR(INDEX('Model output'!I:I, MATCH(A15, 'Model output'!Z:Z, 0)), ""))</f>
        <v>19</v>
      </c>
      <c r="M15" s="17">
        <f>IFERROR(INDEX('Model output'!J:J, MATCH(A15, 'Model output'!Z:Z, 0)), "")</f>
        <v>2</v>
      </c>
      <c r="N15" s="18" t="str" cm="1">
        <f t="array" ref="N15">ReplaceTo(ReplaceAnd(SUBSTITUTE(SUBSTITUTE(_xlfn.TEXTJOIN("; ", TRUE, _xlfn._xlws.FILTER('Model output'!K:K, 'Model output'!Z:Z=A15)), " ", ""), ",", ";")))</f>
        <v>1.1cm;4cm</v>
      </c>
      <c r="O15" t="str" cm="1">
        <f t="array" ref="O15">IF(LEFT(IF(RIGHT(SUBSTITUTE(FilterWithUnits(N15)&amp;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";")),1)=";",RIGHT(IF(RIGHT(SUBSTITUTE(FilterWithUnits(N15)&amp;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";")),LEN(IF(RIGHT(SUBSTITUTE(FilterWithUnits(N15)&amp;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";")))-1),IF(RIGHT(SUBSTITUTE(FilterWithUnits(N15)&amp;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f>
        <v>1.1cm;4cm</v>
      </c>
      <c r="P15" cm="1">
        <f t="array" ref="P15">IF(MaxSize((SplitDimensions(O15)))=0, "", MaxSize((SplitDimensions(O15))))</f>
        <v>4</v>
      </c>
      <c r="Q15" t="str" cm="1">
        <f t="array" ref="Q15">IF(ISERROR(INDEX(_xlfn._xlws.FILTER('Model output'!L:L, ('Model output'!Z:Z=A15)*('Model output'!L:L&lt;&gt;"")), 1)), " ", LOWER(INDEX(_xlfn._xlws.FILTER('Model output'!L:L, ('Model output'!Z:Z=A15)*('Model output'!L:L&lt;&gt;"")), 1)))</f>
        <v>papillary carcinoma</v>
      </c>
      <c r="R15" t="str" cm="1">
        <f t="array" ref="R15">IF(ISERROR(INDEX(_xlfn._xlws.FILTER('Model output'!M:M, ('Model output'!Z:Z=A15)*('Model output'!M:M&lt;&gt;"")), 1)), " ", LOWER(INDEX(_xlfn._xlws.FILTER('Model output'!M:M, ('Model output'!Z:Z=A15)*('Model output'!M:M&lt;&gt;"")), 1)))</f>
        <v>classic</v>
      </c>
      <c r="S15" t="str" cm="1">
        <f t="array" ref="S15">IF(OR(ISNUMBER(SEARCH("ly",SUBSTITUTE(INDEX(_xlfn._xlws.FILTER('Model output'!N:N,('Model output'!Z:Z=A15)*('Model output'!N:N&lt;&gt;"")),1)," ",""),1)), ISNUMBER(SEARCH("pole",SUBSTITUTE(INDEX(_xlfn._xlws.FILTER('Model output'!N:N,('Model output'!Z:Z=A15)*('Model output'!N:N&lt;&gt;"")),1)," ",""),1))),"",SUBSTITUTE(INDEX(_xlfn._xlws.FILTER('Model output'!N:N,('Model output'!Z:Z=A15)*('Model output'!N:N&lt;&gt;"")),1)," ",""))</f>
        <v>63mm</v>
      </c>
      <c r="T15" t="str" cm="1">
        <f t="array" ref="T15">IF(LEFT(IF(RIGHT(SUBSTITUTE(FilterWithUnits(S15)&amp;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";")),1)=";",RIGHT(IF(RIGHT(SUBSTITUTE(FilterWithUnits(S15)&amp;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";")),LEN(IF(RIGHT(SUBSTITUTE(FilterWithUnits(S15)&amp;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";")))-1),IF(RIGHT(SUBSTITUTE(FilterWithUnits(S15)&amp;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f>
        <v>63mm</v>
      </c>
      <c r="U15" cm="1">
        <f t="array" ref="U15">IF(MaxSize((SplitDimensions(T15)))=0, "", MaxSize((SplitDimensions(T15))))</f>
        <v>6.3</v>
      </c>
      <c r="V15" s="17" t="str" cm="1">
        <f t="array" ref="V15">IF(ISERROR(INDEX(_xlfn._xlws.FILTER('Model output'!P:P,('Model output'!Z:Z=A15)*('Model output'!P:P&lt;&gt;"")),1)),"negative",IF(OR(ISNUMBER(SEARCH("foc",INDEX(_xlfn._xlws.FILTER('Model output'!P:P,('Model output'!Z:Z=A15)*('Model output'!P:P&lt;&gt;"")),1),1)),ISNUMBER(SEARCH("extensive",INDEX(_xlfn._xlws.FILTER('Model output'!P:P,('Model output'!Z:Z=A15)*('Model output'!P:P&lt;&gt;"")),1),1)),ISNUMBER(SEARCH("present",INDEX(_xlfn._xlws.FILTER('Model output'!P:P,('Model output'!Z:Z=A15)*('Model output'!P:P&lt;&gt;"")),1),1)),ISNUMBER(SEARCH("yes",INDEX(_xlfn._xlws.FILTER('Model output'!P:P,('Model output'!Z:Z=A15)*('Model output'!P:P&lt;&gt;"")),1),1))),"positive","negative"))</f>
        <v>positive</v>
      </c>
      <c r="X15" t="str" cm="1">
        <f t="array" ref="X15">IF(ISNUMBER(SEARCH("4",INDEX(_xlfn._xlws.FILTER('Model output'!P:P,('Model output'!Z:Z=A15)*('Model output'!P:P&lt;&gt;"")),1),1)),INDEX(_xlfn._xlws.FILTER('Model output'!P:P,('Model output'!Z:Z=A15)*('Model output'!P:P&lt;&gt;"")),1),"") &amp; _xlfn.TEXTJOIN("",TRUE,_xlfn._xlws.FILTER('Model output'!Q:Q,'Model output'!Z:Z=A15))</f>
        <v>Posteriorly adherent to trachea and esophagus at cricoid level</v>
      </c>
      <c r="Y15" t="str">
        <f t="shared" si="9"/>
        <v>minimal</v>
      </c>
      <c r="Z15" t="str" cm="1">
        <f t="array" ref="Z15">IF(OR(ISNUMBER(SEARCH("focal",_xlfn.TEXTJOIN("; ",TRUE,_xlfn._xlws.FILTER('Model output'!R:R,'Model output'!Z:Z=A15)),1)),ISNUMBER(SEARCH("present",_xlfn.TEXTJOIN("; ",TRUE,_xlfn._xlws.FILTER('Model output'!R:R,'Model output'!Z:Z=A15)),1))),"positive",IF(_xlfn.TEXTJOIN("; ",TRUE,_xlfn._xlws.FILTER('Model output'!R:R,'Model output'!Z:Z=A15))="","negative",IF(OR(ISNUMBER(SEARCH("no",_xlfn.TEXTJOIN("; ",TRUE,_xlfn._xlws.FILTER('Model output'!R:R,'Model output'!Z:Z=A15)),1)),ISNUMBER(SEARCH("absent",_xlfn.TEXTJOIN("; ",TRUE,_xlfn._xlws.FILTER('Model output'!R:R,'Model output'!Z:Z=A15)),1))),"negative","positive")))</f>
        <v>positive</v>
      </c>
      <c r="AA15" s="17" t="str">
        <f t="shared" si="10"/>
        <v>positive</v>
      </c>
      <c r="AE15" s="17" t="str">
        <f t="shared" si="11"/>
        <v>positive</v>
      </c>
      <c r="AF15" t="str" cm="1">
        <f t="array" ref="AF15">_xlfn.TEXTJOIN("; ",TRUE,_xlfn._xlws.FILTER('Model output'!S:S,'Model output'!Z:Z=A15))</f>
        <v>skeletal muscle, posteriorly adherent to trachea and esophagus at cricoid level; perithyroidal fibradipose tissue, posteriorly adherent to trachea and esophagus at cricoid level</v>
      </c>
      <c r="AG15" s="17" t="str" cm="1">
        <f t="array" ref="AG15">IF(OR(ISNUMBER(SEARCH("uninvolved",_xlfn.TEXTJOIN("; ",TRUE,_xlfn._xlws.FILTER('Model output'!V:V,'Model output'!Z:Z=A15)),1)),ISNUMBER(SEARCH("clear",_xlfn.TEXTJOIN("; ",TRUE,_xlfn._xlws.FILTER('Model output'!V:V,'Model output'!Z:Z=A15)),1))*ISNUMBER(SEARCH("not mentioned",_xlfn.TEXTJOIN("; ",TRUE,_xlfn._xlws.FILTER('Model output'!V:V,'Model output'!Z:Z=A15)),1))),"negative",IF(ISNUMBER(SEARCH("cannot be assessed",_xlfn.TEXTJOIN("; ",TRUE,_xlfn._xlws.FILTER('Model output'!V:V,'Model output'!Z:Z=A15)),1)),"unknown","negative"))</f>
        <v>negative</v>
      </c>
      <c r="AI15" s="45" t="str">
        <f t="shared" si="2"/>
        <v>high</v>
      </c>
      <c r="AJ15" s="36" t="str">
        <f t="shared" si="3"/>
        <v>4a</v>
      </c>
      <c r="AK15" s="36" t="str">
        <f t="shared" si="14"/>
        <v>1b</v>
      </c>
      <c r="AL15" s="36">
        <f t="shared" si="5"/>
        <v>0</v>
      </c>
      <c r="AM15" s="36" t="str">
        <f t="shared" si="6"/>
        <v>III</v>
      </c>
      <c r="AN15" s="37" t="s">
        <v>169</v>
      </c>
      <c r="AO15" s="38" t="s">
        <v>196</v>
      </c>
      <c r="AP15" s="38" t="s">
        <v>191</v>
      </c>
      <c r="AQ15" s="38">
        <v>0</v>
      </c>
      <c r="AR15" s="38" t="s">
        <v>69</v>
      </c>
      <c r="AS15" s="37">
        <f t="shared" si="7"/>
        <v>1</v>
      </c>
      <c r="AT15" s="38">
        <f t="shared" si="8"/>
        <v>1</v>
      </c>
      <c r="AU15" s="38">
        <f t="shared" si="12"/>
        <v>1</v>
      </c>
      <c r="AV15" s="38">
        <f t="shared" si="13"/>
        <v>1</v>
      </c>
      <c r="AW15" s="39">
        <f t="shared" si="13"/>
        <v>1</v>
      </c>
    </row>
    <row r="16" spans="1:49">
      <c r="A16" s="13">
        <v>14</v>
      </c>
      <c r="B16" s="16">
        <f>_xlfn.MAXIFS('Model output'!B:B,'Model output'!Z:Z,'Classification result'!$A16)</f>
        <v>45394</v>
      </c>
      <c r="C16" s="16"/>
      <c r="D16" s="16"/>
      <c r="E16" s="17">
        <f>_xlfn.MAXIFS('Model output'!C:C,'Model output'!Z:Z,'Classification result'!$A16)</f>
        <v>51</v>
      </c>
      <c r="F16" s="17" t="str" cm="1">
        <f t="array" ref="F16">LEFT(IF(ISERROR(RIGHT(IF(INDEX(_xlfn._xlws.FILTER('Model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output'!Z:Z=A16)),1),""),1))),"",(RIGHT(IF(INDEX(_xlfn._xlws.FILTER('Model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output'!Z:Z=A16)),1)))))),2)</f>
        <v>3b</v>
      </c>
      <c r="G16" s="17" t="str" cm="1">
        <f t="array" ref="G16">IF(ISNUMBER(SEARCH("N",IF(ISNUMBER(SEARCH("present",IF(INDEX(_xlfn._xlws.FILTER('Model output'!E:E,('Model output'!Z:Z=A16)),1)="","",INDEX(_xlfn._xlws.FILTER('Model output'!E:E,('Model output'!Z:Z=A16)),1)),1)),"N1", IF(INDEX(_xlfn._xlws.FILTER('Model output'!E:E,('Model output'!Z:Z=A16)),1)="","",INDEX(_xlfn._xlws.FILTER('Model output'!E:E,('Model output'!Z:Z=A16)),1))),1)),RIGHT(IF(ISNUMBER(SEARCH("present",IF(INDEX(_xlfn._xlws.FILTER('Model output'!E:E,('Model output'!Z:Z=A16)),1)="","",INDEX(_xlfn._xlws.FILTER('Model output'!E:E,('Model output'!Z:Z=A16)),1)),1)),"N1", IF(INDEX(_xlfn._xlws.FILTER('Model output'!E:E,('Model output'!Z:Z=A16)),1)="","",INDEX(_xlfn._xlws.FILTER('Model output'!E:E,('Model output'!Z:Z=A16)),1))),LEN(IF(ISNUMBER(SEARCH("present",IF(INDEX(_xlfn._xlws.FILTER('Model output'!E:E,('Model output'!Z:Z=A16)),1)="","",INDEX(_xlfn._xlws.FILTER('Model output'!E:E,('Model output'!Z:Z=A16)),1)),1)),"N1", IF(INDEX(_xlfn._xlws.FILTER('Model output'!E:E,('Model output'!Z:Z=A16)),1)="","",INDEX(_xlfn._xlws.FILTER('Model output'!E:E,('Model output'!Z:Z=A16)),1))))-FIND("N",IF(ISNUMBER(SEARCH("present",IF(INDEX(_xlfn._xlws.FILTER('Model output'!E:E,('Model output'!Z:Z=A16)),1)="","",INDEX(_xlfn._xlws.FILTER('Model output'!E:E,('Model output'!Z:Z=A16)),1)),1)),"N1", IF(INDEX(_xlfn._xlws.FILTER('Model output'!E:E,('Model output'!Z:Z=A16)),1)="","",INDEX(_xlfn._xlws.FILTER('Model output'!E:E,('Model output'!Z:Z=A16)),1))),1)), "")</f>
        <v/>
      </c>
      <c r="H16" s="17" cm="1">
        <f t="array" ref="H16">IF(AND(SUBSTITUTE(_xlfn.TEXTJOIN("/", TRUE, _xlfn._xlws.FILTER('Model output'!F:F, 'Model output'!Z:Z=A16)),"M", "")="", K16="negative"),0,IF(K16="positive",1,0))</f>
        <v>0</v>
      </c>
      <c r="I16" t="str">
        <f t="shared" si="0"/>
        <v/>
      </c>
      <c r="J16" t="str" cm="1">
        <f t="array" ref="J16">IF(AND(M16&gt;0, _xlfn.TEXTJOIN("; ", TRUE, _xlfn._xlws.FILTER('Model output'!G:G, 'Model output'!Z:Z=A16)) &lt;&gt;"", OR(AND(ISNUMBER(SEARCH("level", _xlfn.TEXTJOIN("; ", TRUE, _xlfn._xlws.FILTER('Model output'!G:G, 'Model output'!Z:Z=A16)),1)),OR(ISNUMBER(SEARCH(" II", _xlfn.TEXTJOIN("; ", TRUE, _xlfn._xlws.FILTER('Model output'!G:G, 'Model output'!Z:Z=A16)),1)),ISNUMBER(SEARCH("2", _xlfn.TEXTJOIN("; ", TRUE, _xlfn._xlws.FILTER('Model output'!G:G, 'Model output'!Z:Z=A16)),1)),ISNUMBER(SEARCH("two", _xlfn.TEXTJOIN("; ", TRUE, _xlfn._xlws.FILTER('Model output'!G:G, 'Model output'!Z:Z=A16)),1)),ISNUMBER(SEARCH("III", _xlfn.TEXTJOIN("; ", TRUE, _xlfn._xlws.FILTER('Model output'!G:G, 'Model output'!Z:Z=A16)),1)),ISNUMBER(SEARCH("3", _xlfn.TEXTJOIN("; ", TRUE, _xlfn._xlws.FILTER('Model output'!G:G, 'Model output'!Z:Z=A16)),1)),ISNUMBER(SEARCH("three", _xlfn.TEXTJOIN("; ", TRUE, _xlfn._xlws.FILTER('Model output'!G:G, 'Model output'!Z:Z=A16)),1)),ISNUMBER(SEARCH("IV", _xlfn.TEXTJOIN("; ", TRUE, _xlfn._xlws.FILTER('Model output'!G:G, 'Model output'!Z:Z=A16)),1)),ISNUMBER(SEARCH("4", _xlfn.TEXTJOIN("; ", TRUE, _xlfn._xlws.FILTER('Model output'!G:G, 'Model output'!Z:Z=A16)),1)),ISNUMBER(SEARCH("five", _xlfn.TEXTJOIN("; ", TRUE, _xlfn._xlws.FILTER('Model output'!G:G, 'Model output'!Z:Z=A16)),1)),ISNUMBER(SEARCH("V ", _xlfn.TEXTJOIN("; ", TRUE, _xlfn._xlws.FILTER('Model output'!G:G, 'Model output'!Z:Z=A16)),1)),ISNUMBER(SEARCH("5", _xlfn.TEXTJOIN("; ", TRUE, _xlfn._xlws.FILTER('Model output'!G:G, 'Model output'!Z:Z=A16)),1)),ISNUMBER(SEARCH("five", _xlfn.TEXTJOIN("; ", TRUE, _xlfn._xlws.FILTER('Model output'!G:G, 'Model output'!Z:Z=A16)),1)),ISNUMBER(SEARCH(" lateral", _xlfn.TEXTJOIN("; ", TRUE, _xlfn._xlws.FILTER('Model output'!G:G, 'Model output'!Z:Z=A16)),1)))),ISNUMBER(SEARCH("cervical", _xlfn.TEXTJOIN("; ", TRUE, _xlfn._xlws.FILTER('Model output'!G:G, 'Model output'!Z:Z=A16)),1)),ISNUMBER(SEARCH("jugular", _xlfn.TEXTJOIN("; ", TRUE, _xlfn._xlws.FILTER('Model output'!G:G, 'Model output'!Z:Z=A16)),1)),ISNUMBER(SEARCH("left neck", _xlfn.TEXTJOIN("; ", TRUE, _xlfn._xlws.FILTER('Model output'!G:G, 'Model output'!Z:Z=A16)),1)),ISNUMBER(SEARCH("left anterior neck", _xlfn.TEXTJOIN("; ", TRUE, _xlfn._xlws.FILTER('Model output'!G:G, 'Model output'!Z:Z=A16)),1)),ISNUMBER(SEARCH("left posterior neck", _xlfn.TEXTJOIN("; ", TRUE, _xlfn._xlws.FILTER('Model output'!G:G, 'Model output'!Z:Z=A16)),1)),ISNUMBER(SEARCH("right neck", _xlfn.TEXTJOIN("; ", TRUE, _xlfn._xlws.FILTER('Model output'!G:G, 'Model output'!Z:Z=A16)),1)),ISNUMBER(SEARCH("right anterior neck", _xlfn.TEXTJOIN("; ", TRUE, _xlfn._xlws.FILTER('Model output'!G:G, 'Model output'!Z:Z=A16)),1)),ISNUMBER(SEARCH("right posterior neck", _xlfn.TEXTJOIN("; ", TRUE, _xlfn._xlws.FILTER('Model output'!G:G, 'Model output'!Z:Z=A16)),1)))),"lateral",IF(AND(M16=0, _xlfn.TEXTJOIN("; ", TRUE, _xlfn._xlws.FILTER('Model output'!G:G, 'Model output'!Z:Z=A16))=""),"", "central"))</f>
        <v/>
      </c>
      <c r="K16" s="17" t="str" cm="1">
        <f t="array" ref="K16">IF(OR(ISNUMBER(SEARCH("lymph",_xlfn.TEXTJOIN("; ", TRUE, _xlfn._xlws.FILTER('Model output'!H:H, 'Model output'!Z:Z=A16)),1)), ISNUMBER(SEARCH("Not mentioned",_xlfn.TEXTJOIN("; ", TRUE, _xlfn._xlws.FILTER('Model output'!H:H, 'Model output'!Z:Z=A16)),1)),ISNUMBER(SEARCH("subcutaneous soft tissues",_xlfn.TEXTJOIN("; ", TRUE, _xlfn._xlws.FILTER('Model output'!H:H, 'Model output'!Z:Z=A16)),1)),ISNUMBER(SEARCH("larynx",_xlfn.TEXTJOIN("; ", TRUE, _xlfn._xlws.FILTER('Model output'!H:H, 'Model output'!Z:Z=A16)),1)),ISNUMBER(SEARCH("trachea",_xlfn.TEXTJOIN("; ", TRUE, _xlfn._xlws.FILTER('Model output'!H:H, 'Model output'!Z:Z=A16)),1)),ISNUMBER(SEARCH("esophagus",_xlfn.TEXTJOIN("; ", TRUE, _xlfn._xlws.FILTER('Model output'!H:H, 'Model output'!Z:Z=A16)),1)),ISNUMBER(SEARCH("recurrent laryngeal nerve",_xlfn.TEXTJOIN("; ", TRUE, _xlfn._xlws.FILTER('Model output'!H:H, 'Model output'!Z:Z=A16)),1)),ISNUMBER(SEARCH("RLN",_xlfn.TEXTJOIN("; ", TRUE, _xlfn._xlws.FILTER('Model output'!H:H, 'Model output'!Z:Z=A16)),1)),_xlfn.TEXTJOIN("; ", TRUE, _xlfn._xlws.FILTER('Model output'!H:H, 'Model output'!Z:Z=A16))=""),"negative","positive")</f>
        <v>negative</v>
      </c>
      <c r="L16" s="17">
        <f>IF(IFERROR(INDEX('Model output'!I:I, MATCH(A16, 'Model output'!Z:Z, 0)), "") &lt; M16, "", IFERROR(INDEX('Model output'!I:I, MATCH(A16, 'Model output'!Z:Z, 0)), ""))</f>
        <v>0</v>
      </c>
      <c r="M16" s="17">
        <f>IFERROR(INDEX('Model output'!J:J, MATCH(A16, 'Model output'!Z:Z, 0)), "")</f>
        <v>0</v>
      </c>
      <c r="N16" s="18" t="str" cm="1">
        <f t="array" ref="N16">ReplaceTo(ReplaceAnd(SUBSTITUTE(SUBSTITUTE(_xlfn.TEXTJOIN("; ", TRUE, _xlfn._xlws.FILTER('Model output'!K:K, 'Model output'!Z:Z=A16)), " ", ""), ",", ";")))</f>
        <v/>
      </c>
      <c r="O16" t="str" cm="1">
        <f t="array" ref="O16">IF(LEFT(IF(RIGHT(SUBSTITUTE(FilterWithUnits(N16)&amp;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";")),1)=";",RIGHT(IF(RIGHT(SUBSTITUTE(FilterWithUnits(N16)&amp;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";")),LEN(IF(RIGHT(SUBSTITUTE(FilterWithUnits(N16)&amp;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";")))-1),IF(RIGHT(SUBSTITUTE(FilterWithUnits(N16)&amp;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f>
        <v/>
      </c>
      <c r="P16" t="str" cm="1">
        <f t="array" ref="P16">IF(MaxSize((SplitDimensions(O16)))=0, "", MaxSize((SplitDimensions(O16))))</f>
        <v/>
      </c>
      <c r="Q16" t="str" cm="1">
        <f t="array" ref="Q16">IF(ISERROR(INDEX(_xlfn._xlws.FILTER('Model output'!L:L, ('Model output'!Z:Z=A16)*('Model output'!L:L&lt;&gt;"")), 1)), " ", LOWER(INDEX(_xlfn._xlws.FILTER('Model output'!L:L, ('Model output'!Z:Z=A16)*('Model output'!L:L&lt;&gt;"")), 1)))</f>
        <v>papillary carcinoma</v>
      </c>
      <c r="R16" t="str" cm="1">
        <f t="array" ref="R16">IF(ISERROR(INDEX(_xlfn._xlws.FILTER('Model output'!M:M, ('Model output'!Z:Z=A16)*('Model output'!M:M&lt;&gt;"")), 1)), " ", LOWER(INDEX(_xlfn._xlws.FILTER('Model output'!M:M, ('Model output'!Z:Z=A16)*('Model output'!M:M&lt;&gt;"")), 1)))</f>
        <v>classic</v>
      </c>
      <c r="S16" t="str" cm="1">
        <f t="array" ref="S16">IF(OR(ISNUMBER(SEARCH("ly",SUBSTITUTE(INDEX(_xlfn._xlws.FILTER('Model output'!N:N,('Model output'!Z:Z=A16)*('Model output'!N:N&lt;&gt;"")),1)," ",""),1)), ISNUMBER(SEARCH("pole",SUBSTITUTE(INDEX(_xlfn._xlws.FILTER('Model output'!N:N,('Model output'!Z:Z=A16)*('Model output'!N:N&lt;&gt;"")),1)," ",""),1))),"",SUBSTITUTE(INDEX(_xlfn._xlws.FILTER('Model output'!N:N,('Model output'!Z:Z=A16)*('Model output'!N:N&lt;&gt;"")),1)," ",""))</f>
        <v>3.9cm</v>
      </c>
      <c r="T16" t="str" cm="1">
        <f t="array" ref="T16">IF(LEFT(IF(RIGHT(SUBSTITUTE(FilterWithUnits(S16)&amp;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";")),1)=";",RIGHT(IF(RIGHT(SUBSTITUTE(FilterWithUnits(S16)&amp;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";")),LEN(IF(RIGHT(SUBSTITUTE(FilterWithUnits(S16)&amp;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";")))-1),IF(RIGHT(SUBSTITUTE(FilterWithUnits(S16)&amp;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f>
        <v>3.9cm</v>
      </c>
      <c r="U16" cm="1">
        <f t="array" ref="U16">IF(MaxSize((SplitDimensions(T16)))=0, "", MaxSize((SplitDimensions(T16))))</f>
        <v>3.9</v>
      </c>
      <c r="V16" s="17" t="str" cm="1">
        <f t="array" ref="V16">IF(ISERROR(INDEX(_xlfn._xlws.FILTER('Model output'!P:P,('Model output'!Z:Z=A16)*('Model output'!P:P&lt;&gt;"")),1)),"negative",IF(OR(ISNUMBER(SEARCH("foc",INDEX(_xlfn._xlws.FILTER('Model output'!P:P,('Model output'!Z:Z=A16)*('Model output'!P:P&lt;&gt;"")),1),1)),ISNUMBER(SEARCH("extensive",INDEX(_xlfn._xlws.FILTER('Model output'!P:P,('Model output'!Z:Z=A16)*('Model output'!P:P&lt;&gt;"")),1),1)),ISNUMBER(SEARCH("present",INDEX(_xlfn._xlws.FILTER('Model output'!P:P,('Model output'!Z:Z=A16)*('Model output'!P:P&lt;&gt;"")),1),1)),ISNUMBER(SEARCH("yes",INDEX(_xlfn._xlws.FILTER('Model output'!P:P,('Model output'!Z:Z=A16)*('Model output'!P:P&lt;&gt;"")),1),1))),"positive","negative"))</f>
        <v>positive</v>
      </c>
      <c r="X16" t="str" cm="1">
        <f t="array" ref="X16">IF(ISNUMBER(SEARCH("4",INDEX(_xlfn._xlws.FILTER('Model output'!P:P,('Model output'!Z:Z=A16)*('Model output'!P:P&lt;&gt;"")),1),1)),INDEX(_xlfn._xlws.FILTER('Model output'!P:P,('Model output'!Z:Z=A16)*('Model output'!P:P&lt;&gt;"")),1),"") &amp; _xlfn.TEXTJOIN("",TRUE,_xlfn._xlws.FILTER('Model output'!Q:Q,'Model output'!Z:Z=A16))</f>
        <v>&lt; 4 vessels</v>
      </c>
      <c r="Y16" t="str">
        <f t="shared" si="9"/>
        <v>minimal</v>
      </c>
      <c r="Z16" t="str" cm="1">
        <f t="array" ref="Z16">IF(OR(ISNUMBER(SEARCH("focal",_xlfn.TEXTJOIN("; ",TRUE,_xlfn._xlws.FILTER('Model output'!R:R,'Model output'!Z:Z=A16)),1)),ISNUMBER(SEARCH("present",_xlfn.TEXTJOIN("; ",TRUE,_xlfn._xlws.FILTER('Model output'!R:R,'Model output'!Z:Z=A16)),1))),"positive",IF(_xlfn.TEXTJOIN("; ",TRUE,_xlfn._xlws.FILTER('Model output'!R:R,'Model output'!Z:Z=A16))="","negative",IF(OR(ISNUMBER(SEARCH("no",_xlfn.TEXTJOIN("; ",TRUE,_xlfn._xlws.FILTER('Model output'!R:R,'Model output'!Z:Z=A16)),1)),ISNUMBER(SEARCH("absent",_xlfn.TEXTJOIN("; ",TRUE,_xlfn._xlws.FILTER('Model output'!R:R,'Model output'!Z:Z=A16)),1))),"negative","positive")))</f>
        <v>positive</v>
      </c>
      <c r="AA16" s="17" t="str">
        <f t="shared" si="10"/>
        <v>positive</v>
      </c>
      <c r="AE16" s="17" t="str">
        <f t="shared" si="11"/>
        <v>positive</v>
      </c>
      <c r="AF16" t="str" cm="1">
        <f t="array" ref="AF16">_xlfn.TEXTJOIN("; ",TRUE,_xlfn._xlws.FILTER('Model output'!S:S,'Model output'!Z:Z=A16))</f>
        <v>Invading only strap muscles (sternohyoid, sternothyroid, thyrohyoid, or omohyoid muscles); perithyroidal fibradipose tissue</v>
      </c>
      <c r="AG16" s="17" t="str" cm="1">
        <f t="array" ref="AG16">IF(OR(ISNUMBER(SEARCH("uninvolved",_xlfn.TEXTJOIN("; ",TRUE,_xlfn._xlws.FILTER('Model output'!V:V,'Model output'!Z:Z=A16)),1)),ISNUMBER(SEARCH("clear",_xlfn.TEXTJOIN("; ",TRUE,_xlfn._xlws.FILTER('Model output'!V:V,'Model output'!Z:Z=A16)),1))*ISNUMBER(SEARCH("not mentioned",_xlfn.TEXTJOIN("; ",TRUE,_xlfn._xlws.FILTER('Model output'!V:V,'Model output'!Z:Z=A16)),1))),"negative",IF(ISNUMBER(SEARCH("cannot be assessed",_xlfn.TEXTJOIN("; ",TRUE,_xlfn._xlws.FILTER('Model output'!V:V,'Model output'!Z:Z=A16)),1)),"unknown","negative"))</f>
        <v>negative</v>
      </c>
      <c r="AI16" s="45" t="str">
        <f t="shared" si="2"/>
        <v>high</v>
      </c>
      <c r="AJ16" s="36" t="str">
        <f t="shared" si="3"/>
        <v>3b</v>
      </c>
      <c r="AK16" s="36" t="str">
        <f t="shared" ref="AK16" si="15">IF(OR(ISNUMBER(SEARCH("non-invasive follicular",Q16,1)),ISNUMBER(SEARCH("non-invasive follicular",R16,1))),"NIFTP",IF(AND(M16&gt;0,I16="positive",J16="central"),"1a",IF(AND(M16&gt;0,I16="positive",J16="lateral"),"1b",IF(AND(M16=0,L16=0),"x",0))))</f>
        <v>x</v>
      </c>
      <c r="AL16" s="36">
        <f t="shared" si="5"/>
        <v>0</v>
      </c>
      <c r="AM16" s="36" t="str">
        <f t="shared" si="6"/>
        <v>I</v>
      </c>
      <c r="AN16" s="37" t="s">
        <v>169</v>
      </c>
      <c r="AO16" s="38" t="s">
        <v>194</v>
      </c>
      <c r="AP16" s="38" t="s">
        <v>192</v>
      </c>
      <c r="AQ16" s="38">
        <v>0</v>
      </c>
      <c r="AR16" s="38" t="s">
        <v>31</v>
      </c>
      <c r="AS16" s="37">
        <f t="shared" si="7"/>
        <v>1</v>
      </c>
      <c r="AT16" s="38">
        <f t="shared" si="8"/>
        <v>1</v>
      </c>
      <c r="AU16" s="38">
        <f t="shared" si="12"/>
        <v>1</v>
      </c>
      <c r="AV16" s="38">
        <f t="shared" si="13"/>
        <v>1</v>
      </c>
      <c r="AW16" s="39">
        <f t="shared" si="13"/>
        <v>1</v>
      </c>
    </row>
    <row r="17" spans="1:49">
      <c r="A17" s="13">
        <v>15</v>
      </c>
      <c r="B17" s="16">
        <f>_xlfn.MAXIFS('Model output'!B:B,'Model output'!Z:Z,'Classification result'!$A17)</f>
        <v>45441</v>
      </c>
      <c r="C17" s="16"/>
      <c r="D17" s="16"/>
      <c r="E17" s="17">
        <f>_xlfn.MAXIFS('Model output'!C:C,'Model output'!Z:Z,'Classification result'!$A17)</f>
        <v>64</v>
      </c>
      <c r="F17" s="17" t="str" cm="1">
        <f t="array" ref="F17">LEFT(IF(ISERROR(RIGHT(IF(INDEX(_xlfn._xlws.FILTER('Model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output'!Z:Z=A17)),1),""),1))),"",(RIGHT(IF(INDEX(_xlfn._xlws.FILTER('Model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output'!Z:Z=A17)),1)))))),2)</f>
        <v/>
      </c>
      <c r="G17" s="17" t="str" cm="1">
        <f t="array" ref="G17">IF(ISNUMBER(SEARCH("N",IF(ISNUMBER(SEARCH("present",IF(INDEX(_xlfn._xlws.FILTER('Model output'!E:E,('Model output'!Z:Z=A17)),1)="","",INDEX(_xlfn._xlws.FILTER('Model output'!E:E,('Model output'!Z:Z=A17)),1)),1)),"N1", IF(INDEX(_xlfn._xlws.FILTER('Model output'!E:E,('Model output'!Z:Z=A17)),1)="","",INDEX(_xlfn._xlws.FILTER('Model output'!E:E,('Model output'!Z:Z=A17)),1))),1)),RIGHT(IF(ISNUMBER(SEARCH("present",IF(INDEX(_xlfn._xlws.FILTER('Model output'!E:E,('Model output'!Z:Z=A17)),1)="","",INDEX(_xlfn._xlws.FILTER('Model output'!E:E,('Model output'!Z:Z=A17)),1)),1)),"N1", IF(INDEX(_xlfn._xlws.FILTER('Model output'!E:E,('Model output'!Z:Z=A17)),1)="","",INDEX(_xlfn._xlws.FILTER('Model output'!E:E,('Model output'!Z:Z=A17)),1))),LEN(IF(ISNUMBER(SEARCH("present",IF(INDEX(_xlfn._xlws.FILTER('Model output'!E:E,('Model output'!Z:Z=A17)),1)="","",INDEX(_xlfn._xlws.FILTER('Model output'!E:E,('Model output'!Z:Z=A17)),1)),1)),"N1", IF(INDEX(_xlfn._xlws.FILTER('Model output'!E:E,('Model output'!Z:Z=A17)),1)="","",INDEX(_xlfn._xlws.FILTER('Model output'!E:E,('Model output'!Z:Z=A17)),1))))-FIND("N",IF(ISNUMBER(SEARCH("present",IF(INDEX(_xlfn._xlws.FILTER('Model output'!E:E,('Model output'!Z:Z=A17)),1)="","",INDEX(_xlfn._xlws.FILTER('Model output'!E:E,('Model output'!Z:Z=A17)),1)),1)),"N1", IF(INDEX(_xlfn._xlws.FILTER('Model output'!E:E,('Model output'!Z:Z=A17)),1)="","",INDEX(_xlfn._xlws.FILTER('Model output'!E:E,('Model output'!Z:Z=A17)),1))),1)), "")</f>
        <v/>
      </c>
      <c r="H17" s="17" cm="1">
        <f t="array" ref="H17">IF(AND(SUBSTITUTE(_xlfn.TEXTJOIN("/", TRUE, _xlfn._xlws.FILTER('Model output'!F:F, 'Model output'!Z:Z=A17)),"M", "")="", K17="negative"),0,IF(K17="positive",1,0))</f>
        <v>0</v>
      </c>
      <c r="I17" t="str">
        <f t="shared" si="0"/>
        <v/>
      </c>
      <c r="J17" t="str" cm="1">
        <f t="array" ref="J17">IF(AND(M17&gt;0, _xlfn.TEXTJOIN("; ", TRUE, _xlfn._xlws.FILTER('Model output'!G:G, 'Model output'!Z:Z=A17)) &lt;&gt;"", OR(AND(ISNUMBER(SEARCH("level", _xlfn.TEXTJOIN("; ", TRUE, _xlfn._xlws.FILTER('Model output'!G:G, 'Model output'!Z:Z=A17)),1)),OR(ISNUMBER(SEARCH(" II", _xlfn.TEXTJOIN("; ", TRUE, _xlfn._xlws.FILTER('Model output'!G:G, 'Model output'!Z:Z=A17)),1)),ISNUMBER(SEARCH("2", _xlfn.TEXTJOIN("; ", TRUE, _xlfn._xlws.FILTER('Model output'!G:G, 'Model output'!Z:Z=A17)),1)),ISNUMBER(SEARCH("two", _xlfn.TEXTJOIN("; ", TRUE, _xlfn._xlws.FILTER('Model output'!G:G, 'Model output'!Z:Z=A17)),1)),ISNUMBER(SEARCH("III", _xlfn.TEXTJOIN("; ", TRUE, _xlfn._xlws.FILTER('Model output'!G:G, 'Model output'!Z:Z=A17)),1)),ISNUMBER(SEARCH("3", _xlfn.TEXTJOIN("; ", TRUE, _xlfn._xlws.FILTER('Model output'!G:G, 'Model output'!Z:Z=A17)),1)),ISNUMBER(SEARCH("three", _xlfn.TEXTJOIN("; ", TRUE, _xlfn._xlws.FILTER('Model output'!G:G, 'Model output'!Z:Z=A17)),1)),ISNUMBER(SEARCH("IV", _xlfn.TEXTJOIN("; ", TRUE, _xlfn._xlws.FILTER('Model output'!G:G, 'Model output'!Z:Z=A17)),1)),ISNUMBER(SEARCH("4", _xlfn.TEXTJOIN("; ", TRUE, _xlfn._xlws.FILTER('Model output'!G:G, 'Model output'!Z:Z=A17)),1)),ISNUMBER(SEARCH("five", _xlfn.TEXTJOIN("; ", TRUE, _xlfn._xlws.FILTER('Model output'!G:G, 'Model output'!Z:Z=A17)),1)),ISNUMBER(SEARCH("V ", _xlfn.TEXTJOIN("; ", TRUE, _xlfn._xlws.FILTER('Model output'!G:G, 'Model output'!Z:Z=A17)),1)),ISNUMBER(SEARCH("5", _xlfn.TEXTJOIN("; ", TRUE, _xlfn._xlws.FILTER('Model output'!G:G, 'Model output'!Z:Z=A17)),1)),ISNUMBER(SEARCH("five", _xlfn.TEXTJOIN("; ", TRUE, _xlfn._xlws.FILTER('Model output'!G:G, 'Model output'!Z:Z=A17)),1)),ISNUMBER(SEARCH(" lateral", _xlfn.TEXTJOIN("; ", TRUE, _xlfn._xlws.FILTER('Model output'!G:G, 'Model output'!Z:Z=A17)),1)))),ISNUMBER(SEARCH("cervical", _xlfn.TEXTJOIN("; ", TRUE, _xlfn._xlws.FILTER('Model output'!G:G, 'Model output'!Z:Z=A17)),1)),ISNUMBER(SEARCH("jugular", _xlfn.TEXTJOIN("; ", TRUE, _xlfn._xlws.FILTER('Model output'!G:G, 'Model output'!Z:Z=A17)),1)),ISNUMBER(SEARCH("left neck", _xlfn.TEXTJOIN("; ", TRUE, _xlfn._xlws.FILTER('Model output'!G:G, 'Model output'!Z:Z=A17)),1)),ISNUMBER(SEARCH("left anterior neck", _xlfn.TEXTJOIN("; ", TRUE, _xlfn._xlws.FILTER('Model output'!G:G, 'Model output'!Z:Z=A17)),1)),ISNUMBER(SEARCH("left posterior neck", _xlfn.TEXTJOIN("; ", TRUE, _xlfn._xlws.FILTER('Model output'!G:G, 'Model output'!Z:Z=A17)),1)),ISNUMBER(SEARCH("right neck", _xlfn.TEXTJOIN("; ", TRUE, _xlfn._xlws.FILTER('Model output'!G:G, 'Model output'!Z:Z=A17)),1)),ISNUMBER(SEARCH("right anterior neck", _xlfn.TEXTJOIN("; ", TRUE, _xlfn._xlws.FILTER('Model output'!G:G, 'Model output'!Z:Z=A17)),1)),ISNUMBER(SEARCH("right posterior neck", _xlfn.TEXTJOIN("; ", TRUE, _xlfn._xlws.FILTER('Model output'!G:G, 'Model output'!Z:Z=A17)),1)))),"lateral",IF(AND(M17=0, _xlfn.TEXTJOIN("; ", TRUE, _xlfn._xlws.FILTER('Model output'!G:G, 'Model output'!Z:Z=A17))=""),"", "central"))</f>
        <v/>
      </c>
      <c r="K17" s="17" t="str" cm="1">
        <f t="array" ref="K17">IF(OR(ISNUMBER(SEARCH("lymph",_xlfn.TEXTJOIN("; ", TRUE, _xlfn._xlws.FILTER('Model output'!H:H, 'Model output'!Z:Z=A17)),1)), ISNUMBER(SEARCH("Not mentioned",_xlfn.TEXTJOIN("; ", TRUE, _xlfn._xlws.FILTER('Model output'!H:H, 'Model output'!Z:Z=A17)),1)),ISNUMBER(SEARCH("subcutaneous soft tissues",_xlfn.TEXTJOIN("; ", TRUE, _xlfn._xlws.FILTER('Model output'!H:H, 'Model output'!Z:Z=A17)),1)),ISNUMBER(SEARCH("larynx",_xlfn.TEXTJOIN("; ", TRUE, _xlfn._xlws.FILTER('Model output'!H:H, 'Model output'!Z:Z=A17)),1)),ISNUMBER(SEARCH("trachea",_xlfn.TEXTJOIN("; ", TRUE, _xlfn._xlws.FILTER('Model output'!H:H, 'Model output'!Z:Z=A17)),1)),ISNUMBER(SEARCH("esophagus",_xlfn.TEXTJOIN("; ", TRUE, _xlfn._xlws.FILTER('Model output'!H:H, 'Model output'!Z:Z=A17)),1)),ISNUMBER(SEARCH("recurrent laryngeal nerve",_xlfn.TEXTJOIN("; ", TRUE, _xlfn._xlws.FILTER('Model output'!H:H, 'Model output'!Z:Z=A17)),1)),ISNUMBER(SEARCH("RLN",_xlfn.TEXTJOIN("; ", TRUE, _xlfn._xlws.FILTER('Model output'!H:H, 'Model output'!Z:Z=A17)),1)),_xlfn.TEXTJOIN("; ", TRUE, _xlfn._xlws.FILTER('Model output'!H:H, 'Model output'!Z:Z=A17))=""),"negative","positive")</f>
        <v>negative</v>
      </c>
      <c r="L17" s="17">
        <f>IF(IFERROR(INDEX('Model output'!I:I, MATCH(A17, 'Model output'!Z:Z, 0)), "") &lt; M17, "", IFERROR(INDEX('Model output'!I:I, MATCH(A17, 'Model output'!Z:Z, 0)), ""))</f>
        <v>0</v>
      </c>
      <c r="M17" s="17">
        <f>IFERROR(INDEX('Model output'!J:J, MATCH(A17, 'Model output'!Z:Z, 0)), "")</f>
        <v>0</v>
      </c>
      <c r="N17" s="18" t="str" cm="1">
        <f t="array" ref="N17">ReplaceTo(ReplaceAnd(SUBSTITUTE(SUBSTITUTE(_xlfn.TEXTJOIN("; ", TRUE, _xlfn._xlws.FILTER('Model output'!K:K, 'Model output'!Z:Z=A17)), " ", ""), ",", ";")))</f>
        <v/>
      </c>
      <c r="O17" t="str" cm="1">
        <f t="array" ref="O17">IF(LEFT(IF(RIGHT(SUBSTITUTE(FilterWithUnits(N17)&amp;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";")),1)=";",RIGHT(IF(RIGHT(SUBSTITUTE(FilterWithUnits(N17)&amp;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";")),LEN(IF(RIGHT(SUBSTITUTE(FilterWithUnits(N17)&amp;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";")))-1),IF(RIGHT(SUBSTITUTE(FilterWithUnits(N17)&amp;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f>
        <v/>
      </c>
      <c r="P17" t="str" cm="1">
        <f t="array" ref="P17">IF(MaxSize((SplitDimensions(O17)))=0, "", MaxSize((SplitDimensions(O17))))</f>
        <v/>
      </c>
      <c r="Q17" t="str" cm="1">
        <f t="array" ref="Q17">IF(ISERROR(INDEX(_xlfn._xlws.FILTER('Model output'!L:L, ('Model output'!Z:Z=A17)*('Model output'!L:L&lt;&gt;"")), 1)), " ", LOWER(INDEX(_xlfn._xlws.FILTER('Model output'!L:L, ('Model output'!Z:Z=A17)*('Model output'!L:L&lt;&gt;"")), 1)))</f>
        <v>follicular</v>
      </c>
      <c r="R17" t="str" cm="1">
        <f t="array" ref="R17">IF(ISERROR(INDEX(_xlfn._xlws.FILTER('Model output'!M:M, ('Model output'!Z:Z=A17)*('Model output'!M:M&lt;&gt;"")), 1)), " ", LOWER(INDEX(_xlfn._xlws.FILTER('Model output'!M:M, ('Model output'!Z:Z=A17)*('Model output'!M:M&lt;&gt;"")), 1)))</f>
        <v>non-invasive follicular thyroid neoplasm with papillary-like nuclear features</v>
      </c>
      <c r="S17" t="str" cm="1">
        <f t="array" ref="S17">IF(OR(ISNUMBER(SEARCH("ly",SUBSTITUTE(INDEX(_xlfn._xlws.FILTER('Model output'!N:N,('Model output'!Z:Z=A17)*('Model output'!N:N&lt;&gt;"")),1)," ",""),1)), ISNUMBER(SEARCH("pole",SUBSTITUTE(INDEX(_xlfn._xlws.FILTER('Model output'!N:N,('Model output'!Z:Z=A17)*('Model output'!N:N&lt;&gt;"")),1)," ",""),1))),"",SUBSTITUTE(INDEX(_xlfn._xlws.FILTER('Model output'!N:N,('Model output'!Z:Z=A17)*('Model output'!N:N&lt;&gt;"")),1)," ",""))</f>
        <v>25x15x15mm</v>
      </c>
      <c r="T17" t="str" cm="1">
        <f t="array" ref="T17">IF(LEFT(IF(RIGHT(SUBSTITUTE(FilterWithUnits(S17)&amp;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";")),1)=";",RIGHT(IF(RIGHT(SUBSTITUTE(FilterWithUnits(S17)&amp;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";")),LEN(IF(RIGHT(SUBSTITUTE(FilterWithUnits(S17)&amp;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";")))-1),IF(RIGHT(SUBSTITUTE(FilterWithUnits(S17)&amp;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f>
        <v>25x15x15mm</v>
      </c>
      <c r="U17" cm="1">
        <f t="array" ref="U17">IF(MaxSize((SplitDimensions(T17)))=0, "", MaxSize((SplitDimensions(T17))))</f>
        <v>2.5</v>
      </c>
      <c r="V17" s="17" t="str" cm="1">
        <f t="array" ref="V17">IF(ISERROR(INDEX(_xlfn._xlws.FILTER('Model output'!P:P,('Model output'!Z:Z=A17)*('Model output'!P:P&lt;&gt;"")),1)),"negative",IF(OR(ISNUMBER(SEARCH("foc",INDEX(_xlfn._xlws.FILTER('Model output'!P:P,('Model output'!Z:Z=A17)*('Model output'!P:P&lt;&gt;"")),1),1)),ISNUMBER(SEARCH("extensive",INDEX(_xlfn._xlws.FILTER('Model output'!P:P,('Model output'!Z:Z=A17)*('Model output'!P:P&lt;&gt;"")),1),1)),ISNUMBER(SEARCH("present",INDEX(_xlfn._xlws.FILTER('Model output'!P:P,('Model output'!Z:Z=A17)*('Model output'!P:P&lt;&gt;"")),1),1)),ISNUMBER(SEARCH("yes",INDEX(_xlfn._xlws.FILTER('Model output'!P:P,('Model output'!Z:Z=A17)*('Model output'!P:P&lt;&gt;"")),1),1))),"positive","negative"))</f>
        <v>negative</v>
      </c>
      <c r="X17" t="str" cm="1">
        <f t="array" ref="X17">IF(ISNUMBER(SEARCH("4",INDEX(_xlfn._xlws.FILTER('Model output'!P:P,('Model output'!Z:Z=A17)*('Model output'!P:P&lt;&gt;"")),1),1)),INDEX(_xlfn._xlws.FILTER('Model output'!P:P,('Model output'!Z:Z=A17)*('Model output'!P:P&lt;&gt;"")),1),"") &amp; _xlfn.TEXTJOIN("",TRUE,_xlfn._xlws.FILTER('Model output'!Q:Q,'Model output'!Z:Z=A17))</f>
        <v/>
      </c>
      <c r="Y17" t="str">
        <f t="shared" si="9"/>
        <v>no</v>
      </c>
      <c r="Z17" t="str" cm="1">
        <f t="array" ref="Z17">IF(OR(ISNUMBER(SEARCH("focal",_xlfn.TEXTJOIN("; ",TRUE,_xlfn._xlws.FILTER('Model output'!R:R,'Model output'!Z:Z=A17)),1)),ISNUMBER(SEARCH("present",_xlfn.TEXTJOIN("; ",TRUE,_xlfn._xlws.FILTER('Model output'!R:R,'Model output'!Z:Z=A17)),1))),"positive",IF(_xlfn.TEXTJOIN("; ",TRUE,_xlfn._xlws.FILTER('Model output'!R:R,'Model output'!Z:Z=A17))="","negative",IF(OR(ISNUMBER(SEARCH("no",_xlfn.TEXTJOIN("; ",TRUE,_xlfn._xlws.FILTER('Model output'!R:R,'Model output'!Z:Z=A17)),1)),ISNUMBER(SEARCH("absent",_xlfn.TEXTJOIN("; ",TRUE,_xlfn._xlws.FILTER('Model output'!R:R,'Model output'!Z:Z=A17)),1))),"negative","positive")))</f>
        <v>negative</v>
      </c>
      <c r="AA17" s="17" t="str">
        <f t="shared" si="10"/>
        <v>negative</v>
      </c>
      <c r="AE17" s="17" t="str">
        <f t="shared" si="11"/>
        <v>negative</v>
      </c>
      <c r="AF17" t="str" cm="1">
        <f t="array" ref="AF17">_xlfn.TEXTJOIN("; ",TRUE,_xlfn._xlws.FILTER('Model output'!S:S,'Model output'!Z:Z=A17))</f>
        <v/>
      </c>
      <c r="AG17" s="17" t="str" cm="1">
        <f t="array" ref="AG17">IF(OR(ISNUMBER(SEARCH("uninvolved",_xlfn.TEXTJOIN("; ",TRUE,_xlfn._xlws.FILTER('Model output'!V:V,'Model output'!Z:Z=A17)),1)),ISNUMBER(SEARCH("clear",_xlfn.TEXTJOIN("; ",TRUE,_xlfn._xlws.FILTER('Model output'!V:V,'Model output'!Z:Z=A17)),1))*ISNUMBER(SEARCH("not mentioned",_xlfn.TEXTJOIN("; ",TRUE,_xlfn._xlws.FILTER('Model output'!V:V,'Model output'!Z:Z=A17)),1))),"negative",IF(ISNUMBER(SEARCH("cannot be assessed",_xlfn.TEXTJOIN("; ",TRUE,_xlfn._xlws.FILTER('Model output'!V:V,'Model output'!Z:Z=A17)),1)),"unknown","negative"))</f>
        <v>negative</v>
      </c>
      <c r="AI17" s="45" t="str">
        <f t="shared" si="2"/>
        <v>NIFTP</v>
      </c>
      <c r="AJ17" s="36" t="str">
        <f t="shared" si="3"/>
        <v>NIFTP</v>
      </c>
      <c r="AK17" s="36" t="s">
        <v>75</v>
      </c>
      <c r="AL17" s="36" t="s">
        <v>75</v>
      </c>
      <c r="AM17" s="36" t="s">
        <v>75</v>
      </c>
      <c r="AN17" s="37" t="s">
        <v>75</v>
      </c>
      <c r="AO17" s="38" t="s">
        <v>75</v>
      </c>
      <c r="AP17" s="38" t="s">
        <v>75</v>
      </c>
      <c r="AQ17" s="38" t="s">
        <v>75</v>
      </c>
      <c r="AR17" s="38" t="s">
        <v>75</v>
      </c>
      <c r="AS17" s="37">
        <f t="shared" si="7"/>
        <v>1</v>
      </c>
      <c r="AT17" s="38">
        <f t="shared" si="8"/>
        <v>1</v>
      </c>
      <c r="AU17" s="38">
        <f t="shared" si="12"/>
        <v>1</v>
      </c>
      <c r="AV17" s="38">
        <f t="shared" si="13"/>
        <v>1</v>
      </c>
      <c r="AW17" s="39">
        <f t="shared" si="13"/>
        <v>1</v>
      </c>
    </row>
    <row r="18" spans="1:49">
      <c r="A18" s="13">
        <v>16</v>
      </c>
      <c r="B18" s="16">
        <f>_xlfn.MAXIFS('Model output'!B:B,'Model output'!Z:Z,'Classification result'!$A18)</f>
        <v>45331</v>
      </c>
      <c r="C18" s="16"/>
      <c r="D18" s="16"/>
      <c r="E18" s="17">
        <f>_xlfn.MAXIFS('Model output'!C:C,'Model output'!Z:Z,'Classification result'!$A18)</f>
        <v>43</v>
      </c>
      <c r="F18" s="17" t="str" cm="1">
        <f t="array" ref="F18">LEFT(IF(ISERROR(RIGHT(IF(INDEX(_xlfn._xlws.FILTER('Model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output'!Z:Z=A18)),1),""),1))),"",(RIGHT(IF(INDEX(_xlfn._xlws.FILTER('Model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output'!Z:Z=A18)),1)))))),2)</f>
        <v>2</v>
      </c>
      <c r="G18" s="17" t="str" cm="1">
        <f t="array" ref="G18">IF(ISNUMBER(SEARCH("N",IF(ISNUMBER(SEARCH("present",IF(INDEX(_xlfn._xlws.FILTER('Model output'!E:E,('Model output'!Z:Z=A18)),1)="","",INDEX(_xlfn._xlws.FILTER('Model output'!E:E,('Model output'!Z:Z=A18)),1)),1)),"N1", IF(INDEX(_xlfn._xlws.FILTER('Model output'!E:E,('Model output'!Z:Z=A18)),1)="","",INDEX(_xlfn._xlws.FILTER('Model output'!E:E,('Model output'!Z:Z=A18)),1))),1)),RIGHT(IF(ISNUMBER(SEARCH("present",IF(INDEX(_xlfn._xlws.FILTER('Model output'!E:E,('Model output'!Z:Z=A18)),1)="","",INDEX(_xlfn._xlws.FILTER('Model output'!E:E,('Model output'!Z:Z=A18)),1)),1)),"N1", IF(INDEX(_xlfn._xlws.FILTER('Model output'!E:E,('Model output'!Z:Z=A18)),1)="","",INDEX(_xlfn._xlws.FILTER('Model output'!E:E,('Model output'!Z:Z=A18)),1))),LEN(IF(ISNUMBER(SEARCH("present",IF(INDEX(_xlfn._xlws.FILTER('Model output'!E:E,('Model output'!Z:Z=A18)),1)="","",INDEX(_xlfn._xlws.FILTER('Model output'!E:E,('Model output'!Z:Z=A18)),1)),1)),"N1", IF(INDEX(_xlfn._xlws.FILTER('Model output'!E:E,('Model output'!Z:Z=A18)),1)="","",INDEX(_xlfn._xlws.FILTER('Model output'!E:E,('Model output'!Z:Z=A18)),1))))-FIND("N",IF(ISNUMBER(SEARCH("present",IF(INDEX(_xlfn._xlws.FILTER('Model output'!E:E,('Model output'!Z:Z=A18)),1)="","",INDEX(_xlfn._xlws.FILTER('Model output'!E:E,('Model output'!Z:Z=A18)),1)),1)),"N1", IF(INDEX(_xlfn._xlws.FILTER('Model output'!E:E,('Model output'!Z:Z=A18)),1)="","",INDEX(_xlfn._xlws.FILTER('Model output'!E:E,('Model output'!Z:Z=A18)),1))),1)), "")</f>
        <v/>
      </c>
      <c r="H18" s="17" cm="1">
        <f t="array" ref="H18">IF(AND(SUBSTITUTE(_xlfn.TEXTJOIN("/", TRUE, _xlfn._xlws.FILTER('Model output'!F:F, 'Model output'!Z:Z=A18)),"M", "")="", K18="negative"),0,IF(K18="positive",1,0))</f>
        <v>0</v>
      </c>
      <c r="I18" t="str">
        <f t="shared" si="0"/>
        <v/>
      </c>
      <c r="J18" t="str" cm="1">
        <f t="array" ref="J18">IF(AND(M18&gt;0, _xlfn.TEXTJOIN("; ", TRUE, _xlfn._xlws.FILTER('Model output'!G:G, 'Model output'!Z:Z=A18)) &lt;&gt;"", OR(AND(ISNUMBER(SEARCH("level", _xlfn.TEXTJOIN("; ", TRUE, _xlfn._xlws.FILTER('Model output'!G:G, 'Model output'!Z:Z=A18)),1)),OR(ISNUMBER(SEARCH(" II", _xlfn.TEXTJOIN("; ", TRUE, _xlfn._xlws.FILTER('Model output'!G:G, 'Model output'!Z:Z=A18)),1)),ISNUMBER(SEARCH("2", _xlfn.TEXTJOIN("; ", TRUE, _xlfn._xlws.FILTER('Model output'!G:G, 'Model output'!Z:Z=A18)),1)),ISNUMBER(SEARCH("two", _xlfn.TEXTJOIN("; ", TRUE, _xlfn._xlws.FILTER('Model output'!G:G, 'Model output'!Z:Z=A18)),1)),ISNUMBER(SEARCH("III", _xlfn.TEXTJOIN("; ", TRUE, _xlfn._xlws.FILTER('Model output'!G:G, 'Model output'!Z:Z=A18)),1)),ISNUMBER(SEARCH("3", _xlfn.TEXTJOIN("; ", TRUE, _xlfn._xlws.FILTER('Model output'!G:G, 'Model output'!Z:Z=A18)),1)),ISNUMBER(SEARCH("three", _xlfn.TEXTJOIN("; ", TRUE, _xlfn._xlws.FILTER('Model output'!G:G, 'Model output'!Z:Z=A18)),1)),ISNUMBER(SEARCH("IV", _xlfn.TEXTJOIN("; ", TRUE, _xlfn._xlws.FILTER('Model output'!G:G, 'Model output'!Z:Z=A18)),1)),ISNUMBER(SEARCH("4", _xlfn.TEXTJOIN("; ", TRUE, _xlfn._xlws.FILTER('Model output'!G:G, 'Model output'!Z:Z=A18)),1)),ISNUMBER(SEARCH("five", _xlfn.TEXTJOIN("; ", TRUE, _xlfn._xlws.FILTER('Model output'!G:G, 'Model output'!Z:Z=A18)),1)),ISNUMBER(SEARCH("V ", _xlfn.TEXTJOIN("; ", TRUE, _xlfn._xlws.FILTER('Model output'!G:G, 'Model output'!Z:Z=A18)),1)),ISNUMBER(SEARCH("5", _xlfn.TEXTJOIN("; ", TRUE, _xlfn._xlws.FILTER('Model output'!G:G, 'Model output'!Z:Z=A18)),1)),ISNUMBER(SEARCH("five", _xlfn.TEXTJOIN("; ", TRUE, _xlfn._xlws.FILTER('Model output'!G:G, 'Model output'!Z:Z=A18)),1)),ISNUMBER(SEARCH(" lateral", _xlfn.TEXTJOIN("; ", TRUE, _xlfn._xlws.FILTER('Model output'!G:G, 'Model output'!Z:Z=A18)),1)))),ISNUMBER(SEARCH("cervical", _xlfn.TEXTJOIN("; ", TRUE, _xlfn._xlws.FILTER('Model output'!G:G, 'Model output'!Z:Z=A18)),1)),ISNUMBER(SEARCH("jugular", _xlfn.TEXTJOIN("; ", TRUE, _xlfn._xlws.FILTER('Model output'!G:G, 'Model output'!Z:Z=A18)),1)),ISNUMBER(SEARCH("left neck", _xlfn.TEXTJOIN("; ", TRUE, _xlfn._xlws.FILTER('Model output'!G:G, 'Model output'!Z:Z=A18)),1)),ISNUMBER(SEARCH("left anterior neck", _xlfn.TEXTJOIN("; ", TRUE, _xlfn._xlws.FILTER('Model output'!G:G, 'Model output'!Z:Z=A18)),1)),ISNUMBER(SEARCH("left posterior neck", _xlfn.TEXTJOIN("; ", TRUE, _xlfn._xlws.FILTER('Model output'!G:G, 'Model output'!Z:Z=A18)),1)),ISNUMBER(SEARCH("right neck", _xlfn.TEXTJOIN("; ", TRUE, _xlfn._xlws.FILTER('Model output'!G:G, 'Model output'!Z:Z=A18)),1)),ISNUMBER(SEARCH("right anterior neck", _xlfn.TEXTJOIN("; ", TRUE, _xlfn._xlws.FILTER('Model output'!G:G, 'Model output'!Z:Z=A18)),1)),ISNUMBER(SEARCH("right posterior neck", _xlfn.TEXTJOIN("; ", TRUE, _xlfn._xlws.FILTER('Model output'!G:G, 'Model output'!Z:Z=A18)),1)))),"lateral",IF(AND(M18=0, _xlfn.TEXTJOIN("; ", TRUE, _xlfn._xlws.FILTER('Model output'!G:G, 'Model output'!Z:Z=A18))=""),"", "central"))</f>
        <v/>
      </c>
      <c r="K18" s="17" t="str" cm="1">
        <f t="array" ref="K18">IF(OR(ISNUMBER(SEARCH("lymph",_xlfn.TEXTJOIN("; ", TRUE, _xlfn._xlws.FILTER('Model output'!H:H, 'Model output'!Z:Z=A18)),1)), ISNUMBER(SEARCH("Not mentioned",_xlfn.TEXTJOIN("; ", TRUE, _xlfn._xlws.FILTER('Model output'!H:H, 'Model output'!Z:Z=A18)),1)),ISNUMBER(SEARCH("subcutaneous soft tissues",_xlfn.TEXTJOIN("; ", TRUE, _xlfn._xlws.FILTER('Model output'!H:H, 'Model output'!Z:Z=A18)),1)),ISNUMBER(SEARCH("larynx",_xlfn.TEXTJOIN("; ", TRUE, _xlfn._xlws.FILTER('Model output'!H:H, 'Model output'!Z:Z=A18)),1)),ISNUMBER(SEARCH("trachea",_xlfn.TEXTJOIN("; ", TRUE, _xlfn._xlws.FILTER('Model output'!H:H, 'Model output'!Z:Z=A18)),1)),ISNUMBER(SEARCH("esophagus",_xlfn.TEXTJOIN("; ", TRUE, _xlfn._xlws.FILTER('Model output'!H:H, 'Model output'!Z:Z=A18)),1)),ISNUMBER(SEARCH("recurrent laryngeal nerve",_xlfn.TEXTJOIN("; ", TRUE, _xlfn._xlws.FILTER('Model output'!H:H, 'Model output'!Z:Z=A18)),1)),ISNUMBER(SEARCH("RLN",_xlfn.TEXTJOIN("; ", TRUE, _xlfn._xlws.FILTER('Model output'!H:H, 'Model output'!Z:Z=A18)),1)),_xlfn.TEXTJOIN("; ", TRUE, _xlfn._xlws.FILTER('Model output'!H:H, 'Model output'!Z:Z=A18))=""),"negative","positive")</f>
        <v>negative</v>
      </c>
      <c r="L18" s="17">
        <f>IF(IFERROR(INDEX('Model output'!I:I, MATCH(A18, 'Model output'!Z:Z, 0)), "") &lt; M18, "", IFERROR(INDEX('Model output'!I:I, MATCH(A18, 'Model output'!Z:Z, 0)), ""))</f>
        <v>0</v>
      </c>
      <c r="M18" s="17">
        <f>IFERROR(INDEX('Model output'!J:J, MATCH(A18, 'Model output'!Z:Z, 0)), "")</f>
        <v>0</v>
      </c>
      <c r="N18" s="18" t="str" cm="1">
        <f t="array" ref="N18">ReplaceTo(ReplaceAnd(SUBSTITUTE(SUBSTITUTE(_xlfn.TEXTJOIN("; ", TRUE, _xlfn._xlws.FILTER('Model output'!K:K, 'Model output'!Z:Z=A18)), " ", ""), ",", ";")))</f>
        <v/>
      </c>
      <c r="O18" t="str" cm="1">
        <f t="array" ref="O18">IF(LEFT(IF(RIGHT(SUBSTITUTE(FilterWithUnits(N18)&amp;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";")),1)=";",RIGHT(IF(RIGHT(SUBSTITUTE(FilterWithUnits(N18)&amp;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";")),LEN(IF(RIGHT(SUBSTITUTE(FilterWithUnits(N18)&amp;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";")))-1),IF(RIGHT(SUBSTITUTE(FilterWithUnits(N18)&amp;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f>
        <v/>
      </c>
      <c r="P18" t="str" cm="1">
        <f t="array" ref="P18">IF(MaxSize((SplitDimensions(O18)))=0, "", MaxSize((SplitDimensions(O18))))</f>
        <v/>
      </c>
      <c r="Q18" t="str" cm="1">
        <f t="array" ref="Q18">IF(ISERROR(INDEX(_xlfn._xlws.FILTER('Model output'!L:L, ('Model output'!Z:Z=A18)*('Model output'!L:L&lt;&gt;"")), 1)), " ", LOWER(INDEX(_xlfn._xlws.FILTER('Model output'!L:L, ('Model output'!Z:Z=A18)*('Model output'!L:L&lt;&gt;"")), 1)))</f>
        <v>papillary carcinoma</v>
      </c>
      <c r="R18" t="str" cm="1">
        <f t="array" ref="R18">IF(ISERROR(INDEX(_xlfn._xlws.FILTER('Model output'!M:M, ('Model output'!Z:Z=A18)*('Model output'!M:M&lt;&gt;"")), 1)), " ", LOWER(INDEX(_xlfn._xlws.FILTER('Model output'!M:M, ('Model output'!Z:Z=A18)*('Model output'!M:M&lt;&gt;"")), 1)))</f>
        <v>classic</v>
      </c>
      <c r="S18" t="str" cm="1">
        <f t="array" ref="S18">IF(OR(ISNUMBER(SEARCH("ly",SUBSTITUTE(INDEX(_xlfn._xlws.FILTER('Model output'!N:N,('Model output'!Z:Z=A18)*('Model output'!N:N&lt;&gt;"")),1)," ",""),1)), ISNUMBER(SEARCH("pole",SUBSTITUTE(INDEX(_xlfn._xlws.FILTER('Model output'!N:N,('Model output'!Z:Z=A18)*('Model output'!N:N&lt;&gt;"")),1)," ",""),1))),"",SUBSTITUTE(INDEX(_xlfn._xlws.FILTER('Model output'!N:N,('Model output'!Z:Z=A18)*('Model output'!N:N&lt;&gt;"")),1)," ",""))</f>
        <v>36x32x26mm</v>
      </c>
      <c r="T18" t="str" cm="1">
        <f t="array" ref="T18">IF(LEFT(IF(RIGHT(SUBSTITUTE(FilterWithUnits(S18)&amp;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";")),1)=";",RIGHT(IF(RIGHT(SUBSTITUTE(FilterWithUnits(S18)&amp;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";")),LEN(IF(RIGHT(SUBSTITUTE(FilterWithUnits(S18)&amp;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";")))-1),IF(RIGHT(SUBSTITUTE(FilterWithUnits(S18)&amp;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f>
        <v>36x32x26mm</v>
      </c>
      <c r="U18" cm="1">
        <f t="array" ref="U18">IF(MaxSize((SplitDimensions(T18)))=0, "", MaxSize((SplitDimensions(T18))))</f>
        <v>3.6</v>
      </c>
      <c r="V18" s="17" t="str" cm="1">
        <f t="array" ref="V18">IF(ISERROR(INDEX(_xlfn._xlws.FILTER('Model output'!P:P,('Model output'!Z:Z=A18)*('Model output'!P:P&lt;&gt;"")),1)),"negative",IF(OR(ISNUMBER(SEARCH("foc",INDEX(_xlfn._xlws.FILTER('Model output'!P:P,('Model output'!Z:Z=A18)*('Model output'!P:P&lt;&gt;"")),1),1)),ISNUMBER(SEARCH("extensive",INDEX(_xlfn._xlws.FILTER('Model output'!P:P,('Model output'!Z:Z=A18)*('Model output'!P:P&lt;&gt;"")),1),1)),ISNUMBER(SEARCH("present",INDEX(_xlfn._xlws.FILTER('Model output'!P:P,('Model output'!Z:Z=A18)*('Model output'!P:P&lt;&gt;"")),1),1)),ISNUMBER(SEARCH("yes",INDEX(_xlfn._xlws.FILTER('Model output'!P:P,('Model output'!Z:Z=A18)*('Model output'!P:P&lt;&gt;"")),1),1))),"positive","negative"))</f>
        <v>positive</v>
      </c>
      <c r="X18" t="str" cm="1">
        <f t="array" ref="X18">IF(ISNUMBER(SEARCH("4",INDEX(_xlfn._xlws.FILTER('Model output'!P:P,('Model output'!Z:Z=A18)*('Model output'!P:P&lt;&gt;"")),1),1)),INDEX(_xlfn._xlws.FILTER('Model output'!P:P,('Model output'!Z:Z=A18)*('Model output'!P:P&lt;&gt;"")),1),"") &amp; _xlfn.TEXTJOIN("",TRUE,_xlfn._xlws.FILTER('Model output'!Q:Q,'Model output'!Z:Z=A18))</f>
        <v>Extrathyroidal extension with invasion to overlying strap muscles</v>
      </c>
      <c r="Y18" t="str">
        <f t="shared" si="9"/>
        <v>minimal</v>
      </c>
      <c r="Z18" t="str" cm="1">
        <f t="array" ref="Z18">IF(OR(ISNUMBER(SEARCH("focal",_xlfn.TEXTJOIN("; ",TRUE,_xlfn._xlws.FILTER('Model output'!R:R,'Model output'!Z:Z=A18)),1)),ISNUMBER(SEARCH("present",_xlfn.TEXTJOIN("; ",TRUE,_xlfn._xlws.FILTER('Model output'!R:R,'Model output'!Z:Z=A18)),1))),"positive",IF(_xlfn.TEXTJOIN("; ",TRUE,_xlfn._xlws.FILTER('Model output'!R:R,'Model output'!Z:Z=A18))="","negative",IF(OR(ISNUMBER(SEARCH("no",_xlfn.TEXTJOIN("; ",TRUE,_xlfn._xlws.FILTER('Model output'!R:R,'Model output'!Z:Z=A18)),1)),ISNUMBER(SEARCH("absent",_xlfn.TEXTJOIN("; ",TRUE,_xlfn._xlws.FILTER('Model output'!R:R,'Model output'!Z:Z=A18)),1))),"negative","positive")))</f>
        <v>positive</v>
      </c>
      <c r="AA18" s="17" t="str">
        <f t="shared" si="10"/>
        <v>positive</v>
      </c>
      <c r="AE18" s="17" t="str">
        <f t="shared" si="11"/>
        <v>positive</v>
      </c>
      <c r="AF18" t="str" cm="1">
        <f t="array" ref="AF18">_xlfn.TEXTJOIN("; ",TRUE,_xlfn._xlws.FILTER('Model output'!S:S,'Model output'!Z:Z=A18))</f>
        <v>perithyroidal fibradipose tissue, skeletal muscle</v>
      </c>
      <c r="AG18" s="17" t="str" cm="1">
        <f t="array" ref="AG18">IF(OR(ISNUMBER(SEARCH("uninvolved",_xlfn.TEXTJOIN("; ",TRUE,_xlfn._xlws.FILTER('Model output'!V:V,'Model output'!Z:Z=A18)),1)),ISNUMBER(SEARCH("clear",_xlfn.TEXTJOIN("; ",TRUE,_xlfn._xlws.FILTER('Model output'!V:V,'Model output'!Z:Z=A18)),1))*ISNUMBER(SEARCH("not mentioned",_xlfn.TEXTJOIN("; ",TRUE,_xlfn._xlws.FILTER('Model output'!V:V,'Model output'!Z:Z=A18)),1))),"negative",IF(ISNUMBER(SEARCH("cannot be assessed",_xlfn.TEXTJOIN("; ",TRUE,_xlfn._xlws.FILTER('Model output'!V:V,'Model output'!Z:Z=A18)),1)),"unknown","negative"))</f>
        <v>negative</v>
      </c>
      <c r="AI18" s="45" t="str">
        <f t="shared" si="2"/>
        <v>high</v>
      </c>
      <c r="AJ18" s="36" t="str">
        <f t="shared" si="3"/>
        <v>3b</v>
      </c>
      <c r="AK18" s="36" t="str">
        <f t="shared" ref="AK18:AK24" si="16">IF(OR(ISNUMBER(SEARCH("non-invasive follicular",Q18,1)),ISNUMBER(SEARCH("non-invasive follicular",R18,1))),"NIFTP",IF(AND(M18&gt;0,I18="positive",J18="central"),"1a",IF(AND(M18&gt;0,I18="positive",J18="lateral"),"1b",IF(AND(M18=0,L18=0),"x",0))))</f>
        <v>x</v>
      </c>
      <c r="AL18" s="36">
        <f t="shared" ref="AL18:AL37" si="17">IF(OR(ISNUMBER(SEARCH("non-invasive follicular",Q18,1)),ISNUMBER(SEARCH("non-invasive follicular",R18,1))),"NIFTP",IF(K18="unknown","x",IF(K18="negative",0,1)))</f>
        <v>0</v>
      </c>
      <c r="AM18" s="36" t="str">
        <f t="shared" ref="AM18:AM37" si="18">IF(OR(ISNUMBER(SEARCH("non-invasive follicular",Q18,1)),ISNUMBER(SEARCH("non-invasive follicular",R18,1))),"NIFTP",IF(AND(E18&lt;55,AL18=0),"I",IF(AND(E18&lt;55,AL18=1),"II",IF(AL18=1,"IVB",IF(AND(AJ18="4b",AL18=0),"IVA",IF(AND(AJ18="4a",AL18=0),"III",IF(AND(OR(AJ18="3a",AJ18="3b"),AL18=0),"II",IF(AND(AJ18="2",OR(AK18="1",AK18="1a",AK18="1b"),AL18=0),"II",IF(AND(OR(AJ18="1a",AJ18="1b",AJ18="1",AJ18="1 "),OR(AK18="1",AK18="1a",AK18="1b"),AL18=0),"II","I")))))))))</f>
        <v>I</v>
      </c>
      <c r="AN18" s="37" t="s">
        <v>168</v>
      </c>
      <c r="AO18" s="38" t="s">
        <v>403</v>
      </c>
      <c r="AP18" s="38">
        <v>0</v>
      </c>
      <c r="AQ18" s="38">
        <v>0</v>
      </c>
      <c r="AR18" s="38" t="s">
        <v>31</v>
      </c>
      <c r="AS18" s="37">
        <f t="shared" si="7"/>
        <v>0</v>
      </c>
      <c r="AT18" s="38">
        <f t="shared" si="8"/>
        <v>0</v>
      </c>
      <c r="AU18" s="38">
        <f t="shared" si="12"/>
        <v>1</v>
      </c>
      <c r="AV18" s="38">
        <f t="shared" si="13"/>
        <v>1</v>
      </c>
      <c r="AW18" s="39">
        <f t="shared" si="13"/>
        <v>1</v>
      </c>
    </row>
    <row r="19" spans="1:49">
      <c r="A19" s="13">
        <v>17</v>
      </c>
      <c r="B19" s="16">
        <f>_xlfn.MAXIFS('Model output'!B:B,'Model output'!Z:Z,'Classification result'!$A19)</f>
        <v>45457</v>
      </c>
      <c r="C19" s="16"/>
      <c r="D19" s="16"/>
      <c r="E19" s="17">
        <f>_xlfn.MAXIFS('Model output'!C:C,'Model output'!Z:Z,'Classification result'!$A19)</f>
        <v>49</v>
      </c>
      <c r="F19" s="17" t="str" cm="1">
        <f t="array" ref="F19">LEFT(IF(ISERROR(RIGHT(IF(INDEX(_xlfn._xlws.FILTER('Model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output'!Z:Z=A19)),1),""),1))),"",(RIGHT(IF(INDEX(_xlfn._xlws.FILTER('Model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output'!Z:Z=A19)),1)))))),2)</f>
        <v>1b</v>
      </c>
      <c r="G19" s="17" t="str" cm="1">
        <f t="array" ref="G19">IF(ISNUMBER(SEARCH("N",IF(ISNUMBER(SEARCH("present",IF(INDEX(_xlfn._xlws.FILTER('Model output'!E:E,('Model output'!Z:Z=A19)),1)="","",INDEX(_xlfn._xlws.FILTER('Model output'!E:E,('Model output'!Z:Z=A19)),1)),1)),"N1", IF(INDEX(_xlfn._xlws.FILTER('Model output'!E:E,('Model output'!Z:Z=A19)),1)="","",INDEX(_xlfn._xlws.FILTER('Model output'!E:E,('Model output'!Z:Z=A19)),1))),1)),RIGHT(IF(ISNUMBER(SEARCH("present",IF(INDEX(_xlfn._xlws.FILTER('Model output'!E:E,('Model output'!Z:Z=A19)),1)="","",INDEX(_xlfn._xlws.FILTER('Model output'!E:E,('Model output'!Z:Z=A19)),1)),1)),"N1", IF(INDEX(_xlfn._xlws.FILTER('Model output'!E:E,('Model output'!Z:Z=A19)),1)="","",INDEX(_xlfn._xlws.FILTER('Model output'!E:E,('Model output'!Z:Z=A19)),1))),LEN(IF(ISNUMBER(SEARCH("present",IF(INDEX(_xlfn._xlws.FILTER('Model output'!E:E,('Model output'!Z:Z=A19)),1)="","",INDEX(_xlfn._xlws.FILTER('Model output'!E:E,('Model output'!Z:Z=A19)),1)),1)),"N1", IF(INDEX(_xlfn._xlws.FILTER('Model output'!E:E,('Model output'!Z:Z=A19)),1)="","",INDEX(_xlfn._xlws.FILTER('Model output'!E:E,('Model output'!Z:Z=A19)),1))))-FIND("N",IF(ISNUMBER(SEARCH("present",IF(INDEX(_xlfn._xlws.FILTER('Model output'!E:E,('Model output'!Z:Z=A19)),1)="","",INDEX(_xlfn._xlws.FILTER('Model output'!E:E,('Model output'!Z:Z=A19)),1)),1)),"N1", IF(INDEX(_xlfn._xlws.FILTER('Model output'!E:E,('Model output'!Z:Z=A19)),1)="","",INDEX(_xlfn._xlws.FILTER('Model output'!E:E,('Model output'!Z:Z=A19)),1))),1)), "")</f>
        <v>1b</v>
      </c>
      <c r="H19" s="17" cm="1">
        <f t="array" ref="H19">IF(AND(SUBSTITUTE(_xlfn.TEXTJOIN("/", TRUE, _xlfn._xlws.FILTER('Model output'!F:F, 'Model output'!Z:Z=A19)),"M", "")="", K19="negative"),0,IF(K19="positive",1,0))</f>
        <v>0</v>
      </c>
      <c r="I19" t="str">
        <f t="shared" si="0"/>
        <v>positive</v>
      </c>
      <c r="J19" t="str" cm="1">
        <f t="array" ref="J19">IF(AND(M19&gt;0, _xlfn.TEXTJOIN("; ", TRUE, _xlfn._xlws.FILTER('Model output'!G:G, 'Model output'!Z:Z=A19)) &lt;&gt;"", OR(AND(ISNUMBER(SEARCH("level", _xlfn.TEXTJOIN("; ", TRUE, _xlfn._xlws.FILTER('Model output'!G:G, 'Model output'!Z:Z=A19)),1)),OR(ISNUMBER(SEARCH(" II", _xlfn.TEXTJOIN("; ", TRUE, _xlfn._xlws.FILTER('Model output'!G:G, 'Model output'!Z:Z=A19)),1)),ISNUMBER(SEARCH("2", _xlfn.TEXTJOIN("; ", TRUE, _xlfn._xlws.FILTER('Model output'!G:G, 'Model output'!Z:Z=A19)),1)),ISNUMBER(SEARCH("two", _xlfn.TEXTJOIN("; ", TRUE, _xlfn._xlws.FILTER('Model output'!G:G, 'Model output'!Z:Z=A19)),1)),ISNUMBER(SEARCH("III", _xlfn.TEXTJOIN("; ", TRUE, _xlfn._xlws.FILTER('Model output'!G:G, 'Model output'!Z:Z=A19)),1)),ISNUMBER(SEARCH("3", _xlfn.TEXTJOIN("; ", TRUE, _xlfn._xlws.FILTER('Model output'!G:G, 'Model output'!Z:Z=A19)),1)),ISNUMBER(SEARCH("three", _xlfn.TEXTJOIN("; ", TRUE, _xlfn._xlws.FILTER('Model output'!G:G, 'Model output'!Z:Z=A19)),1)),ISNUMBER(SEARCH("IV", _xlfn.TEXTJOIN("; ", TRUE, _xlfn._xlws.FILTER('Model output'!G:G, 'Model output'!Z:Z=A19)),1)),ISNUMBER(SEARCH("4", _xlfn.TEXTJOIN("; ", TRUE, _xlfn._xlws.FILTER('Model output'!G:G, 'Model output'!Z:Z=A19)),1)),ISNUMBER(SEARCH("five", _xlfn.TEXTJOIN("; ", TRUE, _xlfn._xlws.FILTER('Model output'!G:G, 'Model output'!Z:Z=A19)),1)),ISNUMBER(SEARCH("V ", _xlfn.TEXTJOIN("; ", TRUE, _xlfn._xlws.FILTER('Model output'!G:G, 'Model output'!Z:Z=A19)),1)),ISNUMBER(SEARCH("5", _xlfn.TEXTJOIN("; ", TRUE, _xlfn._xlws.FILTER('Model output'!G:G, 'Model output'!Z:Z=A19)),1)),ISNUMBER(SEARCH("five", _xlfn.TEXTJOIN("; ", TRUE, _xlfn._xlws.FILTER('Model output'!G:G, 'Model output'!Z:Z=A19)),1)),ISNUMBER(SEARCH(" lateral", _xlfn.TEXTJOIN("; ", TRUE, _xlfn._xlws.FILTER('Model output'!G:G, 'Model output'!Z:Z=A19)),1)))),ISNUMBER(SEARCH("cervical", _xlfn.TEXTJOIN("; ", TRUE, _xlfn._xlws.FILTER('Model output'!G:G, 'Model output'!Z:Z=A19)),1)),ISNUMBER(SEARCH("jugular", _xlfn.TEXTJOIN("; ", TRUE, _xlfn._xlws.FILTER('Model output'!G:G, 'Model output'!Z:Z=A19)),1)),ISNUMBER(SEARCH("left neck", _xlfn.TEXTJOIN("; ", TRUE, _xlfn._xlws.FILTER('Model output'!G:G, 'Model output'!Z:Z=A19)),1)),ISNUMBER(SEARCH("left anterior neck", _xlfn.TEXTJOIN("; ", TRUE, _xlfn._xlws.FILTER('Model output'!G:G, 'Model output'!Z:Z=A19)),1)),ISNUMBER(SEARCH("left posterior neck", _xlfn.TEXTJOIN("; ", TRUE, _xlfn._xlws.FILTER('Model output'!G:G, 'Model output'!Z:Z=A19)),1)),ISNUMBER(SEARCH("right neck", _xlfn.TEXTJOIN("; ", TRUE, _xlfn._xlws.FILTER('Model output'!G:G, 'Model output'!Z:Z=A19)),1)),ISNUMBER(SEARCH("right anterior neck", _xlfn.TEXTJOIN("; ", TRUE, _xlfn._xlws.FILTER('Model output'!G:G, 'Model output'!Z:Z=A19)),1)),ISNUMBER(SEARCH("right posterior neck", _xlfn.TEXTJOIN("; ", TRUE, _xlfn._xlws.FILTER('Model output'!G:G, 'Model output'!Z:Z=A19)),1)))),"lateral",IF(AND(M19=0, _xlfn.TEXTJOIN("; ", TRUE, _xlfn._xlws.FILTER('Model output'!G:G, 'Model output'!Z:Z=A19))=""),"", "central"))</f>
        <v>lateral</v>
      </c>
      <c r="K19" s="17" t="str" cm="1">
        <f t="array" ref="K19">IF(OR(ISNUMBER(SEARCH("lymph",_xlfn.TEXTJOIN("; ", TRUE, _xlfn._xlws.FILTER('Model output'!H:H, 'Model output'!Z:Z=A19)),1)), ISNUMBER(SEARCH("Not mentioned",_xlfn.TEXTJOIN("; ", TRUE, _xlfn._xlws.FILTER('Model output'!H:H, 'Model output'!Z:Z=A19)),1)),ISNUMBER(SEARCH("subcutaneous soft tissues",_xlfn.TEXTJOIN("; ", TRUE, _xlfn._xlws.FILTER('Model output'!H:H, 'Model output'!Z:Z=A19)),1)),ISNUMBER(SEARCH("larynx",_xlfn.TEXTJOIN("; ", TRUE, _xlfn._xlws.FILTER('Model output'!H:H, 'Model output'!Z:Z=A19)),1)),ISNUMBER(SEARCH("trachea",_xlfn.TEXTJOIN("; ", TRUE, _xlfn._xlws.FILTER('Model output'!H:H, 'Model output'!Z:Z=A19)),1)),ISNUMBER(SEARCH("esophagus",_xlfn.TEXTJOIN("; ", TRUE, _xlfn._xlws.FILTER('Model output'!H:H, 'Model output'!Z:Z=A19)),1)),ISNUMBER(SEARCH("recurrent laryngeal nerve",_xlfn.TEXTJOIN("; ", TRUE, _xlfn._xlws.FILTER('Model output'!H:H, 'Model output'!Z:Z=A19)),1)),ISNUMBER(SEARCH("RLN",_xlfn.TEXTJOIN("; ", TRUE, _xlfn._xlws.FILTER('Model output'!H:H, 'Model output'!Z:Z=A19)),1)),_xlfn.TEXTJOIN("; ", TRUE, _xlfn._xlws.FILTER('Model output'!H:H, 'Model output'!Z:Z=A19))=""),"negative","positive")</f>
        <v>negative</v>
      </c>
      <c r="L19" s="17">
        <f>IF(IFERROR(INDEX('Model output'!I:I, MATCH(A19, 'Model output'!Z:Z, 0)), "") &lt; M19, "", IFERROR(INDEX('Model output'!I:I, MATCH(A19, 'Model output'!Z:Z, 0)), ""))</f>
        <v>21</v>
      </c>
      <c r="M19" s="17">
        <f>IFERROR(INDEX('Model output'!J:J, MATCH(A19, 'Model output'!Z:Z, 0)), "")</f>
        <v>5</v>
      </c>
      <c r="N19" s="18" t="str" cm="1">
        <f t="array" ref="N19">ReplaceTo(ReplaceAnd(SUBSTITUTE(SUBSTITUTE(_xlfn.TEXTJOIN("; ", TRUE, _xlfn._xlws.FILTER('Model output'!K:K, 'Model output'!Z:Z=A19)), " ", ""), ",", ";")))</f>
        <v>8mm</v>
      </c>
      <c r="O19" t="str" cm="1">
        <f t="array" ref="O19">IF(LEFT(IF(RIGHT(SUBSTITUTE(FilterWithUnits(N19)&amp;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";")),1)=";",RIGHT(IF(RIGHT(SUBSTITUTE(FilterWithUnits(N19)&amp;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";")),LEN(IF(RIGHT(SUBSTITUTE(FilterWithUnits(N19)&amp;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";")))-1),IF(RIGHT(SUBSTITUTE(FilterWithUnits(N19)&amp;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f>
        <v>8mm</v>
      </c>
      <c r="P19" cm="1">
        <f t="array" ref="P19">IF(MaxSize((SplitDimensions(O19)))=0, "", MaxSize((SplitDimensions(O19))))</f>
        <v>0.8</v>
      </c>
      <c r="Q19" t="str" cm="1">
        <f t="array" ref="Q19">IF(ISERROR(INDEX(_xlfn._xlws.FILTER('Model output'!L:L, ('Model output'!Z:Z=A19)*('Model output'!L:L&lt;&gt;"")), 1)), " ", LOWER(INDEX(_xlfn._xlws.FILTER('Model output'!L:L, ('Model output'!Z:Z=A19)*('Model output'!L:L&lt;&gt;"")), 1)))</f>
        <v>papillary carcinoma</v>
      </c>
      <c r="R19" t="str" cm="1">
        <f t="array" ref="R19">IF(ISERROR(INDEX(_xlfn._xlws.FILTER('Model output'!M:M, ('Model output'!Z:Z=A19)*('Model output'!M:M&lt;&gt;"")), 1)), " ", LOWER(INDEX(_xlfn._xlws.FILTER('Model output'!M:M, ('Model output'!Z:Z=A19)*('Model output'!M:M&lt;&gt;"")), 1)))</f>
        <v>classic</v>
      </c>
      <c r="S19" t="str" cm="1">
        <f t="array" ref="S19">IF(OR(ISNUMBER(SEARCH("ly",SUBSTITUTE(INDEX(_xlfn._xlws.FILTER('Model output'!N:N,('Model output'!Z:Z=A19)*('Model output'!N:N&lt;&gt;"")),1)," ",""),1)), ISNUMBER(SEARCH("pole",SUBSTITUTE(INDEX(_xlfn._xlws.FILTER('Model output'!N:N,('Model output'!Z:Z=A19)*('Model output'!N:N&lt;&gt;"")),1)," ",""),1))),"",SUBSTITUTE(INDEX(_xlfn._xlws.FILTER('Model output'!N:N,('Model output'!Z:Z=A19)*('Model output'!N:N&lt;&gt;"")),1)," ",""))</f>
        <v>11mm</v>
      </c>
      <c r="T19" t="str" cm="1">
        <f t="array" ref="T19">IF(LEFT(IF(RIGHT(SUBSTITUTE(FilterWithUnits(S19)&amp;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";")),1)=";",RIGHT(IF(RIGHT(SUBSTITUTE(FilterWithUnits(S19)&amp;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";")),LEN(IF(RIGHT(SUBSTITUTE(FilterWithUnits(S19)&amp;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";")))-1),IF(RIGHT(SUBSTITUTE(FilterWithUnits(S19)&amp;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f>
        <v>11mm</v>
      </c>
      <c r="U19" cm="1">
        <f t="array" ref="U19">IF(MaxSize((SplitDimensions(T19)))=0, "", MaxSize((SplitDimensions(T19))))</f>
        <v>1.1000000000000001</v>
      </c>
      <c r="V19" s="17" t="str" cm="1">
        <f t="array" ref="V19">IF(ISERROR(INDEX(_xlfn._xlws.FILTER('Model output'!P:P,('Model output'!Z:Z=A19)*('Model output'!P:P&lt;&gt;"")),1)),"negative",IF(OR(ISNUMBER(SEARCH("foc",INDEX(_xlfn._xlws.FILTER('Model output'!P:P,('Model output'!Z:Z=A19)*('Model output'!P:P&lt;&gt;"")),1),1)),ISNUMBER(SEARCH("extensive",INDEX(_xlfn._xlws.FILTER('Model output'!P:P,('Model output'!Z:Z=A19)*('Model output'!P:P&lt;&gt;"")),1),1)),ISNUMBER(SEARCH("present",INDEX(_xlfn._xlws.FILTER('Model output'!P:P,('Model output'!Z:Z=A19)*('Model output'!P:P&lt;&gt;"")),1),1)),ISNUMBER(SEARCH("yes",INDEX(_xlfn._xlws.FILTER('Model output'!P:P,('Model output'!Z:Z=A19)*('Model output'!P:P&lt;&gt;"")),1),1))),"positive","negative"))</f>
        <v>negative</v>
      </c>
      <c r="X19" t="str" cm="1">
        <f t="array" ref="X19">IF(ISNUMBER(SEARCH("4",INDEX(_xlfn._xlws.FILTER('Model output'!P:P,('Model output'!Z:Z=A19)*('Model output'!P:P&lt;&gt;"")),1),1)),INDEX(_xlfn._xlws.FILTER('Model output'!P:P,('Model output'!Z:Z=A19)*('Model output'!P:P&lt;&gt;"")),1),"") &amp; _xlfn.TEXTJOIN("",TRUE,_xlfn._xlws.FILTER('Model output'!Q:Q,'Model output'!Z:Z=A19))</f>
        <v/>
      </c>
      <c r="Y19" t="str">
        <f t="shared" si="9"/>
        <v>no</v>
      </c>
      <c r="Z19" t="str" cm="1">
        <f t="array" ref="Z19">IF(OR(ISNUMBER(SEARCH("focal",_xlfn.TEXTJOIN("; ",TRUE,_xlfn._xlws.FILTER('Model output'!R:R,'Model output'!Z:Z=A19)),1)),ISNUMBER(SEARCH("present",_xlfn.TEXTJOIN("; ",TRUE,_xlfn._xlws.FILTER('Model output'!R:R,'Model output'!Z:Z=A19)),1))),"positive",IF(_xlfn.TEXTJOIN("; ",TRUE,_xlfn._xlws.FILTER('Model output'!R:R,'Model output'!Z:Z=A19))="","negative",IF(OR(ISNUMBER(SEARCH("no",_xlfn.TEXTJOIN("; ",TRUE,_xlfn._xlws.FILTER('Model output'!R:R,'Model output'!Z:Z=A19)),1)),ISNUMBER(SEARCH("absent",_xlfn.TEXTJOIN("; ",TRUE,_xlfn._xlws.FILTER('Model output'!R:R,'Model output'!Z:Z=A19)),1))),"negative","positive")))</f>
        <v>negative</v>
      </c>
      <c r="AA19" s="17" t="str">
        <f t="shared" si="10"/>
        <v>negative</v>
      </c>
      <c r="AE19" s="17" t="str">
        <f t="shared" si="11"/>
        <v>negative</v>
      </c>
      <c r="AF19" t="str" cm="1">
        <f t="array" ref="AF19">_xlfn.TEXTJOIN("; ",TRUE,_xlfn._xlws.FILTER('Model output'!S:S,'Model output'!Z:Z=A19))</f>
        <v/>
      </c>
      <c r="AG19" s="17" t="str" cm="1">
        <f t="array" ref="AG19">IF(OR(ISNUMBER(SEARCH("uninvolved",_xlfn.TEXTJOIN("; ",TRUE,_xlfn._xlws.FILTER('Model output'!V:V,'Model output'!Z:Z=A19)),1)),ISNUMBER(SEARCH("clear",_xlfn.TEXTJOIN("; ",TRUE,_xlfn._xlws.FILTER('Model output'!V:V,'Model output'!Z:Z=A19)),1))*ISNUMBER(SEARCH("not mentioned",_xlfn.TEXTJOIN("; ",TRUE,_xlfn._xlws.FILTER('Model output'!V:V,'Model output'!Z:Z=A19)),1))),"negative",IF(ISNUMBER(SEARCH("cannot be assessed",_xlfn.TEXTJOIN("; ",TRUE,_xlfn._xlws.FILTER('Model output'!V:V,'Model output'!Z:Z=A19)),1)),"unknown","negative"))</f>
        <v>negative</v>
      </c>
      <c r="AI19" s="45" t="str">
        <f t="shared" si="2"/>
        <v>intermediate</v>
      </c>
      <c r="AJ19" s="36" t="str">
        <f t="shared" si="3"/>
        <v>1b</v>
      </c>
      <c r="AK19" s="36" t="str">
        <f t="shared" si="16"/>
        <v>1b</v>
      </c>
      <c r="AL19" s="36">
        <f t="shared" si="17"/>
        <v>0</v>
      </c>
      <c r="AM19" s="36" t="str">
        <f t="shared" si="18"/>
        <v>I</v>
      </c>
      <c r="AN19" s="37" t="s">
        <v>168</v>
      </c>
      <c r="AO19" s="38" t="s">
        <v>191</v>
      </c>
      <c r="AP19" s="38" t="s">
        <v>191</v>
      </c>
      <c r="AQ19" s="38">
        <v>0</v>
      </c>
      <c r="AR19" s="38" t="s">
        <v>31</v>
      </c>
      <c r="AS19" s="37">
        <f t="shared" si="7"/>
        <v>1</v>
      </c>
      <c r="AT19" s="38">
        <f t="shared" si="8"/>
        <v>1</v>
      </c>
      <c r="AU19" s="38">
        <f t="shared" si="12"/>
        <v>1</v>
      </c>
      <c r="AV19" s="38">
        <f t="shared" si="13"/>
        <v>1</v>
      </c>
      <c r="AW19" s="39">
        <f t="shared" si="13"/>
        <v>1</v>
      </c>
    </row>
    <row r="20" spans="1:49">
      <c r="A20" s="13">
        <v>18</v>
      </c>
      <c r="B20" s="16">
        <f>_xlfn.MAXIFS('Model output'!B:B,'Model output'!Z:Z,'Classification result'!$A20)</f>
        <v>45355</v>
      </c>
      <c r="C20" s="16"/>
      <c r="D20" s="16"/>
      <c r="E20" s="17">
        <f>_xlfn.MAXIFS('Model output'!C:C,'Model output'!Z:Z,'Classification result'!$A20)</f>
        <v>55</v>
      </c>
      <c r="F20" s="17" t="str" cm="1">
        <f t="array" ref="F20">LEFT(IF(ISERROR(RIGHT(IF(INDEX(_xlfn._xlws.FILTER('Model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output'!Z:Z=A20)),1),""),1))),"",(RIGHT(IF(INDEX(_xlfn._xlws.FILTER('Model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output'!Z:Z=A20)),1)))))),2)</f>
        <v>4a</v>
      </c>
      <c r="G20" s="17" t="str" cm="1">
        <f t="array" ref="G20">IF(ISNUMBER(SEARCH("N",IF(ISNUMBER(SEARCH("present",IF(INDEX(_xlfn._xlws.FILTER('Model output'!E:E,('Model output'!Z:Z=A20)),1)="","",INDEX(_xlfn._xlws.FILTER('Model output'!E:E,('Model output'!Z:Z=A20)),1)),1)),"N1", IF(INDEX(_xlfn._xlws.FILTER('Model output'!E:E,('Model output'!Z:Z=A20)),1)="","",INDEX(_xlfn._xlws.FILTER('Model output'!E:E,('Model output'!Z:Z=A20)),1))),1)),RIGHT(IF(ISNUMBER(SEARCH("present",IF(INDEX(_xlfn._xlws.FILTER('Model output'!E:E,('Model output'!Z:Z=A20)),1)="","",INDEX(_xlfn._xlws.FILTER('Model output'!E:E,('Model output'!Z:Z=A20)),1)),1)),"N1", IF(INDEX(_xlfn._xlws.FILTER('Model output'!E:E,('Model output'!Z:Z=A20)),1)="","",INDEX(_xlfn._xlws.FILTER('Model output'!E:E,('Model output'!Z:Z=A20)),1))),LEN(IF(ISNUMBER(SEARCH("present",IF(INDEX(_xlfn._xlws.FILTER('Model output'!E:E,('Model output'!Z:Z=A20)),1)="","",INDEX(_xlfn._xlws.FILTER('Model output'!E:E,('Model output'!Z:Z=A20)),1)),1)),"N1", IF(INDEX(_xlfn._xlws.FILTER('Model output'!E:E,('Model output'!Z:Z=A20)),1)="","",INDEX(_xlfn._xlws.FILTER('Model output'!E:E,('Model output'!Z:Z=A20)),1))))-FIND("N",IF(ISNUMBER(SEARCH("present",IF(INDEX(_xlfn._xlws.FILTER('Model output'!E:E,('Model output'!Z:Z=A20)),1)="","",INDEX(_xlfn._xlws.FILTER('Model output'!E:E,('Model output'!Z:Z=A20)),1)),1)),"N1", IF(INDEX(_xlfn._xlws.FILTER('Model output'!E:E,('Model output'!Z:Z=A20)),1)="","",INDEX(_xlfn._xlws.FILTER('Model output'!E:E,('Model output'!Z:Z=A20)),1))),1)), "")</f>
        <v>1a</v>
      </c>
      <c r="H20" s="17" cm="1">
        <f t="array" ref="H20">IF(AND(SUBSTITUTE(_xlfn.TEXTJOIN("/", TRUE, _xlfn._xlws.FILTER('Model output'!F:F, 'Model output'!Z:Z=A20)),"M", "")="", K20="negative"),0,IF(K20="positive",1,0))</f>
        <v>0</v>
      </c>
      <c r="I20" t="str">
        <f t="shared" si="0"/>
        <v>positive</v>
      </c>
      <c r="J20" t="str" cm="1">
        <f t="array" ref="J20">IF(AND(M20&gt;0, _xlfn.TEXTJOIN("; ", TRUE, _xlfn._xlws.FILTER('Model output'!G:G, 'Model output'!Z:Z=A20)) &lt;&gt;"", OR(AND(ISNUMBER(SEARCH("level", _xlfn.TEXTJOIN("; ", TRUE, _xlfn._xlws.FILTER('Model output'!G:G, 'Model output'!Z:Z=A20)),1)),OR(ISNUMBER(SEARCH(" II", _xlfn.TEXTJOIN("; ", TRUE, _xlfn._xlws.FILTER('Model output'!G:G, 'Model output'!Z:Z=A20)),1)),ISNUMBER(SEARCH("2", _xlfn.TEXTJOIN("; ", TRUE, _xlfn._xlws.FILTER('Model output'!G:G, 'Model output'!Z:Z=A20)),1)),ISNUMBER(SEARCH("two", _xlfn.TEXTJOIN("; ", TRUE, _xlfn._xlws.FILTER('Model output'!G:G, 'Model output'!Z:Z=A20)),1)),ISNUMBER(SEARCH("III", _xlfn.TEXTJOIN("; ", TRUE, _xlfn._xlws.FILTER('Model output'!G:G, 'Model output'!Z:Z=A20)),1)),ISNUMBER(SEARCH("3", _xlfn.TEXTJOIN("; ", TRUE, _xlfn._xlws.FILTER('Model output'!G:G, 'Model output'!Z:Z=A20)),1)),ISNUMBER(SEARCH("three", _xlfn.TEXTJOIN("; ", TRUE, _xlfn._xlws.FILTER('Model output'!G:G, 'Model output'!Z:Z=A20)),1)),ISNUMBER(SEARCH("IV", _xlfn.TEXTJOIN("; ", TRUE, _xlfn._xlws.FILTER('Model output'!G:G, 'Model output'!Z:Z=A20)),1)),ISNUMBER(SEARCH("4", _xlfn.TEXTJOIN("; ", TRUE, _xlfn._xlws.FILTER('Model output'!G:G, 'Model output'!Z:Z=A20)),1)),ISNUMBER(SEARCH("five", _xlfn.TEXTJOIN("; ", TRUE, _xlfn._xlws.FILTER('Model output'!G:G, 'Model output'!Z:Z=A20)),1)),ISNUMBER(SEARCH("V ", _xlfn.TEXTJOIN("; ", TRUE, _xlfn._xlws.FILTER('Model output'!G:G, 'Model output'!Z:Z=A20)),1)),ISNUMBER(SEARCH("5", _xlfn.TEXTJOIN("; ", TRUE, _xlfn._xlws.FILTER('Model output'!G:G, 'Model output'!Z:Z=A20)),1)),ISNUMBER(SEARCH("five", _xlfn.TEXTJOIN("; ", TRUE, _xlfn._xlws.FILTER('Model output'!G:G, 'Model output'!Z:Z=A20)),1)),ISNUMBER(SEARCH(" lateral", _xlfn.TEXTJOIN("; ", TRUE, _xlfn._xlws.FILTER('Model output'!G:G, 'Model output'!Z:Z=A20)),1)))),ISNUMBER(SEARCH("cervical", _xlfn.TEXTJOIN("; ", TRUE, _xlfn._xlws.FILTER('Model output'!G:G, 'Model output'!Z:Z=A20)),1)),ISNUMBER(SEARCH("jugular", _xlfn.TEXTJOIN("; ", TRUE, _xlfn._xlws.FILTER('Model output'!G:G, 'Model output'!Z:Z=A20)),1)),ISNUMBER(SEARCH("left neck", _xlfn.TEXTJOIN("; ", TRUE, _xlfn._xlws.FILTER('Model output'!G:G, 'Model output'!Z:Z=A20)),1)),ISNUMBER(SEARCH("left anterior neck", _xlfn.TEXTJOIN("; ", TRUE, _xlfn._xlws.FILTER('Model output'!G:G, 'Model output'!Z:Z=A20)),1)),ISNUMBER(SEARCH("left posterior neck", _xlfn.TEXTJOIN("; ", TRUE, _xlfn._xlws.FILTER('Model output'!G:G, 'Model output'!Z:Z=A20)),1)),ISNUMBER(SEARCH("right neck", _xlfn.TEXTJOIN("; ", TRUE, _xlfn._xlws.FILTER('Model output'!G:G, 'Model output'!Z:Z=A20)),1)),ISNUMBER(SEARCH("right anterior neck", _xlfn.TEXTJOIN("; ", TRUE, _xlfn._xlws.FILTER('Model output'!G:G, 'Model output'!Z:Z=A20)),1)),ISNUMBER(SEARCH("right posterior neck", _xlfn.TEXTJOIN("; ", TRUE, _xlfn._xlws.FILTER('Model output'!G:G, 'Model output'!Z:Z=A20)),1)))),"lateral",IF(AND(M20=0, _xlfn.TEXTJOIN("; ", TRUE, _xlfn._xlws.FILTER('Model output'!G:G, 'Model output'!Z:Z=A20))=""),"", "central"))</f>
        <v>central</v>
      </c>
      <c r="K20" s="17" t="str" cm="1">
        <f t="array" ref="K20">IF(OR(ISNUMBER(SEARCH("lymph",_xlfn.TEXTJOIN("; ", TRUE, _xlfn._xlws.FILTER('Model output'!H:H, 'Model output'!Z:Z=A20)),1)), ISNUMBER(SEARCH("Not mentioned",_xlfn.TEXTJOIN("; ", TRUE, _xlfn._xlws.FILTER('Model output'!H:H, 'Model output'!Z:Z=A20)),1)),ISNUMBER(SEARCH("subcutaneous soft tissues",_xlfn.TEXTJOIN("; ", TRUE, _xlfn._xlws.FILTER('Model output'!H:H, 'Model output'!Z:Z=A20)),1)),ISNUMBER(SEARCH("larynx",_xlfn.TEXTJOIN("; ", TRUE, _xlfn._xlws.FILTER('Model output'!H:H, 'Model output'!Z:Z=A20)),1)),ISNUMBER(SEARCH("trachea",_xlfn.TEXTJOIN("; ", TRUE, _xlfn._xlws.FILTER('Model output'!H:H, 'Model output'!Z:Z=A20)),1)),ISNUMBER(SEARCH("esophagus",_xlfn.TEXTJOIN("; ", TRUE, _xlfn._xlws.FILTER('Model output'!H:H, 'Model output'!Z:Z=A20)),1)),ISNUMBER(SEARCH("recurrent laryngeal nerve",_xlfn.TEXTJOIN("; ", TRUE, _xlfn._xlws.FILTER('Model output'!H:H, 'Model output'!Z:Z=A20)),1)),ISNUMBER(SEARCH("RLN",_xlfn.TEXTJOIN("; ", TRUE, _xlfn._xlws.FILTER('Model output'!H:H, 'Model output'!Z:Z=A20)),1)),_xlfn.TEXTJOIN("; ", TRUE, _xlfn._xlws.FILTER('Model output'!H:H, 'Model output'!Z:Z=A20))=""),"negative","positive")</f>
        <v>negative</v>
      </c>
      <c r="L20" s="17">
        <f>IF(IFERROR(INDEX('Model output'!I:I, MATCH(A20, 'Model output'!Z:Z, 0)), "") &lt; M20, "", IFERROR(INDEX('Model output'!I:I, MATCH(A20, 'Model output'!Z:Z, 0)), ""))</f>
        <v>4</v>
      </c>
      <c r="M20" s="17">
        <f>IFERROR(INDEX('Model output'!J:J, MATCH(A20, 'Model output'!Z:Z, 0)), "")</f>
        <v>4</v>
      </c>
      <c r="N20" s="18" t="str" cm="1">
        <f t="array" ref="N20">ReplaceTo(ReplaceAnd(SUBSTITUTE(SUBSTITUTE(_xlfn.TEXTJOIN("; ", TRUE, _xlfn._xlws.FILTER('Model output'!K:K, 'Model output'!Z:Z=A20)), " ", ""), ",", ";")))</f>
        <v/>
      </c>
      <c r="O20" t="str" cm="1">
        <f t="array" ref="O20">IF(LEFT(IF(RIGHT(SUBSTITUTE(FilterWithUnits(N20)&amp;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";")),1)=";",RIGHT(IF(RIGHT(SUBSTITUTE(FilterWithUnits(N20)&amp;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";")),LEN(IF(RIGHT(SUBSTITUTE(FilterWithUnits(N20)&amp;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";")))-1),IF(RIGHT(SUBSTITUTE(FilterWithUnits(N20)&amp;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f>
        <v/>
      </c>
      <c r="P20" t="str" cm="1">
        <f t="array" ref="P20">IF(MaxSize((SplitDimensions(O20)))=0, "", MaxSize((SplitDimensions(O20))))</f>
        <v/>
      </c>
      <c r="Q20" t="str" cm="1">
        <f t="array" ref="Q20">IF(ISERROR(INDEX(_xlfn._xlws.FILTER('Model output'!L:L, ('Model output'!Z:Z=A20)*('Model output'!L:L&lt;&gt;"")), 1)), " ", LOWER(INDEX(_xlfn._xlws.FILTER('Model output'!L:L, ('Model output'!Z:Z=A20)*('Model output'!L:L&lt;&gt;"")), 1)))</f>
        <v>papillary carcinoma</v>
      </c>
      <c r="R20" t="str" cm="1">
        <f t="array" ref="R20">IF(ISERROR(INDEX(_xlfn._xlws.FILTER('Model output'!M:M, ('Model output'!Z:Z=A20)*('Model output'!M:M&lt;&gt;"")), 1)), " ", LOWER(INDEX(_xlfn._xlws.FILTER('Model output'!M:M, ('Model output'!Z:Z=A20)*('Model output'!M:M&lt;&gt;"")), 1)))</f>
        <v>classic</v>
      </c>
      <c r="S20" t="str" cm="1">
        <f t="array" ref="S20">IF(OR(ISNUMBER(SEARCH("ly",SUBSTITUTE(INDEX(_xlfn._xlws.FILTER('Model output'!N:N,('Model output'!Z:Z=A20)*('Model output'!N:N&lt;&gt;"")),1)," ",""),1)), ISNUMBER(SEARCH("pole",SUBSTITUTE(INDEX(_xlfn._xlws.FILTER('Model output'!N:N,('Model output'!Z:Z=A20)*('Model output'!N:N&lt;&gt;"")),1)," ",""),1))),"",SUBSTITUTE(INDEX(_xlfn._xlws.FILTER('Model output'!N:N,('Model output'!Z:Z=A20)*('Model output'!N:N&lt;&gt;"")),1)," ",""))</f>
        <v>30mm(Macroscopic)</v>
      </c>
      <c r="T20" t="str" cm="1">
        <f t="array" ref="T20">IF(LEFT(IF(RIGHT(SUBSTITUTE(FilterWithUnits(S20)&amp;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";")),1)=";",RIGHT(IF(RIGHT(SUBSTITUTE(FilterWithUnits(S20)&amp;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";")),LEN(IF(RIGHT(SUBSTITUTE(FilterWithUnits(S20)&amp;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";")))-1),IF(RIGHT(SUBSTITUTE(FilterWithUnits(S20)&amp;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f>
        <v>30mm</v>
      </c>
      <c r="U20" cm="1">
        <f t="array" ref="U20">IF(MaxSize((SplitDimensions(T20)))=0, "", MaxSize((SplitDimensions(T20))))</f>
        <v>3</v>
      </c>
      <c r="V20" s="17" t="str" cm="1">
        <f t="array" ref="V20">IF(ISERROR(INDEX(_xlfn._xlws.FILTER('Model output'!P:P,('Model output'!Z:Z=A20)*('Model output'!P:P&lt;&gt;"")),1)),"negative",IF(OR(ISNUMBER(SEARCH("foc",INDEX(_xlfn._xlws.FILTER('Model output'!P:P,('Model output'!Z:Z=A20)*('Model output'!P:P&lt;&gt;"")),1),1)),ISNUMBER(SEARCH("extensive",INDEX(_xlfn._xlws.FILTER('Model output'!P:P,('Model output'!Z:Z=A20)*('Model output'!P:P&lt;&gt;"")),1),1)),ISNUMBER(SEARCH("present",INDEX(_xlfn._xlws.FILTER('Model output'!P:P,('Model output'!Z:Z=A20)*('Model output'!P:P&lt;&gt;"")),1),1)),ISNUMBER(SEARCH("yes",INDEX(_xlfn._xlws.FILTER('Model output'!P:P,('Model output'!Z:Z=A20)*('Model output'!P:P&lt;&gt;"")),1),1))),"positive","negative"))</f>
        <v>negative</v>
      </c>
      <c r="X20" t="str" cm="1">
        <f t="array" ref="X20">IF(ISNUMBER(SEARCH("4",INDEX(_xlfn._xlws.FILTER('Model output'!P:P,('Model output'!Z:Z=A20)*('Model output'!P:P&lt;&gt;"")),1),1)),INDEX(_xlfn._xlws.FILTER('Model output'!P:P,('Model output'!Z:Z=A20)*('Model output'!P:P&lt;&gt;"")),1),"") &amp; _xlfn.TEXTJOIN("",TRUE,_xlfn._xlws.FILTER('Model output'!Q:Q,'Model output'!Z:Z=A20))</f>
        <v>Not specified in the note</v>
      </c>
      <c r="Y20" t="str">
        <f t="shared" si="9"/>
        <v>no</v>
      </c>
      <c r="Z20" t="str" cm="1">
        <f t="array" ref="Z20">IF(OR(ISNUMBER(SEARCH("focal",_xlfn.TEXTJOIN("; ",TRUE,_xlfn._xlws.FILTER('Model output'!R:R,'Model output'!Z:Z=A20)),1)),ISNUMBER(SEARCH("present",_xlfn.TEXTJOIN("; ",TRUE,_xlfn._xlws.FILTER('Model output'!R:R,'Model output'!Z:Z=A20)),1))),"positive",IF(_xlfn.TEXTJOIN("; ",TRUE,_xlfn._xlws.FILTER('Model output'!R:R,'Model output'!Z:Z=A20))="","negative",IF(OR(ISNUMBER(SEARCH("no",_xlfn.TEXTJOIN("; ",TRUE,_xlfn._xlws.FILTER('Model output'!R:R,'Model output'!Z:Z=A20)),1)),ISNUMBER(SEARCH("absent",_xlfn.TEXTJOIN("; ",TRUE,_xlfn._xlws.FILTER('Model output'!R:R,'Model output'!Z:Z=A20)),1))),"negative","positive")))</f>
        <v>negative</v>
      </c>
      <c r="AA20" s="17" t="str">
        <f t="shared" si="10"/>
        <v>positive</v>
      </c>
      <c r="AE20" s="17" t="str">
        <f t="shared" si="11"/>
        <v>positive</v>
      </c>
      <c r="AF20" t="str" cm="1">
        <f t="array" ref="AF20">_xlfn.TEXTJOIN("; ",TRUE,_xlfn._xlws.FILTER('Model output'!S:S,'Model output'!Z:Z=A20))</f>
        <v>Invading only strap muscles; Right cricothyroid and inferior constrictor muscle</v>
      </c>
      <c r="AG20" s="17" t="str" cm="1">
        <f t="array" ref="AG20">IF(OR(ISNUMBER(SEARCH("uninvolved",_xlfn.TEXTJOIN("; ",TRUE,_xlfn._xlws.FILTER('Model output'!V:V,'Model output'!Z:Z=A20)),1)),ISNUMBER(SEARCH("clear",_xlfn.TEXTJOIN("; ",TRUE,_xlfn._xlws.FILTER('Model output'!V:V,'Model output'!Z:Z=A20)),1))*ISNUMBER(SEARCH("not mentioned",_xlfn.TEXTJOIN("; ",TRUE,_xlfn._xlws.FILTER('Model output'!V:V,'Model output'!Z:Z=A20)),1))),"negative",IF(ISNUMBER(SEARCH("cannot be assessed",_xlfn.TEXTJOIN("; ",TRUE,_xlfn._xlws.FILTER('Model output'!V:V,'Model output'!Z:Z=A20)),1)),"unknown","negative"))</f>
        <v>negative</v>
      </c>
      <c r="AI20" s="45" t="str">
        <f t="shared" si="2"/>
        <v>high</v>
      </c>
      <c r="AJ20" s="36" t="str">
        <f t="shared" si="3"/>
        <v>4a</v>
      </c>
      <c r="AK20" s="36" t="str">
        <f t="shared" si="16"/>
        <v>1a</v>
      </c>
      <c r="AL20" s="36">
        <f t="shared" si="17"/>
        <v>0</v>
      </c>
      <c r="AM20" s="36" t="str">
        <f t="shared" si="18"/>
        <v>III</v>
      </c>
      <c r="AN20" s="37" t="s">
        <v>169</v>
      </c>
      <c r="AO20" s="38" t="s">
        <v>196</v>
      </c>
      <c r="AP20" s="38" t="s">
        <v>193</v>
      </c>
      <c r="AQ20" s="38">
        <v>0</v>
      </c>
      <c r="AR20" s="38" t="s">
        <v>69</v>
      </c>
      <c r="AS20" s="37">
        <f t="shared" si="7"/>
        <v>1</v>
      </c>
      <c r="AT20" s="38">
        <f t="shared" si="8"/>
        <v>1</v>
      </c>
      <c r="AU20" s="38">
        <f t="shared" si="12"/>
        <v>1</v>
      </c>
      <c r="AV20" s="38">
        <f t="shared" si="13"/>
        <v>1</v>
      </c>
      <c r="AW20" s="39">
        <f t="shared" si="13"/>
        <v>1</v>
      </c>
    </row>
    <row r="21" spans="1:49">
      <c r="A21" s="13">
        <v>19</v>
      </c>
      <c r="B21" s="16">
        <f>_xlfn.MAXIFS('Model output'!B:B,'Model output'!Z:Z,'Classification result'!$A21)</f>
        <v>45457</v>
      </c>
      <c r="C21" s="16"/>
      <c r="D21" s="16"/>
      <c r="E21" s="17">
        <f>_xlfn.MAXIFS('Model output'!C:C,'Model output'!Z:Z,'Classification result'!$A21)</f>
        <v>23</v>
      </c>
      <c r="F21" s="17" t="str" cm="1">
        <f t="array" ref="F21">LEFT(IF(ISERROR(RIGHT(IF(INDEX(_xlfn._xlws.FILTER('Model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output'!Z:Z=A21)),1),""),1))),"",(RIGHT(IF(INDEX(_xlfn._xlws.FILTER('Model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output'!Z:Z=A21)),1)))))),2)</f>
        <v/>
      </c>
      <c r="G21" s="17" t="str" cm="1">
        <f t="array" ref="G21">IF(ISNUMBER(SEARCH("N",IF(ISNUMBER(SEARCH("present",IF(INDEX(_xlfn._xlws.FILTER('Model output'!E:E,('Model output'!Z:Z=A21)),1)="","",INDEX(_xlfn._xlws.FILTER('Model output'!E:E,('Model output'!Z:Z=A21)),1)),1)),"N1", IF(INDEX(_xlfn._xlws.FILTER('Model output'!E:E,('Model output'!Z:Z=A21)),1)="","",INDEX(_xlfn._xlws.FILTER('Model output'!E:E,('Model output'!Z:Z=A21)),1))),1)),RIGHT(IF(ISNUMBER(SEARCH("present",IF(INDEX(_xlfn._xlws.FILTER('Model output'!E:E,('Model output'!Z:Z=A21)),1)="","",INDEX(_xlfn._xlws.FILTER('Model output'!E:E,('Model output'!Z:Z=A21)),1)),1)),"N1", IF(INDEX(_xlfn._xlws.FILTER('Model output'!E:E,('Model output'!Z:Z=A21)),1)="","",INDEX(_xlfn._xlws.FILTER('Model output'!E:E,('Model output'!Z:Z=A21)),1))),LEN(IF(ISNUMBER(SEARCH("present",IF(INDEX(_xlfn._xlws.FILTER('Model output'!E:E,('Model output'!Z:Z=A21)),1)="","",INDEX(_xlfn._xlws.FILTER('Model output'!E:E,('Model output'!Z:Z=A21)),1)),1)),"N1", IF(INDEX(_xlfn._xlws.FILTER('Model output'!E:E,('Model output'!Z:Z=A21)),1)="","",INDEX(_xlfn._xlws.FILTER('Model output'!E:E,('Model output'!Z:Z=A21)),1))))-FIND("N",IF(ISNUMBER(SEARCH("present",IF(INDEX(_xlfn._xlws.FILTER('Model output'!E:E,('Model output'!Z:Z=A21)),1)="","",INDEX(_xlfn._xlws.FILTER('Model output'!E:E,('Model output'!Z:Z=A21)),1)),1)),"N1", IF(INDEX(_xlfn._xlws.FILTER('Model output'!E:E,('Model output'!Z:Z=A21)),1)="","",INDEX(_xlfn._xlws.FILTER('Model output'!E:E,('Model output'!Z:Z=A21)),1))),1)), "")</f>
        <v/>
      </c>
      <c r="H21" s="17" cm="1">
        <f t="array" ref="H21">IF(AND(SUBSTITUTE(_xlfn.TEXTJOIN("/", TRUE, _xlfn._xlws.FILTER('Model output'!F:F, 'Model output'!Z:Z=A21)),"M", "")="", K21="negative"),0,IF(K21="positive",1,0))</f>
        <v>0</v>
      </c>
      <c r="I21" t="str">
        <f t="shared" si="0"/>
        <v/>
      </c>
      <c r="J21" t="str" cm="1">
        <f t="array" ref="J21">IF(AND(M21&gt;0, _xlfn.TEXTJOIN("; ", TRUE, _xlfn._xlws.FILTER('Model output'!G:G, 'Model output'!Z:Z=A21)) &lt;&gt;"", OR(AND(ISNUMBER(SEARCH("level", _xlfn.TEXTJOIN("; ", TRUE, _xlfn._xlws.FILTER('Model output'!G:G, 'Model output'!Z:Z=A21)),1)),OR(ISNUMBER(SEARCH(" II", _xlfn.TEXTJOIN("; ", TRUE, _xlfn._xlws.FILTER('Model output'!G:G, 'Model output'!Z:Z=A21)),1)),ISNUMBER(SEARCH("2", _xlfn.TEXTJOIN("; ", TRUE, _xlfn._xlws.FILTER('Model output'!G:G, 'Model output'!Z:Z=A21)),1)),ISNUMBER(SEARCH("two", _xlfn.TEXTJOIN("; ", TRUE, _xlfn._xlws.FILTER('Model output'!G:G, 'Model output'!Z:Z=A21)),1)),ISNUMBER(SEARCH("III", _xlfn.TEXTJOIN("; ", TRUE, _xlfn._xlws.FILTER('Model output'!G:G, 'Model output'!Z:Z=A21)),1)),ISNUMBER(SEARCH("3", _xlfn.TEXTJOIN("; ", TRUE, _xlfn._xlws.FILTER('Model output'!G:G, 'Model output'!Z:Z=A21)),1)),ISNUMBER(SEARCH("three", _xlfn.TEXTJOIN("; ", TRUE, _xlfn._xlws.FILTER('Model output'!G:G, 'Model output'!Z:Z=A21)),1)),ISNUMBER(SEARCH("IV", _xlfn.TEXTJOIN("; ", TRUE, _xlfn._xlws.FILTER('Model output'!G:G, 'Model output'!Z:Z=A21)),1)),ISNUMBER(SEARCH("4", _xlfn.TEXTJOIN("; ", TRUE, _xlfn._xlws.FILTER('Model output'!G:G, 'Model output'!Z:Z=A21)),1)),ISNUMBER(SEARCH("five", _xlfn.TEXTJOIN("; ", TRUE, _xlfn._xlws.FILTER('Model output'!G:G, 'Model output'!Z:Z=A21)),1)),ISNUMBER(SEARCH("V ", _xlfn.TEXTJOIN("; ", TRUE, _xlfn._xlws.FILTER('Model output'!G:G, 'Model output'!Z:Z=A21)),1)),ISNUMBER(SEARCH("5", _xlfn.TEXTJOIN("; ", TRUE, _xlfn._xlws.FILTER('Model output'!G:G, 'Model output'!Z:Z=A21)),1)),ISNUMBER(SEARCH("five", _xlfn.TEXTJOIN("; ", TRUE, _xlfn._xlws.FILTER('Model output'!G:G, 'Model output'!Z:Z=A21)),1)),ISNUMBER(SEARCH(" lateral", _xlfn.TEXTJOIN("; ", TRUE, _xlfn._xlws.FILTER('Model output'!G:G, 'Model output'!Z:Z=A21)),1)))),ISNUMBER(SEARCH("cervical", _xlfn.TEXTJOIN("; ", TRUE, _xlfn._xlws.FILTER('Model output'!G:G, 'Model output'!Z:Z=A21)),1)),ISNUMBER(SEARCH("jugular", _xlfn.TEXTJOIN("; ", TRUE, _xlfn._xlws.FILTER('Model output'!G:G, 'Model output'!Z:Z=A21)),1)),ISNUMBER(SEARCH("left neck", _xlfn.TEXTJOIN("; ", TRUE, _xlfn._xlws.FILTER('Model output'!G:G, 'Model output'!Z:Z=A21)),1)),ISNUMBER(SEARCH("left anterior neck", _xlfn.TEXTJOIN("; ", TRUE, _xlfn._xlws.FILTER('Model output'!G:G, 'Model output'!Z:Z=A21)),1)),ISNUMBER(SEARCH("left posterior neck", _xlfn.TEXTJOIN("; ", TRUE, _xlfn._xlws.FILTER('Model output'!G:G, 'Model output'!Z:Z=A21)),1)),ISNUMBER(SEARCH("right neck", _xlfn.TEXTJOIN("; ", TRUE, _xlfn._xlws.FILTER('Model output'!G:G, 'Model output'!Z:Z=A21)),1)),ISNUMBER(SEARCH("right anterior neck", _xlfn.TEXTJOIN("; ", TRUE, _xlfn._xlws.FILTER('Model output'!G:G, 'Model output'!Z:Z=A21)),1)),ISNUMBER(SEARCH("right posterior neck", _xlfn.TEXTJOIN("; ", TRUE, _xlfn._xlws.FILTER('Model output'!G:G, 'Model output'!Z:Z=A21)),1)))),"lateral",IF(AND(M21=0, _xlfn.TEXTJOIN("; ", TRUE, _xlfn._xlws.FILTER('Model output'!G:G, 'Model output'!Z:Z=A21))=""),"", "central"))</f>
        <v/>
      </c>
      <c r="K21" s="17" t="str" cm="1">
        <f t="array" ref="K21">IF(OR(ISNUMBER(SEARCH("lymph",_xlfn.TEXTJOIN("; ", TRUE, _xlfn._xlws.FILTER('Model output'!H:H, 'Model output'!Z:Z=A21)),1)), ISNUMBER(SEARCH("Not mentioned",_xlfn.TEXTJOIN("; ", TRUE, _xlfn._xlws.FILTER('Model output'!H:H, 'Model output'!Z:Z=A21)),1)),ISNUMBER(SEARCH("subcutaneous soft tissues",_xlfn.TEXTJOIN("; ", TRUE, _xlfn._xlws.FILTER('Model output'!H:H, 'Model output'!Z:Z=A21)),1)),ISNUMBER(SEARCH("larynx",_xlfn.TEXTJOIN("; ", TRUE, _xlfn._xlws.FILTER('Model output'!H:H, 'Model output'!Z:Z=A21)),1)),ISNUMBER(SEARCH("trachea",_xlfn.TEXTJOIN("; ", TRUE, _xlfn._xlws.FILTER('Model output'!H:H, 'Model output'!Z:Z=A21)),1)),ISNUMBER(SEARCH("esophagus",_xlfn.TEXTJOIN("; ", TRUE, _xlfn._xlws.FILTER('Model output'!H:H, 'Model output'!Z:Z=A21)),1)),ISNUMBER(SEARCH("recurrent laryngeal nerve",_xlfn.TEXTJOIN("; ", TRUE, _xlfn._xlws.FILTER('Model output'!H:H, 'Model output'!Z:Z=A21)),1)),ISNUMBER(SEARCH("RLN",_xlfn.TEXTJOIN("; ", TRUE, _xlfn._xlws.FILTER('Model output'!H:H, 'Model output'!Z:Z=A21)),1)),_xlfn.TEXTJOIN("; ", TRUE, _xlfn._xlws.FILTER('Model output'!H:H, 'Model output'!Z:Z=A21))=""),"negative","positive")</f>
        <v>negative</v>
      </c>
      <c r="L21" s="17">
        <f>IF(IFERROR(INDEX('Model output'!I:I, MATCH(A21, 'Model output'!Z:Z, 0)), "") &lt; M21, "", IFERROR(INDEX('Model output'!I:I, MATCH(A21, 'Model output'!Z:Z, 0)), ""))</f>
        <v>1</v>
      </c>
      <c r="M21" s="17">
        <f>IFERROR(INDEX('Model output'!J:J, MATCH(A21, 'Model output'!Z:Z, 0)), "")</f>
        <v>0</v>
      </c>
      <c r="N21" s="18" t="str" cm="1">
        <f t="array" ref="N21">ReplaceTo(ReplaceAnd(SUBSTITUTE(SUBSTITUTE(_xlfn.TEXTJOIN("; ", TRUE, _xlfn._xlws.FILTER('Model output'!K:K, 'Model output'!Z:Z=A21)), " ", ""), ",", ";")))</f>
        <v/>
      </c>
      <c r="O21" t="str" cm="1">
        <f t="array" ref="O21">IF(LEFT(IF(RIGHT(SUBSTITUTE(FilterWithUnits(N21)&amp;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";")),1)=";",RIGHT(IF(RIGHT(SUBSTITUTE(FilterWithUnits(N21)&amp;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";")),LEN(IF(RIGHT(SUBSTITUTE(FilterWithUnits(N21)&amp;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";")))-1),IF(RIGHT(SUBSTITUTE(FilterWithUnits(N21)&amp;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f>
        <v/>
      </c>
      <c r="P21" t="str" cm="1">
        <f t="array" ref="P21">IF(MaxSize((SplitDimensions(O21)))=0, "", MaxSize((SplitDimensions(O21))))</f>
        <v/>
      </c>
      <c r="Q21" t="str" cm="1">
        <f t="array" ref="Q21">IF(ISERROR(INDEX(_xlfn._xlws.FILTER('Model output'!L:L, ('Model output'!Z:Z=A21)*('Model output'!L:L&lt;&gt;"")), 1)), " ", LOWER(INDEX(_xlfn._xlws.FILTER('Model output'!L:L, ('Model output'!Z:Z=A21)*('Model output'!L:L&lt;&gt;"")), 1)))</f>
        <v>papillary carcinoma</v>
      </c>
      <c r="R21" t="str" cm="1">
        <f t="array" ref="R21">IF(ISERROR(INDEX(_xlfn._xlws.FILTER('Model output'!M:M, ('Model output'!Z:Z=A21)*('Model output'!M:M&lt;&gt;"")), 1)), " ", LOWER(INDEX(_xlfn._xlws.FILTER('Model output'!M:M, ('Model output'!Z:Z=A21)*('Model output'!M:M&lt;&gt;"")), 1)))</f>
        <v>classic</v>
      </c>
      <c r="S21" t="str" cm="1">
        <f t="array" ref="S21">IF(OR(ISNUMBER(SEARCH("ly",SUBSTITUTE(INDEX(_xlfn._xlws.FILTER('Model output'!N:N,('Model output'!Z:Z=A21)*('Model output'!N:N&lt;&gt;"")),1)," ",""),1)), ISNUMBER(SEARCH("pole",SUBSTITUTE(INDEX(_xlfn._xlws.FILTER('Model output'!N:N,('Model output'!Z:Z=A21)*('Model output'!N:N&lt;&gt;"")),1)," ",""),1))),"",SUBSTITUTE(INDEX(_xlfn._xlws.FILTER('Model output'!N:N,('Model output'!Z:Z=A21)*('Model output'!N:N&lt;&gt;"")),1)," ",""))</f>
        <v>2mm</v>
      </c>
      <c r="T21" t="str" cm="1">
        <f t="array" ref="T21">IF(LEFT(IF(RIGHT(SUBSTITUTE(FilterWithUnits(S21)&amp;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";")),1)=";",RIGHT(IF(RIGHT(SUBSTITUTE(FilterWithUnits(S21)&amp;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";")),LEN(IF(RIGHT(SUBSTITUTE(FilterWithUnits(S21)&amp;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";")))-1),IF(RIGHT(SUBSTITUTE(FilterWithUnits(S21)&amp;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f>
        <v>2mm</v>
      </c>
      <c r="U21" cm="1">
        <f t="array" ref="U21">IF(MaxSize((SplitDimensions(T21)))=0, "", MaxSize((SplitDimensions(T21))))</f>
        <v>0.2</v>
      </c>
      <c r="V21" s="17" t="str" cm="1">
        <f t="array" ref="V21">IF(ISERROR(INDEX(_xlfn._xlws.FILTER('Model output'!P:P,('Model output'!Z:Z=A21)*('Model output'!P:P&lt;&gt;"")),1)),"negative",IF(OR(ISNUMBER(SEARCH("foc",INDEX(_xlfn._xlws.FILTER('Model output'!P:P,('Model output'!Z:Z=A21)*('Model output'!P:P&lt;&gt;"")),1),1)),ISNUMBER(SEARCH("extensive",INDEX(_xlfn._xlws.FILTER('Model output'!P:P,('Model output'!Z:Z=A21)*('Model output'!P:P&lt;&gt;"")),1),1)),ISNUMBER(SEARCH("present",INDEX(_xlfn._xlws.FILTER('Model output'!P:P,('Model output'!Z:Z=A21)*('Model output'!P:P&lt;&gt;"")),1),1)),ISNUMBER(SEARCH("yes",INDEX(_xlfn._xlws.FILTER('Model output'!P:P,('Model output'!Z:Z=A21)*('Model output'!P:P&lt;&gt;"")),1),1))),"positive","negative"))</f>
        <v>negative</v>
      </c>
      <c r="X21" t="str" cm="1">
        <f t="array" ref="X21">IF(ISNUMBER(SEARCH("4",INDEX(_xlfn._xlws.FILTER('Model output'!P:P,('Model output'!Z:Z=A21)*('Model output'!P:P&lt;&gt;"")),1),1)),INDEX(_xlfn._xlws.FILTER('Model output'!P:P,('Model output'!Z:Z=A21)*('Model output'!P:P&lt;&gt;"")),1),"") &amp; _xlfn.TEXTJOIN("",TRUE,_xlfn._xlws.FILTER('Model output'!Q:Q,'Model output'!Z:Z=A21))</f>
        <v/>
      </c>
      <c r="Y21" t="str">
        <f t="shared" si="9"/>
        <v>no</v>
      </c>
      <c r="Z21" t="str" cm="1">
        <f t="array" ref="Z21">IF(OR(ISNUMBER(SEARCH("focal",_xlfn.TEXTJOIN("; ",TRUE,_xlfn._xlws.FILTER('Model output'!R:R,'Model output'!Z:Z=A21)),1)),ISNUMBER(SEARCH("present",_xlfn.TEXTJOIN("; ",TRUE,_xlfn._xlws.FILTER('Model output'!R:R,'Model output'!Z:Z=A21)),1))),"positive",IF(_xlfn.TEXTJOIN("; ",TRUE,_xlfn._xlws.FILTER('Model output'!R:R,'Model output'!Z:Z=A21))="","negative",IF(OR(ISNUMBER(SEARCH("no",_xlfn.TEXTJOIN("; ",TRUE,_xlfn._xlws.FILTER('Model output'!R:R,'Model output'!Z:Z=A21)),1)),ISNUMBER(SEARCH("absent",_xlfn.TEXTJOIN("; ",TRUE,_xlfn._xlws.FILTER('Model output'!R:R,'Model output'!Z:Z=A21)),1))),"negative","positive")))</f>
        <v>negative</v>
      </c>
      <c r="AA21" s="17" t="str">
        <f t="shared" si="10"/>
        <v>negative</v>
      </c>
      <c r="AE21" s="17" t="str">
        <f t="shared" si="11"/>
        <v>negative</v>
      </c>
      <c r="AF21" t="str" cm="1">
        <f t="array" ref="AF21">_xlfn.TEXTJOIN("; ",TRUE,_xlfn._xlws.FILTER('Model output'!S:S,'Model output'!Z:Z=A21))</f>
        <v/>
      </c>
      <c r="AG21" s="17" t="str" cm="1">
        <f t="array" ref="AG21">IF(OR(ISNUMBER(SEARCH("uninvolved",_xlfn.TEXTJOIN("; ",TRUE,_xlfn._xlws.FILTER('Model output'!V:V,'Model output'!Z:Z=A21)),1)),ISNUMBER(SEARCH("clear",_xlfn.TEXTJOIN("; ",TRUE,_xlfn._xlws.FILTER('Model output'!V:V,'Model output'!Z:Z=A21)),1))*ISNUMBER(SEARCH("not mentioned",_xlfn.TEXTJOIN("; ",TRUE,_xlfn._xlws.FILTER('Model output'!V:V,'Model output'!Z:Z=A21)),1))),"negative",IF(ISNUMBER(SEARCH("cannot be assessed",_xlfn.TEXTJOIN("; ",TRUE,_xlfn._xlws.FILTER('Model output'!V:V,'Model output'!Z:Z=A21)),1)),"unknown","negative"))</f>
        <v>negative</v>
      </c>
      <c r="AI21" s="45" t="str">
        <f t="shared" si="2"/>
        <v>low</v>
      </c>
      <c r="AJ21" s="36" t="str">
        <f t="shared" si="3"/>
        <v>1a</v>
      </c>
      <c r="AK21" s="36">
        <f t="shared" si="16"/>
        <v>0</v>
      </c>
      <c r="AL21" s="36">
        <f t="shared" si="17"/>
        <v>0</v>
      </c>
      <c r="AM21" s="36" t="str">
        <f t="shared" si="18"/>
        <v>I</v>
      </c>
      <c r="AN21" s="37" t="s">
        <v>170</v>
      </c>
      <c r="AO21" s="38" t="s">
        <v>193</v>
      </c>
      <c r="AP21" s="38">
        <v>0</v>
      </c>
      <c r="AQ21" s="38">
        <v>0</v>
      </c>
      <c r="AR21" s="38" t="s">
        <v>31</v>
      </c>
      <c r="AS21" s="37">
        <f t="shared" si="7"/>
        <v>1</v>
      </c>
      <c r="AT21" s="38">
        <f t="shared" si="8"/>
        <v>1</v>
      </c>
      <c r="AU21" s="38">
        <f t="shared" si="12"/>
        <v>1</v>
      </c>
      <c r="AV21" s="38">
        <f t="shared" si="13"/>
        <v>1</v>
      </c>
      <c r="AW21" s="39">
        <f t="shared" si="13"/>
        <v>1</v>
      </c>
    </row>
    <row r="22" spans="1:49">
      <c r="A22" s="13">
        <v>20</v>
      </c>
      <c r="B22" s="16">
        <f>_xlfn.MAXIFS('Model output'!B:B,'Model output'!Z:Z,'Classification result'!$A22)</f>
        <v>45373</v>
      </c>
      <c r="C22" s="16"/>
      <c r="D22" s="16"/>
      <c r="E22" s="17">
        <f>_xlfn.MAXIFS('Model output'!C:C,'Model output'!Z:Z,'Classification result'!$A22)</f>
        <v>61</v>
      </c>
      <c r="F22" s="17" t="str" cm="1">
        <f t="array" ref="F22">LEFT(IF(ISERROR(RIGHT(IF(INDEX(_xlfn._xlws.FILTER('Model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output'!Z:Z=A22)),1),""),1))),"",(RIGHT(IF(INDEX(_xlfn._xlws.FILTER('Model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output'!Z:Z=A22)),1)))))),2)</f>
        <v>2</v>
      </c>
      <c r="G22" s="17" t="str" cm="1">
        <f t="array" ref="G22">IF(ISNUMBER(SEARCH("N",IF(ISNUMBER(SEARCH("present",IF(INDEX(_xlfn._xlws.FILTER('Model output'!E:E,('Model output'!Z:Z=A22)),1)="","",INDEX(_xlfn._xlws.FILTER('Model output'!E:E,('Model output'!Z:Z=A22)),1)),1)),"N1", IF(INDEX(_xlfn._xlws.FILTER('Model output'!E:E,('Model output'!Z:Z=A22)),1)="","",INDEX(_xlfn._xlws.FILTER('Model output'!E:E,('Model output'!Z:Z=A22)),1))),1)),RIGHT(IF(ISNUMBER(SEARCH("present",IF(INDEX(_xlfn._xlws.FILTER('Model output'!E:E,('Model output'!Z:Z=A22)),1)="","",INDEX(_xlfn._xlws.FILTER('Model output'!E:E,('Model output'!Z:Z=A22)),1)),1)),"N1", IF(INDEX(_xlfn._xlws.FILTER('Model output'!E:E,('Model output'!Z:Z=A22)),1)="","",INDEX(_xlfn._xlws.FILTER('Model output'!E:E,('Model output'!Z:Z=A22)),1))),LEN(IF(ISNUMBER(SEARCH("present",IF(INDEX(_xlfn._xlws.FILTER('Model output'!E:E,('Model output'!Z:Z=A22)),1)="","",INDEX(_xlfn._xlws.FILTER('Model output'!E:E,('Model output'!Z:Z=A22)),1)),1)),"N1", IF(INDEX(_xlfn._xlws.FILTER('Model output'!E:E,('Model output'!Z:Z=A22)),1)="","",INDEX(_xlfn._xlws.FILTER('Model output'!E:E,('Model output'!Z:Z=A22)),1))))-FIND("N",IF(ISNUMBER(SEARCH("present",IF(INDEX(_xlfn._xlws.FILTER('Model output'!E:E,('Model output'!Z:Z=A22)),1)="","",INDEX(_xlfn._xlws.FILTER('Model output'!E:E,('Model output'!Z:Z=A22)),1)),1)),"N1", IF(INDEX(_xlfn._xlws.FILTER('Model output'!E:E,('Model output'!Z:Z=A22)),1)="","",INDEX(_xlfn._xlws.FILTER('Model output'!E:E,('Model output'!Z:Z=A22)),1))),1)), "")</f>
        <v>1a</v>
      </c>
      <c r="H22" s="17" cm="1">
        <f t="array" ref="H22">IF(AND(SUBSTITUTE(_xlfn.TEXTJOIN("/", TRUE, _xlfn._xlws.FILTER('Model output'!F:F, 'Model output'!Z:Z=A22)),"M", "")="", K22="negative"),0,IF(K22="positive",1,0))</f>
        <v>0</v>
      </c>
      <c r="I22" t="str">
        <f t="shared" si="0"/>
        <v>positive</v>
      </c>
      <c r="J22" t="str" cm="1">
        <f t="array" ref="J22">IF(AND(M22&gt;0, _xlfn.TEXTJOIN("; ", TRUE, _xlfn._xlws.FILTER('Model output'!G:G, 'Model output'!Z:Z=A22)) &lt;&gt;"", OR(AND(ISNUMBER(SEARCH("level", _xlfn.TEXTJOIN("; ", TRUE, _xlfn._xlws.FILTER('Model output'!G:G, 'Model output'!Z:Z=A22)),1)),OR(ISNUMBER(SEARCH(" II", _xlfn.TEXTJOIN("; ", TRUE, _xlfn._xlws.FILTER('Model output'!G:G, 'Model output'!Z:Z=A22)),1)),ISNUMBER(SEARCH("2", _xlfn.TEXTJOIN("; ", TRUE, _xlfn._xlws.FILTER('Model output'!G:G, 'Model output'!Z:Z=A22)),1)),ISNUMBER(SEARCH("two", _xlfn.TEXTJOIN("; ", TRUE, _xlfn._xlws.FILTER('Model output'!G:G, 'Model output'!Z:Z=A22)),1)),ISNUMBER(SEARCH("III", _xlfn.TEXTJOIN("; ", TRUE, _xlfn._xlws.FILTER('Model output'!G:G, 'Model output'!Z:Z=A22)),1)),ISNUMBER(SEARCH("3", _xlfn.TEXTJOIN("; ", TRUE, _xlfn._xlws.FILTER('Model output'!G:G, 'Model output'!Z:Z=A22)),1)),ISNUMBER(SEARCH("three", _xlfn.TEXTJOIN("; ", TRUE, _xlfn._xlws.FILTER('Model output'!G:G, 'Model output'!Z:Z=A22)),1)),ISNUMBER(SEARCH("IV", _xlfn.TEXTJOIN("; ", TRUE, _xlfn._xlws.FILTER('Model output'!G:G, 'Model output'!Z:Z=A22)),1)),ISNUMBER(SEARCH("4", _xlfn.TEXTJOIN("; ", TRUE, _xlfn._xlws.FILTER('Model output'!G:G, 'Model output'!Z:Z=A22)),1)),ISNUMBER(SEARCH("five", _xlfn.TEXTJOIN("; ", TRUE, _xlfn._xlws.FILTER('Model output'!G:G, 'Model output'!Z:Z=A22)),1)),ISNUMBER(SEARCH("V ", _xlfn.TEXTJOIN("; ", TRUE, _xlfn._xlws.FILTER('Model output'!G:G, 'Model output'!Z:Z=A22)),1)),ISNUMBER(SEARCH("5", _xlfn.TEXTJOIN("; ", TRUE, _xlfn._xlws.FILTER('Model output'!G:G, 'Model output'!Z:Z=A22)),1)),ISNUMBER(SEARCH("five", _xlfn.TEXTJOIN("; ", TRUE, _xlfn._xlws.FILTER('Model output'!G:G, 'Model output'!Z:Z=A22)),1)),ISNUMBER(SEARCH(" lateral", _xlfn.TEXTJOIN("; ", TRUE, _xlfn._xlws.FILTER('Model output'!G:G, 'Model output'!Z:Z=A22)),1)))),ISNUMBER(SEARCH("cervical", _xlfn.TEXTJOIN("; ", TRUE, _xlfn._xlws.FILTER('Model output'!G:G, 'Model output'!Z:Z=A22)),1)),ISNUMBER(SEARCH("jugular", _xlfn.TEXTJOIN("; ", TRUE, _xlfn._xlws.FILTER('Model output'!G:G, 'Model output'!Z:Z=A22)),1)),ISNUMBER(SEARCH("left neck", _xlfn.TEXTJOIN("; ", TRUE, _xlfn._xlws.FILTER('Model output'!G:G, 'Model output'!Z:Z=A22)),1)),ISNUMBER(SEARCH("left anterior neck", _xlfn.TEXTJOIN("; ", TRUE, _xlfn._xlws.FILTER('Model output'!G:G, 'Model output'!Z:Z=A22)),1)),ISNUMBER(SEARCH("left posterior neck", _xlfn.TEXTJOIN("; ", TRUE, _xlfn._xlws.FILTER('Model output'!G:G, 'Model output'!Z:Z=A22)),1)),ISNUMBER(SEARCH("right neck", _xlfn.TEXTJOIN("; ", TRUE, _xlfn._xlws.FILTER('Model output'!G:G, 'Model output'!Z:Z=A22)),1)),ISNUMBER(SEARCH("right anterior neck", _xlfn.TEXTJOIN("; ", TRUE, _xlfn._xlws.FILTER('Model output'!G:G, 'Model output'!Z:Z=A22)),1)),ISNUMBER(SEARCH("right posterior neck", _xlfn.TEXTJOIN("; ", TRUE, _xlfn._xlws.FILTER('Model output'!G:G, 'Model output'!Z:Z=A22)),1)))),"lateral",IF(AND(M22=0, _xlfn.TEXTJOIN("; ", TRUE, _xlfn._xlws.FILTER('Model output'!G:G, 'Model output'!Z:Z=A22))=""),"", "central"))</f>
        <v>central</v>
      </c>
      <c r="K22" s="17" t="str" cm="1">
        <f t="array" ref="K22">IF(OR(ISNUMBER(SEARCH("lymph",_xlfn.TEXTJOIN("; ", TRUE, _xlfn._xlws.FILTER('Model output'!H:H, 'Model output'!Z:Z=A22)),1)), ISNUMBER(SEARCH("Not mentioned",_xlfn.TEXTJOIN("; ", TRUE, _xlfn._xlws.FILTER('Model output'!H:H, 'Model output'!Z:Z=A22)),1)),ISNUMBER(SEARCH("subcutaneous soft tissues",_xlfn.TEXTJOIN("; ", TRUE, _xlfn._xlws.FILTER('Model output'!H:H, 'Model output'!Z:Z=A22)),1)),ISNUMBER(SEARCH("larynx",_xlfn.TEXTJOIN("; ", TRUE, _xlfn._xlws.FILTER('Model output'!H:H, 'Model output'!Z:Z=A22)),1)),ISNUMBER(SEARCH("trachea",_xlfn.TEXTJOIN("; ", TRUE, _xlfn._xlws.FILTER('Model output'!H:H, 'Model output'!Z:Z=A22)),1)),ISNUMBER(SEARCH("esophagus",_xlfn.TEXTJOIN("; ", TRUE, _xlfn._xlws.FILTER('Model output'!H:H, 'Model output'!Z:Z=A22)),1)),ISNUMBER(SEARCH("recurrent laryngeal nerve",_xlfn.TEXTJOIN("; ", TRUE, _xlfn._xlws.FILTER('Model output'!H:H, 'Model output'!Z:Z=A22)),1)),ISNUMBER(SEARCH("RLN",_xlfn.TEXTJOIN("; ", TRUE, _xlfn._xlws.FILTER('Model output'!H:H, 'Model output'!Z:Z=A22)),1)),_xlfn.TEXTJOIN("; ", TRUE, _xlfn._xlws.FILTER('Model output'!H:H, 'Model output'!Z:Z=A22))=""),"negative","positive")</f>
        <v>negative</v>
      </c>
      <c r="L22" s="17">
        <f>IF(IFERROR(INDEX('Model output'!I:I, MATCH(A22, 'Model output'!Z:Z, 0)), "") &lt; M22, "", IFERROR(INDEX('Model output'!I:I, MATCH(A22, 'Model output'!Z:Z, 0)), ""))</f>
        <v>4</v>
      </c>
      <c r="M22" s="17">
        <f>IFERROR(INDEX('Model output'!J:J, MATCH(A22, 'Model output'!Z:Z, 0)), "")</f>
        <v>3</v>
      </c>
      <c r="N22" s="18" t="str" cm="1">
        <f t="array" ref="N22">ReplaceTo(ReplaceAnd(SUBSTITUTE(SUBSTITUTE(_xlfn.TEXTJOIN("; ", TRUE, _xlfn._xlws.FILTER('Model output'!K:K, 'Model output'!Z:Z=A22)), " ", ""), ",", ";")))</f>
        <v/>
      </c>
      <c r="O22" t="str" cm="1">
        <f t="array" ref="O22">IF(LEFT(IF(RIGHT(SUBSTITUTE(FilterWithUnits(N22)&amp;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";")),1)=";",RIGHT(IF(RIGHT(SUBSTITUTE(FilterWithUnits(N22)&amp;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";")),LEN(IF(RIGHT(SUBSTITUTE(FilterWithUnits(N22)&amp;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";")))-1),IF(RIGHT(SUBSTITUTE(FilterWithUnits(N22)&amp;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f>
        <v/>
      </c>
      <c r="P22" t="str" cm="1">
        <f t="array" ref="P22">IF(MaxSize((SplitDimensions(O22)))=0, "", MaxSize((SplitDimensions(O22))))</f>
        <v/>
      </c>
      <c r="Q22" t="str" cm="1">
        <f t="array" ref="Q22">IF(ISERROR(INDEX(_xlfn._xlws.FILTER('Model output'!L:L, ('Model output'!Z:Z=A22)*('Model output'!L:L&lt;&gt;"")), 1)), " ", LOWER(INDEX(_xlfn._xlws.FILTER('Model output'!L:L, ('Model output'!Z:Z=A22)*('Model output'!L:L&lt;&gt;"")), 1)))</f>
        <v>papillary carcinoma</v>
      </c>
      <c r="R22" t="str" cm="1">
        <f t="array" ref="R22">IF(ISERROR(INDEX(_xlfn._xlws.FILTER('Model output'!M:M, ('Model output'!Z:Z=A22)*('Model output'!M:M&lt;&gt;"")), 1)), " ", LOWER(INDEX(_xlfn._xlws.FILTER('Model output'!M:M, ('Model output'!Z:Z=A22)*('Model output'!M:M&lt;&gt;"")), 1)))</f>
        <v>papillary</v>
      </c>
      <c r="S22" t="str" cm="1">
        <f t="array" ref="S22">IF(OR(ISNUMBER(SEARCH("ly",SUBSTITUTE(INDEX(_xlfn._xlws.FILTER('Model output'!N:N,('Model output'!Z:Z=A22)*('Model output'!N:N&lt;&gt;"")),1)," ",""),1)), ISNUMBER(SEARCH("pole",SUBSTITUTE(INDEX(_xlfn._xlws.FILTER('Model output'!N:N,('Model output'!Z:Z=A22)*('Model output'!N:N&lt;&gt;"")),1)," ",""),1))),"",SUBSTITUTE(INDEX(_xlfn._xlws.FILTER('Model output'!N:N,('Model output'!Z:Z=A22)*('Model output'!N:N&lt;&gt;"")),1)," ",""))</f>
        <v>11mm,6mm</v>
      </c>
      <c r="T22" t="str" cm="1">
        <f t="array" ref="T22">IF(LEFT(IF(RIGHT(SUBSTITUTE(FilterWithUnits(S22)&amp;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";")),1)=";",RIGHT(IF(RIGHT(SUBSTITUTE(FilterWithUnits(S22)&amp;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";")),LEN(IF(RIGHT(SUBSTITUTE(FilterWithUnits(S22)&amp;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";")))-1),IF(RIGHT(SUBSTITUTE(FilterWithUnits(S22)&amp;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f>
        <v>11mm</v>
      </c>
      <c r="U22" cm="1">
        <f t="array" ref="U22">IF(MaxSize((SplitDimensions(T22)))=0, "", MaxSize((SplitDimensions(T22))))</f>
        <v>1.1000000000000001</v>
      </c>
      <c r="V22" s="17" t="str" cm="1">
        <f t="array" ref="V22">IF(ISERROR(INDEX(_xlfn._xlws.FILTER('Model output'!P:P,('Model output'!Z:Z=A22)*('Model output'!P:P&lt;&gt;"")),1)),"negative",IF(OR(ISNUMBER(SEARCH("foc",INDEX(_xlfn._xlws.FILTER('Model output'!P:P,('Model output'!Z:Z=A22)*('Model output'!P:P&lt;&gt;"")),1),1)),ISNUMBER(SEARCH("extensive",INDEX(_xlfn._xlws.FILTER('Model output'!P:P,('Model output'!Z:Z=A22)*('Model output'!P:P&lt;&gt;"")),1),1)),ISNUMBER(SEARCH("present",INDEX(_xlfn._xlws.FILTER('Model output'!P:P,('Model output'!Z:Z=A22)*('Model output'!P:P&lt;&gt;"")),1),1)),ISNUMBER(SEARCH("yes",INDEX(_xlfn._xlws.FILTER('Model output'!P:P,('Model output'!Z:Z=A22)*('Model output'!P:P&lt;&gt;"")),1),1))),"positive","negative"))</f>
        <v>positive</v>
      </c>
      <c r="X22" t="str" cm="1">
        <f t="array" ref="X22">IF(ISNUMBER(SEARCH("4",INDEX(_xlfn._xlws.FILTER('Model output'!P:P,('Model output'!Z:Z=A22)*('Model output'!P:P&lt;&gt;"")),1),1)),INDEX(_xlfn._xlws.FILTER('Model output'!P:P,('Model output'!Z:Z=A22)*('Model output'!P:P&lt;&gt;"")),1),"") &amp; _xlfn.TEXTJOIN("",TRUE,_xlfn._xlws.FILTER('Model output'!Q:Q,'Model output'!Z:Z=A22))</f>
        <v>Lymphovascular permeation is present</v>
      </c>
      <c r="Y22" t="str">
        <f t="shared" si="9"/>
        <v>minimal</v>
      </c>
      <c r="Z22" t="str" cm="1">
        <f t="array" ref="Z22">IF(OR(ISNUMBER(SEARCH("focal",_xlfn.TEXTJOIN("; ",TRUE,_xlfn._xlws.FILTER('Model output'!R:R,'Model output'!Z:Z=A22)),1)),ISNUMBER(SEARCH("present",_xlfn.TEXTJOIN("; ",TRUE,_xlfn._xlws.FILTER('Model output'!R:R,'Model output'!Z:Z=A22)),1))),"positive",IF(_xlfn.TEXTJOIN("; ",TRUE,_xlfn._xlws.FILTER('Model output'!R:R,'Model output'!Z:Z=A22))="","negative",IF(OR(ISNUMBER(SEARCH("no",_xlfn.TEXTJOIN("; ",TRUE,_xlfn._xlws.FILTER('Model output'!R:R,'Model output'!Z:Z=A22)),1)),ISNUMBER(SEARCH("absent",_xlfn.TEXTJOIN("; ",TRUE,_xlfn._xlws.FILTER('Model output'!R:R,'Model output'!Z:Z=A22)),1))),"negative","positive")))</f>
        <v>negative</v>
      </c>
      <c r="AA22" s="17" t="str">
        <f t="shared" si="10"/>
        <v>positive</v>
      </c>
      <c r="AE22" s="17" t="str">
        <f t="shared" si="11"/>
        <v>negative</v>
      </c>
      <c r="AF22" t="str" cm="1">
        <f t="array" ref="AF22">_xlfn.TEXTJOIN("; ",TRUE,_xlfn._xlws.FILTER('Model output'!S:S,'Model output'!Z:Z=A22))</f>
        <v>peripheral margins are clear, with a minimal microscopic clearance of &lt;1 mm from both the anterior and posterior surfaces. Lymphovascular permeation is present.</v>
      </c>
      <c r="AG22" s="17" t="str" cm="1">
        <f t="array" ref="AG22">IF(OR(ISNUMBER(SEARCH("uninvolved",_xlfn.TEXTJOIN("; ",TRUE,_xlfn._xlws.FILTER('Model output'!V:V,'Model output'!Z:Z=A22)),1)),ISNUMBER(SEARCH("clear",_xlfn.TEXTJOIN("; ",TRUE,_xlfn._xlws.FILTER('Model output'!V:V,'Model output'!Z:Z=A22)),1))*ISNUMBER(SEARCH("not mentioned",_xlfn.TEXTJOIN("; ",TRUE,_xlfn._xlws.FILTER('Model output'!V:V,'Model output'!Z:Z=A22)),1))),"negative",IF(ISNUMBER(SEARCH("cannot be assessed",_xlfn.TEXTJOIN("; ",TRUE,_xlfn._xlws.FILTER('Model output'!V:V,'Model output'!Z:Z=A22)),1)),"unknown","negative"))</f>
        <v>negative</v>
      </c>
      <c r="AI22" s="45" t="str">
        <f t="shared" si="2"/>
        <v>intermediate</v>
      </c>
      <c r="AJ22" s="36" t="str">
        <f t="shared" si="3"/>
        <v>1b</v>
      </c>
      <c r="AK22" s="36" t="str">
        <f t="shared" si="16"/>
        <v>1a</v>
      </c>
      <c r="AL22" s="36">
        <f t="shared" si="17"/>
        <v>0</v>
      </c>
      <c r="AM22" s="36" t="str">
        <f t="shared" si="18"/>
        <v>II</v>
      </c>
      <c r="AN22" s="37" t="s">
        <v>168</v>
      </c>
      <c r="AO22" s="38" t="s">
        <v>191</v>
      </c>
      <c r="AP22" s="38" t="s">
        <v>193</v>
      </c>
      <c r="AQ22" s="38">
        <v>0</v>
      </c>
      <c r="AR22" s="38" t="s">
        <v>44</v>
      </c>
      <c r="AS22" s="37">
        <f t="shared" si="7"/>
        <v>1</v>
      </c>
      <c r="AT22" s="38">
        <f t="shared" si="8"/>
        <v>1</v>
      </c>
      <c r="AU22" s="38">
        <f t="shared" si="12"/>
        <v>1</v>
      </c>
      <c r="AV22" s="38">
        <f t="shared" si="13"/>
        <v>1</v>
      </c>
      <c r="AW22" s="39">
        <f t="shared" si="13"/>
        <v>1</v>
      </c>
    </row>
    <row r="23" spans="1:49">
      <c r="A23" s="13">
        <v>21</v>
      </c>
      <c r="B23" s="16">
        <f>_xlfn.MAXIFS('Model output'!B:B,'Model output'!Z:Z,'Classification result'!$A23)</f>
        <v>45296</v>
      </c>
      <c r="C23" s="16"/>
      <c r="D23" s="16"/>
      <c r="E23" s="17">
        <f>_xlfn.MAXIFS('Model output'!C:C,'Model output'!Z:Z,'Classification result'!$A23)</f>
        <v>51</v>
      </c>
      <c r="F23" s="17" t="str" cm="1">
        <f t="array" ref="F23">LEFT(IF(ISERROR(RIGHT(IF(INDEX(_xlfn._xlws.FILTER('Model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output'!Z:Z=A23)),1),""),1))),"",(RIGHT(IF(INDEX(_xlfn._xlws.FILTER('Model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output'!Z:Z=A23)),1)))))),2)</f>
        <v>2</v>
      </c>
      <c r="G23" s="17" t="str" cm="1">
        <f t="array" ref="G23">IF(ISNUMBER(SEARCH("N",IF(ISNUMBER(SEARCH("present",IF(INDEX(_xlfn._xlws.FILTER('Model output'!E:E,('Model output'!Z:Z=A23)),1)="","",INDEX(_xlfn._xlws.FILTER('Model output'!E:E,('Model output'!Z:Z=A23)),1)),1)),"N1", IF(INDEX(_xlfn._xlws.FILTER('Model output'!E:E,('Model output'!Z:Z=A23)),1)="","",INDEX(_xlfn._xlws.FILTER('Model output'!E:E,('Model output'!Z:Z=A23)),1))),1)),RIGHT(IF(ISNUMBER(SEARCH("present",IF(INDEX(_xlfn._xlws.FILTER('Model output'!E:E,('Model output'!Z:Z=A23)),1)="","",INDEX(_xlfn._xlws.FILTER('Model output'!E:E,('Model output'!Z:Z=A23)),1)),1)),"N1", IF(INDEX(_xlfn._xlws.FILTER('Model output'!E:E,('Model output'!Z:Z=A23)),1)="","",INDEX(_xlfn._xlws.FILTER('Model output'!E:E,('Model output'!Z:Z=A23)),1))),LEN(IF(ISNUMBER(SEARCH("present",IF(INDEX(_xlfn._xlws.FILTER('Model output'!E:E,('Model output'!Z:Z=A23)),1)="","",INDEX(_xlfn._xlws.FILTER('Model output'!E:E,('Model output'!Z:Z=A23)),1)),1)),"N1", IF(INDEX(_xlfn._xlws.FILTER('Model output'!E:E,('Model output'!Z:Z=A23)),1)="","",INDEX(_xlfn._xlws.FILTER('Model output'!E:E,('Model output'!Z:Z=A23)),1))))-FIND("N",IF(ISNUMBER(SEARCH("present",IF(INDEX(_xlfn._xlws.FILTER('Model output'!E:E,('Model output'!Z:Z=A23)),1)="","",INDEX(_xlfn._xlws.FILTER('Model output'!E:E,('Model output'!Z:Z=A23)),1)),1)),"N1", IF(INDEX(_xlfn._xlws.FILTER('Model output'!E:E,('Model output'!Z:Z=A23)),1)="","",INDEX(_xlfn._xlws.FILTER('Model output'!E:E,('Model output'!Z:Z=A23)),1))),1)), "")</f>
        <v>1a</v>
      </c>
      <c r="H23" s="17" cm="1">
        <f t="array" ref="H23">IF(AND(SUBSTITUTE(_xlfn.TEXTJOIN("/", TRUE, _xlfn._xlws.FILTER('Model output'!F:F, 'Model output'!Z:Z=A23)),"M", "")="", K23="negative"),0,IF(K23="positive",1,0))</f>
        <v>0</v>
      </c>
      <c r="I23" t="str">
        <f t="shared" si="0"/>
        <v>positive</v>
      </c>
      <c r="J23" t="str" cm="1">
        <f t="array" ref="J23">IF(AND(M23&gt;0, _xlfn.TEXTJOIN("; ", TRUE, _xlfn._xlws.FILTER('Model output'!G:G, 'Model output'!Z:Z=A23)) &lt;&gt;"", OR(AND(ISNUMBER(SEARCH("level", _xlfn.TEXTJOIN("; ", TRUE, _xlfn._xlws.FILTER('Model output'!G:G, 'Model output'!Z:Z=A23)),1)),OR(ISNUMBER(SEARCH(" II", _xlfn.TEXTJOIN("; ", TRUE, _xlfn._xlws.FILTER('Model output'!G:G, 'Model output'!Z:Z=A23)),1)),ISNUMBER(SEARCH("2", _xlfn.TEXTJOIN("; ", TRUE, _xlfn._xlws.FILTER('Model output'!G:G, 'Model output'!Z:Z=A23)),1)),ISNUMBER(SEARCH("two", _xlfn.TEXTJOIN("; ", TRUE, _xlfn._xlws.FILTER('Model output'!G:G, 'Model output'!Z:Z=A23)),1)),ISNUMBER(SEARCH("III", _xlfn.TEXTJOIN("; ", TRUE, _xlfn._xlws.FILTER('Model output'!G:G, 'Model output'!Z:Z=A23)),1)),ISNUMBER(SEARCH("3", _xlfn.TEXTJOIN("; ", TRUE, _xlfn._xlws.FILTER('Model output'!G:G, 'Model output'!Z:Z=A23)),1)),ISNUMBER(SEARCH("three", _xlfn.TEXTJOIN("; ", TRUE, _xlfn._xlws.FILTER('Model output'!G:G, 'Model output'!Z:Z=A23)),1)),ISNUMBER(SEARCH("IV", _xlfn.TEXTJOIN("; ", TRUE, _xlfn._xlws.FILTER('Model output'!G:G, 'Model output'!Z:Z=A23)),1)),ISNUMBER(SEARCH("4", _xlfn.TEXTJOIN("; ", TRUE, _xlfn._xlws.FILTER('Model output'!G:G, 'Model output'!Z:Z=A23)),1)),ISNUMBER(SEARCH("five", _xlfn.TEXTJOIN("; ", TRUE, _xlfn._xlws.FILTER('Model output'!G:G, 'Model output'!Z:Z=A23)),1)),ISNUMBER(SEARCH("V ", _xlfn.TEXTJOIN("; ", TRUE, _xlfn._xlws.FILTER('Model output'!G:G, 'Model output'!Z:Z=A23)),1)),ISNUMBER(SEARCH("5", _xlfn.TEXTJOIN("; ", TRUE, _xlfn._xlws.FILTER('Model output'!G:G, 'Model output'!Z:Z=A23)),1)),ISNUMBER(SEARCH("five", _xlfn.TEXTJOIN("; ", TRUE, _xlfn._xlws.FILTER('Model output'!G:G, 'Model output'!Z:Z=A23)),1)),ISNUMBER(SEARCH(" lateral", _xlfn.TEXTJOIN("; ", TRUE, _xlfn._xlws.FILTER('Model output'!G:G, 'Model output'!Z:Z=A23)),1)))),ISNUMBER(SEARCH("cervical", _xlfn.TEXTJOIN("; ", TRUE, _xlfn._xlws.FILTER('Model output'!G:G, 'Model output'!Z:Z=A23)),1)),ISNUMBER(SEARCH("jugular", _xlfn.TEXTJOIN("; ", TRUE, _xlfn._xlws.FILTER('Model output'!G:G, 'Model output'!Z:Z=A23)),1)),ISNUMBER(SEARCH("left neck", _xlfn.TEXTJOIN("; ", TRUE, _xlfn._xlws.FILTER('Model output'!G:G, 'Model output'!Z:Z=A23)),1)),ISNUMBER(SEARCH("left anterior neck", _xlfn.TEXTJOIN("; ", TRUE, _xlfn._xlws.FILTER('Model output'!G:G, 'Model output'!Z:Z=A23)),1)),ISNUMBER(SEARCH("left posterior neck", _xlfn.TEXTJOIN("; ", TRUE, _xlfn._xlws.FILTER('Model output'!G:G, 'Model output'!Z:Z=A23)),1)),ISNUMBER(SEARCH("right neck", _xlfn.TEXTJOIN("; ", TRUE, _xlfn._xlws.FILTER('Model output'!G:G, 'Model output'!Z:Z=A23)),1)),ISNUMBER(SEARCH("right anterior neck", _xlfn.TEXTJOIN("; ", TRUE, _xlfn._xlws.FILTER('Model output'!G:G, 'Model output'!Z:Z=A23)),1)),ISNUMBER(SEARCH("right posterior neck", _xlfn.TEXTJOIN("; ", TRUE, _xlfn._xlws.FILTER('Model output'!G:G, 'Model output'!Z:Z=A23)),1)))),"lateral",IF(AND(M23=0, _xlfn.TEXTJOIN("; ", TRUE, _xlfn._xlws.FILTER('Model output'!G:G, 'Model output'!Z:Z=A23))=""),"", "central"))</f>
        <v>central</v>
      </c>
      <c r="K23" s="17" t="str" cm="1">
        <f t="array" ref="K23">IF(OR(ISNUMBER(SEARCH("lymph",_xlfn.TEXTJOIN("; ", TRUE, _xlfn._xlws.FILTER('Model output'!H:H, 'Model output'!Z:Z=A23)),1)), ISNUMBER(SEARCH("Not mentioned",_xlfn.TEXTJOIN("; ", TRUE, _xlfn._xlws.FILTER('Model output'!H:H, 'Model output'!Z:Z=A23)),1)),ISNUMBER(SEARCH("subcutaneous soft tissues",_xlfn.TEXTJOIN("; ", TRUE, _xlfn._xlws.FILTER('Model output'!H:H, 'Model output'!Z:Z=A23)),1)),ISNUMBER(SEARCH("larynx",_xlfn.TEXTJOIN("; ", TRUE, _xlfn._xlws.FILTER('Model output'!H:H, 'Model output'!Z:Z=A23)),1)),ISNUMBER(SEARCH("trachea",_xlfn.TEXTJOIN("; ", TRUE, _xlfn._xlws.FILTER('Model output'!H:H, 'Model output'!Z:Z=A23)),1)),ISNUMBER(SEARCH("esophagus",_xlfn.TEXTJOIN("; ", TRUE, _xlfn._xlws.FILTER('Model output'!H:H, 'Model output'!Z:Z=A23)),1)),ISNUMBER(SEARCH("recurrent laryngeal nerve",_xlfn.TEXTJOIN("; ", TRUE, _xlfn._xlws.FILTER('Model output'!H:H, 'Model output'!Z:Z=A23)),1)),ISNUMBER(SEARCH("RLN",_xlfn.TEXTJOIN("; ", TRUE, _xlfn._xlws.FILTER('Model output'!H:H, 'Model output'!Z:Z=A23)),1)),_xlfn.TEXTJOIN("; ", TRUE, _xlfn._xlws.FILTER('Model output'!H:H, 'Model output'!Z:Z=A23))=""),"negative","positive")</f>
        <v>negative</v>
      </c>
      <c r="L23" s="17">
        <f>IF(IFERROR(INDEX('Model output'!I:I, MATCH(A23, 'Model output'!Z:Z, 0)), "") &lt; M23, "", IFERROR(INDEX('Model output'!I:I, MATCH(A23, 'Model output'!Z:Z, 0)), ""))</f>
        <v>7</v>
      </c>
      <c r="M23" s="17">
        <f>IFERROR(INDEX('Model output'!J:J, MATCH(A23, 'Model output'!Z:Z, 0)), "")</f>
        <v>4</v>
      </c>
      <c r="N23" s="18" t="str" cm="1">
        <f t="array" ref="N23">ReplaceTo(ReplaceAnd(SUBSTITUTE(SUBSTITUTE(_xlfn.TEXTJOIN("; ", TRUE, _xlfn._xlws.FILTER('Model output'!K:K, 'Model output'!Z:Z=A23)), " ", ""), ",", ";")))</f>
        <v/>
      </c>
      <c r="O23" t="str" cm="1">
        <f t="array" ref="O23">IF(LEFT(IF(RIGHT(SUBSTITUTE(FilterWithUnits(N23)&amp;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";")),1)=";",RIGHT(IF(RIGHT(SUBSTITUTE(FilterWithUnits(N23)&amp;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";")),LEN(IF(RIGHT(SUBSTITUTE(FilterWithUnits(N23)&amp;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";")))-1),IF(RIGHT(SUBSTITUTE(FilterWithUnits(N23)&amp;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f>
        <v/>
      </c>
      <c r="P23" t="str" cm="1">
        <f t="array" ref="P23">IF(MaxSize((SplitDimensions(O23)))=0, "", MaxSize((SplitDimensions(O23))))</f>
        <v/>
      </c>
      <c r="Q23" t="str" cm="1">
        <f t="array" ref="Q23">IF(ISERROR(INDEX(_xlfn._xlws.FILTER('Model output'!L:L, ('Model output'!Z:Z=A23)*('Model output'!L:L&lt;&gt;"")), 1)), " ", LOWER(INDEX(_xlfn._xlws.FILTER('Model output'!L:L, ('Model output'!Z:Z=A23)*('Model output'!L:L&lt;&gt;"")), 1)))</f>
        <v>papillary</v>
      </c>
      <c r="R23" t="str" cm="1">
        <f t="array" ref="R23">IF(ISERROR(INDEX(_xlfn._xlws.FILTER('Model output'!M:M, ('Model output'!Z:Z=A23)*('Model output'!M:M&lt;&gt;"")), 1)), " ", LOWER(INDEX(_xlfn._xlws.FILTER('Model output'!M:M, ('Model output'!Z:Z=A23)*('Model output'!M:M&lt;&gt;"")), 1)))</f>
        <v>classic</v>
      </c>
      <c r="S23" t="str" cm="1">
        <f t="array" ref="S23">IF(OR(ISNUMBER(SEARCH("ly",SUBSTITUTE(INDEX(_xlfn._xlws.FILTER('Model output'!N:N,('Model output'!Z:Z=A23)*('Model output'!N:N&lt;&gt;"")),1)," ",""),1)), ISNUMBER(SEARCH("pole",SUBSTITUTE(INDEX(_xlfn._xlws.FILTER('Model output'!N:N,('Model output'!Z:Z=A23)*('Model output'!N:N&lt;&gt;"")),1)," ",""),1))),"",SUBSTITUTE(INDEX(_xlfn._xlws.FILTER('Model output'!N:N,('Model output'!Z:Z=A23)*('Model output'!N:N&lt;&gt;"")),1)," ",""))</f>
        <v/>
      </c>
      <c r="T23" t="str" cm="1">
        <f t="array" ref="T23">IF(LEFT(IF(RIGHT(SUBSTITUTE(FilterWithUnits(S23)&amp;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";")),1)=";",RIGHT(IF(RIGHT(SUBSTITUTE(FilterWithUnits(S23)&amp;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";")),LEN(IF(RIGHT(SUBSTITUTE(FilterWithUnits(S23)&amp;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";")))-1),IF(RIGHT(SUBSTITUTE(FilterWithUnits(S23)&amp;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f>
        <v/>
      </c>
      <c r="U23" t="str" cm="1">
        <f t="array" ref="U23">IF(MaxSize((SplitDimensions(T23)))=0, "", MaxSize((SplitDimensions(T23))))</f>
        <v/>
      </c>
      <c r="V23" s="17" t="str" cm="1">
        <f t="array" ref="V23">IF(ISERROR(INDEX(_xlfn._xlws.FILTER('Model output'!P:P,('Model output'!Z:Z=A23)*('Model output'!P:P&lt;&gt;"")),1)),"negative",IF(OR(ISNUMBER(SEARCH("foc",INDEX(_xlfn._xlws.FILTER('Model output'!P:P,('Model output'!Z:Z=A23)*('Model output'!P:P&lt;&gt;"")),1),1)),ISNUMBER(SEARCH("extensive",INDEX(_xlfn._xlws.FILTER('Model output'!P:P,('Model output'!Z:Z=A23)*('Model output'!P:P&lt;&gt;"")),1),1)),ISNUMBER(SEARCH("present",INDEX(_xlfn._xlws.FILTER('Model output'!P:P,('Model output'!Z:Z=A23)*('Model output'!P:P&lt;&gt;"")),1),1)),ISNUMBER(SEARCH("yes",INDEX(_xlfn._xlws.FILTER('Model output'!P:P,('Model output'!Z:Z=A23)*('Model output'!P:P&lt;&gt;"")),1),1))),"positive","negative"))</f>
        <v>negative</v>
      </c>
      <c r="X23" t="str" cm="1">
        <f t="array" ref="X23">IF(ISNUMBER(SEARCH("4",INDEX(_xlfn._xlws.FILTER('Model output'!P:P,('Model output'!Z:Z=A23)*('Model output'!P:P&lt;&gt;"")),1),1)),INDEX(_xlfn._xlws.FILTER('Model output'!P:P,('Model output'!Z:Z=A23)*('Model output'!P:P&lt;&gt;"")),1),"") &amp; _xlfn.TEXTJOIN("",TRUE,_xlfn._xlws.FILTER('Model output'!Q:Q,'Model output'!Z:Z=A23))</f>
        <v/>
      </c>
      <c r="Y23" t="str">
        <f t="shared" si="9"/>
        <v>no</v>
      </c>
      <c r="Z23" t="str" cm="1">
        <f t="array" ref="Z23">IF(OR(ISNUMBER(SEARCH("focal",_xlfn.TEXTJOIN("; ",TRUE,_xlfn._xlws.FILTER('Model output'!R:R,'Model output'!Z:Z=A23)),1)),ISNUMBER(SEARCH("present",_xlfn.TEXTJOIN("; ",TRUE,_xlfn._xlws.FILTER('Model output'!R:R,'Model output'!Z:Z=A23)),1))),"positive",IF(_xlfn.TEXTJOIN("; ",TRUE,_xlfn._xlws.FILTER('Model output'!R:R,'Model output'!Z:Z=A23))="","negative",IF(OR(ISNUMBER(SEARCH("no",_xlfn.TEXTJOIN("; ",TRUE,_xlfn._xlws.FILTER('Model output'!R:R,'Model output'!Z:Z=A23)),1)),ISNUMBER(SEARCH("absent",_xlfn.TEXTJOIN("; ",TRUE,_xlfn._xlws.FILTER('Model output'!R:R,'Model output'!Z:Z=A23)),1))),"negative","positive")))</f>
        <v>positive</v>
      </c>
      <c r="AA23" s="17" t="str">
        <f t="shared" si="10"/>
        <v>negative</v>
      </c>
      <c r="AE23" s="17" t="str">
        <f t="shared" si="11"/>
        <v>positive</v>
      </c>
      <c r="AF23" t="str" cm="1">
        <f t="array" ref="AF23">_xlfn.TEXTJOIN("; ",TRUE,_xlfn._xlws.FILTER('Model output'!S:S,'Model output'!Z:Z=A23))</f>
        <v>skeletal muscle</v>
      </c>
      <c r="AG23" s="17" t="str" cm="1">
        <f t="array" ref="AG23">IF(OR(ISNUMBER(SEARCH("uninvolved",_xlfn.TEXTJOIN("; ",TRUE,_xlfn._xlws.FILTER('Model output'!V:V,'Model output'!Z:Z=A23)),1)),ISNUMBER(SEARCH("clear",_xlfn.TEXTJOIN("; ",TRUE,_xlfn._xlws.FILTER('Model output'!V:V,'Model output'!Z:Z=A23)),1))*ISNUMBER(SEARCH("not mentioned",_xlfn.TEXTJOIN("; ",TRUE,_xlfn._xlws.FILTER('Model output'!V:V,'Model output'!Z:Z=A23)),1))),"negative",IF(ISNUMBER(SEARCH("cannot be assessed",_xlfn.TEXTJOIN("; ",TRUE,_xlfn._xlws.FILTER('Model output'!V:V,'Model output'!Z:Z=A23)),1)),"unknown","negative"))</f>
        <v>negative</v>
      </c>
      <c r="AI23" s="45" t="str">
        <f t="shared" si="2"/>
        <v>high</v>
      </c>
      <c r="AJ23" s="36" t="str">
        <f t="shared" si="3"/>
        <v>3b</v>
      </c>
      <c r="AK23" s="36" t="str">
        <f t="shared" si="16"/>
        <v>1a</v>
      </c>
      <c r="AL23" s="36">
        <f t="shared" si="17"/>
        <v>0</v>
      </c>
      <c r="AM23" s="36" t="str">
        <f t="shared" si="18"/>
        <v>I</v>
      </c>
      <c r="AN23" s="37" t="s">
        <v>168</v>
      </c>
      <c r="AO23" s="38" t="s">
        <v>191</v>
      </c>
      <c r="AP23" s="38" t="s">
        <v>193</v>
      </c>
      <c r="AQ23" s="38">
        <v>0</v>
      </c>
      <c r="AR23" s="38" t="s">
        <v>31</v>
      </c>
      <c r="AS23" s="37">
        <f t="shared" si="7"/>
        <v>0</v>
      </c>
      <c r="AT23" s="38">
        <f t="shared" si="8"/>
        <v>0</v>
      </c>
      <c r="AU23" s="38">
        <f t="shared" si="12"/>
        <v>1</v>
      </c>
      <c r="AV23" s="38">
        <f t="shared" si="13"/>
        <v>1</v>
      </c>
      <c r="AW23" s="39">
        <f t="shared" si="13"/>
        <v>1</v>
      </c>
    </row>
    <row r="24" spans="1:49">
      <c r="A24" s="13">
        <v>22</v>
      </c>
      <c r="B24" s="16">
        <f>_xlfn.MAXIFS('Model output'!B:B,'Model output'!Z:Z,'Classification result'!$A24)</f>
        <v>45299</v>
      </c>
      <c r="C24" s="16"/>
      <c r="D24" s="16"/>
      <c r="E24" s="17">
        <f>_xlfn.MAXIFS('Model output'!C:C,'Model output'!Z:Z,'Classification result'!$A24)</f>
        <v>50</v>
      </c>
      <c r="F24" s="17" t="str" cm="1">
        <f t="array" ref="F24">LEFT(IF(ISERROR(RIGHT(IF(INDEX(_xlfn._xlws.FILTER('Model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output'!Z:Z=A24)),1),""),1))),"",(RIGHT(IF(INDEX(_xlfn._xlws.FILTER('Model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output'!Z:Z=A24)),1)))))),2)</f>
        <v>1a</v>
      </c>
      <c r="G24" s="17" t="str" cm="1">
        <f t="array" ref="G24">IF(ISNUMBER(SEARCH("N",IF(ISNUMBER(SEARCH("present",IF(INDEX(_xlfn._xlws.FILTER('Model output'!E:E,('Model output'!Z:Z=A24)),1)="","",INDEX(_xlfn._xlws.FILTER('Model output'!E:E,('Model output'!Z:Z=A24)),1)),1)),"N1", IF(INDEX(_xlfn._xlws.FILTER('Model output'!E:E,('Model output'!Z:Z=A24)),1)="","",INDEX(_xlfn._xlws.FILTER('Model output'!E:E,('Model output'!Z:Z=A24)),1))),1)),RIGHT(IF(ISNUMBER(SEARCH("present",IF(INDEX(_xlfn._xlws.FILTER('Model output'!E:E,('Model output'!Z:Z=A24)),1)="","",INDEX(_xlfn._xlws.FILTER('Model output'!E:E,('Model output'!Z:Z=A24)),1)),1)),"N1", IF(INDEX(_xlfn._xlws.FILTER('Model output'!E:E,('Model output'!Z:Z=A24)),1)="","",INDEX(_xlfn._xlws.FILTER('Model output'!E:E,('Model output'!Z:Z=A24)),1))),LEN(IF(ISNUMBER(SEARCH("present",IF(INDEX(_xlfn._xlws.FILTER('Model output'!E:E,('Model output'!Z:Z=A24)),1)="","",INDEX(_xlfn._xlws.FILTER('Model output'!E:E,('Model output'!Z:Z=A24)),1)),1)),"N1", IF(INDEX(_xlfn._xlws.FILTER('Model output'!E:E,('Model output'!Z:Z=A24)),1)="","",INDEX(_xlfn._xlws.FILTER('Model output'!E:E,('Model output'!Z:Z=A24)),1))))-FIND("N",IF(ISNUMBER(SEARCH("present",IF(INDEX(_xlfn._xlws.FILTER('Model output'!E:E,('Model output'!Z:Z=A24)),1)="","",INDEX(_xlfn._xlws.FILTER('Model output'!E:E,('Model output'!Z:Z=A24)),1)),1)),"N1", IF(INDEX(_xlfn._xlws.FILTER('Model output'!E:E,('Model output'!Z:Z=A24)),1)="","",INDEX(_xlfn._xlws.FILTER('Model output'!E:E,('Model output'!Z:Z=A24)),1))),1)), "")</f>
        <v>X</v>
      </c>
      <c r="H24" s="17" cm="1">
        <f t="array" ref="H24">IF(AND(SUBSTITUTE(_xlfn.TEXTJOIN("/", TRUE, _xlfn._xlws.FILTER('Model output'!F:F, 'Model output'!Z:Z=A24)),"M", "")="", K24="negative"),0,IF(K24="positive",1,0))</f>
        <v>0</v>
      </c>
      <c r="I24" t="str">
        <f t="shared" si="0"/>
        <v>positive</v>
      </c>
      <c r="J24" t="str" cm="1">
        <f t="array" ref="J24">IF(AND(M24&gt;0, _xlfn.TEXTJOIN("; ", TRUE, _xlfn._xlws.FILTER('Model output'!G:G, 'Model output'!Z:Z=A24)) &lt;&gt;"", OR(AND(ISNUMBER(SEARCH("level", _xlfn.TEXTJOIN("; ", TRUE, _xlfn._xlws.FILTER('Model output'!G:G, 'Model output'!Z:Z=A24)),1)),OR(ISNUMBER(SEARCH(" II", _xlfn.TEXTJOIN("; ", TRUE, _xlfn._xlws.FILTER('Model output'!G:G, 'Model output'!Z:Z=A24)),1)),ISNUMBER(SEARCH("2", _xlfn.TEXTJOIN("; ", TRUE, _xlfn._xlws.FILTER('Model output'!G:G, 'Model output'!Z:Z=A24)),1)),ISNUMBER(SEARCH("two", _xlfn.TEXTJOIN("; ", TRUE, _xlfn._xlws.FILTER('Model output'!G:G, 'Model output'!Z:Z=A24)),1)),ISNUMBER(SEARCH("III", _xlfn.TEXTJOIN("; ", TRUE, _xlfn._xlws.FILTER('Model output'!G:G, 'Model output'!Z:Z=A24)),1)),ISNUMBER(SEARCH("3", _xlfn.TEXTJOIN("; ", TRUE, _xlfn._xlws.FILTER('Model output'!G:G, 'Model output'!Z:Z=A24)),1)),ISNUMBER(SEARCH("three", _xlfn.TEXTJOIN("; ", TRUE, _xlfn._xlws.FILTER('Model output'!G:G, 'Model output'!Z:Z=A24)),1)),ISNUMBER(SEARCH("IV", _xlfn.TEXTJOIN("; ", TRUE, _xlfn._xlws.FILTER('Model output'!G:G, 'Model output'!Z:Z=A24)),1)),ISNUMBER(SEARCH("4", _xlfn.TEXTJOIN("; ", TRUE, _xlfn._xlws.FILTER('Model output'!G:G, 'Model output'!Z:Z=A24)),1)),ISNUMBER(SEARCH("five", _xlfn.TEXTJOIN("; ", TRUE, _xlfn._xlws.FILTER('Model output'!G:G, 'Model output'!Z:Z=A24)),1)),ISNUMBER(SEARCH("V ", _xlfn.TEXTJOIN("; ", TRUE, _xlfn._xlws.FILTER('Model output'!G:G, 'Model output'!Z:Z=A24)),1)),ISNUMBER(SEARCH("5", _xlfn.TEXTJOIN("; ", TRUE, _xlfn._xlws.FILTER('Model output'!G:G, 'Model output'!Z:Z=A24)),1)),ISNUMBER(SEARCH("five", _xlfn.TEXTJOIN("; ", TRUE, _xlfn._xlws.FILTER('Model output'!G:G, 'Model output'!Z:Z=A24)),1)),ISNUMBER(SEARCH(" lateral", _xlfn.TEXTJOIN("; ", TRUE, _xlfn._xlws.FILTER('Model output'!G:G, 'Model output'!Z:Z=A24)),1)))),ISNUMBER(SEARCH("cervical", _xlfn.TEXTJOIN("; ", TRUE, _xlfn._xlws.FILTER('Model output'!G:G, 'Model output'!Z:Z=A24)),1)),ISNUMBER(SEARCH("jugular", _xlfn.TEXTJOIN("; ", TRUE, _xlfn._xlws.FILTER('Model output'!G:G, 'Model output'!Z:Z=A24)),1)),ISNUMBER(SEARCH("left neck", _xlfn.TEXTJOIN("; ", TRUE, _xlfn._xlws.FILTER('Model output'!G:G, 'Model output'!Z:Z=A24)),1)),ISNUMBER(SEARCH("left anterior neck", _xlfn.TEXTJOIN("; ", TRUE, _xlfn._xlws.FILTER('Model output'!G:G, 'Model output'!Z:Z=A24)),1)),ISNUMBER(SEARCH("left posterior neck", _xlfn.TEXTJOIN("; ", TRUE, _xlfn._xlws.FILTER('Model output'!G:G, 'Model output'!Z:Z=A24)),1)),ISNUMBER(SEARCH("right neck", _xlfn.TEXTJOIN("; ", TRUE, _xlfn._xlws.FILTER('Model output'!G:G, 'Model output'!Z:Z=A24)),1)),ISNUMBER(SEARCH("right anterior neck", _xlfn.TEXTJOIN("; ", TRUE, _xlfn._xlws.FILTER('Model output'!G:G, 'Model output'!Z:Z=A24)),1)),ISNUMBER(SEARCH("right posterior neck", _xlfn.TEXTJOIN("; ", TRUE, _xlfn._xlws.FILTER('Model output'!G:G, 'Model output'!Z:Z=A24)),1)))),"lateral",IF(AND(M24=0, _xlfn.TEXTJOIN("; ", TRUE, _xlfn._xlws.FILTER('Model output'!G:G, 'Model output'!Z:Z=A24))=""),"", "central"))</f>
        <v>central</v>
      </c>
      <c r="K24" s="17" t="str" cm="1">
        <f t="array" ref="K24">IF(OR(ISNUMBER(SEARCH("lymph",_xlfn.TEXTJOIN("; ", TRUE, _xlfn._xlws.FILTER('Model output'!H:H, 'Model output'!Z:Z=A24)),1)), ISNUMBER(SEARCH("Not mentioned",_xlfn.TEXTJOIN("; ", TRUE, _xlfn._xlws.FILTER('Model output'!H:H, 'Model output'!Z:Z=A24)),1)),ISNUMBER(SEARCH("subcutaneous soft tissues",_xlfn.TEXTJOIN("; ", TRUE, _xlfn._xlws.FILTER('Model output'!H:H, 'Model output'!Z:Z=A24)),1)),ISNUMBER(SEARCH("larynx",_xlfn.TEXTJOIN("; ", TRUE, _xlfn._xlws.FILTER('Model output'!H:H, 'Model output'!Z:Z=A24)),1)),ISNUMBER(SEARCH("trachea",_xlfn.TEXTJOIN("; ", TRUE, _xlfn._xlws.FILTER('Model output'!H:H, 'Model output'!Z:Z=A24)),1)),ISNUMBER(SEARCH("esophagus",_xlfn.TEXTJOIN("; ", TRUE, _xlfn._xlws.FILTER('Model output'!H:H, 'Model output'!Z:Z=A24)),1)),ISNUMBER(SEARCH("recurrent laryngeal nerve",_xlfn.TEXTJOIN("; ", TRUE, _xlfn._xlws.FILTER('Model output'!H:H, 'Model output'!Z:Z=A24)),1)),ISNUMBER(SEARCH("RLN",_xlfn.TEXTJOIN("; ", TRUE, _xlfn._xlws.FILTER('Model output'!H:H, 'Model output'!Z:Z=A24)),1)),_xlfn.TEXTJOIN("; ", TRUE, _xlfn._xlws.FILTER('Model output'!H:H, 'Model output'!Z:Z=A24))=""),"negative","positive")</f>
        <v>negative</v>
      </c>
      <c r="L24" s="17">
        <f>IF(IFERROR(INDEX('Model output'!I:I, MATCH(A24, 'Model output'!Z:Z, 0)), "") &lt; M24, "", IFERROR(INDEX('Model output'!I:I, MATCH(A24, 'Model output'!Z:Z, 0)), ""))</f>
        <v>1</v>
      </c>
      <c r="M24" s="17">
        <f>IFERROR(INDEX('Model output'!J:J, MATCH(A24, 'Model output'!Z:Z, 0)), "")</f>
        <v>0</v>
      </c>
      <c r="N24" s="18" t="str" cm="1">
        <f t="array" ref="N24">ReplaceTo(ReplaceAnd(SUBSTITUTE(SUBSTITUTE(_xlfn.TEXTJOIN("; ", TRUE, _xlfn._xlws.FILTER('Model output'!K:K, 'Model output'!Z:Z=A24)), " ", ""), ",", ";")))</f>
        <v/>
      </c>
      <c r="O24" t="str" cm="1">
        <f t="array" ref="O24">IF(LEFT(IF(RIGHT(SUBSTITUTE(FilterWithUnits(N24)&amp;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";")),1)=";",RIGHT(IF(RIGHT(SUBSTITUTE(FilterWithUnits(N24)&amp;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";")),LEN(IF(RIGHT(SUBSTITUTE(FilterWithUnits(N24)&amp;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";")))-1),IF(RIGHT(SUBSTITUTE(FilterWithUnits(N24)&amp;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f>
        <v/>
      </c>
      <c r="P24" t="str" cm="1">
        <f t="array" ref="P24">IF(MaxSize((SplitDimensions(O24)))=0, "", MaxSize((SplitDimensions(O24))))</f>
        <v/>
      </c>
      <c r="Q24" t="str" cm="1">
        <f t="array" ref="Q24">IF(ISERROR(INDEX(_xlfn._xlws.FILTER('Model output'!L:L, ('Model output'!Z:Z=A24)*('Model output'!L:L&lt;&gt;"")), 1)), " ", LOWER(INDEX(_xlfn._xlws.FILTER('Model output'!L:L, ('Model output'!Z:Z=A24)*('Model output'!L:L&lt;&gt;"")), 1)))</f>
        <v>papillary carcinoma</v>
      </c>
      <c r="R24" t="str" cm="1">
        <f t="array" ref="R24">IF(ISERROR(INDEX(_xlfn._xlws.FILTER('Model output'!M:M, ('Model output'!Z:Z=A24)*('Model output'!M:M&lt;&gt;"")), 1)), " ", LOWER(INDEX(_xlfn._xlws.FILTER('Model output'!M:M, ('Model output'!Z:Z=A24)*('Model output'!M:M&lt;&gt;"")), 1)))</f>
        <v>classic</v>
      </c>
      <c r="S24" t="str" cm="1">
        <f t="array" ref="S24">IF(OR(ISNUMBER(SEARCH("ly",SUBSTITUTE(INDEX(_xlfn._xlws.FILTER('Model output'!N:N,('Model output'!Z:Z=A24)*('Model output'!N:N&lt;&gt;"")),1)," ",""),1)), ISNUMBER(SEARCH("pole",SUBSTITUTE(INDEX(_xlfn._xlws.FILTER('Model output'!N:N,('Model output'!Z:Z=A24)*('Model output'!N:N&lt;&gt;"")),1)," ",""),1))),"",SUBSTITUTE(INDEX(_xlfn._xlws.FILTER('Model output'!N:N,('Model output'!Z:Z=A24)*('Model output'!N:N&lt;&gt;"")),1)," ",""))</f>
        <v>10mm</v>
      </c>
      <c r="T24" t="str" cm="1">
        <f t="array" ref="T24">IF(LEFT(IF(RIGHT(SUBSTITUTE(FilterWithUnits(S24)&amp;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";")),1)=";",RIGHT(IF(RIGHT(SUBSTITUTE(FilterWithUnits(S24)&amp;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";")),LEN(IF(RIGHT(SUBSTITUTE(FilterWithUnits(S24)&amp;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";")))-1),IF(RIGHT(SUBSTITUTE(FilterWithUnits(S24)&amp;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f>
        <v>10mm</v>
      </c>
      <c r="U24" cm="1">
        <f t="array" ref="U24">IF(MaxSize((SplitDimensions(T24)))=0, "", MaxSize((SplitDimensions(T24))))</f>
        <v>1</v>
      </c>
      <c r="V24" s="17" t="str" cm="1">
        <f t="array" ref="V24">IF(ISERROR(INDEX(_xlfn._xlws.FILTER('Model output'!P:P,('Model output'!Z:Z=A24)*('Model output'!P:P&lt;&gt;"")),1)),"negative",IF(OR(ISNUMBER(SEARCH("foc",INDEX(_xlfn._xlws.FILTER('Model output'!P:P,('Model output'!Z:Z=A24)*('Model output'!P:P&lt;&gt;"")),1),1)),ISNUMBER(SEARCH("extensive",INDEX(_xlfn._xlws.FILTER('Model output'!P:P,('Model output'!Z:Z=A24)*('Model output'!P:P&lt;&gt;"")),1),1)),ISNUMBER(SEARCH("present",INDEX(_xlfn._xlws.FILTER('Model output'!P:P,('Model output'!Z:Z=A24)*('Model output'!P:P&lt;&gt;"")),1),1)),ISNUMBER(SEARCH("yes",INDEX(_xlfn._xlws.FILTER('Model output'!P:P,('Model output'!Z:Z=A24)*('Model output'!P:P&lt;&gt;"")),1),1))),"positive","negative"))</f>
        <v>negative</v>
      </c>
      <c r="X24" t="str" cm="1">
        <f t="array" ref="X24">IF(ISNUMBER(SEARCH("4",INDEX(_xlfn._xlws.FILTER('Model output'!P:P,('Model output'!Z:Z=A24)*('Model output'!P:P&lt;&gt;"")),1),1)),INDEX(_xlfn._xlws.FILTER('Model output'!P:P,('Model output'!Z:Z=A24)*('Model output'!P:P&lt;&gt;"")),1),"") &amp; _xlfn.TEXTJOIN("",TRUE,_xlfn._xlws.FILTER('Model output'!Q:Q,'Model output'!Z:Z=A24))</f>
        <v/>
      </c>
      <c r="Y24" t="str">
        <f t="shared" si="9"/>
        <v>no</v>
      </c>
      <c r="Z24" t="str" cm="1">
        <f t="array" ref="Z24">IF(OR(ISNUMBER(SEARCH("focal",_xlfn.TEXTJOIN("; ",TRUE,_xlfn._xlws.FILTER('Model output'!R:R,'Model output'!Z:Z=A24)),1)),ISNUMBER(SEARCH("present",_xlfn.TEXTJOIN("; ",TRUE,_xlfn._xlws.FILTER('Model output'!R:R,'Model output'!Z:Z=A24)),1))),"positive",IF(_xlfn.TEXTJOIN("; ",TRUE,_xlfn._xlws.FILTER('Model output'!R:R,'Model output'!Z:Z=A24))="","negative",IF(OR(ISNUMBER(SEARCH("no",_xlfn.TEXTJOIN("; ",TRUE,_xlfn._xlws.FILTER('Model output'!R:R,'Model output'!Z:Z=A24)),1)),ISNUMBER(SEARCH("absent",_xlfn.TEXTJOIN("; ",TRUE,_xlfn._xlws.FILTER('Model output'!R:R,'Model output'!Z:Z=A24)),1))),"negative","positive")))</f>
        <v>negative</v>
      </c>
      <c r="AA24" s="17" t="str">
        <f t="shared" si="10"/>
        <v>negative</v>
      </c>
      <c r="AE24" s="17" t="str">
        <f t="shared" si="11"/>
        <v>negative</v>
      </c>
      <c r="AF24" t="str" cm="1">
        <f t="array" ref="AF24">_xlfn.TEXTJOIN("; ",TRUE,_xlfn._xlws.FILTER('Model output'!S:S,'Model output'!Z:Z=A24))</f>
        <v/>
      </c>
      <c r="AG24" s="17" t="str" cm="1">
        <f t="array" ref="AG24">IF(OR(ISNUMBER(SEARCH("uninvolved",_xlfn.TEXTJOIN("; ",TRUE,_xlfn._xlws.FILTER('Model output'!V:V,'Model output'!Z:Z=A24)),1)),ISNUMBER(SEARCH("clear",_xlfn.TEXTJOIN("; ",TRUE,_xlfn._xlws.FILTER('Model output'!V:V,'Model output'!Z:Z=A24)),1))*ISNUMBER(SEARCH("not mentioned",_xlfn.TEXTJOIN("; ",TRUE,_xlfn._xlws.FILTER('Model output'!V:V,'Model output'!Z:Z=A24)),1))),"negative",IF(ISNUMBER(SEARCH("cannot be assessed",_xlfn.TEXTJOIN("; ",TRUE,_xlfn._xlws.FILTER('Model output'!V:V,'Model output'!Z:Z=A24)),1)),"unknown","negative"))</f>
        <v>negative</v>
      </c>
      <c r="AI24" s="45" t="str">
        <f t="shared" si="2"/>
        <v>low</v>
      </c>
      <c r="AJ24" s="36" t="str">
        <f t="shared" si="3"/>
        <v>1a</v>
      </c>
      <c r="AK24" s="36">
        <f t="shared" si="16"/>
        <v>0</v>
      </c>
      <c r="AL24" s="36">
        <f t="shared" si="17"/>
        <v>0</v>
      </c>
      <c r="AM24" s="36" t="str">
        <f t="shared" si="18"/>
        <v>I</v>
      </c>
      <c r="AN24" s="37" t="s">
        <v>170</v>
      </c>
      <c r="AO24" s="38" t="s">
        <v>193</v>
      </c>
      <c r="AP24" s="38">
        <v>0</v>
      </c>
      <c r="AQ24" s="38">
        <v>0</v>
      </c>
      <c r="AR24" s="38" t="s">
        <v>31</v>
      </c>
      <c r="AS24" s="37">
        <f t="shared" si="7"/>
        <v>1</v>
      </c>
      <c r="AT24" s="38">
        <f t="shared" si="8"/>
        <v>1</v>
      </c>
      <c r="AU24" s="38">
        <f t="shared" si="12"/>
        <v>1</v>
      </c>
      <c r="AV24" s="38">
        <f t="shared" si="13"/>
        <v>1</v>
      </c>
      <c r="AW24" s="39">
        <f t="shared" si="13"/>
        <v>1</v>
      </c>
    </row>
    <row r="25" spans="1:49">
      <c r="A25" s="13">
        <v>23</v>
      </c>
      <c r="B25" s="16">
        <f>_xlfn.MAXIFS('Model output'!B:B,'Model output'!Z:Z,'Classification result'!$A25)</f>
        <v>45296</v>
      </c>
      <c r="C25" s="16"/>
      <c r="D25" s="16"/>
      <c r="E25" s="17">
        <f>_xlfn.MAXIFS('Model output'!C:C,'Model output'!Z:Z,'Classification result'!$A25)</f>
        <v>61</v>
      </c>
      <c r="F25" s="17" t="str" cm="1">
        <f t="array" ref="F25">LEFT(IF(ISERROR(RIGHT(IF(INDEX(_xlfn._xlws.FILTER('Model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output'!Z:Z=A25)),1),""),1))),"",(RIGHT(IF(INDEX(_xlfn._xlws.FILTER('Model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output'!Z:Z=A25)),1)))))),2)</f>
        <v/>
      </c>
      <c r="G25" s="17" t="str" cm="1">
        <f t="array" ref="G25">IF(ISNUMBER(SEARCH("N",IF(ISNUMBER(SEARCH("present",IF(INDEX(_xlfn._xlws.FILTER('Model output'!E:E,('Model output'!Z:Z=A25)),1)="","",INDEX(_xlfn._xlws.FILTER('Model output'!E:E,('Model output'!Z:Z=A25)),1)),1)),"N1", IF(INDEX(_xlfn._xlws.FILTER('Model output'!E:E,('Model output'!Z:Z=A25)),1)="","",INDEX(_xlfn._xlws.FILTER('Model output'!E:E,('Model output'!Z:Z=A25)),1))),1)),RIGHT(IF(ISNUMBER(SEARCH("present",IF(INDEX(_xlfn._xlws.FILTER('Model output'!E:E,('Model output'!Z:Z=A25)),1)="","",INDEX(_xlfn._xlws.FILTER('Model output'!E:E,('Model output'!Z:Z=A25)),1)),1)),"N1", IF(INDEX(_xlfn._xlws.FILTER('Model output'!E:E,('Model output'!Z:Z=A25)),1)="","",INDEX(_xlfn._xlws.FILTER('Model output'!E:E,('Model output'!Z:Z=A25)),1))),LEN(IF(ISNUMBER(SEARCH("present",IF(INDEX(_xlfn._xlws.FILTER('Model output'!E:E,('Model output'!Z:Z=A25)),1)="","",INDEX(_xlfn._xlws.FILTER('Model output'!E:E,('Model output'!Z:Z=A25)),1)),1)),"N1", IF(INDEX(_xlfn._xlws.FILTER('Model output'!E:E,('Model output'!Z:Z=A25)),1)="","",INDEX(_xlfn._xlws.FILTER('Model output'!E:E,('Model output'!Z:Z=A25)),1))))-FIND("N",IF(ISNUMBER(SEARCH("present",IF(INDEX(_xlfn._xlws.FILTER('Model output'!E:E,('Model output'!Z:Z=A25)),1)="","",INDEX(_xlfn._xlws.FILTER('Model output'!E:E,('Model output'!Z:Z=A25)),1)),1)),"N1", IF(INDEX(_xlfn._xlws.FILTER('Model output'!E:E,('Model output'!Z:Z=A25)),1)="","",INDEX(_xlfn._xlws.FILTER('Model output'!E:E,('Model output'!Z:Z=A25)),1))),1)), "")</f>
        <v/>
      </c>
      <c r="H25" s="17" cm="1">
        <f t="array" ref="H25">IF(AND(SUBSTITUTE(_xlfn.TEXTJOIN("/", TRUE, _xlfn._xlws.FILTER('Model output'!F:F, 'Model output'!Z:Z=A25)),"M", "")="", K25="negative"),0,IF(K25="positive",1,0))</f>
        <v>0</v>
      </c>
      <c r="I25" t="str">
        <f t="shared" si="0"/>
        <v/>
      </c>
      <c r="J25" t="str" cm="1">
        <f t="array" ref="J25">IF(AND(M25&gt;0, _xlfn.TEXTJOIN("; ", TRUE, _xlfn._xlws.FILTER('Model output'!G:G, 'Model output'!Z:Z=A25)) &lt;&gt;"", OR(AND(ISNUMBER(SEARCH("level", _xlfn.TEXTJOIN("; ", TRUE, _xlfn._xlws.FILTER('Model output'!G:G, 'Model output'!Z:Z=A25)),1)),OR(ISNUMBER(SEARCH(" II", _xlfn.TEXTJOIN("; ", TRUE, _xlfn._xlws.FILTER('Model output'!G:G, 'Model output'!Z:Z=A25)),1)),ISNUMBER(SEARCH("2", _xlfn.TEXTJOIN("; ", TRUE, _xlfn._xlws.FILTER('Model output'!G:G, 'Model output'!Z:Z=A25)),1)),ISNUMBER(SEARCH("two", _xlfn.TEXTJOIN("; ", TRUE, _xlfn._xlws.FILTER('Model output'!G:G, 'Model output'!Z:Z=A25)),1)),ISNUMBER(SEARCH("III", _xlfn.TEXTJOIN("; ", TRUE, _xlfn._xlws.FILTER('Model output'!G:G, 'Model output'!Z:Z=A25)),1)),ISNUMBER(SEARCH("3", _xlfn.TEXTJOIN("; ", TRUE, _xlfn._xlws.FILTER('Model output'!G:G, 'Model output'!Z:Z=A25)),1)),ISNUMBER(SEARCH("three", _xlfn.TEXTJOIN("; ", TRUE, _xlfn._xlws.FILTER('Model output'!G:G, 'Model output'!Z:Z=A25)),1)),ISNUMBER(SEARCH("IV", _xlfn.TEXTJOIN("; ", TRUE, _xlfn._xlws.FILTER('Model output'!G:G, 'Model output'!Z:Z=A25)),1)),ISNUMBER(SEARCH("4", _xlfn.TEXTJOIN("; ", TRUE, _xlfn._xlws.FILTER('Model output'!G:G, 'Model output'!Z:Z=A25)),1)),ISNUMBER(SEARCH("five", _xlfn.TEXTJOIN("; ", TRUE, _xlfn._xlws.FILTER('Model output'!G:G, 'Model output'!Z:Z=A25)),1)),ISNUMBER(SEARCH("V ", _xlfn.TEXTJOIN("; ", TRUE, _xlfn._xlws.FILTER('Model output'!G:G, 'Model output'!Z:Z=A25)),1)),ISNUMBER(SEARCH("5", _xlfn.TEXTJOIN("; ", TRUE, _xlfn._xlws.FILTER('Model output'!G:G, 'Model output'!Z:Z=A25)),1)),ISNUMBER(SEARCH("five", _xlfn.TEXTJOIN("; ", TRUE, _xlfn._xlws.FILTER('Model output'!G:G, 'Model output'!Z:Z=A25)),1)),ISNUMBER(SEARCH(" lateral", _xlfn.TEXTJOIN("; ", TRUE, _xlfn._xlws.FILTER('Model output'!G:G, 'Model output'!Z:Z=A25)),1)))),ISNUMBER(SEARCH("cervical", _xlfn.TEXTJOIN("; ", TRUE, _xlfn._xlws.FILTER('Model output'!G:G, 'Model output'!Z:Z=A25)),1)),ISNUMBER(SEARCH("jugular", _xlfn.TEXTJOIN("; ", TRUE, _xlfn._xlws.FILTER('Model output'!G:G, 'Model output'!Z:Z=A25)),1)),ISNUMBER(SEARCH("left neck", _xlfn.TEXTJOIN("; ", TRUE, _xlfn._xlws.FILTER('Model output'!G:G, 'Model output'!Z:Z=A25)),1)),ISNUMBER(SEARCH("left anterior neck", _xlfn.TEXTJOIN("; ", TRUE, _xlfn._xlws.FILTER('Model output'!G:G, 'Model output'!Z:Z=A25)),1)),ISNUMBER(SEARCH("left posterior neck", _xlfn.TEXTJOIN("; ", TRUE, _xlfn._xlws.FILTER('Model output'!G:G, 'Model output'!Z:Z=A25)),1)),ISNUMBER(SEARCH("right neck", _xlfn.TEXTJOIN("; ", TRUE, _xlfn._xlws.FILTER('Model output'!G:G, 'Model output'!Z:Z=A25)),1)),ISNUMBER(SEARCH("right anterior neck", _xlfn.TEXTJOIN("; ", TRUE, _xlfn._xlws.FILTER('Model output'!G:G, 'Model output'!Z:Z=A25)),1)),ISNUMBER(SEARCH("right posterior neck", _xlfn.TEXTJOIN("; ", TRUE, _xlfn._xlws.FILTER('Model output'!G:G, 'Model output'!Z:Z=A25)),1)))),"lateral",IF(AND(M25=0, _xlfn.TEXTJOIN("; ", TRUE, _xlfn._xlws.FILTER('Model output'!G:G, 'Model output'!Z:Z=A25))=""),"", "central"))</f>
        <v/>
      </c>
      <c r="K25" s="17" t="str" cm="1">
        <f t="array" ref="K25">IF(OR(ISNUMBER(SEARCH("lymph",_xlfn.TEXTJOIN("; ", TRUE, _xlfn._xlws.FILTER('Model output'!H:H, 'Model output'!Z:Z=A25)),1)), ISNUMBER(SEARCH("Not mentioned",_xlfn.TEXTJOIN("; ", TRUE, _xlfn._xlws.FILTER('Model output'!H:H, 'Model output'!Z:Z=A25)),1)),ISNUMBER(SEARCH("subcutaneous soft tissues",_xlfn.TEXTJOIN("; ", TRUE, _xlfn._xlws.FILTER('Model output'!H:H, 'Model output'!Z:Z=A25)),1)),ISNUMBER(SEARCH("larynx",_xlfn.TEXTJOIN("; ", TRUE, _xlfn._xlws.FILTER('Model output'!H:H, 'Model output'!Z:Z=A25)),1)),ISNUMBER(SEARCH("trachea",_xlfn.TEXTJOIN("; ", TRUE, _xlfn._xlws.FILTER('Model output'!H:H, 'Model output'!Z:Z=A25)),1)),ISNUMBER(SEARCH("esophagus",_xlfn.TEXTJOIN("; ", TRUE, _xlfn._xlws.FILTER('Model output'!H:H, 'Model output'!Z:Z=A25)),1)),ISNUMBER(SEARCH("recurrent laryngeal nerve",_xlfn.TEXTJOIN("; ", TRUE, _xlfn._xlws.FILTER('Model output'!H:H, 'Model output'!Z:Z=A25)),1)),ISNUMBER(SEARCH("RLN",_xlfn.TEXTJOIN("; ", TRUE, _xlfn._xlws.FILTER('Model output'!H:H, 'Model output'!Z:Z=A25)),1)),_xlfn.TEXTJOIN("; ", TRUE, _xlfn._xlws.FILTER('Model output'!H:H, 'Model output'!Z:Z=A25))=""),"negative","positive")</f>
        <v>negative</v>
      </c>
      <c r="L25" s="17">
        <f>IF(IFERROR(INDEX('Model output'!I:I, MATCH(A25, 'Model output'!Z:Z, 0)), "") &lt; M25, "", IFERROR(INDEX('Model output'!I:I, MATCH(A25, 'Model output'!Z:Z, 0)), ""))</f>
        <v>1</v>
      </c>
      <c r="M25" s="17">
        <f>IFERROR(INDEX('Model output'!J:J, MATCH(A25, 'Model output'!Z:Z, 0)), "")</f>
        <v>0</v>
      </c>
      <c r="N25" s="18" t="str" cm="1">
        <f t="array" ref="N25">ReplaceTo(ReplaceAnd(SUBSTITUTE(SUBSTITUTE(_xlfn.TEXTJOIN("; ", TRUE, _xlfn._xlws.FILTER('Model output'!K:K, 'Model output'!Z:Z=A25)), " ", ""), ",", ";")))</f>
        <v/>
      </c>
      <c r="O25" t="str" cm="1">
        <f t="array" ref="O25">IF(LEFT(IF(RIGHT(SUBSTITUTE(FilterWithUnits(N25)&amp;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";")),1)=";",RIGHT(IF(RIGHT(SUBSTITUTE(FilterWithUnits(N25)&amp;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";")),LEN(IF(RIGHT(SUBSTITUTE(FilterWithUnits(N25)&amp;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";")))-1),IF(RIGHT(SUBSTITUTE(FilterWithUnits(N25)&amp;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f>
        <v/>
      </c>
      <c r="P25" t="str" cm="1">
        <f t="array" ref="P25">IF(MaxSize((SplitDimensions(O25)))=0, "", MaxSize((SplitDimensions(O25))))</f>
        <v/>
      </c>
      <c r="Q25" t="str" cm="1">
        <f t="array" ref="Q25">IF(ISERROR(INDEX(_xlfn._xlws.FILTER('Model output'!L:L, ('Model output'!Z:Z=A25)*('Model output'!L:L&lt;&gt;"")), 1)), " ", LOWER(INDEX(_xlfn._xlws.FILTER('Model output'!L:L, ('Model output'!Z:Z=A25)*('Model output'!L:L&lt;&gt;"")), 1)))</f>
        <v>papillary carcinoma</v>
      </c>
      <c r="R25" t="str" cm="1">
        <f t="array" ref="R25">IF(ISERROR(INDEX(_xlfn._xlws.FILTER('Model output'!M:M, ('Model output'!Z:Z=A25)*('Model output'!M:M&lt;&gt;"")), 1)), " ", LOWER(INDEX(_xlfn._xlws.FILTER('Model output'!M:M, ('Model output'!Z:Z=A25)*('Model output'!M:M&lt;&gt;"")), 1)))</f>
        <v>infiltrative follicular</v>
      </c>
      <c r="S25" t="str" cm="1">
        <f t="array" ref="S25">IF(OR(ISNUMBER(SEARCH("ly",SUBSTITUTE(INDEX(_xlfn._xlws.FILTER('Model output'!N:N,('Model output'!Z:Z=A25)*('Model output'!N:N&lt;&gt;"")),1)," ",""),1)), ISNUMBER(SEARCH("pole",SUBSTITUTE(INDEX(_xlfn._xlws.FILTER('Model output'!N:N,('Model output'!Z:Z=A25)*('Model output'!N:N&lt;&gt;"")),1)," ",""),1))),"",SUBSTITUTE(INDEX(_xlfn._xlws.FILTER('Model output'!N:N,('Model output'!Z:Z=A25)*('Model output'!N:N&lt;&gt;"")),1)," ",""))</f>
        <v/>
      </c>
      <c r="T25" t="str" cm="1">
        <f t="array" ref="T25">IF(LEFT(IF(RIGHT(SUBSTITUTE(FilterWithUnits(S25)&amp;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";")),1)=";",RIGHT(IF(RIGHT(SUBSTITUTE(FilterWithUnits(S25)&amp;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";")),LEN(IF(RIGHT(SUBSTITUTE(FilterWithUnits(S25)&amp;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";")))-1),IF(RIGHT(SUBSTITUTE(FilterWithUnits(S25)&amp;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f>
        <v/>
      </c>
      <c r="U25" t="str" cm="1">
        <f t="array" ref="U25">IF(MaxSize((SplitDimensions(T25)))=0, "", MaxSize((SplitDimensions(T25))))</f>
        <v/>
      </c>
      <c r="V25" s="17" t="str" cm="1">
        <f t="array" ref="V25">IF(ISERROR(INDEX(_xlfn._xlws.FILTER('Model output'!P:P,('Model output'!Z:Z=A25)*('Model output'!P:P&lt;&gt;"")),1)),"negative",IF(OR(ISNUMBER(SEARCH("foc",INDEX(_xlfn._xlws.FILTER('Model output'!P:P,('Model output'!Z:Z=A25)*('Model output'!P:P&lt;&gt;"")),1),1)),ISNUMBER(SEARCH("extensive",INDEX(_xlfn._xlws.FILTER('Model output'!P:P,('Model output'!Z:Z=A25)*('Model output'!P:P&lt;&gt;"")),1),1)),ISNUMBER(SEARCH("present",INDEX(_xlfn._xlws.FILTER('Model output'!P:P,('Model output'!Z:Z=A25)*('Model output'!P:P&lt;&gt;"")),1),1)),ISNUMBER(SEARCH("yes",INDEX(_xlfn._xlws.FILTER('Model output'!P:P,('Model output'!Z:Z=A25)*('Model output'!P:P&lt;&gt;"")),1),1))),"positive","negative"))</f>
        <v>negative</v>
      </c>
      <c r="X25" t="str" cm="1">
        <f t="array" ref="X25">IF(ISNUMBER(SEARCH("4",INDEX(_xlfn._xlws.FILTER('Model output'!P:P,('Model output'!Z:Z=A25)*('Model output'!P:P&lt;&gt;"")),1),1)),INDEX(_xlfn._xlws.FILTER('Model output'!P:P,('Model output'!Z:Z=A25)*('Model output'!P:P&lt;&gt;"")),1),"") &amp; _xlfn.TEXTJOIN("",TRUE,_xlfn._xlws.FILTER('Model output'!Q:Q,'Model output'!Z:Z=A25))</f>
        <v/>
      </c>
      <c r="Y25" t="str">
        <f t="shared" si="9"/>
        <v>no</v>
      </c>
      <c r="Z25" t="str" cm="1">
        <f t="array" ref="Z25">IF(OR(ISNUMBER(SEARCH("focal",_xlfn.TEXTJOIN("; ",TRUE,_xlfn._xlws.FILTER('Model output'!R:R,'Model output'!Z:Z=A25)),1)),ISNUMBER(SEARCH("present",_xlfn.TEXTJOIN("; ",TRUE,_xlfn._xlws.FILTER('Model output'!R:R,'Model output'!Z:Z=A25)),1))),"positive",IF(_xlfn.TEXTJOIN("; ",TRUE,_xlfn._xlws.FILTER('Model output'!R:R,'Model output'!Z:Z=A25))="","negative",IF(OR(ISNUMBER(SEARCH("no",_xlfn.TEXTJOIN("; ",TRUE,_xlfn._xlws.FILTER('Model output'!R:R,'Model output'!Z:Z=A25)),1)),ISNUMBER(SEARCH("absent",_xlfn.TEXTJOIN("; ",TRUE,_xlfn._xlws.FILTER('Model output'!R:R,'Model output'!Z:Z=A25)),1))),"negative","positive")))</f>
        <v>negative</v>
      </c>
      <c r="AA25" s="17" t="str">
        <f t="shared" si="10"/>
        <v>positive</v>
      </c>
      <c r="AE25" s="17" t="str">
        <f t="shared" si="11"/>
        <v>negative</v>
      </c>
      <c r="AF25" t="str" cm="1">
        <f t="array" ref="AF25">_xlfn.TEXTJOIN("; ",TRUE,_xlfn._xlws.FILTER('Model output'!S:S,'Model output'!Z:Z=A25))</f>
        <v>perithyroidal adipose tissue</v>
      </c>
      <c r="AG25" s="17" t="str" cm="1">
        <f t="array" ref="AG25">IF(OR(ISNUMBER(SEARCH("uninvolved",_xlfn.TEXTJOIN("; ",TRUE,_xlfn._xlws.FILTER('Model output'!V:V,'Model output'!Z:Z=A25)),1)),ISNUMBER(SEARCH("clear",_xlfn.TEXTJOIN("; ",TRUE,_xlfn._xlws.FILTER('Model output'!V:V,'Model output'!Z:Z=A25)),1))*ISNUMBER(SEARCH("not mentioned",_xlfn.TEXTJOIN("; ",TRUE,_xlfn._xlws.FILTER('Model output'!V:V,'Model output'!Z:Z=A25)),1))),"negative",IF(ISNUMBER(SEARCH("cannot be assessed",_xlfn.TEXTJOIN("; ",TRUE,_xlfn._xlws.FILTER('Model output'!V:V,'Model output'!Z:Z=A25)),1)),"unknown","negative"))</f>
        <v>negative</v>
      </c>
      <c r="AI25" s="45" t="str">
        <f t="shared" si="2"/>
        <v>intermediate</v>
      </c>
      <c r="AJ25" s="36" t="str">
        <f t="shared" si="3"/>
        <v>1a</v>
      </c>
      <c r="AK25" s="36">
        <f t="shared" ref="AK25:AK27" si="19">IF(OR(ISNUMBER(SEARCH("non-invasive follicular",Q25,1)),ISNUMBER(SEARCH("non-invasive follicular",R25,1))),"NIFTP",IF(AND(M25&gt;0,I25="positive",J25="central"),"1a",IF(AND(M25&gt;0,I25="positive",J25="lateral"),"1b",IF(AND(M25=0,L25=0),"x",0))))</f>
        <v>0</v>
      </c>
      <c r="AL25" s="36">
        <f t="shared" si="17"/>
        <v>0</v>
      </c>
      <c r="AM25" s="36" t="str">
        <f t="shared" si="18"/>
        <v>I</v>
      </c>
      <c r="AN25" s="37" t="s">
        <v>168</v>
      </c>
      <c r="AO25" s="38" t="s">
        <v>191</v>
      </c>
      <c r="AP25" s="38">
        <v>0</v>
      </c>
      <c r="AQ25" s="38">
        <v>0</v>
      </c>
      <c r="AR25" s="38" t="s">
        <v>31</v>
      </c>
      <c r="AS25" s="37">
        <f t="shared" si="7"/>
        <v>1</v>
      </c>
      <c r="AT25" s="38">
        <f t="shared" si="8"/>
        <v>0</v>
      </c>
      <c r="AU25" s="38">
        <f t="shared" si="12"/>
        <v>1</v>
      </c>
      <c r="AV25" s="38">
        <f t="shared" si="13"/>
        <v>1</v>
      </c>
      <c r="AW25" s="39">
        <f t="shared" si="13"/>
        <v>1</v>
      </c>
    </row>
    <row r="26" spans="1:49">
      <c r="A26" s="13">
        <v>24</v>
      </c>
      <c r="B26" s="16">
        <f>_xlfn.MAXIFS('Model output'!B:B,'Model output'!Z:Z,'Classification result'!$A26)</f>
        <v>45301</v>
      </c>
      <c r="C26" s="16"/>
      <c r="D26" s="16"/>
      <c r="E26" s="17">
        <f>_xlfn.MAXIFS('Model output'!C:C,'Model output'!Z:Z,'Classification result'!$A26)</f>
        <v>55</v>
      </c>
      <c r="F26" s="17" t="str" cm="1">
        <f t="array" ref="F26">LEFT(IF(ISERROR(RIGHT(IF(INDEX(_xlfn._xlws.FILTER('Model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output'!Z:Z=A26)),1),""),1))),"",(RIGHT(IF(INDEX(_xlfn._xlws.FILTER('Model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output'!Z:Z=A26)),1)))))),2)</f>
        <v>4a</v>
      </c>
      <c r="G26" s="17" t="str" cm="1">
        <f t="array" ref="G26">IF(ISNUMBER(SEARCH("N",IF(ISNUMBER(SEARCH("present",IF(INDEX(_xlfn._xlws.FILTER('Model output'!E:E,('Model output'!Z:Z=A26)),1)="","",INDEX(_xlfn._xlws.FILTER('Model output'!E:E,('Model output'!Z:Z=A26)),1)),1)),"N1", IF(INDEX(_xlfn._xlws.FILTER('Model output'!E:E,('Model output'!Z:Z=A26)),1)="","",INDEX(_xlfn._xlws.FILTER('Model output'!E:E,('Model output'!Z:Z=A26)),1))),1)),RIGHT(IF(ISNUMBER(SEARCH("present",IF(INDEX(_xlfn._xlws.FILTER('Model output'!E:E,('Model output'!Z:Z=A26)),1)="","",INDEX(_xlfn._xlws.FILTER('Model output'!E:E,('Model output'!Z:Z=A26)),1)),1)),"N1", IF(INDEX(_xlfn._xlws.FILTER('Model output'!E:E,('Model output'!Z:Z=A26)),1)="","",INDEX(_xlfn._xlws.FILTER('Model output'!E:E,('Model output'!Z:Z=A26)),1))),LEN(IF(ISNUMBER(SEARCH("present",IF(INDEX(_xlfn._xlws.FILTER('Model output'!E:E,('Model output'!Z:Z=A26)),1)="","",INDEX(_xlfn._xlws.FILTER('Model output'!E:E,('Model output'!Z:Z=A26)),1)),1)),"N1", IF(INDEX(_xlfn._xlws.FILTER('Model output'!E:E,('Model output'!Z:Z=A26)),1)="","",INDEX(_xlfn._xlws.FILTER('Model output'!E:E,('Model output'!Z:Z=A26)),1))))-FIND("N",IF(ISNUMBER(SEARCH("present",IF(INDEX(_xlfn._xlws.FILTER('Model output'!E:E,('Model output'!Z:Z=A26)),1)="","",INDEX(_xlfn._xlws.FILTER('Model output'!E:E,('Model output'!Z:Z=A26)),1)),1)),"N1", IF(INDEX(_xlfn._xlws.FILTER('Model output'!E:E,('Model output'!Z:Z=A26)),1)="","",INDEX(_xlfn._xlws.FILTER('Model output'!E:E,('Model output'!Z:Z=A26)),1))),1)), "")</f>
        <v>1b</v>
      </c>
      <c r="H26" s="17" cm="1">
        <f t="array" ref="H26">IF(AND(SUBSTITUTE(_xlfn.TEXTJOIN("/", TRUE, _xlfn._xlws.FILTER('Model output'!F:F, 'Model output'!Z:Z=A26)),"M", "")="", K26="negative"),0,IF(K26="positive",1,0))</f>
        <v>0</v>
      </c>
      <c r="I26" t="str">
        <f t="shared" si="0"/>
        <v>positive</v>
      </c>
      <c r="J26" t="str" cm="1">
        <f t="array" ref="J26">IF(AND(M26&gt;0, _xlfn.TEXTJOIN("; ", TRUE, _xlfn._xlws.FILTER('Model output'!G:G, 'Model output'!Z:Z=A26)) &lt;&gt;"", OR(AND(ISNUMBER(SEARCH("level", _xlfn.TEXTJOIN("; ", TRUE, _xlfn._xlws.FILTER('Model output'!G:G, 'Model output'!Z:Z=A26)),1)),OR(ISNUMBER(SEARCH(" II", _xlfn.TEXTJOIN("; ", TRUE, _xlfn._xlws.FILTER('Model output'!G:G, 'Model output'!Z:Z=A26)),1)),ISNUMBER(SEARCH("2", _xlfn.TEXTJOIN("; ", TRUE, _xlfn._xlws.FILTER('Model output'!G:G, 'Model output'!Z:Z=A26)),1)),ISNUMBER(SEARCH("two", _xlfn.TEXTJOIN("; ", TRUE, _xlfn._xlws.FILTER('Model output'!G:G, 'Model output'!Z:Z=A26)),1)),ISNUMBER(SEARCH("III", _xlfn.TEXTJOIN("; ", TRUE, _xlfn._xlws.FILTER('Model output'!G:G, 'Model output'!Z:Z=A26)),1)),ISNUMBER(SEARCH("3", _xlfn.TEXTJOIN("; ", TRUE, _xlfn._xlws.FILTER('Model output'!G:G, 'Model output'!Z:Z=A26)),1)),ISNUMBER(SEARCH("three", _xlfn.TEXTJOIN("; ", TRUE, _xlfn._xlws.FILTER('Model output'!G:G, 'Model output'!Z:Z=A26)),1)),ISNUMBER(SEARCH("IV", _xlfn.TEXTJOIN("; ", TRUE, _xlfn._xlws.FILTER('Model output'!G:G, 'Model output'!Z:Z=A26)),1)),ISNUMBER(SEARCH("4", _xlfn.TEXTJOIN("; ", TRUE, _xlfn._xlws.FILTER('Model output'!G:G, 'Model output'!Z:Z=A26)),1)),ISNUMBER(SEARCH("five", _xlfn.TEXTJOIN("; ", TRUE, _xlfn._xlws.FILTER('Model output'!G:G, 'Model output'!Z:Z=A26)),1)),ISNUMBER(SEARCH("V ", _xlfn.TEXTJOIN("; ", TRUE, _xlfn._xlws.FILTER('Model output'!G:G, 'Model output'!Z:Z=A26)),1)),ISNUMBER(SEARCH("5", _xlfn.TEXTJOIN("; ", TRUE, _xlfn._xlws.FILTER('Model output'!G:G, 'Model output'!Z:Z=A26)),1)),ISNUMBER(SEARCH("five", _xlfn.TEXTJOIN("; ", TRUE, _xlfn._xlws.FILTER('Model output'!G:G, 'Model output'!Z:Z=A26)),1)),ISNUMBER(SEARCH(" lateral", _xlfn.TEXTJOIN("; ", TRUE, _xlfn._xlws.FILTER('Model output'!G:G, 'Model output'!Z:Z=A26)),1)))),ISNUMBER(SEARCH("cervical", _xlfn.TEXTJOIN("; ", TRUE, _xlfn._xlws.FILTER('Model output'!G:G, 'Model output'!Z:Z=A26)),1)),ISNUMBER(SEARCH("jugular", _xlfn.TEXTJOIN("; ", TRUE, _xlfn._xlws.FILTER('Model output'!G:G, 'Model output'!Z:Z=A26)),1)),ISNUMBER(SEARCH("left neck", _xlfn.TEXTJOIN("; ", TRUE, _xlfn._xlws.FILTER('Model output'!G:G, 'Model output'!Z:Z=A26)),1)),ISNUMBER(SEARCH("left anterior neck", _xlfn.TEXTJOIN("; ", TRUE, _xlfn._xlws.FILTER('Model output'!G:G, 'Model output'!Z:Z=A26)),1)),ISNUMBER(SEARCH("left posterior neck", _xlfn.TEXTJOIN("; ", TRUE, _xlfn._xlws.FILTER('Model output'!G:G, 'Model output'!Z:Z=A26)),1)),ISNUMBER(SEARCH("right neck", _xlfn.TEXTJOIN("; ", TRUE, _xlfn._xlws.FILTER('Model output'!G:G, 'Model output'!Z:Z=A26)),1)),ISNUMBER(SEARCH("right anterior neck", _xlfn.TEXTJOIN("; ", TRUE, _xlfn._xlws.FILTER('Model output'!G:G, 'Model output'!Z:Z=A26)),1)),ISNUMBER(SEARCH("right posterior neck", _xlfn.TEXTJOIN("; ", TRUE, _xlfn._xlws.FILTER('Model output'!G:G, 'Model output'!Z:Z=A26)),1)))),"lateral",IF(AND(M26=0, _xlfn.TEXTJOIN("; ", TRUE, _xlfn._xlws.FILTER('Model output'!G:G, 'Model output'!Z:Z=A26))=""),"", "central"))</f>
        <v>lateral</v>
      </c>
      <c r="K26" s="17" t="str" cm="1">
        <f t="array" ref="K26">IF(OR(ISNUMBER(SEARCH("lymph",_xlfn.TEXTJOIN("; ", TRUE, _xlfn._xlws.FILTER('Model output'!H:H, 'Model output'!Z:Z=A26)),1)), ISNUMBER(SEARCH("Not mentioned",_xlfn.TEXTJOIN("; ", TRUE, _xlfn._xlws.FILTER('Model output'!H:H, 'Model output'!Z:Z=A26)),1)),ISNUMBER(SEARCH("subcutaneous soft tissues",_xlfn.TEXTJOIN("; ", TRUE, _xlfn._xlws.FILTER('Model output'!H:H, 'Model output'!Z:Z=A26)),1)),ISNUMBER(SEARCH("larynx",_xlfn.TEXTJOIN("; ", TRUE, _xlfn._xlws.FILTER('Model output'!H:H, 'Model output'!Z:Z=A26)),1)),ISNUMBER(SEARCH("trachea",_xlfn.TEXTJOIN("; ", TRUE, _xlfn._xlws.FILTER('Model output'!H:H, 'Model output'!Z:Z=A26)),1)),ISNUMBER(SEARCH("esophagus",_xlfn.TEXTJOIN("; ", TRUE, _xlfn._xlws.FILTER('Model output'!H:H, 'Model output'!Z:Z=A26)),1)),ISNUMBER(SEARCH("recurrent laryngeal nerve",_xlfn.TEXTJOIN("; ", TRUE, _xlfn._xlws.FILTER('Model output'!H:H, 'Model output'!Z:Z=A26)),1)),ISNUMBER(SEARCH("RLN",_xlfn.TEXTJOIN("; ", TRUE, _xlfn._xlws.FILTER('Model output'!H:H, 'Model output'!Z:Z=A26)),1)),_xlfn.TEXTJOIN("; ", TRUE, _xlfn._xlws.FILTER('Model output'!H:H, 'Model output'!Z:Z=A26))=""),"negative","positive")</f>
        <v>negative</v>
      </c>
      <c r="L26" s="17">
        <f>IF(IFERROR(INDEX('Model output'!I:I, MATCH(A26, 'Model output'!Z:Z, 0)), "") &lt; M26, "", IFERROR(INDEX('Model output'!I:I, MATCH(A26, 'Model output'!Z:Z, 0)), ""))</f>
        <v>25</v>
      </c>
      <c r="M26" s="17">
        <f>IFERROR(INDEX('Model output'!J:J, MATCH(A26, 'Model output'!Z:Z, 0)), "")</f>
        <v>18</v>
      </c>
      <c r="N26" s="18" t="str" cm="1">
        <f t="array" ref="N26">ReplaceTo(ReplaceAnd(SUBSTITUTE(SUBSTITUTE(_xlfn.TEXTJOIN("; ", TRUE, _xlfn._xlws.FILTER('Model output'!K:K, 'Model output'!Z:Z=A26)), " ", ""), ",", ";")))</f>
        <v>9mm;2.5cm</v>
      </c>
      <c r="O26" t="str" cm="1">
        <f t="array" ref="O26">IF(LEFT(IF(RIGHT(SUBSTITUTE(FilterWithUnits(N26)&amp;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";")),1)=";",RIGHT(IF(RIGHT(SUBSTITUTE(FilterWithUnits(N26)&amp;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";")),LEN(IF(RIGHT(SUBSTITUTE(FilterWithUnits(N26)&amp;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";")))-1),IF(RIGHT(SUBSTITUTE(FilterWithUnits(N26)&amp;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f>
        <v>9mm;2.5cm</v>
      </c>
      <c r="P26" cm="1">
        <f t="array" ref="P26">IF(MaxSize((SplitDimensions(O26)))=0, "", MaxSize((SplitDimensions(O26))))</f>
        <v>2.5</v>
      </c>
      <c r="Q26" t="str" cm="1">
        <f t="array" ref="Q26">IF(ISERROR(INDEX(_xlfn._xlws.FILTER('Model output'!L:L, ('Model output'!Z:Z=A26)*('Model output'!L:L&lt;&gt;"")), 1)), " ", LOWER(INDEX(_xlfn._xlws.FILTER('Model output'!L:L, ('Model output'!Z:Z=A26)*('Model output'!L:L&lt;&gt;"")), 1)))</f>
        <v>papillary carcinoma</v>
      </c>
      <c r="R26" t="str" cm="1">
        <f t="array" ref="R26">IF(ISERROR(INDEX(_xlfn._xlws.FILTER('Model output'!M:M, ('Model output'!Z:Z=A26)*('Model output'!M:M&lt;&gt;"")), 1)), " ", LOWER(INDEX(_xlfn._xlws.FILTER('Model output'!M:M, ('Model output'!Z:Z=A26)*('Model output'!M:M&lt;&gt;"")), 1)))</f>
        <v>classic (usual, conventional)</v>
      </c>
      <c r="S26" t="str" cm="1">
        <f t="array" ref="S26">IF(OR(ISNUMBER(SEARCH("ly",SUBSTITUTE(INDEX(_xlfn._xlws.FILTER('Model output'!N:N,('Model output'!Z:Z=A26)*('Model output'!N:N&lt;&gt;"")),1)," ",""),1)), ISNUMBER(SEARCH("pole",SUBSTITUTE(INDEX(_xlfn._xlws.FILTER('Model output'!N:N,('Model output'!Z:Z=A26)*('Model output'!N:N&lt;&gt;"")),1)," ",""),1))),"",SUBSTITUTE(INDEX(_xlfn._xlws.FILTER('Model output'!N:N,('Model output'!Z:Z=A26)*('Model output'!N:N&lt;&gt;"")),1)," ",""))</f>
        <v>2.7cm</v>
      </c>
      <c r="T26" t="str" cm="1">
        <f t="array" ref="T26">IF(LEFT(IF(RIGHT(SUBSTITUTE(FilterWithUnits(S26)&amp;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";")),1)=";",RIGHT(IF(RIGHT(SUBSTITUTE(FilterWithUnits(S26)&amp;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";")),LEN(IF(RIGHT(SUBSTITUTE(FilterWithUnits(S26)&amp;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";")))-1),IF(RIGHT(SUBSTITUTE(FilterWithUnits(S26)&amp;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f>
        <v>2.7cm</v>
      </c>
      <c r="U26" cm="1">
        <f t="array" ref="U26">IF(MaxSize((SplitDimensions(T26)))=0, "", MaxSize((SplitDimensions(T26))))</f>
        <v>2.7</v>
      </c>
      <c r="V26" s="17" t="str" cm="1">
        <f t="array" ref="V26">IF(ISERROR(INDEX(_xlfn._xlws.FILTER('Model output'!P:P,('Model output'!Z:Z=A26)*('Model output'!P:P&lt;&gt;"")),1)),"negative",IF(OR(ISNUMBER(SEARCH("foc",INDEX(_xlfn._xlws.FILTER('Model output'!P:P,('Model output'!Z:Z=A26)*('Model output'!P:P&lt;&gt;"")),1),1)),ISNUMBER(SEARCH("extensive",INDEX(_xlfn._xlws.FILTER('Model output'!P:P,('Model output'!Z:Z=A26)*('Model output'!P:P&lt;&gt;"")),1),1)),ISNUMBER(SEARCH("present",INDEX(_xlfn._xlws.FILTER('Model output'!P:P,('Model output'!Z:Z=A26)*('Model output'!P:P&lt;&gt;"")),1),1)),ISNUMBER(SEARCH("yes",INDEX(_xlfn._xlws.FILTER('Model output'!P:P,('Model output'!Z:Z=A26)*('Model output'!P:P&lt;&gt;"")),1),1))),"positive","negative"))</f>
        <v>positive</v>
      </c>
      <c r="X26" t="str" cm="1">
        <f t="array" ref="X26">IF(ISNUMBER(SEARCH("4",INDEX(_xlfn._xlws.FILTER('Model output'!P:P,('Model output'!Z:Z=A26)*('Model output'!P:P&lt;&gt;"")),1),1)),INDEX(_xlfn._xlws.FILTER('Model output'!P:P,('Model output'!Z:Z=A26)*('Model output'!P:P&lt;&gt;"")),1),"") &amp; _xlfn.TEXTJOIN("",TRUE,_xlfn._xlws.FILTER('Model output'!Q:Q,'Model output'!Z:Z=A26))</f>
        <v>extensive perineural invasionComplete encasement of right RLN by tumour at laryngeal entry point</v>
      </c>
      <c r="Y26" t="str">
        <f t="shared" si="9"/>
        <v>extensive</v>
      </c>
      <c r="Z26" t="str" cm="1">
        <f t="array" ref="Z26">IF(OR(ISNUMBER(SEARCH("focal",_xlfn.TEXTJOIN("; ",TRUE,_xlfn._xlws.FILTER('Model output'!R:R,'Model output'!Z:Z=A26)),1)),ISNUMBER(SEARCH("present",_xlfn.TEXTJOIN("; ",TRUE,_xlfn._xlws.FILTER('Model output'!R:R,'Model output'!Z:Z=A26)),1))),"positive",IF(_xlfn.TEXTJOIN("; ",TRUE,_xlfn._xlws.FILTER('Model output'!R:R,'Model output'!Z:Z=A26))="","negative",IF(OR(ISNUMBER(SEARCH("no",_xlfn.TEXTJOIN("; ",TRUE,_xlfn._xlws.FILTER('Model output'!R:R,'Model output'!Z:Z=A26)),1)),ISNUMBER(SEARCH("absent",_xlfn.TEXTJOIN("; ",TRUE,_xlfn._xlws.FILTER('Model output'!R:R,'Model output'!Z:Z=A26)),1))),"negative","positive")))</f>
        <v>positive</v>
      </c>
      <c r="AA26" s="17" t="str">
        <f t="shared" si="10"/>
        <v>positive</v>
      </c>
      <c r="AE26" s="17" t="str">
        <f t="shared" si="11"/>
        <v>negative</v>
      </c>
      <c r="AF26" t="str" cm="1">
        <f t="array" ref="AF26">_xlfn.TEXTJOIN("; ",TRUE,_xlfn._xlws.FILTER('Model output'!S:S,'Model output'!Z:Z=A26))</f>
        <v>Present (minimal); perithyroidal fibradipose tissue</v>
      </c>
      <c r="AG26" s="17" t="str" cm="1">
        <f t="array" ref="AG26">IF(OR(ISNUMBER(SEARCH("uninvolved",_xlfn.TEXTJOIN("; ",TRUE,_xlfn._xlws.FILTER('Model output'!V:V,'Model output'!Z:Z=A26)),1)),ISNUMBER(SEARCH("clear",_xlfn.TEXTJOIN("; ",TRUE,_xlfn._xlws.FILTER('Model output'!V:V,'Model output'!Z:Z=A26)),1))*ISNUMBER(SEARCH("not mentioned",_xlfn.TEXTJOIN("; ",TRUE,_xlfn._xlws.FILTER('Model output'!V:V,'Model output'!Z:Z=A26)),1))),"negative",IF(ISNUMBER(SEARCH("cannot be assessed",_xlfn.TEXTJOIN("; ",TRUE,_xlfn._xlws.FILTER('Model output'!V:V,'Model output'!Z:Z=A26)),1)),"unknown","negative"))</f>
        <v>negative</v>
      </c>
      <c r="AI26" s="45" t="str">
        <f t="shared" si="2"/>
        <v>intermediate</v>
      </c>
      <c r="AJ26" s="36" t="str">
        <f t="shared" si="3"/>
        <v>4a</v>
      </c>
      <c r="AK26" s="36" t="str">
        <f t="shared" si="19"/>
        <v>1b</v>
      </c>
      <c r="AL26" s="36">
        <f t="shared" si="17"/>
        <v>0</v>
      </c>
      <c r="AM26" s="36" t="str">
        <f t="shared" si="18"/>
        <v>III</v>
      </c>
      <c r="AN26" s="37" t="s">
        <v>169</v>
      </c>
      <c r="AO26" s="38" t="s">
        <v>196</v>
      </c>
      <c r="AP26" s="38" t="s">
        <v>191</v>
      </c>
      <c r="AQ26" s="38">
        <v>0</v>
      </c>
      <c r="AR26" s="38" t="s">
        <v>69</v>
      </c>
      <c r="AS26" s="37">
        <f t="shared" si="7"/>
        <v>0</v>
      </c>
      <c r="AT26" s="38">
        <f t="shared" si="8"/>
        <v>1</v>
      </c>
      <c r="AU26" s="38">
        <f t="shared" si="12"/>
        <v>1</v>
      </c>
      <c r="AV26" s="38">
        <f t="shared" si="13"/>
        <v>1</v>
      </c>
      <c r="AW26" s="39">
        <f t="shared" si="13"/>
        <v>1</v>
      </c>
    </row>
    <row r="27" spans="1:49">
      <c r="A27" s="13">
        <v>25</v>
      </c>
      <c r="B27" s="16">
        <f>_xlfn.MAXIFS('Model output'!B:B,'Model output'!Z:Z,'Classification result'!$A27)</f>
        <v>45310</v>
      </c>
      <c r="C27" s="16"/>
      <c r="D27" s="16"/>
      <c r="E27" s="17">
        <f>_xlfn.MAXIFS('Model output'!C:C,'Model output'!Z:Z,'Classification result'!$A27)</f>
        <v>42</v>
      </c>
      <c r="F27" s="17" t="str" cm="1">
        <f t="array" ref="F27">LEFT(IF(ISERROR(RIGHT(IF(INDEX(_xlfn._xlws.FILTER('Model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output'!Z:Z=A27)),1),""),1))),"",(RIGHT(IF(INDEX(_xlfn._xlws.FILTER('Model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output'!Z:Z=A27)),1)))))),2)</f>
        <v>1b</v>
      </c>
      <c r="G27" s="17" t="str" cm="1">
        <f t="array" ref="G27">IF(ISNUMBER(SEARCH("N",IF(ISNUMBER(SEARCH("present",IF(INDEX(_xlfn._xlws.FILTER('Model output'!E:E,('Model output'!Z:Z=A27)),1)="","",INDEX(_xlfn._xlws.FILTER('Model output'!E:E,('Model output'!Z:Z=A27)),1)),1)),"N1", IF(INDEX(_xlfn._xlws.FILTER('Model output'!E:E,('Model output'!Z:Z=A27)),1)="","",INDEX(_xlfn._xlws.FILTER('Model output'!E:E,('Model output'!Z:Z=A27)),1))),1)),RIGHT(IF(ISNUMBER(SEARCH("present",IF(INDEX(_xlfn._xlws.FILTER('Model output'!E:E,('Model output'!Z:Z=A27)),1)="","",INDEX(_xlfn._xlws.FILTER('Model output'!E:E,('Model output'!Z:Z=A27)),1)),1)),"N1", IF(INDEX(_xlfn._xlws.FILTER('Model output'!E:E,('Model output'!Z:Z=A27)),1)="","",INDEX(_xlfn._xlws.FILTER('Model output'!E:E,('Model output'!Z:Z=A27)),1))),LEN(IF(ISNUMBER(SEARCH("present",IF(INDEX(_xlfn._xlws.FILTER('Model output'!E:E,('Model output'!Z:Z=A27)),1)="","",INDEX(_xlfn._xlws.FILTER('Model output'!E:E,('Model output'!Z:Z=A27)),1)),1)),"N1", IF(INDEX(_xlfn._xlws.FILTER('Model output'!E:E,('Model output'!Z:Z=A27)),1)="","",INDEX(_xlfn._xlws.FILTER('Model output'!E:E,('Model output'!Z:Z=A27)),1))))-FIND("N",IF(ISNUMBER(SEARCH("present",IF(INDEX(_xlfn._xlws.FILTER('Model output'!E:E,('Model output'!Z:Z=A27)),1)="","",INDEX(_xlfn._xlws.FILTER('Model output'!E:E,('Model output'!Z:Z=A27)),1)),1)),"N1", IF(INDEX(_xlfn._xlws.FILTER('Model output'!E:E,('Model output'!Z:Z=A27)),1)="","",INDEX(_xlfn._xlws.FILTER('Model output'!E:E,('Model output'!Z:Z=A27)),1))),1)), "")</f>
        <v/>
      </c>
      <c r="H27" s="17" cm="1">
        <f t="array" ref="H27">IF(AND(SUBSTITUTE(_xlfn.TEXTJOIN("/", TRUE, _xlfn._xlws.FILTER('Model output'!F:F, 'Model output'!Z:Z=A27)),"M", "")="", K27="negative"),0,IF(K27="positive",1,0))</f>
        <v>0</v>
      </c>
      <c r="I27" t="str">
        <f t="shared" si="0"/>
        <v/>
      </c>
      <c r="J27" t="str" cm="1">
        <f t="array" ref="J27">IF(AND(M27&gt;0, _xlfn.TEXTJOIN("; ", TRUE, _xlfn._xlws.FILTER('Model output'!G:G, 'Model output'!Z:Z=A27)) &lt;&gt;"", OR(AND(ISNUMBER(SEARCH("level", _xlfn.TEXTJOIN("; ", TRUE, _xlfn._xlws.FILTER('Model output'!G:G, 'Model output'!Z:Z=A27)),1)),OR(ISNUMBER(SEARCH(" II", _xlfn.TEXTJOIN("; ", TRUE, _xlfn._xlws.FILTER('Model output'!G:G, 'Model output'!Z:Z=A27)),1)),ISNUMBER(SEARCH("2", _xlfn.TEXTJOIN("; ", TRUE, _xlfn._xlws.FILTER('Model output'!G:G, 'Model output'!Z:Z=A27)),1)),ISNUMBER(SEARCH("two", _xlfn.TEXTJOIN("; ", TRUE, _xlfn._xlws.FILTER('Model output'!G:G, 'Model output'!Z:Z=A27)),1)),ISNUMBER(SEARCH("III", _xlfn.TEXTJOIN("; ", TRUE, _xlfn._xlws.FILTER('Model output'!G:G, 'Model output'!Z:Z=A27)),1)),ISNUMBER(SEARCH("3", _xlfn.TEXTJOIN("; ", TRUE, _xlfn._xlws.FILTER('Model output'!G:G, 'Model output'!Z:Z=A27)),1)),ISNUMBER(SEARCH("three", _xlfn.TEXTJOIN("; ", TRUE, _xlfn._xlws.FILTER('Model output'!G:G, 'Model output'!Z:Z=A27)),1)),ISNUMBER(SEARCH("IV", _xlfn.TEXTJOIN("; ", TRUE, _xlfn._xlws.FILTER('Model output'!G:G, 'Model output'!Z:Z=A27)),1)),ISNUMBER(SEARCH("4", _xlfn.TEXTJOIN("; ", TRUE, _xlfn._xlws.FILTER('Model output'!G:G, 'Model output'!Z:Z=A27)),1)),ISNUMBER(SEARCH("five", _xlfn.TEXTJOIN("; ", TRUE, _xlfn._xlws.FILTER('Model output'!G:G, 'Model output'!Z:Z=A27)),1)),ISNUMBER(SEARCH("V ", _xlfn.TEXTJOIN("; ", TRUE, _xlfn._xlws.FILTER('Model output'!G:G, 'Model output'!Z:Z=A27)),1)),ISNUMBER(SEARCH("5", _xlfn.TEXTJOIN("; ", TRUE, _xlfn._xlws.FILTER('Model output'!G:G, 'Model output'!Z:Z=A27)),1)),ISNUMBER(SEARCH("five", _xlfn.TEXTJOIN("; ", TRUE, _xlfn._xlws.FILTER('Model output'!G:G, 'Model output'!Z:Z=A27)),1)),ISNUMBER(SEARCH(" lateral", _xlfn.TEXTJOIN("; ", TRUE, _xlfn._xlws.FILTER('Model output'!G:G, 'Model output'!Z:Z=A27)),1)))),ISNUMBER(SEARCH("cervical", _xlfn.TEXTJOIN("; ", TRUE, _xlfn._xlws.FILTER('Model output'!G:G, 'Model output'!Z:Z=A27)),1)),ISNUMBER(SEARCH("jugular", _xlfn.TEXTJOIN("; ", TRUE, _xlfn._xlws.FILTER('Model output'!G:G, 'Model output'!Z:Z=A27)),1)),ISNUMBER(SEARCH("left neck", _xlfn.TEXTJOIN("; ", TRUE, _xlfn._xlws.FILTER('Model output'!G:G, 'Model output'!Z:Z=A27)),1)),ISNUMBER(SEARCH("left anterior neck", _xlfn.TEXTJOIN("; ", TRUE, _xlfn._xlws.FILTER('Model output'!G:G, 'Model output'!Z:Z=A27)),1)),ISNUMBER(SEARCH("left posterior neck", _xlfn.TEXTJOIN("; ", TRUE, _xlfn._xlws.FILTER('Model output'!G:G, 'Model output'!Z:Z=A27)),1)),ISNUMBER(SEARCH("right neck", _xlfn.TEXTJOIN("; ", TRUE, _xlfn._xlws.FILTER('Model output'!G:G, 'Model output'!Z:Z=A27)),1)),ISNUMBER(SEARCH("right anterior neck", _xlfn.TEXTJOIN("; ", TRUE, _xlfn._xlws.FILTER('Model output'!G:G, 'Model output'!Z:Z=A27)),1)),ISNUMBER(SEARCH("right posterior neck", _xlfn.TEXTJOIN("; ", TRUE, _xlfn._xlws.FILTER('Model output'!G:G, 'Model output'!Z:Z=A27)),1)))),"lateral",IF(AND(M27=0, _xlfn.TEXTJOIN("; ", TRUE, _xlfn._xlws.FILTER('Model output'!G:G, 'Model output'!Z:Z=A27))=""),"", "central"))</f>
        <v/>
      </c>
      <c r="K27" s="17" t="str" cm="1">
        <f t="array" ref="K27">IF(OR(ISNUMBER(SEARCH("lymph",_xlfn.TEXTJOIN("; ", TRUE, _xlfn._xlws.FILTER('Model output'!H:H, 'Model output'!Z:Z=A27)),1)), ISNUMBER(SEARCH("Not mentioned",_xlfn.TEXTJOIN("; ", TRUE, _xlfn._xlws.FILTER('Model output'!H:H, 'Model output'!Z:Z=A27)),1)),ISNUMBER(SEARCH("subcutaneous soft tissues",_xlfn.TEXTJOIN("; ", TRUE, _xlfn._xlws.FILTER('Model output'!H:H, 'Model output'!Z:Z=A27)),1)),ISNUMBER(SEARCH("larynx",_xlfn.TEXTJOIN("; ", TRUE, _xlfn._xlws.FILTER('Model output'!H:H, 'Model output'!Z:Z=A27)),1)),ISNUMBER(SEARCH("trachea",_xlfn.TEXTJOIN("; ", TRUE, _xlfn._xlws.FILTER('Model output'!H:H, 'Model output'!Z:Z=A27)),1)),ISNUMBER(SEARCH("esophagus",_xlfn.TEXTJOIN("; ", TRUE, _xlfn._xlws.FILTER('Model output'!H:H, 'Model output'!Z:Z=A27)),1)),ISNUMBER(SEARCH("recurrent laryngeal nerve",_xlfn.TEXTJOIN("; ", TRUE, _xlfn._xlws.FILTER('Model output'!H:H, 'Model output'!Z:Z=A27)),1)),ISNUMBER(SEARCH("RLN",_xlfn.TEXTJOIN("; ", TRUE, _xlfn._xlws.FILTER('Model output'!H:H, 'Model output'!Z:Z=A27)),1)),_xlfn.TEXTJOIN("; ", TRUE, _xlfn._xlws.FILTER('Model output'!H:H, 'Model output'!Z:Z=A27))=""),"negative","positive")</f>
        <v>negative</v>
      </c>
      <c r="L27" s="17">
        <f>IF(IFERROR(INDEX('Model output'!I:I, MATCH(A27, 'Model output'!Z:Z, 0)), "") &lt; M27, "", IFERROR(INDEX('Model output'!I:I, MATCH(A27, 'Model output'!Z:Z, 0)), ""))</f>
        <v>0</v>
      </c>
      <c r="M27" s="17">
        <f>IFERROR(INDEX('Model output'!J:J, MATCH(A27, 'Model output'!Z:Z, 0)), "")</f>
        <v>0</v>
      </c>
      <c r="N27" s="18" t="str" cm="1">
        <f t="array" ref="N27">ReplaceTo(ReplaceAnd(SUBSTITUTE(SUBSTITUTE(_xlfn.TEXTJOIN("; ", TRUE, _xlfn._xlws.FILTER('Model output'!K:K, 'Model output'!Z:Z=A27)), " ", ""), ",", ";")))</f>
        <v/>
      </c>
      <c r="O27" t="str" cm="1">
        <f t="array" ref="O27">IF(LEFT(IF(RIGHT(SUBSTITUTE(FilterWithUnits(N27)&amp;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";")),1)=";",RIGHT(IF(RIGHT(SUBSTITUTE(FilterWithUnits(N27)&amp;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";")),LEN(IF(RIGHT(SUBSTITUTE(FilterWithUnits(N27)&amp;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";")))-1),IF(RIGHT(SUBSTITUTE(FilterWithUnits(N27)&amp;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f>
        <v/>
      </c>
      <c r="P27" t="str" cm="1">
        <f t="array" ref="P27">IF(MaxSize((SplitDimensions(O27)))=0, "", MaxSize((SplitDimensions(O27))))</f>
        <v/>
      </c>
      <c r="Q27" t="str" cm="1">
        <f t="array" ref="Q27">IF(ISERROR(INDEX(_xlfn._xlws.FILTER('Model output'!L:L, ('Model output'!Z:Z=A27)*('Model output'!L:L&lt;&gt;"")), 1)), " ", LOWER(INDEX(_xlfn._xlws.FILTER('Model output'!L:L, ('Model output'!Z:Z=A27)*('Model output'!L:L&lt;&gt;"")), 1)))</f>
        <v>papillary carcinoma</v>
      </c>
      <c r="R27" t="str" cm="1">
        <f t="array" ref="R27">IF(ISERROR(INDEX(_xlfn._xlws.FILTER('Model output'!M:M, ('Model output'!Z:Z=A27)*('Model output'!M:M&lt;&gt;"")), 1)), " ", LOWER(INDEX(_xlfn._xlws.FILTER('Model output'!M:M, ('Model output'!Z:Z=A27)*('Model output'!M:M&lt;&gt;"")), 1)))</f>
        <v>classic (usual, conventional)</v>
      </c>
      <c r="S27" t="str" cm="1">
        <f t="array" ref="S27">IF(OR(ISNUMBER(SEARCH("ly",SUBSTITUTE(INDEX(_xlfn._xlws.FILTER('Model output'!N:N,('Model output'!Z:Z=A27)*('Model output'!N:N&lt;&gt;"")),1)," ",""),1)), ISNUMBER(SEARCH("pole",SUBSTITUTE(INDEX(_xlfn._xlws.FILTER('Model output'!N:N,('Model output'!Z:Z=A27)*('Model output'!N:N&lt;&gt;"")),1)," ",""),1))),"",SUBSTITUTE(INDEX(_xlfn._xlws.FILTER('Model output'!N:N,('Model output'!Z:Z=A27)*('Model output'!N:N&lt;&gt;"")),1)," ",""))</f>
        <v>1cm</v>
      </c>
      <c r="T27" t="str" cm="1">
        <f t="array" ref="T27">IF(LEFT(IF(RIGHT(SUBSTITUTE(FilterWithUnits(S27)&amp;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";")),1)=";",RIGHT(IF(RIGHT(SUBSTITUTE(FilterWithUnits(S27)&amp;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";")),LEN(IF(RIGHT(SUBSTITUTE(FilterWithUnits(S27)&amp;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";")))-1),IF(RIGHT(SUBSTITUTE(FilterWithUnits(S27)&amp;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f>
        <v>1cm</v>
      </c>
      <c r="U27" cm="1">
        <f t="array" ref="U27">IF(MaxSize((SplitDimensions(T27)))=0, "", MaxSize((SplitDimensions(T27))))</f>
        <v>1</v>
      </c>
      <c r="V27" s="17" t="str" cm="1">
        <f t="array" ref="V27">IF(ISERROR(INDEX(_xlfn._xlws.FILTER('Model output'!P:P,('Model output'!Z:Z=A27)*('Model output'!P:P&lt;&gt;"")),1)),"negative",IF(OR(ISNUMBER(SEARCH("foc",INDEX(_xlfn._xlws.FILTER('Model output'!P:P,('Model output'!Z:Z=A27)*('Model output'!P:P&lt;&gt;"")),1),1)),ISNUMBER(SEARCH("extensive",INDEX(_xlfn._xlws.FILTER('Model output'!P:P,('Model output'!Z:Z=A27)*('Model output'!P:P&lt;&gt;"")),1),1)),ISNUMBER(SEARCH("present",INDEX(_xlfn._xlws.FILTER('Model output'!P:P,('Model output'!Z:Z=A27)*('Model output'!P:P&lt;&gt;"")),1),1)),ISNUMBER(SEARCH("yes",INDEX(_xlfn._xlws.FILTER('Model output'!P:P,('Model output'!Z:Z=A27)*('Model output'!P:P&lt;&gt;"")),1),1))),"positive","negative"))</f>
        <v>negative</v>
      </c>
      <c r="X27" t="str" cm="1">
        <f t="array" ref="X27">IF(ISNUMBER(SEARCH("4",INDEX(_xlfn._xlws.FILTER('Model output'!P:P,('Model output'!Z:Z=A27)*('Model output'!P:P&lt;&gt;"")),1),1)),INDEX(_xlfn._xlws.FILTER('Model output'!P:P,('Model output'!Z:Z=A27)*('Model output'!P:P&lt;&gt;"")),1),"") &amp; _xlfn.TEXTJOIN("",TRUE,_xlfn._xlws.FILTER('Model output'!Q:Q,'Model output'!Z:Z=A27))</f>
        <v/>
      </c>
      <c r="Y27" t="str">
        <f t="shared" si="9"/>
        <v>no</v>
      </c>
      <c r="Z27" t="str" cm="1">
        <f t="array" ref="Z27">IF(OR(ISNUMBER(SEARCH("focal",_xlfn.TEXTJOIN("; ",TRUE,_xlfn._xlws.FILTER('Model output'!R:R,'Model output'!Z:Z=A27)),1)),ISNUMBER(SEARCH("present",_xlfn.TEXTJOIN("; ",TRUE,_xlfn._xlws.FILTER('Model output'!R:R,'Model output'!Z:Z=A27)),1))),"positive",IF(_xlfn.TEXTJOIN("; ",TRUE,_xlfn._xlws.FILTER('Model output'!R:R,'Model output'!Z:Z=A27))="","negative",IF(OR(ISNUMBER(SEARCH("no",_xlfn.TEXTJOIN("; ",TRUE,_xlfn._xlws.FILTER('Model output'!R:R,'Model output'!Z:Z=A27)),1)),ISNUMBER(SEARCH("absent",_xlfn.TEXTJOIN("; ",TRUE,_xlfn._xlws.FILTER('Model output'!R:R,'Model output'!Z:Z=A27)),1))),"negative","positive")))</f>
        <v>negative</v>
      </c>
      <c r="AA27" s="17" t="str">
        <f t="shared" si="10"/>
        <v>negative</v>
      </c>
      <c r="AE27" s="17" t="str">
        <f t="shared" si="11"/>
        <v>negative</v>
      </c>
      <c r="AF27" t="str" cm="1">
        <f t="array" ref="AF27">_xlfn.TEXTJOIN("; ",TRUE,_xlfn._xlws.FILTER('Model output'!S:S,'Model output'!Z:Z=A27))</f>
        <v>Absence</v>
      </c>
      <c r="AG27" s="17" t="str" cm="1">
        <f t="array" ref="AG27">IF(OR(ISNUMBER(SEARCH("uninvolved",_xlfn.TEXTJOIN("; ",TRUE,_xlfn._xlws.FILTER('Model output'!V:V,'Model output'!Z:Z=A27)),1)),ISNUMBER(SEARCH("clear",_xlfn.TEXTJOIN("; ",TRUE,_xlfn._xlws.FILTER('Model output'!V:V,'Model output'!Z:Z=A27)),1))*ISNUMBER(SEARCH("not mentioned",_xlfn.TEXTJOIN("; ",TRUE,_xlfn._xlws.FILTER('Model output'!V:V,'Model output'!Z:Z=A27)),1))),"negative",IF(ISNUMBER(SEARCH("cannot be assessed",_xlfn.TEXTJOIN("; ",TRUE,_xlfn._xlws.FILTER('Model output'!V:V,'Model output'!Z:Z=A27)),1)),"unknown","negative"))</f>
        <v>negative</v>
      </c>
      <c r="AI27" s="45" t="str">
        <f t="shared" si="2"/>
        <v>low</v>
      </c>
      <c r="AJ27" s="36" t="str">
        <f t="shared" si="3"/>
        <v>1a</v>
      </c>
      <c r="AK27" s="36" t="str">
        <f t="shared" si="19"/>
        <v>x</v>
      </c>
      <c r="AL27" s="36">
        <f t="shared" si="17"/>
        <v>0</v>
      </c>
      <c r="AM27" s="36" t="str">
        <f t="shared" si="18"/>
        <v>I</v>
      </c>
      <c r="AN27" s="37" t="s">
        <v>170</v>
      </c>
      <c r="AO27" s="38" t="s">
        <v>191</v>
      </c>
      <c r="AP27" s="38" t="s">
        <v>192</v>
      </c>
      <c r="AQ27" s="38">
        <v>0</v>
      </c>
      <c r="AR27" s="38" t="s">
        <v>31</v>
      </c>
      <c r="AS27" s="37">
        <f t="shared" si="7"/>
        <v>1</v>
      </c>
      <c r="AT27" s="38">
        <f t="shared" si="8"/>
        <v>0</v>
      </c>
      <c r="AU27" s="38">
        <f t="shared" si="12"/>
        <v>1</v>
      </c>
      <c r="AV27" s="38">
        <f t="shared" si="13"/>
        <v>1</v>
      </c>
      <c r="AW27" s="39">
        <f t="shared" si="13"/>
        <v>1</v>
      </c>
    </row>
    <row r="28" spans="1:49">
      <c r="A28" s="13">
        <v>26</v>
      </c>
      <c r="B28" s="16">
        <f>_xlfn.MAXIFS('Model output'!B:B,'Model output'!Z:Z,'Classification result'!$A28)</f>
        <v>45464</v>
      </c>
      <c r="C28" s="16"/>
      <c r="D28" s="16"/>
      <c r="E28" s="17">
        <f>_xlfn.MAXIFS('Model output'!C:C,'Model output'!Z:Z,'Classification result'!$A28)</f>
        <v>73</v>
      </c>
      <c r="F28" s="17" t="str" cm="1">
        <f t="array" ref="F28">LEFT(IF(ISERROR(RIGHT(IF(INDEX(_xlfn._xlws.FILTER('Model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output'!Z:Z=A28)),1),""),1))),"",(RIGHT(IF(INDEX(_xlfn._xlws.FILTER('Model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output'!Z:Z=A28)),1)))))),2)</f>
        <v>1b</v>
      </c>
      <c r="G28" s="17" t="str" cm="1">
        <f t="array" ref="G28">IF(ISNUMBER(SEARCH("N",IF(ISNUMBER(SEARCH("present",IF(INDEX(_xlfn._xlws.FILTER('Model output'!E:E,('Model output'!Z:Z=A28)),1)="","",INDEX(_xlfn._xlws.FILTER('Model output'!E:E,('Model output'!Z:Z=A28)),1)),1)),"N1", IF(INDEX(_xlfn._xlws.FILTER('Model output'!E:E,('Model output'!Z:Z=A28)),1)="","",INDEX(_xlfn._xlws.FILTER('Model output'!E:E,('Model output'!Z:Z=A28)),1))),1)),RIGHT(IF(ISNUMBER(SEARCH("present",IF(INDEX(_xlfn._xlws.FILTER('Model output'!E:E,('Model output'!Z:Z=A28)),1)="","",INDEX(_xlfn._xlws.FILTER('Model output'!E:E,('Model output'!Z:Z=A28)),1)),1)),"N1", IF(INDEX(_xlfn._xlws.FILTER('Model output'!E:E,('Model output'!Z:Z=A28)),1)="","",INDEX(_xlfn._xlws.FILTER('Model output'!E:E,('Model output'!Z:Z=A28)),1))),LEN(IF(ISNUMBER(SEARCH("present",IF(INDEX(_xlfn._xlws.FILTER('Model output'!E:E,('Model output'!Z:Z=A28)),1)="","",INDEX(_xlfn._xlws.FILTER('Model output'!E:E,('Model output'!Z:Z=A28)),1)),1)),"N1", IF(INDEX(_xlfn._xlws.FILTER('Model output'!E:E,('Model output'!Z:Z=A28)),1)="","",INDEX(_xlfn._xlws.FILTER('Model output'!E:E,('Model output'!Z:Z=A28)),1))))-FIND("N",IF(ISNUMBER(SEARCH("present",IF(INDEX(_xlfn._xlws.FILTER('Model output'!E:E,('Model output'!Z:Z=A28)),1)="","",INDEX(_xlfn._xlws.FILTER('Model output'!E:E,('Model output'!Z:Z=A28)),1)),1)),"N1", IF(INDEX(_xlfn._xlws.FILTER('Model output'!E:E,('Model output'!Z:Z=A28)),1)="","",INDEX(_xlfn._xlws.FILTER('Model output'!E:E,('Model output'!Z:Z=A28)),1))),1)), "")</f>
        <v/>
      </c>
      <c r="H28" s="17" cm="1">
        <f t="array" ref="H28">IF(AND(SUBSTITUTE(_xlfn.TEXTJOIN("/", TRUE, _xlfn._xlws.FILTER('Model output'!F:F, 'Model output'!Z:Z=A28)),"M", "")="", K28="negative"),0,IF(K28="positive",1,0))</f>
        <v>0</v>
      </c>
      <c r="I28" t="str">
        <f t="shared" si="0"/>
        <v/>
      </c>
      <c r="J28" t="str" cm="1">
        <f t="array" ref="J28">IF(AND(M28&gt;0, _xlfn.TEXTJOIN("; ", TRUE, _xlfn._xlws.FILTER('Model output'!G:G, 'Model output'!Z:Z=A28)) &lt;&gt;"", OR(AND(ISNUMBER(SEARCH("level", _xlfn.TEXTJOIN("; ", TRUE, _xlfn._xlws.FILTER('Model output'!G:G, 'Model output'!Z:Z=A28)),1)),OR(ISNUMBER(SEARCH(" II", _xlfn.TEXTJOIN("; ", TRUE, _xlfn._xlws.FILTER('Model output'!G:G, 'Model output'!Z:Z=A28)),1)),ISNUMBER(SEARCH("2", _xlfn.TEXTJOIN("; ", TRUE, _xlfn._xlws.FILTER('Model output'!G:G, 'Model output'!Z:Z=A28)),1)),ISNUMBER(SEARCH("two", _xlfn.TEXTJOIN("; ", TRUE, _xlfn._xlws.FILTER('Model output'!G:G, 'Model output'!Z:Z=A28)),1)),ISNUMBER(SEARCH("III", _xlfn.TEXTJOIN("; ", TRUE, _xlfn._xlws.FILTER('Model output'!G:G, 'Model output'!Z:Z=A28)),1)),ISNUMBER(SEARCH("3", _xlfn.TEXTJOIN("; ", TRUE, _xlfn._xlws.FILTER('Model output'!G:G, 'Model output'!Z:Z=A28)),1)),ISNUMBER(SEARCH("three", _xlfn.TEXTJOIN("; ", TRUE, _xlfn._xlws.FILTER('Model output'!G:G, 'Model output'!Z:Z=A28)),1)),ISNUMBER(SEARCH("IV", _xlfn.TEXTJOIN("; ", TRUE, _xlfn._xlws.FILTER('Model output'!G:G, 'Model output'!Z:Z=A28)),1)),ISNUMBER(SEARCH("4", _xlfn.TEXTJOIN("; ", TRUE, _xlfn._xlws.FILTER('Model output'!G:G, 'Model output'!Z:Z=A28)),1)),ISNUMBER(SEARCH("five", _xlfn.TEXTJOIN("; ", TRUE, _xlfn._xlws.FILTER('Model output'!G:G, 'Model output'!Z:Z=A28)),1)),ISNUMBER(SEARCH("V ", _xlfn.TEXTJOIN("; ", TRUE, _xlfn._xlws.FILTER('Model output'!G:G, 'Model output'!Z:Z=A28)),1)),ISNUMBER(SEARCH("5", _xlfn.TEXTJOIN("; ", TRUE, _xlfn._xlws.FILTER('Model output'!G:G, 'Model output'!Z:Z=A28)),1)),ISNUMBER(SEARCH("five", _xlfn.TEXTJOIN("; ", TRUE, _xlfn._xlws.FILTER('Model output'!G:G, 'Model output'!Z:Z=A28)),1)),ISNUMBER(SEARCH(" lateral", _xlfn.TEXTJOIN("; ", TRUE, _xlfn._xlws.FILTER('Model output'!G:G, 'Model output'!Z:Z=A28)),1)))),ISNUMBER(SEARCH("cervical", _xlfn.TEXTJOIN("; ", TRUE, _xlfn._xlws.FILTER('Model output'!G:G, 'Model output'!Z:Z=A28)),1)),ISNUMBER(SEARCH("jugular", _xlfn.TEXTJOIN("; ", TRUE, _xlfn._xlws.FILTER('Model output'!G:G, 'Model output'!Z:Z=A28)),1)),ISNUMBER(SEARCH("left neck", _xlfn.TEXTJOIN("; ", TRUE, _xlfn._xlws.FILTER('Model output'!G:G, 'Model output'!Z:Z=A28)),1)),ISNUMBER(SEARCH("left anterior neck", _xlfn.TEXTJOIN("; ", TRUE, _xlfn._xlws.FILTER('Model output'!G:G, 'Model output'!Z:Z=A28)),1)),ISNUMBER(SEARCH("left posterior neck", _xlfn.TEXTJOIN("; ", TRUE, _xlfn._xlws.FILTER('Model output'!G:G, 'Model output'!Z:Z=A28)),1)),ISNUMBER(SEARCH("right neck", _xlfn.TEXTJOIN("; ", TRUE, _xlfn._xlws.FILTER('Model output'!G:G, 'Model output'!Z:Z=A28)),1)),ISNUMBER(SEARCH("right anterior neck", _xlfn.TEXTJOIN("; ", TRUE, _xlfn._xlws.FILTER('Model output'!G:G, 'Model output'!Z:Z=A28)),1)),ISNUMBER(SEARCH("right posterior neck", _xlfn.TEXTJOIN("; ", TRUE, _xlfn._xlws.FILTER('Model output'!G:G, 'Model output'!Z:Z=A28)),1)))),"lateral",IF(AND(M28=0, _xlfn.TEXTJOIN("; ", TRUE, _xlfn._xlws.FILTER('Model output'!G:G, 'Model output'!Z:Z=A28))=""),"", "central"))</f>
        <v/>
      </c>
      <c r="K28" s="17" t="str" cm="1">
        <f t="array" ref="K28">IF(OR(ISNUMBER(SEARCH("lymph",_xlfn.TEXTJOIN("; ", TRUE, _xlfn._xlws.FILTER('Model output'!H:H, 'Model output'!Z:Z=A28)),1)), ISNUMBER(SEARCH("Not mentioned",_xlfn.TEXTJOIN("; ", TRUE, _xlfn._xlws.FILTER('Model output'!H:H, 'Model output'!Z:Z=A28)),1)),ISNUMBER(SEARCH("subcutaneous soft tissues",_xlfn.TEXTJOIN("; ", TRUE, _xlfn._xlws.FILTER('Model output'!H:H, 'Model output'!Z:Z=A28)),1)),ISNUMBER(SEARCH("larynx",_xlfn.TEXTJOIN("; ", TRUE, _xlfn._xlws.FILTER('Model output'!H:H, 'Model output'!Z:Z=A28)),1)),ISNUMBER(SEARCH("trachea",_xlfn.TEXTJOIN("; ", TRUE, _xlfn._xlws.FILTER('Model output'!H:H, 'Model output'!Z:Z=A28)),1)),ISNUMBER(SEARCH("esophagus",_xlfn.TEXTJOIN("; ", TRUE, _xlfn._xlws.FILTER('Model output'!H:H, 'Model output'!Z:Z=A28)),1)),ISNUMBER(SEARCH("recurrent laryngeal nerve",_xlfn.TEXTJOIN("; ", TRUE, _xlfn._xlws.FILTER('Model output'!H:H, 'Model output'!Z:Z=A28)),1)),ISNUMBER(SEARCH("RLN",_xlfn.TEXTJOIN("; ", TRUE, _xlfn._xlws.FILTER('Model output'!H:H, 'Model output'!Z:Z=A28)),1)),_xlfn.TEXTJOIN("; ", TRUE, _xlfn._xlws.FILTER('Model output'!H:H, 'Model output'!Z:Z=A28))=""),"negative","positive")</f>
        <v>negative</v>
      </c>
      <c r="L28" s="17">
        <f>IF(IFERROR(INDEX('Model output'!I:I, MATCH(A28, 'Model output'!Z:Z, 0)), "") &lt; M28, "", IFERROR(INDEX('Model output'!I:I, MATCH(A28, 'Model output'!Z:Z, 0)), ""))</f>
        <v>0</v>
      </c>
      <c r="M28" s="17">
        <f>IFERROR(INDEX('Model output'!J:J, MATCH(A28, 'Model output'!Z:Z, 0)), "")</f>
        <v>0</v>
      </c>
      <c r="N28" s="18" t="str" cm="1">
        <f t="array" ref="N28">ReplaceTo(ReplaceAnd(SUBSTITUTE(SUBSTITUTE(_xlfn.TEXTJOIN("; ", TRUE, _xlfn._xlws.FILTER('Model output'!K:K, 'Model output'!Z:Z=A28)), " ", ""), ",", ";")))</f>
        <v/>
      </c>
      <c r="O28" t="str" cm="1">
        <f t="array" ref="O28">IF(LEFT(IF(RIGHT(SUBSTITUTE(FilterWithUnits(N28)&amp;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";")),1)=";",RIGHT(IF(RIGHT(SUBSTITUTE(FilterWithUnits(N28)&amp;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";")),LEN(IF(RIGHT(SUBSTITUTE(FilterWithUnits(N28)&amp;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";")))-1),IF(RIGHT(SUBSTITUTE(FilterWithUnits(N28)&amp;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f>
        <v/>
      </c>
      <c r="P28" t="str" cm="1">
        <f t="array" ref="P28">IF(MaxSize((SplitDimensions(O28)))=0, "", MaxSize((SplitDimensions(O28))))</f>
        <v/>
      </c>
      <c r="Q28" t="str" cm="1">
        <f t="array" ref="Q28">IF(ISERROR(INDEX(_xlfn._xlws.FILTER('Model output'!L:L, ('Model output'!Z:Z=A28)*('Model output'!L:L&lt;&gt;"")), 1)), " ", LOWER(INDEX(_xlfn._xlws.FILTER('Model output'!L:L, ('Model output'!Z:Z=A28)*('Model output'!L:L&lt;&gt;"")), 1)))</f>
        <v>papillary carcinoma</v>
      </c>
      <c r="R28" t="str" cm="1">
        <f t="array" ref="R28">IF(ISERROR(INDEX(_xlfn._xlws.FILTER('Model output'!M:M, ('Model output'!Z:Z=A28)*('Model output'!M:M&lt;&gt;"")), 1)), " ", LOWER(INDEX(_xlfn._xlws.FILTER('Model output'!M:M, ('Model output'!Z:Z=A28)*('Model output'!M:M&lt;&gt;"")), 1)))</f>
        <v>classic</v>
      </c>
      <c r="S28" t="str" cm="1">
        <f t="array" ref="S28">IF(OR(ISNUMBER(SEARCH("ly",SUBSTITUTE(INDEX(_xlfn._xlws.FILTER('Model output'!N:N,('Model output'!Z:Z=A28)*('Model output'!N:N&lt;&gt;"")),1)," ",""),1)), ISNUMBER(SEARCH("pole",SUBSTITUTE(INDEX(_xlfn._xlws.FILTER('Model output'!N:N,('Model output'!Z:Z=A28)*('Model output'!N:N&lt;&gt;"")),1)," ",""),1))),"",SUBSTITUTE(INDEX(_xlfn._xlws.FILTER('Model output'!N:N,('Model output'!Z:Z=A28)*('Model output'!N:N&lt;&gt;"")),1)," ",""))</f>
        <v>11mm</v>
      </c>
      <c r="T28" t="str" cm="1">
        <f t="array" ref="T28">IF(LEFT(IF(RIGHT(SUBSTITUTE(FilterWithUnits(S28)&amp;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";")),1)=";",RIGHT(IF(RIGHT(SUBSTITUTE(FilterWithUnits(S28)&amp;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";")),LEN(IF(RIGHT(SUBSTITUTE(FilterWithUnits(S28)&amp;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";")))-1),IF(RIGHT(SUBSTITUTE(FilterWithUnits(S28)&amp;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f>
        <v>11mm</v>
      </c>
      <c r="U28" cm="1">
        <f t="array" ref="U28">IF(MaxSize((SplitDimensions(T28)))=0, "", MaxSize((SplitDimensions(T28))))</f>
        <v>1.1000000000000001</v>
      </c>
      <c r="V28" s="17" t="str" cm="1">
        <f t="array" ref="V28">IF(ISERROR(INDEX(_xlfn._xlws.FILTER('Model output'!P:P,('Model output'!Z:Z=A28)*('Model output'!P:P&lt;&gt;"")),1)),"negative",IF(OR(ISNUMBER(SEARCH("foc",INDEX(_xlfn._xlws.FILTER('Model output'!P:P,('Model output'!Z:Z=A28)*('Model output'!P:P&lt;&gt;"")),1),1)),ISNUMBER(SEARCH("extensive",INDEX(_xlfn._xlws.FILTER('Model output'!P:P,('Model output'!Z:Z=A28)*('Model output'!P:P&lt;&gt;"")),1),1)),ISNUMBER(SEARCH("present",INDEX(_xlfn._xlws.FILTER('Model output'!P:P,('Model output'!Z:Z=A28)*('Model output'!P:P&lt;&gt;"")),1),1)),ISNUMBER(SEARCH("yes",INDEX(_xlfn._xlws.FILTER('Model output'!P:P,('Model output'!Z:Z=A28)*('Model output'!P:P&lt;&gt;"")),1),1))),"positive","negative"))</f>
        <v>negative</v>
      </c>
      <c r="X28" t="str" cm="1">
        <f t="array" ref="X28">IF(ISNUMBER(SEARCH("4",INDEX(_xlfn._xlws.FILTER('Model output'!P:P,('Model output'!Z:Z=A28)*('Model output'!P:P&lt;&gt;"")),1),1)),INDEX(_xlfn._xlws.FILTER('Model output'!P:P,('Model output'!Z:Z=A28)*('Model output'!P:P&lt;&gt;"")),1),"") &amp; _xlfn.TEXTJOIN("",TRUE,_xlfn._xlws.FILTER('Model output'!Q:Q,'Model output'!Z:Z=A28))</f>
        <v>ETE to strap muscle</v>
      </c>
      <c r="Y28" t="str">
        <f t="shared" si="9"/>
        <v>no</v>
      </c>
      <c r="Z28" t="str" cm="1">
        <f t="array" ref="Z28">IF(OR(ISNUMBER(SEARCH("focal",_xlfn.TEXTJOIN("; ",TRUE,_xlfn._xlws.FILTER('Model output'!R:R,'Model output'!Z:Z=A28)),1)),ISNUMBER(SEARCH("present",_xlfn.TEXTJOIN("; ",TRUE,_xlfn._xlws.FILTER('Model output'!R:R,'Model output'!Z:Z=A28)),1))),"positive",IF(_xlfn.TEXTJOIN("; ",TRUE,_xlfn._xlws.FILTER('Model output'!R:R,'Model output'!Z:Z=A28))="","negative",IF(OR(ISNUMBER(SEARCH("no",_xlfn.TEXTJOIN("; ",TRUE,_xlfn._xlws.FILTER('Model output'!R:R,'Model output'!Z:Z=A28)),1)),ISNUMBER(SEARCH("absent",_xlfn.TEXTJOIN("; ",TRUE,_xlfn._xlws.FILTER('Model output'!R:R,'Model output'!Z:Z=A28)),1))),"negative","positive")))</f>
        <v>positive</v>
      </c>
      <c r="AA28" s="17" t="str">
        <f t="shared" si="10"/>
        <v>positive</v>
      </c>
      <c r="AE28" s="17" t="str">
        <f t="shared" si="11"/>
        <v>positive</v>
      </c>
      <c r="AF28" t="str" cm="1">
        <f t="array" ref="AF28">_xlfn.TEXTJOIN("; ",TRUE,_xlfn._xlws.FILTER('Model output'!S:S,'Model output'!Z:Z=A28))</f>
        <v>Microscopic extrathyroidal extension to skeletal muscle anterior to the thyroid gland is present; perithyroidal fibradipose tissue</v>
      </c>
      <c r="AG28" s="17" t="str" cm="1">
        <f t="array" ref="AG28">IF(OR(ISNUMBER(SEARCH("uninvolved",_xlfn.TEXTJOIN("; ",TRUE,_xlfn._xlws.FILTER('Model output'!V:V,'Model output'!Z:Z=A28)),1)),ISNUMBER(SEARCH("clear",_xlfn.TEXTJOIN("; ",TRUE,_xlfn._xlws.FILTER('Model output'!V:V,'Model output'!Z:Z=A28)),1))*ISNUMBER(SEARCH("not mentioned",_xlfn.TEXTJOIN("; ",TRUE,_xlfn._xlws.FILTER('Model output'!V:V,'Model output'!Z:Z=A28)),1))),"negative",IF(ISNUMBER(SEARCH("cannot be assessed",_xlfn.TEXTJOIN("; ",TRUE,_xlfn._xlws.FILTER('Model output'!V:V,'Model output'!Z:Z=A28)),1)),"unknown","negative"))</f>
        <v>negative</v>
      </c>
      <c r="AI28" s="45" t="str">
        <f t="shared" si="2"/>
        <v>high</v>
      </c>
      <c r="AJ28" s="36" t="str">
        <f t="shared" si="3"/>
        <v>3b</v>
      </c>
      <c r="AK28" s="36" t="str">
        <f>IF(OR(ISNUMBER(SEARCH("non-invasive follicular",Q28,1)),ISNUMBER(SEARCH("non-invasive follicular",R28,1))),"NIFTP",IF(AND(M28&gt;0,I28="positive",J28="central"),"1a",IF(AND(M28&gt;0,I28="positive",J28="lateral"),"1b",IF(AND(M28=0,L28=0),"x",0))))</f>
        <v>x</v>
      </c>
      <c r="AL28" s="36">
        <f t="shared" si="17"/>
        <v>0</v>
      </c>
      <c r="AM28" s="36" t="str">
        <f t="shared" si="18"/>
        <v>II</v>
      </c>
      <c r="AN28" s="37" t="s">
        <v>169</v>
      </c>
      <c r="AO28" s="38" t="s">
        <v>194</v>
      </c>
      <c r="AP28" s="38" t="s">
        <v>192</v>
      </c>
      <c r="AQ28" s="38">
        <v>0</v>
      </c>
      <c r="AR28" s="38" t="s">
        <v>44</v>
      </c>
      <c r="AS28" s="37">
        <f t="shared" si="7"/>
        <v>1</v>
      </c>
      <c r="AT28" s="38">
        <f t="shared" si="8"/>
        <v>1</v>
      </c>
      <c r="AU28" s="38">
        <f t="shared" si="12"/>
        <v>1</v>
      </c>
      <c r="AV28" s="38">
        <f t="shared" si="13"/>
        <v>1</v>
      </c>
      <c r="AW28" s="39">
        <f t="shared" si="13"/>
        <v>1</v>
      </c>
    </row>
    <row r="29" spans="1:49">
      <c r="A29" s="13">
        <v>27</v>
      </c>
      <c r="B29" s="16">
        <f>_xlfn.MAXIFS('Model output'!B:B,'Model output'!Z:Z,'Classification result'!$A29)</f>
        <v>45464</v>
      </c>
      <c r="C29" s="16"/>
      <c r="D29" s="16"/>
      <c r="E29" s="17">
        <f>_xlfn.MAXIFS('Model output'!C:C,'Model output'!Z:Z,'Classification result'!$A29)</f>
        <v>39</v>
      </c>
      <c r="F29" s="17" t="str" cm="1">
        <f t="array" ref="F29">LEFT(IF(ISERROR(RIGHT(IF(INDEX(_xlfn._xlws.FILTER('Model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output'!Z:Z=A29)),1),""),1))),"",(RIGHT(IF(INDEX(_xlfn._xlws.FILTER('Model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output'!Z:Z=A29)),1)))))),2)</f>
        <v>1a</v>
      </c>
      <c r="G29" s="17" t="str" cm="1">
        <f t="array" ref="G29">IF(ISNUMBER(SEARCH("N",IF(ISNUMBER(SEARCH("present",IF(INDEX(_xlfn._xlws.FILTER('Model output'!E:E,('Model output'!Z:Z=A29)),1)="","",INDEX(_xlfn._xlws.FILTER('Model output'!E:E,('Model output'!Z:Z=A29)),1)),1)),"N1", IF(INDEX(_xlfn._xlws.FILTER('Model output'!E:E,('Model output'!Z:Z=A29)),1)="","",INDEX(_xlfn._xlws.FILTER('Model output'!E:E,('Model output'!Z:Z=A29)),1))),1)),RIGHT(IF(ISNUMBER(SEARCH("present",IF(INDEX(_xlfn._xlws.FILTER('Model output'!E:E,('Model output'!Z:Z=A29)),1)="","",INDEX(_xlfn._xlws.FILTER('Model output'!E:E,('Model output'!Z:Z=A29)),1)),1)),"N1", IF(INDEX(_xlfn._xlws.FILTER('Model output'!E:E,('Model output'!Z:Z=A29)),1)="","",INDEX(_xlfn._xlws.FILTER('Model output'!E:E,('Model output'!Z:Z=A29)),1))),LEN(IF(ISNUMBER(SEARCH("present",IF(INDEX(_xlfn._xlws.FILTER('Model output'!E:E,('Model output'!Z:Z=A29)),1)="","",INDEX(_xlfn._xlws.FILTER('Model output'!E:E,('Model output'!Z:Z=A29)),1)),1)),"N1", IF(INDEX(_xlfn._xlws.FILTER('Model output'!E:E,('Model output'!Z:Z=A29)),1)="","",INDEX(_xlfn._xlws.FILTER('Model output'!E:E,('Model output'!Z:Z=A29)),1))))-FIND("N",IF(ISNUMBER(SEARCH("present",IF(INDEX(_xlfn._xlws.FILTER('Model output'!E:E,('Model output'!Z:Z=A29)),1)="","",INDEX(_xlfn._xlws.FILTER('Model output'!E:E,('Model output'!Z:Z=A29)),1)),1)),"N1", IF(INDEX(_xlfn._xlws.FILTER('Model output'!E:E,('Model output'!Z:Z=A29)),1)="","",INDEX(_xlfn._xlws.FILTER('Model output'!E:E,('Model output'!Z:Z=A29)),1))),1)), "")</f>
        <v/>
      </c>
      <c r="H29" s="17" cm="1">
        <f t="array" ref="H29">IF(AND(SUBSTITUTE(_xlfn.TEXTJOIN("/", TRUE, _xlfn._xlws.FILTER('Model output'!F:F, 'Model output'!Z:Z=A29)),"M", "")="", K29="negative"),0,IF(K29="positive",1,0))</f>
        <v>0</v>
      </c>
      <c r="I29" t="str">
        <f t="shared" si="0"/>
        <v>positive</v>
      </c>
      <c r="J29" t="str" cm="1">
        <f t="array" ref="J29">IF(AND(M29&gt;0, _xlfn.TEXTJOIN("; ", TRUE, _xlfn._xlws.FILTER('Model output'!G:G, 'Model output'!Z:Z=A29)) &lt;&gt;"", OR(AND(ISNUMBER(SEARCH("level", _xlfn.TEXTJOIN("; ", TRUE, _xlfn._xlws.FILTER('Model output'!G:G, 'Model output'!Z:Z=A29)),1)),OR(ISNUMBER(SEARCH(" II", _xlfn.TEXTJOIN("; ", TRUE, _xlfn._xlws.FILTER('Model output'!G:G, 'Model output'!Z:Z=A29)),1)),ISNUMBER(SEARCH("2", _xlfn.TEXTJOIN("; ", TRUE, _xlfn._xlws.FILTER('Model output'!G:G, 'Model output'!Z:Z=A29)),1)),ISNUMBER(SEARCH("two", _xlfn.TEXTJOIN("; ", TRUE, _xlfn._xlws.FILTER('Model output'!G:G, 'Model output'!Z:Z=A29)),1)),ISNUMBER(SEARCH("III", _xlfn.TEXTJOIN("; ", TRUE, _xlfn._xlws.FILTER('Model output'!G:G, 'Model output'!Z:Z=A29)),1)),ISNUMBER(SEARCH("3", _xlfn.TEXTJOIN("; ", TRUE, _xlfn._xlws.FILTER('Model output'!G:G, 'Model output'!Z:Z=A29)),1)),ISNUMBER(SEARCH("three", _xlfn.TEXTJOIN("; ", TRUE, _xlfn._xlws.FILTER('Model output'!G:G, 'Model output'!Z:Z=A29)),1)),ISNUMBER(SEARCH("IV", _xlfn.TEXTJOIN("; ", TRUE, _xlfn._xlws.FILTER('Model output'!G:G, 'Model output'!Z:Z=A29)),1)),ISNUMBER(SEARCH("4", _xlfn.TEXTJOIN("; ", TRUE, _xlfn._xlws.FILTER('Model output'!G:G, 'Model output'!Z:Z=A29)),1)),ISNUMBER(SEARCH("five", _xlfn.TEXTJOIN("; ", TRUE, _xlfn._xlws.FILTER('Model output'!G:G, 'Model output'!Z:Z=A29)),1)),ISNUMBER(SEARCH("V ", _xlfn.TEXTJOIN("; ", TRUE, _xlfn._xlws.FILTER('Model output'!G:G, 'Model output'!Z:Z=A29)),1)),ISNUMBER(SEARCH("5", _xlfn.TEXTJOIN("; ", TRUE, _xlfn._xlws.FILTER('Model output'!G:G, 'Model output'!Z:Z=A29)),1)),ISNUMBER(SEARCH("five", _xlfn.TEXTJOIN("; ", TRUE, _xlfn._xlws.FILTER('Model output'!G:G, 'Model output'!Z:Z=A29)),1)),ISNUMBER(SEARCH(" lateral", _xlfn.TEXTJOIN("; ", TRUE, _xlfn._xlws.FILTER('Model output'!G:G, 'Model output'!Z:Z=A29)),1)))),ISNUMBER(SEARCH("cervical", _xlfn.TEXTJOIN("; ", TRUE, _xlfn._xlws.FILTER('Model output'!G:G, 'Model output'!Z:Z=A29)),1)),ISNUMBER(SEARCH("jugular", _xlfn.TEXTJOIN("; ", TRUE, _xlfn._xlws.FILTER('Model output'!G:G, 'Model output'!Z:Z=A29)),1)),ISNUMBER(SEARCH("left neck", _xlfn.TEXTJOIN("; ", TRUE, _xlfn._xlws.FILTER('Model output'!G:G, 'Model output'!Z:Z=A29)),1)),ISNUMBER(SEARCH("left anterior neck", _xlfn.TEXTJOIN("; ", TRUE, _xlfn._xlws.FILTER('Model output'!G:G, 'Model output'!Z:Z=A29)),1)),ISNUMBER(SEARCH("left posterior neck", _xlfn.TEXTJOIN("; ", TRUE, _xlfn._xlws.FILTER('Model output'!G:G, 'Model output'!Z:Z=A29)),1)),ISNUMBER(SEARCH("right neck", _xlfn.TEXTJOIN("; ", TRUE, _xlfn._xlws.FILTER('Model output'!G:G, 'Model output'!Z:Z=A29)),1)),ISNUMBER(SEARCH("right anterior neck", _xlfn.TEXTJOIN("; ", TRUE, _xlfn._xlws.FILTER('Model output'!G:G, 'Model output'!Z:Z=A29)),1)),ISNUMBER(SEARCH("right posterior neck", _xlfn.TEXTJOIN("; ", TRUE, _xlfn._xlws.FILTER('Model output'!G:G, 'Model output'!Z:Z=A29)),1)))),"lateral",IF(AND(M29=0, _xlfn.TEXTJOIN("; ", TRUE, _xlfn._xlws.FILTER('Model output'!G:G, 'Model output'!Z:Z=A29))=""),"", "central"))</f>
        <v>central</v>
      </c>
      <c r="K29" s="17" t="str" cm="1">
        <f t="array" ref="K29">IF(OR(ISNUMBER(SEARCH("lymph",_xlfn.TEXTJOIN("; ", TRUE, _xlfn._xlws.FILTER('Model output'!H:H, 'Model output'!Z:Z=A29)),1)), ISNUMBER(SEARCH("Not mentioned",_xlfn.TEXTJOIN("; ", TRUE, _xlfn._xlws.FILTER('Model output'!H:H, 'Model output'!Z:Z=A29)),1)),ISNUMBER(SEARCH("subcutaneous soft tissues",_xlfn.TEXTJOIN("; ", TRUE, _xlfn._xlws.FILTER('Model output'!H:H, 'Model output'!Z:Z=A29)),1)),ISNUMBER(SEARCH("larynx",_xlfn.TEXTJOIN("; ", TRUE, _xlfn._xlws.FILTER('Model output'!H:H, 'Model output'!Z:Z=A29)),1)),ISNUMBER(SEARCH("trachea",_xlfn.TEXTJOIN("; ", TRUE, _xlfn._xlws.FILTER('Model output'!H:H, 'Model output'!Z:Z=A29)),1)),ISNUMBER(SEARCH("esophagus",_xlfn.TEXTJOIN("; ", TRUE, _xlfn._xlws.FILTER('Model output'!H:H, 'Model output'!Z:Z=A29)),1)),ISNUMBER(SEARCH("recurrent laryngeal nerve",_xlfn.TEXTJOIN("; ", TRUE, _xlfn._xlws.FILTER('Model output'!H:H, 'Model output'!Z:Z=A29)),1)),ISNUMBER(SEARCH("RLN",_xlfn.TEXTJOIN("; ", TRUE, _xlfn._xlws.FILTER('Model output'!H:H, 'Model output'!Z:Z=A29)),1)),_xlfn.TEXTJOIN("; ", TRUE, _xlfn._xlws.FILTER('Model output'!H:H, 'Model output'!Z:Z=A29))=""),"negative","positive")</f>
        <v>negative</v>
      </c>
      <c r="L29" s="17">
        <f>IF(IFERROR(INDEX('Model output'!I:I, MATCH(A29, 'Model output'!Z:Z, 0)), "") &lt; M29, "", IFERROR(INDEX('Model output'!I:I, MATCH(A29, 'Model output'!Z:Z, 0)), ""))</f>
        <v>2</v>
      </c>
      <c r="M29" s="17">
        <f>IFERROR(INDEX('Model output'!J:J, MATCH(A29, 'Model output'!Z:Z, 0)), "")</f>
        <v>1</v>
      </c>
      <c r="N29" s="18" t="str" cm="1">
        <f t="array" ref="N29">ReplaceTo(ReplaceAnd(SUBSTITUTE(SUBSTITUTE(_xlfn.TEXTJOIN("; ", TRUE, _xlfn._xlws.FILTER('Model output'!K:K, 'Model output'!Z:Z=A29)), " ", ""), ",", ";")))</f>
        <v>2.2mm</v>
      </c>
      <c r="O29" t="str" cm="1">
        <f t="array" ref="O29">IF(LEFT(IF(RIGHT(SUBSTITUTE(FilterWithUnits(N29)&amp;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";")),1)=";",RIGHT(IF(RIGHT(SUBSTITUTE(FilterWithUnits(N29)&amp;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";")),LEN(IF(RIGHT(SUBSTITUTE(FilterWithUnits(N29)&amp;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";")))-1),IF(RIGHT(SUBSTITUTE(FilterWithUnits(N29)&amp;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f>
        <v>2.2mm</v>
      </c>
      <c r="P29" cm="1">
        <f t="array" ref="P29">IF(MaxSize((SplitDimensions(O29)))=0, "", MaxSize((SplitDimensions(O29))))</f>
        <v>0.22000000000000003</v>
      </c>
      <c r="Q29" t="str" cm="1">
        <f t="array" ref="Q29">IF(ISERROR(INDEX(_xlfn._xlws.FILTER('Model output'!L:L, ('Model output'!Z:Z=A29)*('Model output'!L:L&lt;&gt;"")), 1)), " ", LOWER(INDEX(_xlfn._xlws.FILTER('Model output'!L:L, ('Model output'!Z:Z=A29)*('Model output'!L:L&lt;&gt;"")), 1)))</f>
        <v>papillary carcinoma</v>
      </c>
      <c r="R29" t="str" cm="1">
        <f t="array" ref="R29">IF(ISERROR(INDEX(_xlfn._xlws.FILTER('Model output'!M:M, ('Model output'!Z:Z=A29)*('Model output'!M:M&lt;&gt;"")), 1)), " ", LOWER(INDEX(_xlfn._xlws.FILTER('Model output'!M:M, ('Model output'!Z:Z=A29)*('Model output'!M:M&lt;&gt;"")), 1)))</f>
        <v xml:space="preserve"> </v>
      </c>
      <c r="S29" t="str" cm="1">
        <f t="array" ref="S29">IF(OR(ISNUMBER(SEARCH("ly",SUBSTITUTE(INDEX(_xlfn._xlws.FILTER('Model output'!N:N,('Model output'!Z:Z=A29)*('Model output'!N:N&lt;&gt;"")),1)," ",""),1)), ISNUMBER(SEARCH("pole",SUBSTITUTE(INDEX(_xlfn._xlws.FILTER('Model output'!N:N,('Model output'!Z:Z=A29)*('Model output'!N:N&lt;&gt;"")),1)," ",""),1))),"",SUBSTITUTE(INDEX(_xlfn._xlws.FILTER('Model output'!N:N,('Model output'!Z:Z=A29)*('Model output'!N:N&lt;&gt;"")),1)," ",""))</f>
        <v>5mm(blockA5)and1.5mm(blockA9)</v>
      </c>
      <c r="T29" t="str" cm="1">
        <f t="array" ref="T29">IF(LEFT(IF(RIGHT(SUBSTITUTE(FilterWithUnits(S29)&amp;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";")),1)=";",RIGHT(IF(RIGHT(SUBSTITUTE(FilterWithUnits(S29)&amp;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";")),LEN(IF(RIGHT(SUBSTITUTE(FilterWithUnits(S29)&amp;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";")))-1),IF(RIGHT(SUBSTITUTE(FilterWithUnits(S29)&amp;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f>
        <v>5mm</v>
      </c>
      <c r="U29" cm="1">
        <f t="array" ref="U29">IF(MaxSize((SplitDimensions(T29)))=0, "", MaxSize((SplitDimensions(T29))))</f>
        <v>0.5</v>
      </c>
      <c r="V29" s="17" t="str" cm="1">
        <f t="array" ref="V29">IF(ISERROR(INDEX(_xlfn._xlws.FILTER('Model output'!P:P,('Model output'!Z:Z=A29)*('Model output'!P:P&lt;&gt;"")),1)),"negative",IF(OR(ISNUMBER(SEARCH("foc",INDEX(_xlfn._xlws.FILTER('Model output'!P:P,('Model output'!Z:Z=A29)*('Model output'!P:P&lt;&gt;"")),1),1)),ISNUMBER(SEARCH("extensive",INDEX(_xlfn._xlws.FILTER('Model output'!P:P,('Model output'!Z:Z=A29)*('Model output'!P:P&lt;&gt;"")),1),1)),ISNUMBER(SEARCH("present",INDEX(_xlfn._xlws.FILTER('Model output'!P:P,('Model output'!Z:Z=A29)*('Model output'!P:P&lt;&gt;"")),1),1)),ISNUMBER(SEARCH("yes",INDEX(_xlfn._xlws.FILTER('Model output'!P:P,('Model output'!Z:Z=A29)*('Model output'!P:P&lt;&gt;"")),1),1))),"positive","negative"))</f>
        <v>negative</v>
      </c>
      <c r="X29" t="str" cm="1">
        <f t="array" ref="X29">IF(ISNUMBER(SEARCH("4",INDEX(_xlfn._xlws.FILTER('Model output'!P:P,('Model output'!Z:Z=A29)*('Model output'!P:P&lt;&gt;"")),1),1)),INDEX(_xlfn._xlws.FILTER('Model output'!P:P,('Model output'!Z:Z=A29)*('Model output'!P:P&lt;&gt;"")),1),"") &amp; _xlfn.TEXTJOIN("",TRUE,_xlfn._xlws.FILTER('Model output'!Q:Q,'Model output'!Z:Z=A29))</f>
        <v/>
      </c>
      <c r="Y29" t="str">
        <f t="shared" si="9"/>
        <v>no</v>
      </c>
      <c r="Z29" t="str" cm="1">
        <f t="array" ref="Z29">IF(OR(ISNUMBER(SEARCH("focal",_xlfn.TEXTJOIN("; ",TRUE,_xlfn._xlws.FILTER('Model output'!R:R,'Model output'!Z:Z=A29)),1)),ISNUMBER(SEARCH("present",_xlfn.TEXTJOIN("; ",TRUE,_xlfn._xlws.FILTER('Model output'!R:R,'Model output'!Z:Z=A29)),1))),"positive",IF(_xlfn.TEXTJOIN("; ",TRUE,_xlfn._xlws.FILTER('Model output'!R:R,'Model output'!Z:Z=A29))="","negative",IF(OR(ISNUMBER(SEARCH("no",_xlfn.TEXTJOIN("; ",TRUE,_xlfn._xlws.FILTER('Model output'!R:R,'Model output'!Z:Z=A29)),1)),ISNUMBER(SEARCH("absent",_xlfn.TEXTJOIN("; ",TRUE,_xlfn._xlws.FILTER('Model output'!R:R,'Model output'!Z:Z=A29)),1))),"negative","positive")))</f>
        <v>negative</v>
      </c>
      <c r="AA29" s="17" t="str">
        <f t="shared" si="10"/>
        <v>negative</v>
      </c>
      <c r="AE29" s="17" t="str">
        <f t="shared" si="11"/>
        <v>negative</v>
      </c>
      <c r="AF29" t="str" cm="1">
        <f t="array" ref="AF29">_xlfn.TEXTJOIN("; ",TRUE,_xlfn._xlws.FILTER('Model output'!S:S,'Model output'!Z:Z=A29))</f>
        <v>Not identified</v>
      </c>
      <c r="AG29" s="17" t="str" cm="1">
        <f t="array" ref="AG29">IF(OR(ISNUMBER(SEARCH("uninvolved",_xlfn.TEXTJOIN("; ",TRUE,_xlfn._xlws.FILTER('Model output'!V:V,'Model output'!Z:Z=A29)),1)),ISNUMBER(SEARCH("clear",_xlfn.TEXTJOIN("; ",TRUE,_xlfn._xlws.FILTER('Model output'!V:V,'Model output'!Z:Z=A29)),1))*ISNUMBER(SEARCH("not mentioned",_xlfn.TEXTJOIN("; ",TRUE,_xlfn._xlws.FILTER('Model output'!V:V,'Model output'!Z:Z=A29)),1))),"negative",IF(ISNUMBER(SEARCH("cannot be assessed",_xlfn.TEXTJOIN("; ",TRUE,_xlfn._xlws.FILTER('Model output'!V:V,'Model output'!Z:Z=A29)),1)),"unknown","negative"))</f>
        <v>negative</v>
      </c>
      <c r="AI29" s="45" t="str">
        <f t="shared" si="2"/>
        <v>low</v>
      </c>
      <c r="AJ29" s="36" t="str">
        <f t="shared" si="3"/>
        <v>1a</v>
      </c>
      <c r="AK29" s="36" t="str">
        <f t="shared" ref="AK29:AK37" si="20">IF(OR(ISNUMBER(SEARCH("non-invasive follicular",Q29,1)),ISNUMBER(SEARCH("non-invasive follicular",R29,1))),"NIFTP",IF(AND(M29&gt;0,I29="positive",J29="central"),"1a",IF(AND(M29&gt;0,I29="positive",J29="lateral"),"1b",IF(AND(M29=0,L29=0),"x",0))))</f>
        <v>1a</v>
      </c>
      <c r="AL29" s="36">
        <f t="shared" si="17"/>
        <v>0</v>
      </c>
      <c r="AM29" s="36" t="str">
        <f t="shared" si="18"/>
        <v>I</v>
      </c>
      <c r="AN29" s="37" t="s">
        <v>170</v>
      </c>
      <c r="AO29" s="38" t="s">
        <v>193</v>
      </c>
      <c r="AP29" s="38" t="s">
        <v>193</v>
      </c>
      <c r="AQ29" s="38">
        <v>0</v>
      </c>
      <c r="AR29" s="38" t="s">
        <v>31</v>
      </c>
      <c r="AS29" s="37">
        <f t="shared" si="7"/>
        <v>1</v>
      </c>
      <c r="AT29" s="38">
        <f t="shared" si="8"/>
        <v>1</v>
      </c>
      <c r="AU29" s="38">
        <f t="shared" si="12"/>
        <v>1</v>
      </c>
      <c r="AV29" s="38">
        <f t="shared" si="13"/>
        <v>1</v>
      </c>
      <c r="AW29" s="39">
        <f t="shared" si="13"/>
        <v>1</v>
      </c>
    </row>
    <row r="30" spans="1:49">
      <c r="A30" s="13">
        <v>28</v>
      </c>
      <c r="B30" s="16">
        <f>_xlfn.MAXIFS('Model output'!B:B,'Model output'!Z:Z,'Classification result'!$A30)</f>
        <v>45464</v>
      </c>
      <c r="C30" s="16"/>
      <c r="D30" s="16"/>
      <c r="E30" s="17">
        <f>_xlfn.MAXIFS('Model output'!C:C,'Model output'!Z:Z,'Classification result'!$A30)</f>
        <v>57</v>
      </c>
      <c r="F30" s="17" t="str" cm="1">
        <f t="array" ref="F30">LEFT(IF(ISERROR(RIGHT(IF(INDEX(_xlfn._xlws.FILTER('Model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output'!Z:Z=A30)),1),""),1))),"",(RIGHT(IF(INDEX(_xlfn._xlws.FILTER('Model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output'!Z:Z=A30)),1)))))),2)</f>
        <v>1a</v>
      </c>
      <c r="G30" s="17" t="str" cm="1">
        <f t="array" ref="G30">IF(ISNUMBER(SEARCH("N",IF(ISNUMBER(SEARCH("present",IF(INDEX(_xlfn._xlws.FILTER('Model output'!E:E,('Model output'!Z:Z=A30)),1)="","",INDEX(_xlfn._xlws.FILTER('Model output'!E:E,('Model output'!Z:Z=A30)),1)),1)),"N1", IF(INDEX(_xlfn._xlws.FILTER('Model output'!E:E,('Model output'!Z:Z=A30)),1)="","",INDEX(_xlfn._xlws.FILTER('Model output'!E:E,('Model output'!Z:Z=A30)),1))),1)),RIGHT(IF(ISNUMBER(SEARCH("present",IF(INDEX(_xlfn._xlws.FILTER('Model output'!E:E,('Model output'!Z:Z=A30)),1)="","",INDEX(_xlfn._xlws.FILTER('Model output'!E:E,('Model output'!Z:Z=A30)),1)),1)),"N1", IF(INDEX(_xlfn._xlws.FILTER('Model output'!E:E,('Model output'!Z:Z=A30)),1)="","",INDEX(_xlfn._xlws.FILTER('Model output'!E:E,('Model output'!Z:Z=A30)),1))),LEN(IF(ISNUMBER(SEARCH("present",IF(INDEX(_xlfn._xlws.FILTER('Model output'!E:E,('Model output'!Z:Z=A30)),1)="","",INDEX(_xlfn._xlws.FILTER('Model output'!E:E,('Model output'!Z:Z=A30)),1)),1)),"N1", IF(INDEX(_xlfn._xlws.FILTER('Model output'!E:E,('Model output'!Z:Z=A30)),1)="","",INDEX(_xlfn._xlws.FILTER('Model output'!E:E,('Model output'!Z:Z=A30)),1))))-FIND("N",IF(ISNUMBER(SEARCH("present",IF(INDEX(_xlfn._xlws.FILTER('Model output'!E:E,('Model output'!Z:Z=A30)),1)="","",INDEX(_xlfn._xlws.FILTER('Model output'!E:E,('Model output'!Z:Z=A30)),1)),1)),"N1", IF(INDEX(_xlfn._xlws.FILTER('Model output'!E:E,('Model output'!Z:Z=A30)),1)="","",INDEX(_xlfn._xlws.FILTER('Model output'!E:E,('Model output'!Z:Z=A30)),1))),1)), "")</f>
        <v>1a</v>
      </c>
      <c r="H30" s="17" cm="1">
        <f t="array" ref="H30">IF(AND(SUBSTITUTE(_xlfn.TEXTJOIN("/", TRUE, _xlfn._xlws.FILTER('Model output'!F:F, 'Model output'!Z:Z=A30)),"M", "")="", K30="negative"),0,IF(K30="positive",1,0))</f>
        <v>0</v>
      </c>
      <c r="I30" t="str">
        <f t="shared" si="0"/>
        <v>positive</v>
      </c>
      <c r="J30" t="str" cm="1">
        <f t="array" ref="J30">IF(AND(M30&gt;0, _xlfn.TEXTJOIN("; ", TRUE, _xlfn._xlws.FILTER('Model output'!G:G, 'Model output'!Z:Z=A30)) &lt;&gt;"", OR(AND(ISNUMBER(SEARCH("level", _xlfn.TEXTJOIN("; ", TRUE, _xlfn._xlws.FILTER('Model output'!G:G, 'Model output'!Z:Z=A30)),1)),OR(ISNUMBER(SEARCH(" II", _xlfn.TEXTJOIN("; ", TRUE, _xlfn._xlws.FILTER('Model output'!G:G, 'Model output'!Z:Z=A30)),1)),ISNUMBER(SEARCH("2", _xlfn.TEXTJOIN("; ", TRUE, _xlfn._xlws.FILTER('Model output'!G:G, 'Model output'!Z:Z=A30)),1)),ISNUMBER(SEARCH("two", _xlfn.TEXTJOIN("; ", TRUE, _xlfn._xlws.FILTER('Model output'!G:G, 'Model output'!Z:Z=A30)),1)),ISNUMBER(SEARCH("III", _xlfn.TEXTJOIN("; ", TRUE, _xlfn._xlws.FILTER('Model output'!G:G, 'Model output'!Z:Z=A30)),1)),ISNUMBER(SEARCH("3", _xlfn.TEXTJOIN("; ", TRUE, _xlfn._xlws.FILTER('Model output'!G:G, 'Model output'!Z:Z=A30)),1)),ISNUMBER(SEARCH("three", _xlfn.TEXTJOIN("; ", TRUE, _xlfn._xlws.FILTER('Model output'!G:G, 'Model output'!Z:Z=A30)),1)),ISNUMBER(SEARCH("IV", _xlfn.TEXTJOIN("; ", TRUE, _xlfn._xlws.FILTER('Model output'!G:G, 'Model output'!Z:Z=A30)),1)),ISNUMBER(SEARCH("4", _xlfn.TEXTJOIN("; ", TRUE, _xlfn._xlws.FILTER('Model output'!G:G, 'Model output'!Z:Z=A30)),1)),ISNUMBER(SEARCH("five", _xlfn.TEXTJOIN("; ", TRUE, _xlfn._xlws.FILTER('Model output'!G:G, 'Model output'!Z:Z=A30)),1)),ISNUMBER(SEARCH("V ", _xlfn.TEXTJOIN("; ", TRUE, _xlfn._xlws.FILTER('Model output'!G:G, 'Model output'!Z:Z=A30)),1)),ISNUMBER(SEARCH("5", _xlfn.TEXTJOIN("; ", TRUE, _xlfn._xlws.FILTER('Model output'!G:G, 'Model output'!Z:Z=A30)),1)),ISNUMBER(SEARCH("five", _xlfn.TEXTJOIN("; ", TRUE, _xlfn._xlws.FILTER('Model output'!G:G, 'Model output'!Z:Z=A30)),1)),ISNUMBER(SEARCH(" lateral", _xlfn.TEXTJOIN("; ", TRUE, _xlfn._xlws.FILTER('Model output'!G:G, 'Model output'!Z:Z=A30)),1)))),ISNUMBER(SEARCH("cervical", _xlfn.TEXTJOIN("; ", TRUE, _xlfn._xlws.FILTER('Model output'!G:G, 'Model output'!Z:Z=A30)),1)),ISNUMBER(SEARCH("jugular", _xlfn.TEXTJOIN("; ", TRUE, _xlfn._xlws.FILTER('Model output'!G:G, 'Model output'!Z:Z=A30)),1)),ISNUMBER(SEARCH("left neck", _xlfn.TEXTJOIN("; ", TRUE, _xlfn._xlws.FILTER('Model output'!G:G, 'Model output'!Z:Z=A30)),1)),ISNUMBER(SEARCH("left anterior neck", _xlfn.TEXTJOIN("; ", TRUE, _xlfn._xlws.FILTER('Model output'!G:G, 'Model output'!Z:Z=A30)),1)),ISNUMBER(SEARCH("left posterior neck", _xlfn.TEXTJOIN("; ", TRUE, _xlfn._xlws.FILTER('Model output'!G:G, 'Model output'!Z:Z=A30)),1)),ISNUMBER(SEARCH("right neck", _xlfn.TEXTJOIN("; ", TRUE, _xlfn._xlws.FILTER('Model output'!G:G, 'Model output'!Z:Z=A30)),1)),ISNUMBER(SEARCH("right anterior neck", _xlfn.TEXTJOIN("; ", TRUE, _xlfn._xlws.FILTER('Model output'!G:G, 'Model output'!Z:Z=A30)),1)),ISNUMBER(SEARCH("right posterior neck", _xlfn.TEXTJOIN("; ", TRUE, _xlfn._xlws.FILTER('Model output'!G:G, 'Model output'!Z:Z=A30)),1)))),"lateral",IF(AND(M30=0, _xlfn.TEXTJOIN("; ", TRUE, _xlfn._xlws.FILTER('Model output'!G:G, 'Model output'!Z:Z=A30))=""),"", "central"))</f>
        <v>central</v>
      </c>
      <c r="K30" s="17" t="str" cm="1">
        <f t="array" ref="K30">IF(OR(ISNUMBER(SEARCH("lymph",_xlfn.TEXTJOIN("; ", TRUE, _xlfn._xlws.FILTER('Model output'!H:H, 'Model output'!Z:Z=A30)),1)), ISNUMBER(SEARCH("Not mentioned",_xlfn.TEXTJOIN("; ", TRUE, _xlfn._xlws.FILTER('Model output'!H:H, 'Model output'!Z:Z=A30)),1)),ISNUMBER(SEARCH("subcutaneous soft tissues",_xlfn.TEXTJOIN("; ", TRUE, _xlfn._xlws.FILTER('Model output'!H:H, 'Model output'!Z:Z=A30)),1)),ISNUMBER(SEARCH("larynx",_xlfn.TEXTJOIN("; ", TRUE, _xlfn._xlws.FILTER('Model output'!H:H, 'Model output'!Z:Z=A30)),1)),ISNUMBER(SEARCH("trachea",_xlfn.TEXTJOIN("; ", TRUE, _xlfn._xlws.FILTER('Model output'!H:H, 'Model output'!Z:Z=A30)),1)),ISNUMBER(SEARCH("esophagus",_xlfn.TEXTJOIN("; ", TRUE, _xlfn._xlws.FILTER('Model output'!H:H, 'Model output'!Z:Z=A30)),1)),ISNUMBER(SEARCH("recurrent laryngeal nerve",_xlfn.TEXTJOIN("; ", TRUE, _xlfn._xlws.FILTER('Model output'!H:H, 'Model output'!Z:Z=A30)),1)),ISNUMBER(SEARCH("RLN",_xlfn.TEXTJOIN("; ", TRUE, _xlfn._xlws.FILTER('Model output'!H:H, 'Model output'!Z:Z=A30)),1)),_xlfn.TEXTJOIN("; ", TRUE, _xlfn._xlws.FILTER('Model output'!H:H, 'Model output'!Z:Z=A30))=""),"negative","positive")</f>
        <v>negative</v>
      </c>
      <c r="L30" s="17">
        <f>IF(IFERROR(INDEX('Model output'!I:I, MATCH(A30, 'Model output'!Z:Z, 0)), "") &lt; M30, "", IFERROR(INDEX('Model output'!I:I, MATCH(A30, 'Model output'!Z:Z, 0)), ""))</f>
        <v>5</v>
      </c>
      <c r="M30" s="17">
        <f>IFERROR(INDEX('Model output'!J:J, MATCH(A30, 'Model output'!Z:Z, 0)), "")</f>
        <v>1</v>
      </c>
      <c r="N30" s="18" t="str" cm="1">
        <f t="array" ref="N30">ReplaceTo(ReplaceAnd(SUBSTITUTE(SUBSTITUTE(_xlfn.TEXTJOIN("; ", TRUE, _xlfn._xlws.FILTER('Model output'!K:K, 'Model output'!Z:Z=A30)), " ", ""), ",", ";")))</f>
        <v>2.5mm</v>
      </c>
      <c r="O30" t="str" cm="1">
        <f t="array" ref="O30">IF(LEFT(IF(RIGHT(SUBSTITUTE(FilterWithUnits(N30)&amp;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";")),1)=";",RIGHT(IF(RIGHT(SUBSTITUTE(FilterWithUnits(N30)&amp;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";")),LEN(IF(RIGHT(SUBSTITUTE(FilterWithUnits(N30)&amp;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";")))-1),IF(RIGHT(SUBSTITUTE(FilterWithUnits(N30)&amp;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f>
        <v>2.5mm</v>
      </c>
      <c r="P30" cm="1">
        <f t="array" ref="P30">IF(MaxSize((SplitDimensions(O30)))=0, "", MaxSize((SplitDimensions(O30))))</f>
        <v>0.25</v>
      </c>
      <c r="Q30" t="str" cm="1">
        <f t="array" ref="Q30">IF(ISERROR(INDEX(_xlfn._xlws.FILTER('Model output'!L:L, ('Model output'!Z:Z=A30)*('Model output'!L:L&lt;&gt;"")), 1)), " ", LOWER(INDEX(_xlfn._xlws.FILTER('Model output'!L:L, ('Model output'!Z:Z=A30)*('Model output'!L:L&lt;&gt;"")), 1)))</f>
        <v>papillary carcinoma</v>
      </c>
      <c r="R30" t="str" cm="1">
        <f t="array" ref="R30">IF(ISERROR(INDEX(_xlfn._xlws.FILTER('Model output'!M:M, ('Model output'!Z:Z=A30)*('Model output'!M:M&lt;&gt;"")), 1)), " ", LOWER(INDEX(_xlfn._xlws.FILTER('Model output'!M:M, ('Model output'!Z:Z=A30)*('Model output'!M:M&lt;&gt;"")), 1)))</f>
        <v xml:space="preserve"> </v>
      </c>
      <c r="S30" t="str" cm="1">
        <f t="array" ref="S30">IF(OR(ISNUMBER(SEARCH("ly",SUBSTITUTE(INDEX(_xlfn._xlws.FILTER('Model output'!N:N,('Model output'!Z:Z=A30)*('Model output'!N:N&lt;&gt;"")),1)," ",""),1)), ISNUMBER(SEARCH("pole",SUBSTITUTE(INDEX(_xlfn._xlws.FILTER('Model output'!N:N,('Model output'!Z:Z=A30)*('Model output'!N:N&lt;&gt;"")),1)," ",""),1))),"",SUBSTITUTE(INDEX(_xlfn._xlws.FILTER('Model output'!N:N,('Model output'!Z:Z=A30)*('Model output'!N:N&lt;&gt;"")),1)," ",""))</f>
        <v/>
      </c>
      <c r="T30" t="str" cm="1">
        <f t="array" ref="T30">IF(LEFT(IF(RIGHT(SUBSTITUTE(FilterWithUnits(S30)&amp;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";")),1)=";",RIGHT(IF(RIGHT(SUBSTITUTE(FilterWithUnits(S30)&amp;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";")),LEN(IF(RIGHT(SUBSTITUTE(FilterWithUnits(S30)&amp;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";")))-1),IF(RIGHT(SUBSTITUTE(FilterWithUnits(S30)&amp;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f>
        <v/>
      </c>
      <c r="U30" t="str" cm="1">
        <f t="array" ref="U30">IF(MaxSize((SplitDimensions(T30)))=0, "", MaxSize((SplitDimensions(T30))))</f>
        <v/>
      </c>
      <c r="V30" s="17" t="str" cm="1">
        <f t="array" ref="V30">IF(ISERROR(INDEX(_xlfn._xlws.FILTER('Model output'!P:P,('Model output'!Z:Z=A30)*('Model output'!P:P&lt;&gt;"")),1)),"negative",IF(OR(ISNUMBER(SEARCH("foc",INDEX(_xlfn._xlws.FILTER('Model output'!P:P,('Model output'!Z:Z=A30)*('Model output'!P:P&lt;&gt;"")),1),1)),ISNUMBER(SEARCH("extensive",INDEX(_xlfn._xlws.FILTER('Model output'!P:P,('Model output'!Z:Z=A30)*('Model output'!P:P&lt;&gt;"")),1),1)),ISNUMBER(SEARCH("present",INDEX(_xlfn._xlws.FILTER('Model output'!P:P,('Model output'!Z:Z=A30)*('Model output'!P:P&lt;&gt;"")),1),1)),ISNUMBER(SEARCH("yes",INDEX(_xlfn._xlws.FILTER('Model output'!P:P,('Model output'!Z:Z=A30)*('Model output'!P:P&lt;&gt;"")),1),1))),"positive","negative"))</f>
        <v>negative</v>
      </c>
      <c r="X30" t="str" cm="1">
        <f t="array" ref="X30">IF(ISNUMBER(SEARCH("4",INDEX(_xlfn._xlws.FILTER('Model output'!P:P,('Model output'!Z:Z=A30)*('Model output'!P:P&lt;&gt;"")),1),1)),INDEX(_xlfn._xlws.FILTER('Model output'!P:P,('Model output'!Z:Z=A30)*('Model output'!P:P&lt;&gt;"")),1),"") &amp; _xlfn.TEXTJOIN("",TRUE,_xlfn._xlws.FILTER('Model output'!Q:Q,'Model output'!Z:Z=A30))</f>
        <v/>
      </c>
      <c r="Y30" t="str">
        <f t="shared" si="9"/>
        <v>no</v>
      </c>
      <c r="Z30" t="str" cm="1">
        <f t="array" ref="Z30">IF(OR(ISNUMBER(SEARCH("focal",_xlfn.TEXTJOIN("; ",TRUE,_xlfn._xlws.FILTER('Model output'!R:R,'Model output'!Z:Z=A30)),1)),ISNUMBER(SEARCH("present",_xlfn.TEXTJOIN("; ",TRUE,_xlfn._xlws.FILTER('Model output'!R:R,'Model output'!Z:Z=A30)),1))),"positive",IF(_xlfn.TEXTJOIN("; ",TRUE,_xlfn._xlws.FILTER('Model output'!R:R,'Model output'!Z:Z=A30))="","negative",IF(OR(ISNUMBER(SEARCH("no",_xlfn.TEXTJOIN("; ",TRUE,_xlfn._xlws.FILTER('Model output'!R:R,'Model output'!Z:Z=A30)),1)),ISNUMBER(SEARCH("absent",_xlfn.TEXTJOIN("; ",TRUE,_xlfn._xlws.FILTER('Model output'!R:R,'Model output'!Z:Z=A30)),1))),"negative","positive")))</f>
        <v>negative</v>
      </c>
      <c r="AA30" s="17" t="str">
        <f t="shared" si="10"/>
        <v>negative</v>
      </c>
      <c r="AE30" s="17" t="str">
        <f t="shared" si="11"/>
        <v>negative</v>
      </c>
      <c r="AF30" t="str" cm="1">
        <f t="array" ref="AF30">_xlfn.TEXTJOIN("; ",TRUE,_xlfn._xlws.FILTER('Model output'!S:S,'Model output'!Z:Z=A30))</f>
        <v>Not identified</v>
      </c>
      <c r="AG30" s="17" t="str" cm="1">
        <f t="array" ref="AG30">IF(OR(ISNUMBER(SEARCH("uninvolved",_xlfn.TEXTJOIN("; ",TRUE,_xlfn._xlws.FILTER('Model output'!V:V,'Model output'!Z:Z=A30)),1)),ISNUMBER(SEARCH("clear",_xlfn.TEXTJOIN("; ",TRUE,_xlfn._xlws.FILTER('Model output'!V:V,'Model output'!Z:Z=A30)),1))*ISNUMBER(SEARCH("not mentioned",_xlfn.TEXTJOIN("; ",TRUE,_xlfn._xlws.FILTER('Model output'!V:V,'Model output'!Z:Z=A30)),1))),"negative",IF(ISNUMBER(SEARCH("cannot be assessed",_xlfn.TEXTJOIN("; ",TRUE,_xlfn._xlws.FILTER('Model output'!V:V,'Model output'!Z:Z=A30)),1)),"unknown","negative"))</f>
        <v>negative</v>
      </c>
      <c r="AI30" s="45" t="str">
        <f t="shared" si="2"/>
        <v>low</v>
      </c>
      <c r="AJ30" s="36" t="str">
        <f t="shared" si="3"/>
        <v>1a</v>
      </c>
      <c r="AK30" s="36" t="str">
        <f t="shared" si="20"/>
        <v>1a</v>
      </c>
      <c r="AL30" s="36">
        <f t="shared" si="17"/>
        <v>0</v>
      </c>
      <c r="AM30" s="36" t="str">
        <f t="shared" si="18"/>
        <v>II</v>
      </c>
      <c r="AN30" s="37" t="s">
        <v>170</v>
      </c>
      <c r="AO30" s="38" t="s">
        <v>193</v>
      </c>
      <c r="AP30" s="38" t="s">
        <v>193</v>
      </c>
      <c r="AQ30" s="38">
        <v>0</v>
      </c>
      <c r="AR30" s="38" t="s">
        <v>44</v>
      </c>
      <c r="AS30" s="37">
        <f t="shared" si="7"/>
        <v>1</v>
      </c>
      <c r="AT30" s="38">
        <f t="shared" si="8"/>
        <v>1</v>
      </c>
      <c r="AU30" s="38">
        <f t="shared" si="12"/>
        <v>1</v>
      </c>
      <c r="AV30" s="38">
        <f t="shared" si="13"/>
        <v>1</v>
      </c>
      <c r="AW30" s="39">
        <f t="shared" si="13"/>
        <v>1</v>
      </c>
    </row>
    <row r="31" spans="1:49">
      <c r="A31" s="13">
        <v>29</v>
      </c>
      <c r="B31" s="16">
        <f>_xlfn.MAXIFS('Model output'!B:B,'Model output'!Z:Z,'Classification result'!$A31)</f>
        <v>45242</v>
      </c>
      <c r="C31" s="16"/>
      <c r="D31" s="16"/>
      <c r="E31" s="17">
        <f>_xlfn.MAXIFS('Model output'!C:C,'Model output'!Z:Z,'Classification result'!$A31)</f>
        <v>63</v>
      </c>
      <c r="F31" s="17" t="str" cm="1">
        <f t="array" ref="F31">LEFT(IF(ISERROR(RIGHT(IF(INDEX(_xlfn._xlws.FILTER('Model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output'!Z:Z=A31)),1),""),1))),"",(RIGHT(IF(INDEX(_xlfn._xlws.FILTER('Model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output'!Z:Z=A31)),1)))))),2)</f>
        <v>1a</v>
      </c>
      <c r="G31" s="17" t="str" cm="1">
        <f t="array" ref="G31">IF(ISNUMBER(SEARCH("N",IF(ISNUMBER(SEARCH("present",IF(INDEX(_xlfn._xlws.FILTER('Model output'!E:E,('Model output'!Z:Z=A31)),1)="","",INDEX(_xlfn._xlws.FILTER('Model output'!E:E,('Model output'!Z:Z=A31)),1)),1)),"N1", IF(INDEX(_xlfn._xlws.FILTER('Model output'!E:E,('Model output'!Z:Z=A31)),1)="","",INDEX(_xlfn._xlws.FILTER('Model output'!E:E,('Model output'!Z:Z=A31)),1))),1)),RIGHT(IF(ISNUMBER(SEARCH("present",IF(INDEX(_xlfn._xlws.FILTER('Model output'!E:E,('Model output'!Z:Z=A31)),1)="","",INDEX(_xlfn._xlws.FILTER('Model output'!E:E,('Model output'!Z:Z=A31)),1)),1)),"N1", IF(INDEX(_xlfn._xlws.FILTER('Model output'!E:E,('Model output'!Z:Z=A31)),1)="","",INDEX(_xlfn._xlws.FILTER('Model output'!E:E,('Model output'!Z:Z=A31)),1))),LEN(IF(ISNUMBER(SEARCH("present",IF(INDEX(_xlfn._xlws.FILTER('Model output'!E:E,('Model output'!Z:Z=A31)),1)="","",INDEX(_xlfn._xlws.FILTER('Model output'!E:E,('Model output'!Z:Z=A31)),1)),1)),"N1", IF(INDEX(_xlfn._xlws.FILTER('Model output'!E:E,('Model output'!Z:Z=A31)),1)="","",INDEX(_xlfn._xlws.FILTER('Model output'!E:E,('Model output'!Z:Z=A31)),1))))-FIND("N",IF(ISNUMBER(SEARCH("present",IF(INDEX(_xlfn._xlws.FILTER('Model output'!E:E,('Model output'!Z:Z=A31)),1)="","",INDEX(_xlfn._xlws.FILTER('Model output'!E:E,('Model output'!Z:Z=A31)),1)),1)),"N1", IF(INDEX(_xlfn._xlws.FILTER('Model output'!E:E,('Model output'!Z:Z=A31)),1)="","",INDEX(_xlfn._xlws.FILTER('Model output'!E:E,('Model output'!Z:Z=A31)),1))),1)), "")</f>
        <v/>
      </c>
      <c r="H31" s="17" cm="1">
        <f t="array" ref="H31">IF(AND(SUBSTITUTE(_xlfn.TEXTJOIN("/", TRUE, _xlfn._xlws.FILTER('Model output'!F:F, 'Model output'!Z:Z=A31)),"M", "")="", K31="negative"),0,IF(K31="positive",1,0))</f>
        <v>0</v>
      </c>
      <c r="I31" t="str">
        <f t="shared" si="0"/>
        <v/>
      </c>
      <c r="J31" t="str" cm="1">
        <f t="array" ref="J31">IF(AND(M31&gt;0, _xlfn.TEXTJOIN("; ", TRUE, _xlfn._xlws.FILTER('Model output'!G:G, 'Model output'!Z:Z=A31)) &lt;&gt;"", OR(AND(ISNUMBER(SEARCH("level", _xlfn.TEXTJOIN("; ", TRUE, _xlfn._xlws.FILTER('Model output'!G:G, 'Model output'!Z:Z=A31)),1)),OR(ISNUMBER(SEARCH(" II", _xlfn.TEXTJOIN("; ", TRUE, _xlfn._xlws.FILTER('Model output'!G:G, 'Model output'!Z:Z=A31)),1)),ISNUMBER(SEARCH("2", _xlfn.TEXTJOIN("; ", TRUE, _xlfn._xlws.FILTER('Model output'!G:G, 'Model output'!Z:Z=A31)),1)),ISNUMBER(SEARCH("two", _xlfn.TEXTJOIN("; ", TRUE, _xlfn._xlws.FILTER('Model output'!G:G, 'Model output'!Z:Z=A31)),1)),ISNUMBER(SEARCH("III", _xlfn.TEXTJOIN("; ", TRUE, _xlfn._xlws.FILTER('Model output'!G:G, 'Model output'!Z:Z=A31)),1)),ISNUMBER(SEARCH("3", _xlfn.TEXTJOIN("; ", TRUE, _xlfn._xlws.FILTER('Model output'!G:G, 'Model output'!Z:Z=A31)),1)),ISNUMBER(SEARCH("three", _xlfn.TEXTJOIN("; ", TRUE, _xlfn._xlws.FILTER('Model output'!G:G, 'Model output'!Z:Z=A31)),1)),ISNUMBER(SEARCH("IV", _xlfn.TEXTJOIN("; ", TRUE, _xlfn._xlws.FILTER('Model output'!G:G, 'Model output'!Z:Z=A31)),1)),ISNUMBER(SEARCH("4", _xlfn.TEXTJOIN("; ", TRUE, _xlfn._xlws.FILTER('Model output'!G:G, 'Model output'!Z:Z=A31)),1)),ISNUMBER(SEARCH("five", _xlfn.TEXTJOIN("; ", TRUE, _xlfn._xlws.FILTER('Model output'!G:G, 'Model output'!Z:Z=A31)),1)),ISNUMBER(SEARCH("V ", _xlfn.TEXTJOIN("; ", TRUE, _xlfn._xlws.FILTER('Model output'!G:G, 'Model output'!Z:Z=A31)),1)),ISNUMBER(SEARCH("5", _xlfn.TEXTJOIN("; ", TRUE, _xlfn._xlws.FILTER('Model output'!G:G, 'Model output'!Z:Z=A31)),1)),ISNUMBER(SEARCH("five", _xlfn.TEXTJOIN("; ", TRUE, _xlfn._xlws.FILTER('Model output'!G:G, 'Model output'!Z:Z=A31)),1)),ISNUMBER(SEARCH(" lateral", _xlfn.TEXTJOIN("; ", TRUE, _xlfn._xlws.FILTER('Model output'!G:G, 'Model output'!Z:Z=A31)),1)))),ISNUMBER(SEARCH("cervical", _xlfn.TEXTJOIN("; ", TRUE, _xlfn._xlws.FILTER('Model output'!G:G, 'Model output'!Z:Z=A31)),1)),ISNUMBER(SEARCH("jugular", _xlfn.TEXTJOIN("; ", TRUE, _xlfn._xlws.FILTER('Model output'!G:G, 'Model output'!Z:Z=A31)),1)),ISNUMBER(SEARCH("left neck", _xlfn.TEXTJOIN("; ", TRUE, _xlfn._xlws.FILTER('Model output'!G:G, 'Model output'!Z:Z=A31)),1)),ISNUMBER(SEARCH("left anterior neck", _xlfn.TEXTJOIN("; ", TRUE, _xlfn._xlws.FILTER('Model output'!G:G, 'Model output'!Z:Z=A31)),1)),ISNUMBER(SEARCH("left posterior neck", _xlfn.TEXTJOIN("; ", TRUE, _xlfn._xlws.FILTER('Model output'!G:G, 'Model output'!Z:Z=A31)),1)),ISNUMBER(SEARCH("right neck", _xlfn.TEXTJOIN("; ", TRUE, _xlfn._xlws.FILTER('Model output'!G:G, 'Model output'!Z:Z=A31)),1)),ISNUMBER(SEARCH("right anterior neck", _xlfn.TEXTJOIN("; ", TRUE, _xlfn._xlws.FILTER('Model output'!G:G, 'Model output'!Z:Z=A31)),1)),ISNUMBER(SEARCH("right posterior neck", _xlfn.TEXTJOIN("; ", TRUE, _xlfn._xlws.FILTER('Model output'!G:G, 'Model output'!Z:Z=A31)),1)))),"lateral",IF(AND(M31=0, _xlfn.TEXTJOIN("; ", TRUE, _xlfn._xlws.FILTER('Model output'!G:G, 'Model output'!Z:Z=A31))=""),"", "central"))</f>
        <v/>
      </c>
      <c r="K31" s="17" t="str" cm="1">
        <f t="array" ref="K31">IF(OR(ISNUMBER(SEARCH("lymph",_xlfn.TEXTJOIN("; ", TRUE, _xlfn._xlws.FILTER('Model output'!H:H, 'Model output'!Z:Z=A31)),1)), ISNUMBER(SEARCH("Not mentioned",_xlfn.TEXTJOIN("; ", TRUE, _xlfn._xlws.FILTER('Model output'!H:H, 'Model output'!Z:Z=A31)),1)),ISNUMBER(SEARCH("subcutaneous soft tissues",_xlfn.TEXTJOIN("; ", TRUE, _xlfn._xlws.FILTER('Model output'!H:H, 'Model output'!Z:Z=A31)),1)),ISNUMBER(SEARCH("larynx",_xlfn.TEXTJOIN("; ", TRUE, _xlfn._xlws.FILTER('Model output'!H:H, 'Model output'!Z:Z=A31)),1)),ISNUMBER(SEARCH("trachea",_xlfn.TEXTJOIN("; ", TRUE, _xlfn._xlws.FILTER('Model output'!H:H, 'Model output'!Z:Z=A31)),1)),ISNUMBER(SEARCH("esophagus",_xlfn.TEXTJOIN("; ", TRUE, _xlfn._xlws.FILTER('Model output'!H:H, 'Model output'!Z:Z=A31)),1)),ISNUMBER(SEARCH("recurrent laryngeal nerve",_xlfn.TEXTJOIN("; ", TRUE, _xlfn._xlws.FILTER('Model output'!H:H, 'Model output'!Z:Z=A31)),1)),ISNUMBER(SEARCH("RLN",_xlfn.TEXTJOIN("; ", TRUE, _xlfn._xlws.FILTER('Model output'!H:H, 'Model output'!Z:Z=A31)),1)),_xlfn.TEXTJOIN("; ", TRUE, _xlfn._xlws.FILTER('Model output'!H:H, 'Model output'!Z:Z=A31))=""),"negative","positive")</f>
        <v>negative</v>
      </c>
      <c r="L31" s="17">
        <f>IF(IFERROR(INDEX('Model output'!I:I, MATCH(A31, 'Model output'!Z:Z, 0)), "") &lt; M31, "", IFERROR(INDEX('Model output'!I:I, MATCH(A31, 'Model output'!Z:Z, 0)), ""))</f>
        <v>0</v>
      </c>
      <c r="M31" s="17">
        <f>IFERROR(INDEX('Model output'!J:J, MATCH(A31, 'Model output'!Z:Z, 0)), "")</f>
        <v>0</v>
      </c>
      <c r="N31" s="18" t="str" cm="1">
        <f t="array" ref="N31">ReplaceTo(ReplaceAnd(SUBSTITUTE(SUBSTITUTE(_xlfn.TEXTJOIN("; ", TRUE, _xlfn._xlws.FILTER('Model output'!K:K, 'Model output'!Z:Z=A31)), " ", ""), ",", ";")))</f>
        <v/>
      </c>
      <c r="O31" t="str" cm="1">
        <f t="array" ref="O31">IF(LEFT(IF(RIGHT(SUBSTITUTE(FilterWithUnits(N31)&amp;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";")),1)=";",RIGHT(IF(RIGHT(SUBSTITUTE(FilterWithUnits(N31)&amp;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";")),LEN(IF(RIGHT(SUBSTITUTE(FilterWithUnits(N31)&amp;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";")))-1),IF(RIGHT(SUBSTITUTE(FilterWithUnits(N31)&amp;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f>
        <v/>
      </c>
      <c r="P31" t="str" cm="1">
        <f t="array" ref="P31">IF(MaxSize((SplitDimensions(O31)))=0, "", MaxSize((SplitDimensions(O31))))</f>
        <v/>
      </c>
      <c r="Q31" t="str" cm="1">
        <f t="array" ref="Q31">IF(ISERROR(INDEX(_xlfn._xlws.FILTER('Model output'!L:L, ('Model output'!Z:Z=A31)*('Model output'!L:L&lt;&gt;"")), 1)), " ", LOWER(INDEX(_xlfn._xlws.FILTER('Model output'!L:L, ('Model output'!Z:Z=A31)*('Model output'!L:L&lt;&gt;"")), 1)))</f>
        <v>papillary carcinoma</v>
      </c>
      <c r="R31" t="str" cm="1">
        <f t="array" ref="R31">IF(ISERROR(INDEX(_xlfn._xlws.FILTER('Model output'!M:M, ('Model output'!Z:Z=A31)*('Model output'!M:M&lt;&gt;"")), 1)), " ", LOWER(INDEX(_xlfn._xlws.FILTER('Model output'!M:M, ('Model output'!Z:Z=A31)*('Model output'!M:M&lt;&gt;"")), 1)))</f>
        <v>classic</v>
      </c>
      <c r="S31" t="str" cm="1">
        <f t="array" ref="S31">IF(OR(ISNUMBER(SEARCH("ly",SUBSTITUTE(INDEX(_xlfn._xlws.FILTER('Model output'!N:N,('Model output'!Z:Z=A31)*('Model output'!N:N&lt;&gt;"")),1)," ",""),1)), ISNUMBER(SEARCH("pole",SUBSTITUTE(INDEX(_xlfn._xlws.FILTER('Model output'!N:N,('Model output'!Z:Z=A31)*('Model output'!N:N&lt;&gt;"")),1)," ",""),1))),"",SUBSTITUTE(INDEX(_xlfn._xlws.FILTER('Model output'!N:N,('Model output'!Z:Z=A31)*('Model output'!N:N&lt;&gt;"")),1)," ",""))</f>
        <v>7mm(microscopicaldimension)</v>
      </c>
      <c r="T31" t="str" cm="1">
        <f t="array" ref="T31">IF(LEFT(IF(RIGHT(SUBSTITUTE(FilterWithUnits(S31)&amp;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";")),1)=";",RIGHT(IF(RIGHT(SUBSTITUTE(FilterWithUnits(S31)&amp;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";")),LEN(IF(RIGHT(SUBSTITUTE(FilterWithUnits(S31)&amp;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";")))-1),IF(RIGHT(SUBSTITUTE(FilterWithUnits(S31)&amp;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f>
        <v>7mm</v>
      </c>
      <c r="U31" cm="1">
        <f t="array" ref="U31">IF(MaxSize((SplitDimensions(T31)))=0, "", MaxSize((SplitDimensions(T31))))</f>
        <v>0.7</v>
      </c>
      <c r="V31" s="17" t="str" cm="1">
        <f t="array" ref="V31">IF(ISERROR(INDEX(_xlfn._xlws.FILTER('Model output'!P:P,('Model output'!Z:Z=A31)*('Model output'!P:P&lt;&gt;"")),1)),"negative",IF(OR(ISNUMBER(SEARCH("foc",INDEX(_xlfn._xlws.FILTER('Model output'!P:P,('Model output'!Z:Z=A31)*('Model output'!P:P&lt;&gt;"")),1),1)),ISNUMBER(SEARCH("extensive",INDEX(_xlfn._xlws.FILTER('Model output'!P:P,('Model output'!Z:Z=A31)*('Model output'!P:P&lt;&gt;"")),1),1)),ISNUMBER(SEARCH("present",INDEX(_xlfn._xlws.FILTER('Model output'!P:P,('Model output'!Z:Z=A31)*('Model output'!P:P&lt;&gt;"")),1),1)),ISNUMBER(SEARCH("yes",INDEX(_xlfn._xlws.FILTER('Model output'!P:P,('Model output'!Z:Z=A31)*('Model output'!P:P&lt;&gt;"")),1),1))),"positive","negative"))</f>
        <v>negative</v>
      </c>
      <c r="X31" t="str" cm="1">
        <f t="array" ref="X31">IF(ISNUMBER(SEARCH("4",INDEX(_xlfn._xlws.FILTER('Model output'!P:P,('Model output'!Z:Z=A31)*('Model output'!P:P&lt;&gt;"")),1),1)),INDEX(_xlfn._xlws.FILTER('Model output'!P:P,('Model output'!Z:Z=A31)*('Model output'!P:P&lt;&gt;"")),1),"") &amp; _xlfn.TEXTJOIN("",TRUE,_xlfn._xlws.FILTER('Model output'!Q:Q,'Model output'!Z:Z=A31))</f>
        <v/>
      </c>
      <c r="Y31" t="str">
        <f t="shared" si="9"/>
        <v>no</v>
      </c>
      <c r="Z31" t="str" cm="1">
        <f t="array" ref="Z31">IF(OR(ISNUMBER(SEARCH("focal",_xlfn.TEXTJOIN("; ",TRUE,_xlfn._xlws.FILTER('Model output'!R:R,'Model output'!Z:Z=A31)),1)),ISNUMBER(SEARCH("present",_xlfn.TEXTJOIN("; ",TRUE,_xlfn._xlws.FILTER('Model output'!R:R,'Model output'!Z:Z=A31)),1))),"positive",IF(_xlfn.TEXTJOIN("; ",TRUE,_xlfn._xlws.FILTER('Model output'!R:R,'Model output'!Z:Z=A31))="","negative",IF(OR(ISNUMBER(SEARCH("no",_xlfn.TEXTJOIN("; ",TRUE,_xlfn._xlws.FILTER('Model output'!R:R,'Model output'!Z:Z=A31)),1)),ISNUMBER(SEARCH("absent",_xlfn.TEXTJOIN("; ",TRUE,_xlfn._xlws.FILTER('Model output'!R:R,'Model output'!Z:Z=A31)),1))),"negative","positive")))</f>
        <v>negative</v>
      </c>
      <c r="AA31" s="17" t="str">
        <f t="shared" si="10"/>
        <v>negative</v>
      </c>
      <c r="AE31" s="17" t="str">
        <f t="shared" si="11"/>
        <v>negative</v>
      </c>
      <c r="AF31" t="str" cm="1">
        <f t="array" ref="AF31">_xlfn.TEXTJOIN("; ",TRUE,_xlfn._xlws.FILTER('Model output'!S:S,'Model output'!Z:Z=A31))</f>
        <v>Not identified</v>
      </c>
      <c r="AG31" s="17" t="str" cm="1">
        <f t="array" ref="AG31">IF(OR(ISNUMBER(SEARCH("uninvolved",_xlfn.TEXTJOIN("; ",TRUE,_xlfn._xlws.FILTER('Model output'!V:V,'Model output'!Z:Z=A31)),1)),ISNUMBER(SEARCH("clear",_xlfn.TEXTJOIN("; ",TRUE,_xlfn._xlws.FILTER('Model output'!V:V,'Model output'!Z:Z=A31)),1))*ISNUMBER(SEARCH("not mentioned",_xlfn.TEXTJOIN("; ",TRUE,_xlfn._xlws.FILTER('Model output'!V:V,'Model output'!Z:Z=A31)),1))),"negative",IF(ISNUMBER(SEARCH("cannot be assessed",_xlfn.TEXTJOIN("; ",TRUE,_xlfn._xlws.FILTER('Model output'!V:V,'Model output'!Z:Z=A31)),1)),"unknown","negative"))</f>
        <v>negative</v>
      </c>
      <c r="AI31" s="45" t="str">
        <f t="shared" si="2"/>
        <v>low</v>
      </c>
      <c r="AJ31" s="36" t="str">
        <f t="shared" si="3"/>
        <v>1a</v>
      </c>
      <c r="AK31" s="36" t="str">
        <f t="shared" si="20"/>
        <v>x</v>
      </c>
      <c r="AL31" s="36">
        <f t="shared" si="17"/>
        <v>0</v>
      </c>
      <c r="AM31" s="36" t="str">
        <f t="shared" si="18"/>
        <v>I</v>
      </c>
      <c r="AN31" s="37" t="s">
        <v>170</v>
      </c>
      <c r="AO31" s="38" t="s">
        <v>193</v>
      </c>
      <c r="AP31" s="38" t="s">
        <v>192</v>
      </c>
      <c r="AQ31" s="38">
        <v>0</v>
      </c>
      <c r="AR31" s="38" t="s">
        <v>31</v>
      </c>
      <c r="AS31" s="37">
        <f t="shared" si="7"/>
        <v>1</v>
      </c>
      <c r="AT31" s="38">
        <f t="shared" si="8"/>
        <v>1</v>
      </c>
      <c r="AU31" s="38">
        <f t="shared" si="12"/>
        <v>1</v>
      </c>
      <c r="AV31" s="38">
        <f t="shared" si="13"/>
        <v>1</v>
      </c>
      <c r="AW31" s="39">
        <f t="shared" si="13"/>
        <v>1</v>
      </c>
    </row>
    <row r="32" spans="1:49">
      <c r="A32" s="13">
        <v>30</v>
      </c>
      <c r="B32" s="16">
        <f>_xlfn.MAXIFS('Model output'!B:B,'Model output'!Z:Z,'Classification result'!$A32)</f>
        <v>45287</v>
      </c>
      <c r="C32" s="16"/>
      <c r="D32" s="16"/>
      <c r="E32" s="17">
        <f>_xlfn.MAXIFS('Model output'!C:C,'Model output'!Z:Z,'Classification result'!$A32)</f>
        <v>39</v>
      </c>
      <c r="F32" s="17" t="str" cm="1">
        <f t="array" ref="F32">LEFT(IF(ISERROR(RIGHT(IF(INDEX(_xlfn._xlws.FILTER('Model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output'!Z:Z=A32)),1),""),1))),"",(RIGHT(IF(INDEX(_xlfn._xlws.FILTER('Model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output'!Z:Z=A32)),1)))))),2)</f>
        <v>1b</v>
      </c>
      <c r="G32" s="17" t="str" cm="1">
        <f t="array" ref="G32">IF(ISNUMBER(SEARCH("N",IF(ISNUMBER(SEARCH("present",IF(INDEX(_xlfn._xlws.FILTER('Model output'!E:E,('Model output'!Z:Z=A32)),1)="","",INDEX(_xlfn._xlws.FILTER('Model output'!E:E,('Model output'!Z:Z=A32)),1)),1)),"N1", IF(INDEX(_xlfn._xlws.FILTER('Model output'!E:E,('Model output'!Z:Z=A32)),1)="","",INDEX(_xlfn._xlws.FILTER('Model output'!E:E,('Model output'!Z:Z=A32)),1))),1)),RIGHT(IF(ISNUMBER(SEARCH("present",IF(INDEX(_xlfn._xlws.FILTER('Model output'!E:E,('Model output'!Z:Z=A32)),1)="","",INDEX(_xlfn._xlws.FILTER('Model output'!E:E,('Model output'!Z:Z=A32)),1)),1)),"N1", IF(INDEX(_xlfn._xlws.FILTER('Model output'!E:E,('Model output'!Z:Z=A32)),1)="","",INDEX(_xlfn._xlws.FILTER('Model output'!E:E,('Model output'!Z:Z=A32)),1))),LEN(IF(ISNUMBER(SEARCH("present",IF(INDEX(_xlfn._xlws.FILTER('Model output'!E:E,('Model output'!Z:Z=A32)),1)="","",INDEX(_xlfn._xlws.FILTER('Model output'!E:E,('Model output'!Z:Z=A32)),1)),1)),"N1", IF(INDEX(_xlfn._xlws.FILTER('Model output'!E:E,('Model output'!Z:Z=A32)),1)="","",INDEX(_xlfn._xlws.FILTER('Model output'!E:E,('Model output'!Z:Z=A32)),1))))-FIND("N",IF(ISNUMBER(SEARCH("present",IF(INDEX(_xlfn._xlws.FILTER('Model output'!E:E,('Model output'!Z:Z=A32)),1)="","",INDEX(_xlfn._xlws.FILTER('Model output'!E:E,('Model output'!Z:Z=A32)),1)),1)),"N1", IF(INDEX(_xlfn._xlws.FILTER('Model output'!E:E,('Model output'!Z:Z=A32)),1)="","",INDEX(_xlfn._xlws.FILTER('Model output'!E:E,('Model output'!Z:Z=A32)),1))),1)), "")</f>
        <v>1a</v>
      </c>
      <c r="H32" s="17" cm="1">
        <f t="array" ref="H32">IF(AND(SUBSTITUTE(_xlfn.TEXTJOIN("/", TRUE, _xlfn._xlws.FILTER('Model output'!F:F, 'Model output'!Z:Z=A32)),"M", "")="", K32="negative"),0,IF(K32="positive",1,0))</f>
        <v>0</v>
      </c>
      <c r="I32" t="str">
        <f t="shared" si="0"/>
        <v>positive</v>
      </c>
      <c r="J32" t="str" cm="1">
        <f t="array" ref="J32">IF(AND(M32&gt;0, _xlfn.TEXTJOIN("; ", TRUE, _xlfn._xlws.FILTER('Model output'!G:G, 'Model output'!Z:Z=A32)) &lt;&gt;"", OR(AND(ISNUMBER(SEARCH("level", _xlfn.TEXTJOIN("; ", TRUE, _xlfn._xlws.FILTER('Model output'!G:G, 'Model output'!Z:Z=A32)),1)),OR(ISNUMBER(SEARCH(" II", _xlfn.TEXTJOIN("; ", TRUE, _xlfn._xlws.FILTER('Model output'!G:G, 'Model output'!Z:Z=A32)),1)),ISNUMBER(SEARCH("2", _xlfn.TEXTJOIN("; ", TRUE, _xlfn._xlws.FILTER('Model output'!G:G, 'Model output'!Z:Z=A32)),1)),ISNUMBER(SEARCH("two", _xlfn.TEXTJOIN("; ", TRUE, _xlfn._xlws.FILTER('Model output'!G:G, 'Model output'!Z:Z=A32)),1)),ISNUMBER(SEARCH("III", _xlfn.TEXTJOIN("; ", TRUE, _xlfn._xlws.FILTER('Model output'!G:G, 'Model output'!Z:Z=A32)),1)),ISNUMBER(SEARCH("3", _xlfn.TEXTJOIN("; ", TRUE, _xlfn._xlws.FILTER('Model output'!G:G, 'Model output'!Z:Z=A32)),1)),ISNUMBER(SEARCH("three", _xlfn.TEXTJOIN("; ", TRUE, _xlfn._xlws.FILTER('Model output'!G:G, 'Model output'!Z:Z=A32)),1)),ISNUMBER(SEARCH("IV", _xlfn.TEXTJOIN("; ", TRUE, _xlfn._xlws.FILTER('Model output'!G:G, 'Model output'!Z:Z=A32)),1)),ISNUMBER(SEARCH("4", _xlfn.TEXTJOIN("; ", TRUE, _xlfn._xlws.FILTER('Model output'!G:G, 'Model output'!Z:Z=A32)),1)),ISNUMBER(SEARCH("five", _xlfn.TEXTJOIN("; ", TRUE, _xlfn._xlws.FILTER('Model output'!G:G, 'Model output'!Z:Z=A32)),1)),ISNUMBER(SEARCH("V ", _xlfn.TEXTJOIN("; ", TRUE, _xlfn._xlws.FILTER('Model output'!G:G, 'Model output'!Z:Z=A32)),1)),ISNUMBER(SEARCH("5", _xlfn.TEXTJOIN("; ", TRUE, _xlfn._xlws.FILTER('Model output'!G:G, 'Model output'!Z:Z=A32)),1)),ISNUMBER(SEARCH("five", _xlfn.TEXTJOIN("; ", TRUE, _xlfn._xlws.FILTER('Model output'!G:G, 'Model output'!Z:Z=A32)),1)),ISNUMBER(SEARCH(" lateral", _xlfn.TEXTJOIN("; ", TRUE, _xlfn._xlws.FILTER('Model output'!G:G, 'Model output'!Z:Z=A32)),1)))),ISNUMBER(SEARCH("cervical", _xlfn.TEXTJOIN("; ", TRUE, _xlfn._xlws.FILTER('Model output'!G:G, 'Model output'!Z:Z=A32)),1)),ISNUMBER(SEARCH("jugular", _xlfn.TEXTJOIN("; ", TRUE, _xlfn._xlws.FILTER('Model output'!G:G, 'Model output'!Z:Z=A32)),1)),ISNUMBER(SEARCH("left neck", _xlfn.TEXTJOIN("; ", TRUE, _xlfn._xlws.FILTER('Model output'!G:G, 'Model output'!Z:Z=A32)),1)),ISNUMBER(SEARCH("left anterior neck", _xlfn.TEXTJOIN("; ", TRUE, _xlfn._xlws.FILTER('Model output'!G:G, 'Model output'!Z:Z=A32)),1)),ISNUMBER(SEARCH("left posterior neck", _xlfn.TEXTJOIN("; ", TRUE, _xlfn._xlws.FILTER('Model output'!G:G, 'Model output'!Z:Z=A32)),1)),ISNUMBER(SEARCH("right neck", _xlfn.TEXTJOIN("; ", TRUE, _xlfn._xlws.FILTER('Model output'!G:G, 'Model output'!Z:Z=A32)),1)),ISNUMBER(SEARCH("right anterior neck", _xlfn.TEXTJOIN("; ", TRUE, _xlfn._xlws.FILTER('Model output'!G:G, 'Model output'!Z:Z=A32)),1)),ISNUMBER(SEARCH("right posterior neck", _xlfn.TEXTJOIN("; ", TRUE, _xlfn._xlws.FILTER('Model output'!G:G, 'Model output'!Z:Z=A32)),1)))),"lateral",IF(AND(M32=0, _xlfn.TEXTJOIN("; ", TRUE, _xlfn._xlws.FILTER('Model output'!G:G, 'Model output'!Z:Z=A32))=""),"", "central"))</f>
        <v>lateral</v>
      </c>
      <c r="K32" s="17" t="str" cm="1">
        <f t="array" ref="K32">IF(OR(ISNUMBER(SEARCH("lymph",_xlfn.TEXTJOIN("; ", TRUE, _xlfn._xlws.FILTER('Model output'!H:H, 'Model output'!Z:Z=A32)),1)), ISNUMBER(SEARCH("Not mentioned",_xlfn.TEXTJOIN("; ", TRUE, _xlfn._xlws.FILTER('Model output'!H:H, 'Model output'!Z:Z=A32)),1)),ISNUMBER(SEARCH("subcutaneous soft tissues",_xlfn.TEXTJOIN("; ", TRUE, _xlfn._xlws.FILTER('Model output'!H:H, 'Model output'!Z:Z=A32)),1)),ISNUMBER(SEARCH("larynx",_xlfn.TEXTJOIN("; ", TRUE, _xlfn._xlws.FILTER('Model output'!H:H, 'Model output'!Z:Z=A32)),1)),ISNUMBER(SEARCH("trachea",_xlfn.TEXTJOIN("; ", TRUE, _xlfn._xlws.FILTER('Model output'!H:H, 'Model output'!Z:Z=A32)),1)),ISNUMBER(SEARCH("esophagus",_xlfn.TEXTJOIN("; ", TRUE, _xlfn._xlws.FILTER('Model output'!H:H, 'Model output'!Z:Z=A32)),1)),ISNUMBER(SEARCH("recurrent laryngeal nerve",_xlfn.TEXTJOIN("; ", TRUE, _xlfn._xlws.FILTER('Model output'!H:H, 'Model output'!Z:Z=A32)),1)),ISNUMBER(SEARCH("RLN",_xlfn.TEXTJOIN("; ", TRUE, _xlfn._xlws.FILTER('Model output'!H:H, 'Model output'!Z:Z=A32)),1)),_xlfn.TEXTJOIN("; ", TRUE, _xlfn._xlws.FILTER('Model output'!H:H, 'Model output'!Z:Z=A32))=""),"negative","positive")</f>
        <v>negative</v>
      </c>
      <c r="L32" s="17">
        <f>IF(IFERROR(INDEX('Model output'!I:I, MATCH(A32, 'Model output'!Z:Z, 0)), "") &lt; M32, "", IFERROR(INDEX('Model output'!I:I, MATCH(A32, 'Model output'!Z:Z, 0)), ""))</f>
        <v>29</v>
      </c>
      <c r="M32" s="17">
        <f>IFERROR(INDEX('Model output'!J:J, MATCH(A32, 'Model output'!Z:Z, 0)), "")</f>
        <v>6</v>
      </c>
      <c r="N32" s="18" t="str" cm="1">
        <f t="array" ref="N32">ReplaceTo(ReplaceAnd(SUBSTITUTE(SUBSTITUTE(_xlfn.TEXTJOIN("; ", TRUE, _xlfn._xlws.FILTER('Model output'!K:K, 'Model output'!Z:Z=A32)), " ", ""), ",", ";")))</f>
        <v>4.5mm</v>
      </c>
      <c r="O32" t="str" cm="1">
        <f t="array" ref="O32">IF(LEFT(IF(RIGHT(SUBSTITUTE(FilterWithUnits(N32)&amp;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";")),1)=";",RIGHT(IF(RIGHT(SUBSTITUTE(FilterWithUnits(N32)&amp;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";")),LEN(IF(RIGHT(SUBSTITUTE(FilterWithUnits(N32)&amp;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";")))-1),IF(RIGHT(SUBSTITUTE(FilterWithUnits(N32)&amp;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f>
        <v>4.5mm</v>
      </c>
      <c r="P32" cm="1">
        <f t="array" ref="P32">IF(MaxSize((SplitDimensions(O32)))=0, "", MaxSize((SplitDimensions(O32))))</f>
        <v>0.45</v>
      </c>
      <c r="Q32" t="str" cm="1">
        <f t="array" ref="Q32">IF(ISERROR(INDEX(_xlfn._xlws.FILTER('Model output'!L:L, ('Model output'!Z:Z=A32)*('Model output'!L:L&lt;&gt;"")), 1)), " ", LOWER(INDEX(_xlfn._xlws.FILTER('Model output'!L:L, ('Model output'!Z:Z=A32)*('Model output'!L:L&lt;&gt;"")), 1)))</f>
        <v>papillary carcinoma</v>
      </c>
      <c r="R32" t="str" cm="1">
        <f t="array" ref="R32">IF(ISERROR(INDEX(_xlfn._xlws.FILTER('Model output'!M:M, ('Model output'!Z:Z=A32)*('Model output'!M:M&lt;&gt;"")), 1)), " ", LOWER(INDEX(_xlfn._xlws.FILTER('Model output'!M:M, ('Model output'!Z:Z=A32)*('Model output'!M:M&lt;&gt;"")), 1)))</f>
        <v>infiltrative follicular</v>
      </c>
      <c r="S32" t="str" cm="1">
        <f t="array" ref="S32">IF(OR(ISNUMBER(SEARCH("ly",SUBSTITUTE(INDEX(_xlfn._xlws.FILTER('Model output'!N:N,('Model output'!Z:Z=A32)*('Model output'!N:N&lt;&gt;"")),1)," ",""),1)), ISNUMBER(SEARCH("pole",SUBSTITUTE(INDEX(_xlfn._xlws.FILTER('Model output'!N:N,('Model output'!Z:Z=A32)*('Model output'!N:N&lt;&gt;"")),1)," ",""),1))),"",SUBSTITUTE(INDEX(_xlfn._xlws.FILTER('Model output'!N:N,('Model output'!Z:Z=A32)*('Model output'!N:N&lt;&gt;"")),1)," ",""))</f>
        <v>12mm</v>
      </c>
      <c r="T32" t="str" cm="1">
        <f t="array" ref="T32">IF(LEFT(IF(RIGHT(SUBSTITUTE(FilterWithUnits(S32)&amp;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";")),1)=";",RIGHT(IF(RIGHT(SUBSTITUTE(FilterWithUnits(S32)&amp;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";")),LEN(IF(RIGHT(SUBSTITUTE(FilterWithUnits(S32)&amp;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";")))-1),IF(RIGHT(SUBSTITUTE(FilterWithUnits(S32)&amp;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f>
        <v>12mm</v>
      </c>
      <c r="U32" cm="1">
        <f t="array" ref="U32">IF(MaxSize((SplitDimensions(T32)))=0, "", MaxSize((SplitDimensions(T32))))</f>
        <v>1.2</v>
      </c>
      <c r="V32" s="17" t="str" cm="1">
        <f t="array" ref="V32">IF(ISERROR(INDEX(_xlfn._xlws.FILTER('Model output'!P:P,('Model output'!Z:Z=A32)*('Model output'!P:P&lt;&gt;"")),1)),"negative",IF(OR(ISNUMBER(SEARCH("foc",INDEX(_xlfn._xlws.FILTER('Model output'!P:P,('Model output'!Z:Z=A32)*('Model output'!P:P&lt;&gt;"")),1),1)),ISNUMBER(SEARCH("extensive",INDEX(_xlfn._xlws.FILTER('Model output'!P:P,('Model output'!Z:Z=A32)*('Model output'!P:P&lt;&gt;"")),1),1)),ISNUMBER(SEARCH("present",INDEX(_xlfn._xlws.FILTER('Model output'!P:P,('Model output'!Z:Z=A32)*('Model output'!P:P&lt;&gt;"")),1),1)),ISNUMBER(SEARCH("yes",INDEX(_xlfn._xlws.FILTER('Model output'!P:P,('Model output'!Z:Z=A32)*('Model output'!P:P&lt;&gt;"")),1),1))),"positive","negative"))</f>
        <v>negative</v>
      </c>
      <c r="X32" t="str" cm="1">
        <f t="array" ref="X32">IF(ISNUMBER(SEARCH("4",INDEX(_xlfn._xlws.FILTER('Model output'!P:P,('Model output'!Z:Z=A32)*('Model output'!P:P&lt;&gt;"")),1),1)),INDEX(_xlfn._xlws.FILTER('Model output'!P:P,('Model output'!Z:Z=A32)*('Model output'!P:P&lt;&gt;"")),1),"") &amp; _xlfn.TEXTJOIN("",TRUE,_xlfn._xlws.FILTER('Model output'!Q:Q,'Model output'!Z:Z=A32))</f>
        <v/>
      </c>
      <c r="Y32" t="str">
        <f t="shared" si="9"/>
        <v>no</v>
      </c>
      <c r="Z32" t="str" cm="1">
        <f t="array" ref="Z32">IF(OR(ISNUMBER(SEARCH("focal",_xlfn.TEXTJOIN("; ",TRUE,_xlfn._xlws.FILTER('Model output'!R:R,'Model output'!Z:Z=A32)),1)),ISNUMBER(SEARCH("present",_xlfn.TEXTJOIN("; ",TRUE,_xlfn._xlws.FILTER('Model output'!R:R,'Model output'!Z:Z=A32)),1))),"positive",IF(_xlfn.TEXTJOIN("; ",TRUE,_xlfn._xlws.FILTER('Model output'!R:R,'Model output'!Z:Z=A32))="","negative",IF(OR(ISNUMBER(SEARCH("no",_xlfn.TEXTJOIN("; ",TRUE,_xlfn._xlws.FILTER('Model output'!R:R,'Model output'!Z:Z=A32)),1)),ISNUMBER(SEARCH("absent",_xlfn.TEXTJOIN("; ",TRUE,_xlfn._xlws.FILTER('Model output'!R:R,'Model output'!Z:Z=A32)),1))),"negative","positive")))</f>
        <v>negative</v>
      </c>
      <c r="AA32" s="17" t="str">
        <f t="shared" si="10"/>
        <v>negative</v>
      </c>
      <c r="AE32" s="17" t="str">
        <f t="shared" si="11"/>
        <v>negative</v>
      </c>
      <c r="AF32" t="str" cm="1">
        <f t="array" ref="AF32">_xlfn.TEXTJOIN("; ",TRUE,_xlfn._xlws.FILTER('Model output'!S:S,'Model output'!Z:Z=A32))</f>
        <v/>
      </c>
      <c r="AG32" s="17" t="str" cm="1">
        <f t="array" ref="AG32">IF(OR(ISNUMBER(SEARCH("uninvolved",_xlfn.TEXTJOIN("; ",TRUE,_xlfn._xlws.FILTER('Model output'!V:V,'Model output'!Z:Z=A32)),1)),ISNUMBER(SEARCH("clear",_xlfn.TEXTJOIN("; ",TRUE,_xlfn._xlws.FILTER('Model output'!V:V,'Model output'!Z:Z=A32)),1))*ISNUMBER(SEARCH("not mentioned",_xlfn.TEXTJOIN("; ",TRUE,_xlfn._xlws.FILTER('Model output'!V:V,'Model output'!Z:Z=A32)),1))),"negative",IF(ISNUMBER(SEARCH("cannot be assessed",_xlfn.TEXTJOIN("; ",TRUE,_xlfn._xlws.FILTER('Model output'!V:V,'Model output'!Z:Z=A32)),1)),"unknown","negative"))</f>
        <v>negative</v>
      </c>
      <c r="AI32" s="45" t="str">
        <f t="shared" si="2"/>
        <v>intermediate</v>
      </c>
      <c r="AJ32" s="36" t="str">
        <f t="shared" si="3"/>
        <v>1b</v>
      </c>
      <c r="AK32" s="36" t="str">
        <f t="shared" si="20"/>
        <v>1b</v>
      </c>
      <c r="AL32" s="36">
        <f t="shared" si="17"/>
        <v>0</v>
      </c>
      <c r="AM32" s="36" t="str">
        <f t="shared" si="18"/>
        <v>I</v>
      </c>
      <c r="AN32" s="37" t="s">
        <v>168</v>
      </c>
      <c r="AO32" s="38" t="s">
        <v>191</v>
      </c>
      <c r="AP32" s="38" t="s">
        <v>191</v>
      </c>
      <c r="AQ32" s="38">
        <v>0</v>
      </c>
      <c r="AR32" s="38" t="s">
        <v>31</v>
      </c>
      <c r="AS32" s="37">
        <f t="shared" si="7"/>
        <v>1</v>
      </c>
      <c r="AT32" s="38">
        <f t="shared" si="8"/>
        <v>1</v>
      </c>
      <c r="AU32" s="38">
        <f t="shared" si="12"/>
        <v>1</v>
      </c>
      <c r="AV32" s="38">
        <f t="shared" si="13"/>
        <v>1</v>
      </c>
      <c r="AW32" s="39">
        <f t="shared" si="13"/>
        <v>1</v>
      </c>
    </row>
    <row r="33" spans="1:50">
      <c r="A33" s="13">
        <v>31</v>
      </c>
      <c r="B33" s="16">
        <f>_xlfn.MAXIFS('Model output'!B:B,'Model output'!Z:Z,'Classification result'!$A33)</f>
        <v>43304</v>
      </c>
      <c r="C33" s="16"/>
      <c r="D33" s="16"/>
      <c r="E33" s="17">
        <f>_xlfn.MAXIFS('Model output'!C:C,'Model output'!Z:Z,'Classification result'!$A33)</f>
        <v>60</v>
      </c>
      <c r="F33" s="17" t="str" cm="1">
        <f t="array" ref="F33">LEFT(IF(ISERROR(RIGHT(IF(INDEX(_xlfn._xlws.FILTER('Model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output'!Z:Z=A33)),1),""),1))),"",(RIGHT(IF(INDEX(_xlfn._xlws.FILTER('Model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output'!Z:Z=A33)),1)))))),2)</f>
        <v>4a</v>
      </c>
      <c r="G33" s="17" t="str" cm="1">
        <f t="array" ref="G33">IF(ISNUMBER(SEARCH("N",IF(ISNUMBER(SEARCH("present",IF(INDEX(_xlfn._xlws.FILTER('Model output'!E:E,('Model output'!Z:Z=A33)),1)="","",INDEX(_xlfn._xlws.FILTER('Model output'!E:E,('Model output'!Z:Z=A33)),1)),1)),"N1", IF(INDEX(_xlfn._xlws.FILTER('Model output'!E:E,('Model output'!Z:Z=A33)),1)="","",INDEX(_xlfn._xlws.FILTER('Model output'!E:E,('Model output'!Z:Z=A33)),1))),1)),RIGHT(IF(ISNUMBER(SEARCH("present",IF(INDEX(_xlfn._xlws.FILTER('Model output'!E:E,('Model output'!Z:Z=A33)),1)="","",INDEX(_xlfn._xlws.FILTER('Model output'!E:E,('Model output'!Z:Z=A33)),1)),1)),"N1", IF(INDEX(_xlfn._xlws.FILTER('Model output'!E:E,('Model output'!Z:Z=A33)),1)="","",INDEX(_xlfn._xlws.FILTER('Model output'!E:E,('Model output'!Z:Z=A33)),1))),LEN(IF(ISNUMBER(SEARCH("present",IF(INDEX(_xlfn._xlws.FILTER('Model output'!E:E,('Model output'!Z:Z=A33)),1)="","",INDEX(_xlfn._xlws.FILTER('Model output'!E:E,('Model output'!Z:Z=A33)),1)),1)),"N1", IF(INDEX(_xlfn._xlws.FILTER('Model output'!E:E,('Model output'!Z:Z=A33)),1)="","",INDEX(_xlfn._xlws.FILTER('Model output'!E:E,('Model output'!Z:Z=A33)),1))))-FIND("N",IF(ISNUMBER(SEARCH("present",IF(INDEX(_xlfn._xlws.FILTER('Model output'!E:E,('Model output'!Z:Z=A33)),1)="","",INDEX(_xlfn._xlws.FILTER('Model output'!E:E,('Model output'!Z:Z=A33)),1)),1)),"N1", IF(INDEX(_xlfn._xlws.FILTER('Model output'!E:E,('Model output'!Z:Z=A33)),1)="","",INDEX(_xlfn._xlws.FILTER('Model output'!E:E,('Model output'!Z:Z=A33)),1))),1)), "")</f>
        <v>1b</v>
      </c>
      <c r="H33" s="17" cm="1">
        <f t="array" ref="H33">IF(AND(SUBSTITUTE(_xlfn.TEXTJOIN("/", TRUE, _xlfn._xlws.FILTER('Model output'!F:F, 'Model output'!Z:Z=A33)),"M", "")="", K33="negative"),0,IF(K33="positive",1,0))</f>
        <v>0</v>
      </c>
      <c r="I33" t="str">
        <f t="shared" si="0"/>
        <v>positive</v>
      </c>
      <c r="J33" t="str" cm="1">
        <f t="array" ref="J33">IF(AND(M33&gt;0, _xlfn.TEXTJOIN("; ", TRUE, _xlfn._xlws.FILTER('Model output'!G:G, 'Model output'!Z:Z=A33)) &lt;&gt;"", OR(AND(ISNUMBER(SEARCH("level", _xlfn.TEXTJOIN("; ", TRUE, _xlfn._xlws.FILTER('Model output'!G:G, 'Model output'!Z:Z=A33)),1)),OR(ISNUMBER(SEARCH(" II", _xlfn.TEXTJOIN("; ", TRUE, _xlfn._xlws.FILTER('Model output'!G:G, 'Model output'!Z:Z=A33)),1)),ISNUMBER(SEARCH("2", _xlfn.TEXTJOIN("; ", TRUE, _xlfn._xlws.FILTER('Model output'!G:G, 'Model output'!Z:Z=A33)),1)),ISNUMBER(SEARCH("two", _xlfn.TEXTJOIN("; ", TRUE, _xlfn._xlws.FILTER('Model output'!G:G, 'Model output'!Z:Z=A33)),1)),ISNUMBER(SEARCH("III", _xlfn.TEXTJOIN("; ", TRUE, _xlfn._xlws.FILTER('Model output'!G:G, 'Model output'!Z:Z=A33)),1)),ISNUMBER(SEARCH("3", _xlfn.TEXTJOIN("; ", TRUE, _xlfn._xlws.FILTER('Model output'!G:G, 'Model output'!Z:Z=A33)),1)),ISNUMBER(SEARCH("three", _xlfn.TEXTJOIN("; ", TRUE, _xlfn._xlws.FILTER('Model output'!G:G, 'Model output'!Z:Z=A33)),1)),ISNUMBER(SEARCH("IV", _xlfn.TEXTJOIN("; ", TRUE, _xlfn._xlws.FILTER('Model output'!G:G, 'Model output'!Z:Z=A33)),1)),ISNUMBER(SEARCH("4", _xlfn.TEXTJOIN("; ", TRUE, _xlfn._xlws.FILTER('Model output'!G:G, 'Model output'!Z:Z=A33)),1)),ISNUMBER(SEARCH("five", _xlfn.TEXTJOIN("; ", TRUE, _xlfn._xlws.FILTER('Model output'!G:G, 'Model output'!Z:Z=A33)),1)),ISNUMBER(SEARCH("V ", _xlfn.TEXTJOIN("; ", TRUE, _xlfn._xlws.FILTER('Model output'!G:G, 'Model output'!Z:Z=A33)),1)),ISNUMBER(SEARCH("5", _xlfn.TEXTJOIN("; ", TRUE, _xlfn._xlws.FILTER('Model output'!G:G, 'Model output'!Z:Z=A33)),1)),ISNUMBER(SEARCH("five", _xlfn.TEXTJOIN("; ", TRUE, _xlfn._xlws.FILTER('Model output'!G:G, 'Model output'!Z:Z=A33)),1)),ISNUMBER(SEARCH(" lateral", _xlfn.TEXTJOIN("; ", TRUE, _xlfn._xlws.FILTER('Model output'!G:G, 'Model output'!Z:Z=A33)),1)))),ISNUMBER(SEARCH("cervical", _xlfn.TEXTJOIN("; ", TRUE, _xlfn._xlws.FILTER('Model output'!G:G, 'Model output'!Z:Z=A33)),1)),ISNUMBER(SEARCH("jugular", _xlfn.TEXTJOIN("; ", TRUE, _xlfn._xlws.FILTER('Model output'!G:G, 'Model output'!Z:Z=A33)),1)),ISNUMBER(SEARCH("left neck", _xlfn.TEXTJOIN("; ", TRUE, _xlfn._xlws.FILTER('Model output'!G:G, 'Model output'!Z:Z=A33)),1)),ISNUMBER(SEARCH("left anterior neck", _xlfn.TEXTJOIN("; ", TRUE, _xlfn._xlws.FILTER('Model output'!G:G, 'Model output'!Z:Z=A33)),1)),ISNUMBER(SEARCH("left posterior neck", _xlfn.TEXTJOIN("; ", TRUE, _xlfn._xlws.FILTER('Model output'!G:G, 'Model output'!Z:Z=A33)),1)),ISNUMBER(SEARCH("right neck", _xlfn.TEXTJOIN("; ", TRUE, _xlfn._xlws.FILTER('Model output'!G:G, 'Model output'!Z:Z=A33)),1)),ISNUMBER(SEARCH("right anterior neck", _xlfn.TEXTJOIN("; ", TRUE, _xlfn._xlws.FILTER('Model output'!G:G, 'Model output'!Z:Z=A33)),1)),ISNUMBER(SEARCH("right posterior neck", _xlfn.TEXTJOIN("; ", TRUE, _xlfn._xlws.FILTER('Model output'!G:G, 'Model output'!Z:Z=A33)),1)))),"lateral",IF(AND(M33=0, _xlfn.TEXTJOIN("; ", TRUE, _xlfn._xlws.FILTER('Model output'!G:G, 'Model output'!Z:Z=A33))=""),"", "central"))</f>
        <v>central</v>
      </c>
      <c r="K33" s="17" t="str" cm="1">
        <f t="array" ref="K33">IF(OR(ISNUMBER(SEARCH("lymph",_xlfn.TEXTJOIN("; ", TRUE, _xlfn._xlws.FILTER('Model output'!H:H, 'Model output'!Z:Z=A33)),1)), ISNUMBER(SEARCH("Not mentioned",_xlfn.TEXTJOIN("; ", TRUE, _xlfn._xlws.FILTER('Model output'!H:H, 'Model output'!Z:Z=A33)),1)),ISNUMBER(SEARCH("subcutaneous soft tissues",_xlfn.TEXTJOIN("; ", TRUE, _xlfn._xlws.FILTER('Model output'!H:H, 'Model output'!Z:Z=A33)),1)),ISNUMBER(SEARCH("larynx",_xlfn.TEXTJOIN("; ", TRUE, _xlfn._xlws.FILTER('Model output'!H:H, 'Model output'!Z:Z=A33)),1)),ISNUMBER(SEARCH("trachea",_xlfn.TEXTJOIN("; ", TRUE, _xlfn._xlws.FILTER('Model output'!H:H, 'Model output'!Z:Z=A33)),1)),ISNUMBER(SEARCH("esophagus",_xlfn.TEXTJOIN("; ", TRUE, _xlfn._xlws.FILTER('Model output'!H:H, 'Model output'!Z:Z=A33)),1)),ISNUMBER(SEARCH("recurrent laryngeal nerve",_xlfn.TEXTJOIN("; ", TRUE, _xlfn._xlws.FILTER('Model output'!H:H, 'Model output'!Z:Z=A33)),1)),ISNUMBER(SEARCH("RLN",_xlfn.TEXTJOIN("; ", TRUE, _xlfn._xlws.FILTER('Model output'!H:H, 'Model output'!Z:Z=A33)),1)),_xlfn.TEXTJOIN("; ", TRUE, _xlfn._xlws.FILTER('Model output'!H:H, 'Model output'!Z:Z=A33))=""),"negative","positive")</f>
        <v>negative</v>
      </c>
      <c r="L33" s="17">
        <f>IF(IFERROR(INDEX('Model output'!I:I, MATCH(A33, 'Model output'!Z:Z, 0)), "") &lt; M33, "", IFERROR(INDEX('Model output'!I:I, MATCH(A33, 'Model output'!Z:Z, 0)), ""))</f>
        <v>1</v>
      </c>
      <c r="M33" s="17">
        <f>IFERROR(INDEX('Model output'!J:J, MATCH(A33, 'Model output'!Z:Z, 0)), "")</f>
        <v>1</v>
      </c>
      <c r="N33" s="18" t="str" cm="1">
        <f t="array" ref="N33">ReplaceTo(ReplaceAnd(SUBSTITUTE(SUBSTITUTE(_xlfn.TEXTJOIN("; ", TRUE, _xlfn._xlws.FILTER('Model output'!K:K, 'Model output'!Z:Z=A33)), " ", ""), ",", ";")))</f>
        <v>4mm</v>
      </c>
      <c r="O33" t="str" cm="1">
        <f t="array" ref="O33">IF(LEFT(IF(RIGHT(SUBSTITUTE(FilterWithUnits(N33)&amp;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";")),1)=";",RIGHT(IF(RIGHT(SUBSTITUTE(FilterWithUnits(N33)&amp;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";")),LEN(IF(RIGHT(SUBSTITUTE(FilterWithUnits(N33)&amp;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";")))-1),IF(RIGHT(SUBSTITUTE(FilterWithUnits(N33)&amp;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f>
        <v>4mm</v>
      </c>
      <c r="P33" cm="1">
        <f t="array" ref="P33">IF(MaxSize((SplitDimensions(O33)))=0, "", MaxSize((SplitDimensions(O33))))</f>
        <v>0.4</v>
      </c>
      <c r="Q33" t="str" cm="1">
        <f t="array" ref="Q33">IF(ISERROR(INDEX(_xlfn._xlws.FILTER('Model output'!L:L, ('Model output'!Z:Z=A33)*('Model output'!L:L&lt;&gt;"")), 1)), " ", LOWER(INDEX(_xlfn._xlws.FILTER('Model output'!L:L, ('Model output'!Z:Z=A33)*('Model output'!L:L&lt;&gt;"")), 1)))</f>
        <v>papillary</v>
      </c>
      <c r="R33" t="str" cm="1">
        <f t="array" ref="R33">IF(ISERROR(INDEX(_xlfn._xlws.FILTER('Model output'!M:M, ('Model output'!Z:Z=A33)*('Model output'!M:M&lt;&gt;"")), 1)), " ", LOWER(INDEX(_xlfn._xlws.FILTER('Model output'!M:M, ('Model output'!Z:Z=A33)*('Model output'!M:M&lt;&gt;"")), 1)))</f>
        <v>infiltrative follicular</v>
      </c>
      <c r="S33" t="str" cm="1">
        <f t="array" ref="S33">IF(OR(ISNUMBER(SEARCH("ly",SUBSTITUTE(INDEX(_xlfn._xlws.FILTER('Model output'!N:N,('Model output'!Z:Z=A33)*('Model output'!N:N&lt;&gt;"")),1)," ",""),1)), ISNUMBER(SEARCH("pole",SUBSTITUTE(INDEX(_xlfn._xlws.FILTER('Model output'!N:N,('Model output'!Z:Z=A33)*('Model output'!N:N&lt;&gt;"")),1)," ",""),1))),"",SUBSTITUTE(INDEX(_xlfn._xlws.FILTER('Model output'!N:N,('Model output'!Z:Z=A33)*('Model output'!N:N&lt;&gt;"")),1)," ",""))</f>
        <v>4.5x3x2cm(left),1cm(right)</v>
      </c>
      <c r="T33" t="str" cm="1">
        <f t="array" ref="T33">IF(LEFT(IF(RIGHT(SUBSTITUTE(FilterWithUnits(S33)&amp;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";")),1)=";",RIGHT(IF(RIGHT(SUBSTITUTE(FilterWithUnits(S33)&amp;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";")),LEN(IF(RIGHT(SUBSTITUTE(FilterWithUnits(S33)&amp;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";")))-1),IF(RIGHT(SUBSTITUTE(FilterWithUnits(S33)&amp;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f>
        <v>4.5x3x2cm(left),1cm(right)</v>
      </c>
      <c r="U33" t="str" cm="1">
        <f t="array" ref="U33">IF(MaxSize((SplitDimensions(T33)))=0, "", MaxSize((SplitDimensions(T33))))</f>
        <v/>
      </c>
      <c r="V33" s="17" t="str" cm="1">
        <f t="array" ref="V33">IF(ISERROR(INDEX(_xlfn._xlws.FILTER('Model output'!P:P,('Model output'!Z:Z=A33)*('Model output'!P:P&lt;&gt;"")),1)),"negative",IF(OR(ISNUMBER(SEARCH("foc",INDEX(_xlfn._xlws.FILTER('Model output'!P:P,('Model output'!Z:Z=A33)*('Model output'!P:P&lt;&gt;"")),1),1)),ISNUMBER(SEARCH("extensive",INDEX(_xlfn._xlws.FILTER('Model output'!P:P,('Model output'!Z:Z=A33)*('Model output'!P:P&lt;&gt;"")),1),1)),ISNUMBER(SEARCH("present",INDEX(_xlfn._xlws.FILTER('Model output'!P:P,('Model output'!Z:Z=A33)*('Model output'!P:P&lt;&gt;"")),1),1)),ISNUMBER(SEARCH("yes",INDEX(_xlfn._xlws.FILTER('Model output'!P:P,('Model output'!Z:Z=A33)*('Model output'!P:P&lt;&gt;"")),1),1))),"positive","negative"))</f>
        <v>positive</v>
      </c>
      <c r="X33" t="str" cm="1">
        <f t="array" ref="X33">IF(ISNUMBER(SEARCH("4",INDEX(_xlfn._xlws.FILTER('Model output'!P:P,('Model output'!Z:Z=A33)*('Model output'!P:P&lt;&gt;"")),1),1)),INDEX(_xlfn._xlws.FILTER('Model output'!P:P,('Model output'!Z:Z=A33)*('Model output'!P:P&lt;&gt;"")),1),"") &amp; _xlfn.TEXTJOIN("",TRUE,_xlfn._xlws.FILTER('Model output'!Q:Q,'Model output'!Z:Z=A33))</f>
        <v>Rich vascular anastomosis identified</v>
      </c>
      <c r="Y33" t="str">
        <f t="shared" si="9"/>
        <v>minimal</v>
      </c>
      <c r="Z33" t="str" cm="1">
        <f t="array" ref="Z33">IF(OR(ISNUMBER(SEARCH("focal",_xlfn.TEXTJOIN("; ",TRUE,_xlfn._xlws.FILTER('Model output'!R:R,'Model output'!Z:Z=A33)),1)),ISNUMBER(SEARCH("present",_xlfn.TEXTJOIN("; ",TRUE,_xlfn._xlws.FILTER('Model output'!R:R,'Model output'!Z:Z=A33)),1))),"positive",IF(_xlfn.TEXTJOIN("; ",TRUE,_xlfn._xlws.FILTER('Model output'!R:R,'Model output'!Z:Z=A33))="","negative",IF(OR(ISNUMBER(SEARCH("no",_xlfn.TEXTJOIN("; ",TRUE,_xlfn._xlws.FILTER('Model output'!R:R,'Model output'!Z:Z=A33)),1)),ISNUMBER(SEARCH("absent",_xlfn.TEXTJOIN("; ",TRUE,_xlfn._xlws.FILTER('Model output'!R:R,'Model output'!Z:Z=A33)),1))),"negative","positive")))</f>
        <v>positive</v>
      </c>
      <c r="AA33" s="17" t="str">
        <f t="shared" si="10"/>
        <v>positive</v>
      </c>
      <c r="AE33" s="17" t="str">
        <f t="shared" si="11"/>
        <v>positive</v>
      </c>
      <c r="AF33" t="str" cm="1">
        <f t="array" ref="AF33">_xlfn.TEXTJOIN("; ",TRUE,_xlfn._xlws.FILTER('Model output'!S:S,'Model output'!Z:Z=A33))</f>
        <v>skeletal muscle; Perithyroidal fibradipose tissue, skeletal muscle, subcutaneous soft tissues, larynx, trachea, esophagus, recurrent laryngeal nerve (RLN)</v>
      </c>
      <c r="AG33" s="17" t="str" cm="1">
        <f t="array" ref="AG33">IF(OR(ISNUMBER(SEARCH("uninvolved",_xlfn.TEXTJOIN("; ",TRUE,_xlfn._xlws.FILTER('Model output'!V:V,'Model output'!Z:Z=A33)),1)),ISNUMBER(SEARCH("clear",_xlfn.TEXTJOIN("; ",TRUE,_xlfn._xlws.FILTER('Model output'!V:V,'Model output'!Z:Z=A33)),1))*ISNUMBER(SEARCH("not mentioned",_xlfn.TEXTJOIN("; ",TRUE,_xlfn._xlws.FILTER('Model output'!V:V,'Model output'!Z:Z=A33)),1))),"negative",IF(ISNUMBER(SEARCH("cannot be assessed",_xlfn.TEXTJOIN("; ",TRUE,_xlfn._xlws.FILTER('Model output'!V:V,'Model output'!Z:Z=A33)),1)),"unknown","negative"))</f>
        <v>negative</v>
      </c>
      <c r="AI33" s="45" t="str">
        <f t="shared" si="2"/>
        <v>high</v>
      </c>
      <c r="AJ33" s="36" t="str">
        <f t="shared" si="3"/>
        <v>4a</v>
      </c>
      <c r="AK33" s="36" t="str">
        <f t="shared" si="20"/>
        <v>1a</v>
      </c>
      <c r="AL33" s="36">
        <f t="shared" si="17"/>
        <v>0</v>
      </c>
      <c r="AM33" s="36" t="str">
        <f t="shared" si="18"/>
        <v>III</v>
      </c>
      <c r="AN33" s="37" t="s">
        <v>169</v>
      </c>
      <c r="AO33" s="38" t="s">
        <v>197</v>
      </c>
      <c r="AP33" s="38" t="s">
        <v>193</v>
      </c>
      <c r="AQ33" s="38">
        <v>0</v>
      </c>
      <c r="AR33" s="38" t="s">
        <v>404</v>
      </c>
      <c r="AS33" s="37">
        <f t="shared" si="7"/>
        <v>1</v>
      </c>
      <c r="AT33" s="38">
        <f t="shared" si="8"/>
        <v>0</v>
      </c>
      <c r="AU33" s="38">
        <f t="shared" si="12"/>
        <v>1</v>
      </c>
      <c r="AV33" s="38">
        <f t="shared" si="13"/>
        <v>1</v>
      </c>
      <c r="AW33" s="39">
        <f t="shared" si="13"/>
        <v>0</v>
      </c>
    </row>
    <row r="34" spans="1:50">
      <c r="A34" s="13">
        <v>32</v>
      </c>
      <c r="B34" s="16">
        <f>_xlfn.MAXIFS('Model output'!B:B,'Model output'!Z:Z,'Classification result'!$A34)</f>
        <v>44630</v>
      </c>
      <c r="C34" s="16"/>
      <c r="D34" s="16"/>
      <c r="E34" s="17">
        <f>_xlfn.MAXIFS('Model output'!C:C,'Model output'!Z:Z,'Classification result'!$A34)</f>
        <v>72</v>
      </c>
      <c r="F34" s="17" t="str" cm="1">
        <f t="array" ref="F34">LEFT(IF(ISERROR(RIGHT(IF(INDEX(_xlfn._xlws.FILTER('Model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output'!Z:Z=A34)),1),""),1))),"",(RIGHT(IF(INDEX(_xlfn._xlws.FILTER('Model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output'!Z:Z=A34)),1)))))),2)</f>
        <v>4a</v>
      </c>
      <c r="G34" s="17" t="str" cm="1">
        <f t="array" ref="G34">IF(ISNUMBER(SEARCH("N",IF(ISNUMBER(SEARCH("present",IF(INDEX(_xlfn._xlws.FILTER('Model output'!E:E,('Model output'!Z:Z=A34)),1)="","",INDEX(_xlfn._xlws.FILTER('Model output'!E:E,('Model output'!Z:Z=A34)),1)),1)),"N1", IF(INDEX(_xlfn._xlws.FILTER('Model output'!E:E,('Model output'!Z:Z=A34)),1)="","",INDEX(_xlfn._xlws.FILTER('Model output'!E:E,('Model output'!Z:Z=A34)),1))),1)),RIGHT(IF(ISNUMBER(SEARCH("present",IF(INDEX(_xlfn._xlws.FILTER('Model output'!E:E,('Model output'!Z:Z=A34)),1)="","",INDEX(_xlfn._xlws.FILTER('Model output'!E:E,('Model output'!Z:Z=A34)),1)),1)),"N1", IF(INDEX(_xlfn._xlws.FILTER('Model output'!E:E,('Model output'!Z:Z=A34)),1)="","",INDEX(_xlfn._xlws.FILTER('Model output'!E:E,('Model output'!Z:Z=A34)),1))),LEN(IF(ISNUMBER(SEARCH("present",IF(INDEX(_xlfn._xlws.FILTER('Model output'!E:E,('Model output'!Z:Z=A34)),1)="","",INDEX(_xlfn._xlws.FILTER('Model output'!E:E,('Model output'!Z:Z=A34)),1)),1)),"N1", IF(INDEX(_xlfn._xlws.FILTER('Model output'!E:E,('Model output'!Z:Z=A34)),1)="","",INDEX(_xlfn._xlws.FILTER('Model output'!E:E,('Model output'!Z:Z=A34)),1))))-FIND("N",IF(ISNUMBER(SEARCH("present",IF(INDEX(_xlfn._xlws.FILTER('Model output'!E:E,('Model output'!Z:Z=A34)),1)="","",INDEX(_xlfn._xlws.FILTER('Model output'!E:E,('Model output'!Z:Z=A34)),1)),1)),"N1", IF(INDEX(_xlfn._xlws.FILTER('Model output'!E:E,('Model output'!Z:Z=A34)),1)="","",INDEX(_xlfn._xlws.FILTER('Model output'!E:E,('Model output'!Z:Z=A34)),1))),1)), "")</f>
        <v>X</v>
      </c>
      <c r="H34" s="17" cm="1">
        <f t="array" ref="H34">IF(AND(SUBSTITUTE(_xlfn.TEXTJOIN("/", TRUE, _xlfn._xlws.FILTER('Model output'!F:F, 'Model output'!Z:Z=A34)),"M", "")="", K34="negative"),0,IF(K34="positive",1,0))</f>
        <v>0</v>
      </c>
      <c r="I34" t="str">
        <f t="shared" si="0"/>
        <v>positive</v>
      </c>
      <c r="J34" t="str" cm="1">
        <f t="array" ref="J34">IF(AND(M34&gt;0, _xlfn.TEXTJOIN("; ", TRUE, _xlfn._xlws.FILTER('Model output'!G:G, 'Model output'!Z:Z=A34)) &lt;&gt;"", OR(AND(ISNUMBER(SEARCH("level", _xlfn.TEXTJOIN("; ", TRUE, _xlfn._xlws.FILTER('Model output'!G:G, 'Model output'!Z:Z=A34)),1)),OR(ISNUMBER(SEARCH(" II", _xlfn.TEXTJOIN("; ", TRUE, _xlfn._xlws.FILTER('Model output'!G:G, 'Model output'!Z:Z=A34)),1)),ISNUMBER(SEARCH("2", _xlfn.TEXTJOIN("; ", TRUE, _xlfn._xlws.FILTER('Model output'!G:G, 'Model output'!Z:Z=A34)),1)),ISNUMBER(SEARCH("two", _xlfn.TEXTJOIN("; ", TRUE, _xlfn._xlws.FILTER('Model output'!G:G, 'Model output'!Z:Z=A34)),1)),ISNUMBER(SEARCH("III", _xlfn.TEXTJOIN("; ", TRUE, _xlfn._xlws.FILTER('Model output'!G:G, 'Model output'!Z:Z=A34)),1)),ISNUMBER(SEARCH("3", _xlfn.TEXTJOIN("; ", TRUE, _xlfn._xlws.FILTER('Model output'!G:G, 'Model output'!Z:Z=A34)),1)),ISNUMBER(SEARCH("three", _xlfn.TEXTJOIN("; ", TRUE, _xlfn._xlws.FILTER('Model output'!G:G, 'Model output'!Z:Z=A34)),1)),ISNUMBER(SEARCH("IV", _xlfn.TEXTJOIN("; ", TRUE, _xlfn._xlws.FILTER('Model output'!G:G, 'Model output'!Z:Z=A34)),1)),ISNUMBER(SEARCH("4", _xlfn.TEXTJOIN("; ", TRUE, _xlfn._xlws.FILTER('Model output'!G:G, 'Model output'!Z:Z=A34)),1)),ISNUMBER(SEARCH("five", _xlfn.TEXTJOIN("; ", TRUE, _xlfn._xlws.FILTER('Model output'!G:G, 'Model output'!Z:Z=A34)),1)),ISNUMBER(SEARCH("V ", _xlfn.TEXTJOIN("; ", TRUE, _xlfn._xlws.FILTER('Model output'!G:G, 'Model output'!Z:Z=A34)),1)),ISNUMBER(SEARCH("5", _xlfn.TEXTJOIN("; ", TRUE, _xlfn._xlws.FILTER('Model output'!G:G, 'Model output'!Z:Z=A34)),1)),ISNUMBER(SEARCH("five", _xlfn.TEXTJOIN("; ", TRUE, _xlfn._xlws.FILTER('Model output'!G:G, 'Model output'!Z:Z=A34)),1)),ISNUMBER(SEARCH(" lateral", _xlfn.TEXTJOIN("; ", TRUE, _xlfn._xlws.FILTER('Model output'!G:G, 'Model output'!Z:Z=A34)),1)))),ISNUMBER(SEARCH("cervical", _xlfn.TEXTJOIN("; ", TRUE, _xlfn._xlws.FILTER('Model output'!G:G, 'Model output'!Z:Z=A34)),1)),ISNUMBER(SEARCH("jugular", _xlfn.TEXTJOIN("; ", TRUE, _xlfn._xlws.FILTER('Model output'!G:G, 'Model output'!Z:Z=A34)),1)),ISNUMBER(SEARCH("left neck", _xlfn.TEXTJOIN("; ", TRUE, _xlfn._xlws.FILTER('Model output'!G:G, 'Model output'!Z:Z=A34)),1)),ISNUMBER(SEARCH("left anterior neck", _xlfn.TEXTJOIN("; ", TRUE, _xlfn._xlws.FILTER('Model output'!G:G, 'Model output'!Z:Z=A34)),1)),ISNUMBER(SEARCH("left posterior neck", _xlfn.TEXTJOIN("; ", TRUE, _xlfn._xlws.FILTER('Model output'!G:G, 'Model output'!Z:Z=A34)),1)),ISNUMBER(SEARCH("right neck", _xlfn.TEXTJOIN("; ", TRUE, _xlfn._xlws.FILTER('Model output'!G:G, 'Model output'!Z:Z=A34)),1)),ISNUMBER(SEARCH("right anterior neck", _xlfn.TEXTJOIN("; ", TRUE, _xlfn._xlws.FILTER('Model output'!G:G, 'Model output'!Z:Z=A34)),1)),ISNUMBER(SEARCH("right posterior neck", _xlfn.TEXTJOIN("; ", TRUE, _xlfn._xlws.FILTER('Model output'!G:G, 'Model output'!Z:Z=A34)),1)))),"lateral",IF(AND(M34=0, _xlfn.TEXTJOIN("; ", TRUE, _xlfn._xlws.FILTER('Model output'!G:G, 'Model output'!Z:Z=A34))=""),"", "central"))</f>
        <v>central</v>
      </c>
      <c r="K34" s="17" t="str" cm="1">
        <f t="array" ref="K34">IF(OR(ISNUMBER(SEARCH("lymph",_xlfn.TEXTJOIN("; ", TRUE, _xlfn._xlws.FILTER('Model output'!H:H, 'Model output'!Z:Z=A34)),1)), ISNUMBER(SEARCH("Not mentioned",_xlfn.TEXTJOIN("; ", TRUE, _xlfn._xlws.FILTER('Model output'!H:H, 'Model output'!Z:Z=A34)),1)),ISNUMBER(SEARCH("subcutaneous soft tissues",_xlfn.TEXTJOIN("; ", TRUE, _xlfn._xlws.FILTER('Model output'!H:H, 'Model output'!Z:Z=A34)),1)),ISNUMBER(SEARCH("larynx",_xlfn.TEXTJOIN("; ", TRUE, _xlfn._xlws.FILTER('Model output'!H:H, 'Model output'!Z:Z=A34)),1)),ISNUMBER(SEARCH("trachea",_xlfn.TEXTJOIN("; ", TRUE, _xlfn._xlws.FILTER('Model output'!H:H, 'Model output'!Z:Z=A34)),1)),ISNUMBER(SEARCH("esophagus",_xlfn.TEXTJOIN("; ", TRUE, _xlfn._xlws.FILTER('Model output'!H:H, 'Model output'!Z:Z=A34)),1)),ISNUMBER(SEARCH("recurrent laryngeal nerve",_xlfn.TEXTJOIN("; ", TRUE, _xlfn._xlws.FILTER('Model output'!H:H, 'Model output'!Z:Z=A34)),1)),ISNUMBER(SEARCH("RLN",_xlfn.TEXTJOIN("; ", TRUE, _xlfn._xlws.FILTER('Model output'!H:H, 'Model output'!Z:Z=A34)),1)),_xlfn.TEXTJOIN("; ", TRUE, _xlfn._xlws.FILTER('Model output'!H:H, 'Model output'!Z:Z=A34))=""),"negative","positive")</f>
        <v>negative</v>
      </c>
      <c r="L34" s="17">
        <f>IF(IFERROR(INDEX('Model output'!I:I, MATCH(A34, 'Model output'!Z:Z, 0)), "") &lt; M34, "", IFERROR(INDEX('Model output'!I:I, MATCH(A34, 'Model output'!Z:Z, 0)), ""))</f>
        <v>0</v>
      </c>
      <c r="M34" s="17">
        <f>IFERROR(INDEX('Model output'!J:J, MATCH(A34, 'Model output'!Z:Z, 0)), "")</f>
        <v>0</v>
      </c>
      <c r="N34" s="18" t="str" cm="1">
        <f t="array" ref="N34">ReplaceTo(ReplaceAnd(SUBSTITUTE(SUBSTITUTE(_xlfn.TEXTJOIN("; ", TRUE, _xlfn._xlws.FILTER('Model output'!K:K, 'Model output'!Z:Z=A34)), " ", ""), ",", ";")))</f>
        <v/>
      </c>
      <c r="O34" t="str" cm="1">
        <f t="array" ref="O34">IF(LEFT(IF(RIGHT(SUBSTITUTE(FilterWithUnits(N34)&amp;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";")),1)=";",RIGHT(IF(RIGHT(SUBSTITUTE(FilterWithUnits(N34)&amp;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";")),LEN(IF(RIGHT(SUBSTITUTE(FilterWithUnits(N34)&amp;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";")))-1),IF(RIGHT(SUBSTITUTE(FilterWithUnits(N34)&amp;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f>
        <v/>
      </c>
      <c r="P34" t="str" cm="1">
        <f t="array" ref="P34">IF(MaxSize((SplitDimensions(O34)))=0, "", MaxSize((SplitDimensions(O34))))</f>
        <v/>
      </c>
      <c r="Q34" t="str" cm="1">
        <f t="array" ref="Q34">IF(ISERROR(INDEX(_xlfn._xlws.FILTER('Model output'!L:L, ('Model output'!Z:Z=A34)*('Model output'!L:L&lt;&gt;"")), 1)), " ", LOWER(INDEX(_xlfn._xlws.FILTER('Model output'!L:L, ('Model output'!Z:Z=A34)*('Model output'!L:L&lt;&gt;"")), 1)))</f>
        <v>follicular carcinoma</v>
      </c>
      <c r="R34" t="str" cm="1">
        <f t="array" ref="R34">IF(ISERROR(INDEX(_xlfn._xlws.FILTER('Model output'!M:M, ('Model output'!Z:Z=A34)*('Model output'!M:M&lt;&gt;"")), 1)), " ", LOWER(INDEX(_xlfn._xlws.FILTER('Model output'!M:M, ('Model output'!Z:Z=A34)*('Model output'!M:M&lt;&gt;"")), 1)))</f>
        <v>follicular</v>
      </c>
      <c r="S34" t="str" cm="1">
        <f t="array" ref="S34">IF(OR(ISNUMBER(SEARCH("ly",SUBSTITUTE(INDEX(_xlfn._xlws.FILTER('Model output'!N:N,('Model output'!Z:Z=A34)*('Model output'!N:N&lt;&gt;"")),1)," ",""),1)), ISNUMBER(SEARCH("pole",SUBSTITUTE(INDEX(_xlfn._xlws.FILTER('Model output'!N:N,('Model output'!Z:Z=A34)*('Model output'!N:N&lt;&gt;"")),1)," ",""),1))),"",SUBSTITUTE(INDEX(_xlfn._xlws.FILTER('Model output'!N:N,('Model output'!Z:Z=A34)*('Model output'!N:N&lt;&gt;"")),1)," ",""))</f>
        <v/>
      </c>
      <c r="T34" t="str" cm="1">
        <f t="array" ref="T34">IF(LEFT(IF(RIGHT(SUBSTITUTE(FilterWithUnits(S34)&amp;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";")),1)=";",RIGHT(IF(RIGHT(SUBSTITUTE(FilterWithUnits(S34)&amp;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";")),LEN(IF(RIGHT(SUBSTITUTE(FilterWithUnits(S34)&amp;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";")))-1),IF(RIGHT(SUBSTITUTE(FilterWithUnits(S34)&amp;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f>
        <v/>
      </c>
      <c r="U34" t="str" cm="1">
        <f t="array" ref="U34">IF(MaxSize((SplitDimensions(T34)))=0, "", MaxSize((SplitDimensions(T34))))</f>
        <v/>
      </c>
      <c r="V34" s="17" t="str" cm="1">
        <f t="array" ref="V34">IF(ISERROR(INDEX(_xlfn._xlws.FILTER('Model output'!P:P,('Model output'!Z:Z=A34)*('Model output'!P:P&lt;&gt;"")),1)),"negative",IF(OR(ISNUMBER(SEARCH("foc",INDEX(_xlfn._xlws.FILTER('Model output'!P:P,('Model output'!Z:Z=A34)*('Model output'!P:P&lt;&gt;"")),1),1)),ISNUMBER(SEARCH("extensive",INDEX(_xlfn._xlws.FILTER('Model output'!P:P,('Model output'!Z:Z=A34)*('Model output'!P:P&lt;&gt;"")),1),1)),ISNUMBER(SEARCH("present",INDEX(_xlfn._xlws.FILTER('Model output'!P:P,('Model output'!Z:Z=A34)*('Model output'!P:P&lt;&gt;"")),1),1)),ISNUMBER(SEARCH("yes",INDEX(_xlfn._xlws.FILTER('Model output'!P:P,('Model output'!Z:Z=A34)*('Model output'!P:P&lt;&gt;"")),1),1))),"positive","negative"))</f>
        <v>positive</v>
      </c>
      <c r="X34" t="str" cm="1">
        <f t="array" ref="X34">IF(ISNUMBER(SEARCH("4",INDEX(_xlfn._xlws.FILTER('Model output'!P:P,('Model output'!Z:Z=A34)*('Model output'!P:P&lt;&gt;"")),1),1)),INDEX(_xlfn._xlws.FILTER('Model output'!P:P,('Model output'!Z:Z=A34)*('Model output'!P:P&lt;&gt;"")),1),"") &amp; _xlfn.TEXTJOIN("",TRUE,_xlfn._xlws.FILTER('Model output'!Q:Q,'Model output'!Z:Z=A34))</f>
        <v>Extensive (= or &gt; 4 vessels)</v>
      </c>
      <c r="Y34" t="str">
        <f t="shared" si="9"/>
        <v>extensive</v>
      </c>
      <c r="Z34" t="str" cm="1">
        <f t="array" ref="Z34">IF(OR(ISNUMBER(SEARCH("focal",_xlfn.TEXTJOIN("; ",TRUE,_xlfn._xlws.FILTER('Model output'!R:R,'Model output'!Z:Z=A34)),1)),ISNUMBER(SEARCH("present",_xlfn.TEXTJOIN("; ",TRUE,_xlfn._xlws.FILTER('Model output'!R:R,'Model output'!Z:Z=A34)),1))),"positive",IF(_xlfn.TEXTJOIN("; ",TRUE,_xlfn._xlws.FILTER('Model output'!R:R,'Model output'!Z:Z=A34))="","negative",IF(OR(ISNUMBER(SEARCH("no",_xlfn.TEXTJOIN("; ",TRUE,_xlfn._xlws.FILTER('Model output'!R:R,'Model output'!Z:Z=A34)),1)),ISNUMBER(SEARCH("absent",_xlfn.TEXTJOIN("; ",TRUE,_xlfn._xlws.FILTER('Model output'!R:R,'Model output'!Z:Z=A34)),1))),"negative","positive")))</f>
        <v>positive</v>
      </c>
      <c r="AA34" s="17" t="str">
        <f t="shared" si="10"/>
        <v>positive</v>
      </c>
      <c r="AE34" s="17" t="str">
        <f t="shared" si="11"/>
        <v>negative</v>
      </c>
      <c r="AF34" t="str" cm="1">
        <f t="array" ref="AF34">_xlfn.TEXTJOIN("; ",TRUE,_xlfn._xlws.FILTER('Model output'!S:S,'Model output'!Z:Z=A34))</f>
        <v>Focally into adjacent fibroadipose tissue (block B3)</v>
      </c>
      <c r="AG34" s="17" t="str" cm="1">
        <f t="array" ref="AG34">IF(OR(ISNUMBER(SEARCH("uninvolved",_xlfn.TEXTJOIN("; ",TRUE,_xlfn._xlws.FILTER('Model output'!V:V,'Model output'!Z:Z=A34)),1)),ISNUMBER(SEARCH("clear",_xlfn.TEXTJOIN("; ",TRUE,_xlfn._xlws.FILTER('Model output'!V:V,'Model output'!Z:Z=A34)),1))*ISNUMBER(SEARCH("not mentioned",_xlfn.TEXTJOIN("; ",TRUE,_xlfn._xlws.FILTER('Model output'!V:V,'Model output'!Z:Z=A34)),1))),"negative",IF(ISNUMBER(SEARCH("cannot be assessed",_xlfn.TEXTJOIN("; ",TRUE,_xlfn._xlws.FILTER('Model output'!V:V,'Model output'!Z:Z=A34)),1)),"unknown","negative"))</f>
        <v>negative</v>
      </c>
      <c r="AI34" s="45" t="str">
        <f t="shared" si="2"/>
        <v>high</v>
      </c>
      <c r="AJ34" s="36" t="str">
        <f t="shared" si="3"/>
        <v>4a</v>
      </c>
      <c r="AK34" s="36" t="str">
        <f t="shared" si="20"/>
        <v>x</v>
      </c>
      <c r="AL34" s="36">
        <f t="shared" si="17"/>
        <v>0</v>
      </c>
      <c r="AM34" s="36" t="str">
        <f t="shared" si="18"/>
        <v>III</v>
      </c>
      <c r="AN34" s="37" t="s">
        <v>169</v>
      </c>
      <c r="AO34" s="38" t="s">
        <v>195</v>
      </c>
      <c r="AP34" s="38">
        <v>0</v>
      </c>
      <c r="AQ34" s="38">
        <v>0</v>
      </c>
      <c r="AR34" s="38" t="s">
        <v>44</v>
      </c>
      <c r="AS34" s="37">
        <f t="shared" si="7"/>
        <v>1</v>
      </c>
      <c r="AT34" s="38">
        <f t="shared" si="8"/>
        <v>0</v>
      </c>
      <c r="AU34" s="38">
        <f t="shared" si="12"/>
        <v>1</v>
      </c>
      <c r="AV34" s="38">
        <f t="shared" si="13"/>
        <v>1</v>
      </c>
      <c r="AW34" s="39">
        <f t="shared" si="13"/>
        <v>0</v>
      </c>
    </row>
    <row r="35" spans="1:50">
      <c r="A35" s="13">
        <v>33</v>
      </c>
      <c r="B35" s="16">
        <f>_xlfn.MAXIFS('Model output'!B:B,'Model output'!Z:Z,'Classification result'!$A35)</f>
        <v>44517</v>
      </c>
      <c r="C35" s="16"/>
      <c r="D35" s="16"/>
      <c r="E35" s="17">
        <f>_xlfn.MAXIFS('Model output'!C:C,'Model output'!Z:Z,'Classification result'!$A35)</f>
        <v>41</v>
      </c>
      <c r="F35" s="17" t="str" cm="1">
        <f t="array" ref="F35">LEFT(IF(ISERROR(RIGHT(IF(INDEX(_xlfn._xlws.FILTER('Model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output'!Z:Z=A35)),1),""),1))),"",(RIGHT(IF(INDEX(_xlfn._xlws.FILTER('Model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output'!Z:Z=A35)),1)))))),2)</f>
        <v>1a</v>
      </c>
      <c r="G35" s="17" t="str" cm="1">
        <f t="array" ref="G35">IF(ISNUMBER(SEARCH("N",IF(ISNUMBER(SEARCH("present",IF(INDEX(_xlfn._xlws.FILTER('Model output'!E:E,('Model output'!Z:Z=A35)),1)="","",INDEX(_xlfn._xlws.FILTER('Model output'!E:E,('Model output'!Z:Z=A35)),1)),1)),"N1", IF(INDEX(_xlfn._xlws.FILTER('Model output'!E:E,('Model output'!Z:Z=A35)),1)="","",INDEX(_xlfn._xlws.FILTER('Model output'!E:E,('Model output'!Z:Z=A35)),1))),1)),RIGHT(IF(ISNUMBER(SEARCH("present",IF(INDEX(_xlfn._xlws.FILTER('Model output'!E:E,('Model output'!Z:Z=A35)),1)="","",INDEX(_xlfn._xlws.FILTER('Model output'!E:E,('Model output'!Z:Z=A35)),1)),1)),"N1", IF(INDEX(_xlfn._xlws.FILTER('Model output'!E:E,('Model output'!Z:Z=A35)),1)="","",INDEX(_xlfn._xlws.FILTER('Model output'!E:E,('Model output'!Z:Z=A35)),1))),LEN(IF(ISNUMBER(SEARCH("present",IF(INDEX(_xlfn._xlws.FILTER('Model output'!E:E,('Model output'!Z:Z=A35)),1)="","",INDEX(_xlfn._xlws.FILTER('Model output'!E:E,('Model output'!Z:Z=A35)),1)),1)),"N1", IF(INDEX(_xlfn._xlws.FILTER('Model output'!E:E,('Model output'!Z:Z=A35)),1)="","",INDEX(_xlfn._xlws.FILTER('Model output'!E:E,('Model output'!Z:Z=A35)),1))))-FIND("N",IF(ISNUMBER(SEARCH("present",IF(INDEX(_xlfn._xlws.FILTER('Model output'!E:E,('Model output'!Z:Z=A35)),1)="","",INDEX(_xlfn._xlws.FILTER('Model output'!E:E,('Model output'!Z:Z=A35)),1)),1)),"N1", IF(INDEX(_xlfn._xlws.FILTER('Model output'!E:E,('Model output'!Z:Z=A35)),1)="","",INDEX(_xlfn._xlws.FILTER('Model output'!E:E,('Model output'!Z:Z=A35)),1))),1)), "")</f>
        <v/>
      </c>
      <c r="H35" s="17" cm="1">
        <f t="array" ref="H35">IF(AND(SUBSTITUTE(_xlfn.TEXTJOIN("/", TRUE, _xlfn._xlws.FILTER('Model output'!F:F, 'Model output'!Z:Z=A35)),"M", "")="", K35="negative"),0,IF(K35="positive",1,0))</f>
        <v>1</v>
      </c>
      <c r="I35" t="str">
        <f t="shared" si="0"/>
        <v/>
      </c>
      <c r="J35" t="str" cm="1">
        <f t="array" ref="J35">IF(AND(M35&gt;0, _xlfn.TEXTJOIN("; ", TRUE, _xlfn._xlws.FILTER('Model output'!G:G, 'Model output'!Z:Z=A35)) &lt;&gt;"", OR(AND(ISNUMBER(SEARCH("level", _xlfn.TEXTJOIN("; ", TRUE, _xlfn._xlws.FILTER('Model output'!G:G, 'Model output'!Z:Z=A35)),1)),OR(ISNUMBER(SEARCH(" II", _xlfn.TEXTJOIN("; ", TRUE, _xlfn._xlws.FILTER('Model output'!G:G, 'Model output'!Z:Z=A35)),1)),ISNUMBER(SEARCH("2", _xlfn.TEXTJOIN("; ", TRUE, _xlfn._xlws.FILTER('Model output'!G:G, 'Model output'!Z:Z=A35)),1)),ISNUMBER(SEARCH("two", _xlfn.TEXTJOIN("; ", TRUE, _xlfn._xlws.FILTER('Model output'!G:G, 'Model output'!Z:Z=A35)),1)),ISNUMBER(SEARCH("III", _xlfn.TEXTJOIN("; ", TRUE, _xlfn._xlws.FILTER('Model output'!G:G, 'Model output'!Z:Z=A35)),1)),ISNUMBER(SEARCH("3", _xlfn.TEXTJOIN("; ", TRUE, _xlfn._xlws.FILTER('Model output'!G:G, 'Model output'!Z:Z=A35)),1)),ISNUMBER(SEARCH("three", _xlfn.TEXTJOIN("; ", TRUE, _xlfn._xlws.FILTER('Model output'!G:G, 'Model output'!Z:Z=A35)),1)),ISNUMBER(SEARCH("IV", _xlfn.TEXTJOIN("; ", TRUE, _xlfn._xlws.FILTER('Model output'!G:G, 'Model output'!Z:Z=A35)),1)),ISNUMBER(SEARCH("4", _xlfn.TEXTJOIN("; ", TRUE, _xlfn._xlws.FILTER('Model output'!G:G, 'Model output'!Z:Z=A35)),1)),ISNUMBER(SEARCH("five", _xlfn.TEXTJOIN("; ", TRUE, _xlfn._xlws.FILTER('Model output'!G:G, 'Model output'!Z:Z=A35)),1)),ISNUMBER(SEARCH("V ", _xlfn.TEXTJOIN("; ", TRUE, _xlfn._xlws.FILTER('Model output'!G:G, 'Model output'!Z:Z=A35)),1)),ISNUMBER(SEARCH("5", _xlfn.TEXTJOIN("; ", TRUE, _xlfn._xlws.FILTER('Model output'!G:G, 'Model output'!Z:Z=A35)),1)),ISNUMBER(SEARCH("five", _xlfn.TEXTJOIN("; ", TRUE, _xlfn._xlws.FILTER('Model output'!G:G, 'Model output'!Z:Z=A35)),1)),ISNUMBER(SEARCH(" lateral", _xlfn.TEXTJOIN("; ", TRUE, _xlfn._xlws.FILTER('Model output'!G:G, 'Model output'!Z:Z=A35)),1)))),ISNUMBER(SEARCH("cervical", _xlfn.TEXTJOIN("; ", TRUE, _xlfn._xlws.FILTER('Model output'!G:G, 'Model output'!Z:Z=A35)),1)),ISNUMBER(SEARCH("jugular", _xlfn.TEXTJOIN("; ", TRUE, _xlfn._xlws.FILTER('Model output'!G:G, 'Model output'!Z:Z=A35)),1)),ISNUMBER(SEARCH("left neck", _xlfn.TEXTJOIN("; ", TRUE, _xlfn._xlws.FILTER('Model output'!G:G, 'Model output'!Z:Z=A35)),1)),ISNUMBER(SEARCH("left anterior neck", _xlfn.TEXTJOIN("; ", TRUE, _xlfn._xlws.FILTER('Model output'!G:G, 'Model output'!Z:Z=A35)),1)),ISNUMBER(SEARCH("left posterior neck", _xlfn.TEXTJOIN("; ", TRUE, _xlfn._xlws.FILTER('Model output'!G:G, 'Model output'!Z:Z=A35)),1)),ISNUMBER(SEARCH("right neck", _xlfn.TEXTJOIN("; ", TRUE, _xlfn._xlws.FILTER('Model output'!G:G, 'Model output'!Z:Z=A35)),1)),ISNUMBER(SEARCH("right anterior neck", _xlfn.TEXTJOIN("; ", TRUE, _xlfn._xlws.FILTER('Model output'!G:G, 'Model output'!Z:Z=A35)),1)),ISNUMBER(SEARCH("right posterior neck", _xlfn.TEXTJOIN("; ", TRUE, _xlfn._xlws.FILTER('Model output'!G:G, 'Model output'!Z:Z=A35)),1)))),"lateral",IF(AND(M35=0, _xlfn.TEXTJOIN("; ", TRUE, _xlfn._xlws.FILTER('Model output'!G:G, 'Model output'!Z:Z=A35))=""),"", "central"))</f>
        <v/>
      </c>
      <c r="K35" s="17" t="str" cm="1">
        <f t="array" ref="K35">IF(OR(ISNUMBER(SEARCH("lymph",_xlfn.TEXTJOIN("; ", TRUE, _xlfn._xlws.FILTER('Model output'!H:H, 'Model output'!Z:Z=A35)),1)), ISNUMBER(SEARCH("Not mentioned",_xlfn.TEXTJOIN("; ", TRUE, _xlfn._xlws.FILTER('Model output'!H:H, 'Model output'!Z:Z=A35)),1)),ISNUMBER(SEARCH("subcutaneous soft tissues",_xlfn.TEXTJOIN("; ", TRUE, _xlfn._xlws.FILTER('Model output'!H:H, 'Model output'!Z:Z=A35)),1)),ISNUMBER(SEARCH("larynx",_xlfn.TEXTJOIN("; ", TRUE, _xlfn._xlws.FILTER('Model output'!H:H, 'Model output'!Z:Z=A35)),1)),ISNUMBER(SEARCH("trachea",_xlfn.TEXTJOIN("; ", TRUE, _xlfn._xlws.FILTER('Model output'!H:H, 'Model output'!Z:Z=A35)),1)),ISNUMBER(SEARCH("esophagus",_xlfn.TEXTJOIN("; ", TRUE, _xlfn._xlws.FILTER('Model output'!H:H, 'Model output'!Z:Z=A35)),1)),ISNUMBER(SEARCH("recurrent laryngeal nerve",_xlfn.TEXTJOIN("; ", TRUE, _xlfn._xlws.FILTER('Model output'!H:H, 'Model output'!Z:Z=A35)),1)),ISNUMBER(SEARCH("RLN",_xlfn.TEXTJOIN("; ", TRUE, _xlfn._xlws.FILTER('Model output'!H:H, 'Model output'!Z:Z=A35)),1)),_xlfn.TEXTJOIN("; ", TRUE, _xlfn._xlws.FILTER('Model output'!H:H, 'Model output'!Z:Z=A35))=""),"negative","positive")</f>
        <v>positive</v>
      </c>
      <c r="L35" s="17">
        <f>IF(IFERROR(INDEX('Model output'!I:I, MATCH(A35, 'Model output'!Z:Z, 0)), "") &lt; M35, "", IFERROR(INDEX('Model output'!I:I, MATCH(A35, 'Model output'!Z:Z, 0)), ""))</f>
        <v>0</v>
      </c>
      <c r="M35" s="17">
        <f>IFERROR(INDEX('Model output'!J:J, MATCH(A35, 'Model output'!Z:Z, 0)), "")</f>
        <v>0</v>
      </c>
      <c r="N35" s="18" t="str" cm="1">
        <f t="array" ref="N35">ReplaceTo(ReplaceAnd(SUBSTITUTE(SUBSTITUTE(_xlfn.TEXTJOIN("; ", TRUE, _xlfn._xlws.FILTER('Model output'!K:K, 'Model output'!Z:Z=A35)), " ", ""), ",", ";")))</f>
        <v/>
      </c>
      <c r="O35" t="str" cm="1">
        <f t="array" ref="O35">IF(LEFT(IF(RIGHT(SUBSTITUTE(FilterWithUnits(N35)&amp;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";")),1)=";",RIGHT(IF(RIGHT(SUBSTITUTE(FilterWithUnits(N35)&amp;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";")),LEN(IF(RIGHT(SUBSTITUTE(FilterWithUnits(N35)&amp;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";")))-1),IF(RIGHT(SUBSTITUTE(FilterWithUnits(N35)&amp;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f>
        <v/>
      </c>
      <c r="P35" t="str" cm="1">
        <f t="array" ref="P35">IF(MaxSize((SplitDimensions(O35)))=0, "", MaxSize((SplitDimensions(O35))))</f>
        <v/>
      </c>
      <c r="Q35" t="str" cm="1">
        <f t="array" ref="Q35">IF(ISERROR(INDEX(_xlfn._xlws.FILTER('Model output'!L:L, ('Model output'!Z:Z=A35)*('Model output'!L:L&lt;&gt;"")), 1)), " ", LOWER(INDEX(_xlfn._xlws.FILTER('Model output'!L:L, ('Model output'!Z:Z=A35)*('Model output'!L:L&lt;&gt;"")), 1)))</f>
        <v>papillary</v>
      </c>
      <c r="R35" t="str" cm="1">
        <f t="array" ref="R35">IF(ISERROR(INDEX(_xlfn._xlws.FILTER('Model output'!M:M, ('Model output'!Z:Z=A35)*('Model output'!M:M&lt;&gt;"")), 1)), " ", LOWER(INDEX(_xlfn._xlws.FILTER('Model output'!M:M, ('Model output'!Z:Z=A35)*('Model output'!M:M&lt;&gt;"")), 1)))</f>
        <v>microcarcinoma</v>
      </c>
      <c r="S35" t="str" cm="1">
        <f t="array" ref="S35">IF(OR(ISNUMBER(SEARCH("ly",SUBSTITUTE(INDEX(_xlfn._xlws.FILTER('Model output'!N:N,('Model output'!Z:Z=A35)*('Model output'!N:N&lt;&gt;"")),1)," ",""),1)), ISNUMBER(SEARCH("pole",SUBSTITUTE(INDEX(_xlfn._xlws.FILTER('Model output'!N:N,('Model output'!Z:Z=A35)*('Model output'!N:N&lt;&gt;"")),1)," ",""),1))),"",SUBSTITUTE(INDEX(_xlfn._xlws.FILTER('Model output'!N:N,('Model output'!Z:Z=A35)*('Model output'!N:N&lt;&gt;"")),1)," ",""))</f>
        <v>0.6mm</v>
      </c>
      <c r="T35" t="str" cm="1">
        <f t="array" ref="T35">IF(LEFT(IF(RIGHT(SUBSTITUTE(FilterWithUnits(S35)&amp;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";")),1)=";",RIGHT(IF(RIGHT(SUBSTITUTE(FilterWithUnits(S35)&amp;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";")),LEN(IF(RIGHT(SUBSTITUTE(FilterWithUnits(S35)&amp;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";")))-1),IF(RIGHT(SUBSTITUTE(FilterWithUnits(S35)&amp;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f>
        <v>0.6mm</v>
      </c>
      <c r="U35" cm="1">
        <f t="array" ref="U35">IF(MaxSize((SplitDimensions(T35)))=0, "", MaxSize((SplitDimensions(T35))))</f>
        <v>0.06</v>
      </c>
      <c r="V35" s="17" t="str" cm="1">
        <f t="array" ref="V35">IF(ISERROR(INDEX(_xlfn._xlws.FILTER('Model output'!P:P,('Model output'!Z:Z=A35)*('Model output'!P:P&lt;&gt;"")),1)),"negative",IF(OR(ISNUMBER(SEARCH("foc",INDEX(_xlfn._xlws.FILTER('Model output'!P:P,('Model output'!Z:Z=A35)*('Model output'!P:P&lt;&gt;"")),1),1)),ISNUMBER(SEARCH("extensive",INDEX(_xlfn._xlws.FILTER('Model output'!P:P,('Model output'!Z:Z=A35)*('Model output'!P:P&lt;&gt;"")),1),1)),ISNUMBER(SEARCH("present",INDEX(_xlfn._xlws.FILTER('Model output'!P:P,('Model output'!Z:Z=A35)*('Model output'!P:P&lt;&gt;"")),1),1)),ISNUMBER(SEARCH("yes",INDEX(_xlfn._xlws.FILTER('Model output'!P:P,('Model output'!Z:Z=A35)*('Model output'!P:P&lt;&gt;"")),1),1))),"positive","negative"))</f>
        <v>negative</v>
      </c>
      <c r="X35" t="str" cm="1">
        <f t="array" ref="X35">IF(ISNUMBER(SEARCH("4",INDEX(_xlfn._xlws.FILTER('Model output'!P:P,('Model output'!Z:Z=A35)*('Model output'!P:P&lt;&gt;"")),1),1)),INDEX(_xlfn._xlws.FILTER('Model output'!P:P,('Model output'!Z:Z=A35)*('Model output'!P:P&lt;&gt;"")),1),"") &amp; _xlfn.TEXTJOIN("",TRUE,_xlfn._xlws.FILTER('Model output'!Q:Q,'Model output'!Z:Z=A35))</f>
        <v/>
      </c>
      <c r="Y35" t="str">
        <f t="shared" si="9"/>
        <v>no</v>
      </c>
      <c r="Z35" t="str" cm="1">
        <f t="array" ref="Z35">IF(OR(ISNUMBER(SEARCH("focal",_xlfn.TEXTJOIN("; ",TRUE,_xlfn._xlws.FILTER('Model output'!R:R,'Model output'!Z:Z=A35)),1)),ISNUMBER(SEARCH("present",_xlfn.TEXTJOIN("; ",TRUE,_xlfn._xlws.FILTER('Model output'!R:R,'Model output'!Z:Z=A35)),1))),"positive",IF(_xlfn.TEXTJOIN("; ",TRUE,_xlfn._xlws.FILTER('Model output'!R:R,'Model output'!Z:Z=A35))="","negative",IF(OR(ISNUMBER(SEARCH("no",_xlfn.TEXTJOIN("; ",TRUE,_xlfn._xlws.FILTER('Model output'!R:R,'Model output'!Z:Z=A35)),1)),ISNUMBER(SEARCH("absent",_xlfn.TEXTJOIN("; ",TRUE,_xlfn._xlws.FILTER('Model output'!R:R,'Model output'!Z:Z=A35)),1))),"negative","positive")))</f>
        <v>positive</v>
      </c>
      <c r="AA35" s="17" t="str">
        <f t="shared" si="10"/>
        <v>negative</v>
      </c>
      <c r="AE35" s="17" t="str">
        <f t="shared" si="11"/>
        <v>negative</v>
      </c>
      <c r="AF35" t="str" cm="1">
        <f t="array" ref="AF35">_xlfn.TEXTJOIN("; ",TRUE,_xlfn._xlws.FILTER('Model output'!S:S,'Model output'!Z:Z=A35))</f>
        <v/>
      </c>
      <c r="AG35" s="17" t="str" cm="1">
        <f t="array" ref="AG35">IF(OR(ISNUMBER(SEARCH("uninvolved",_xlfn.TEXTJOIN("; ",TRUE,_xlfn._xlws.FILTER('Model output'!V:V,'Model output'!Z:Z=A35)),1)),ISNUMBER(SEARCH("clear",_xlfn.TEXTJOIN("; ",TRUE,_xlfn._xlws.FILTER('Model output'!V:V,'Model output'!Z:Z=A35)),1))*ISNUMBER(SEARCH("not mentioned",_xlfn.TEXTJOIN("; ",TRUE,_xlfn._xlws.FILTER('Model output'!V:V,'Model output'!Z:Z=A35)),1))),"negative",IF(ISNUMBER(SEARCH("cannot be assessed",_xlfn.TEXTJOIN("; ",TRUE,_xlfn._xlws.FILTER('Model output'!V:V,'Model output'!Z:Z=A35)),1)),"unknown","negative"))</f>
        <v>negative</v>
      </c>
      <c r="AI35" s="45" t="str">
        <f t="shared" si="2"/>
        <v>high</v>
      </c>
      <c r="AJ35" s="36" t="str">
        <f t="shared" si="3"/>
        <v>1a</v>
      </c>
      <c r="AK35" s="36" t="str">
        <f t="shared" si="20"/>
        <v>x</v>
      </c>
      <c r="AL35" s="36">
        <f t="shared" si="17"/>
        <v>1</v>
      </c>
      <c r="AM35" s="36" t="str">
        <f t="shared" si="18"/>
        <v>II</v>
      </c>
      <c r="AN35" s="37" t="s">
        <v>169</v>
      </c>
      <c r="AO35" s="38" t="s">
        <v>193</v>
      </c>
      <c r="AP35" s="38" t="s">
        <v>192</v>
      </c>
      <c r="AQ35" s="38">
        <v>1</v>
      </c>
      <c r="AR35" s="38" t="s">
        <v>44</v>
      </c>
      <c r="AS35" s="37">
        <f t="shared" si="7"/>
        <v>1</v>
      </c>
      <c r="AT35" s="38">
        <f t="shared" si="8"/>
        <v>1</v>
      </c>
      <c r="AU35" s="38">
        <f t="shared" si="12"/>
        <v>1</v>
      </c>
      <c r="AV35" s="38">
        <f t="shared" si="13"/>
        <v>1</v>
      </c>
      <c r="AW35" s="39">
        <f t="shared" si="13"/>
        <v>1</v>
      </c>
    </row>
    <row r="36" spans="1:50">
      <c r="A36" s="13">
        <v>34</v>
      </c>
      <c r="B36" s="16">
        <f>_xlfn.MAXIFS('Model output'!B:B,'Model output'!Z:Z,'Classification result'!$A36)</f>
        <v>44825</v>
      </c>
      <c r="C36" s="16"/>
      <c r="D36" s="16"/>
      <c r="E36" s="17">
        <f>_xlfn.MAXIFS('Model output'!C:C,'Model output'!Z:Z,'Classification result'!$A36)</f>
        <v>63</v>
      </c>
      <c r="F36" s="17" t="str" cm="1">
        <f t="array" ref="F36">LEFT(IF(ISERROR(RIGHT(IF(INDEX(_xlfn._xlws.FILTER('Model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output'!Z:Z=A36)),1),""),1))),"",(RIGHT(IF(INDEX(_xlfn._xlws.FILTER('Model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output'!Z:Z=A36)),1)))))),2)</f>
        <v>4a</v>
      </c>
      <c r="G36" s="17" t="str" cm="1">
        <f t="array" ref="G36">IF(ISNUMBER(SEARCH("N",IF(ISNUMBER(SEARCH("present",IF(INDEX(_xlfn._xlws.FILTER('Model output'!E:E,('Model output'!Z:Z=A36)),1)="","",INDEX(_xlfn._xlws.FILTER('Model output'!E:E,('Model output'!Z:Z=A36)),1)),1)),"N1", IF(INDEX(_xlfn._xlws.FILTER('Model output'!E:E,('Model output'!Z:Z=A36)),1)="","",INDEX(_xlfn._xlws.FILTER('Model output'!E:E,('Model output'!Z:Z=A36)),1))),1)),RIGHT(IF(ISNUMBER(SEARCH("present",IF(INDEX(_xlfn._xlws.FILTER('Model output'!E:E,('Model output'!Z:Z=A36)),1)="","",INDEX(_xlfn._xlws.FILTER('Model output'!E:E,('Model output'!Z:Z=A36)),1)),1)),"N1", IF(INDEX(_xlfn._xlws.FILTER('Model output'!E:E,('Model output'!Z:Z=A36)),1)="","",INDEX(_xlfn._xlws.FILTER('Model output'!E:E,('Model output'!Z:Z=A36)),1))),LEN(IF(ISNUMBER(SEARCH("present",IF(INDEX(_xlfn._xlws.FILTER('Model output'!E:E,('Model output'!Z:Z=A36)),1)="","",INDEX(_xlfn._xlws.FILTER('Model output'!E:E,('Model output'!Z:Z=A36)),1)),1)),"N1", IF(INDEX(_xlfn._xlws.FILTER('Model output'!E:E,('Model output'!Z:Z=A36)),1)="","",INDEX(_xlfn._xlws.FILTER('Model output'!E:E,('Model output'!Z:Z=A36)),1))))-FIND("N",IF(ISNUMBER(SEARCH("present",IF(INDEX(_xlfn._xlws.FILTER('Model output'!E:E,('Model output'!Z:Z=A36)),1)="","",INDEX(_xlfn._xlws.FILTER('Model output'!E:E,('Model output'!Z:Z=A36)),1)),1)),"N1", IF(INDEX(_xlfn._xlws.FILTER('Model output'!E:E,('Model output'!Z:Z=A36)),1)="","",INDEX(_xlfn._xlws.FILTER('Model output'!E:E,('Model output'!Z:Z=A36)),1))),1)), "")</f>
        <v>0</v>
      </c>
      <c r="H36" s="17" cm="1">
        <f t="array" ref="H36">IF(AND(SUBSTITUTE(_xlfn.TEXTJOIN("/", TRUE, _xlfn._xlws.FILTER('Model output'!F:F, 'Model output'!Z:Z=A36)),"M", "")="", K36="negative"),0,IF(K36="positive",1,0))</f>
        <v>0</v>
      </c>
      <c r="I36" t="str">
        <f t="shared" si="0"/>
        <v>positive</v>
      </c>
      <c r="J36" t="str" cm="1">
        <f t="array" ref="J36">IF(AND(M36&gt;0, _xlfn.TEXTJOIN("; ", TRUE, _xlfn._xlws.FILTER('Model output'!G:G, 'Model output'!Z:Z=A36)) &lt;&gt;"", OR(AND(ISNUMBER(SEARCH("level", _xlfn.TEXTJOIN("; ", TRUE, _xlfn._xlws.FILTER('Model output'!G:G, 'Model output'!Z:Z=A36)),1)),OR(ISNUMBER(SEARCH(" II", _xlfn.TEXTJOIN("; ", TRUE, _xlfn._xlws.FILTER('Model output'!G:G, 'Model output'!Z:Z=A36)),1)),ISNUMBER(SEARCH("2", _xlfn.TEXTJOIN("; ", TRUE, _xlfn._xlws.FILTER('Model output'!G:G, 'Model output'!Z:Z=A36)),1)),ISNUMBER(SEARCH("two", _xlfn.TEXTJOIN("; ", TRUE, _xlfn._xlws.FILTER('Model output'!G:G, 'Model output'!Z:Z=A36)),1)),ISNUMBER(SEARCH("III", _xlfn.TEXTJOIN("; ", TRUE, _xlfn._xlws.FILTER('Model output'!G:G, 'Model output'!Z:Z=A36)),1)),ISNUMBER(SEARCH("3", _xlfn.TEXTJOIN("; ", TRUE, _xlfn._xlws.FILTER('Model output'!G:G, 'Model output'!Z:Z=A36)),1)),ISNUMBER(SEARCH("three", _xlfn.TEXTJOIN("; ", TRUE, _xlfn._xlws.FILTER('Model output'!G:G, 'Model output'!Z:Z=A36)),1)),ISNUMBER(SEARCH("IV", _xlfn.TEXTJOIN("; ", TRUE, _xlfn._xlws.FILTER('Model output'!G:G, 'Model output'!Z:Z=A36)),1)),ISNUMBER(SEARCH("4", _xlfn.TEXTJOIN("; ", TRUE, _xlfn._xlws.FILTER('Model output'!G:G, 'Model output'!Z:Z=A36)),1)),ISNUMBER(SEARCH("five", _xlfn.TEXTJOIN("; ", TRUE, _xlfn._xlws.FILTER('Model output'!G:G, 'Model output'!Z:Z=A36)),1)),ISNUMBER(SEARCH("V ", _xlfn.TEXTJOIN("; ", TRUE, _xlfn._xlws.FILTER('Model output'!G:G, 'Model output'!Z:Z=A36)),1)),ISNUMBER(SEARCH("5", _xlfn.TEXTJOIN("; ", TRUE, _xlfn._xlws.FILTER('Model output'!G:G, 'Model output'!Z:Z=A36)),1)),ISNUMBER(SEARCH("five", _xlfn.TEXTJOIN("; ", TRUE, _xlfn._xlws.FILTER('Model output'!G:G, 'Model output'!Z:Z=A36)),1)),ISNUMBER(SEARCH(" lateral", _xlfn.TEXTJOIN("; ", TRUE, _xlfn._xlws.FILTER('Model output'!G:G, 'Model output'!Z:Z=A36)),1)))),ISNUMBER(SEARCH("cervical", _xlfn.TEXTJOIN("; ", TRUE, _xlfn._xlws.FILTER('Model output'!G:G, 'Model output'!Z:Z=A36)),1)),ISNUMBER(SEARCH("jugular", _xlfn.TEXTJOIN("; ", TRUE, _xlfn._xlws.FILTER('Model output'!G:G, 'Model output'!Z:Z=A36)),1)),ISNUMBER(SEARCH("left neck", _xlfn.TEXTJOIN("; ", TRUE, _xlfn._xlws.FILTER('Model output'!G:G, 'Model output'!Z:Z=A36)),1)),ISNUMBER(SEARCH("left anterior neck", _xlfn.TEXTJOIN("; ", TRUE, _xlfn._xlws.FILTER('Model output'!G:G, 'Model output'!Z:Z=A36)),1)),ISNUMBER(SEARCH("left posterior neck", _xlfn.TEXTJOIN("; ", TRUE, _xlfn._xlws.FILTER('Model output'!G:G, 'Model output'!Z:Z=A36)),1)),ISNUMBER(SEARCH("right neck", _xlfn.TEXTJOIN("; ", TRUE, _xlfn._xlws.FILTER('Model output'!G:G, 'Model output'!Z:Z=A36)),1)),ISNUMBER(SEARCH("right anterior neck", _xlfn.TEXTJOIN("; ", TRUE, _xlfn._xlws.FILTER('Model output'!G:G, 'Model output'!Z:Z=A36)),1)),ISNUMBER(SEARCH("right posterior neck", _xlfn.TEXTJOIN("; ", TRUE, _xlfn._xlws.FILTER('Model output'!G:G, 'Model output'!Z:Z=A36)),1)))),"lateral",IF(AND(M36=0, _xlfn.TEXTJOIN("; ", TRUE, _xlfn._xlws.FILTER('Model output'!G:G, 'Model output'!Z:Z=A36))=""),"", "central"))</f>
        <v>central</v>
      </c>
      <c r="K36" s="17" t="str" cm="1">
        <f t="array" ref="K36">IF(OR(ISNUMBER(SEARCH("lymph",_xlfn.TEXTJOIN("; ", TRUE, _xlfn._xlws.FILTER('Model output'!H:H, 'Model output'!Z:Z=A36)),1)), ISNUMBER(SEARCH("Not mentioned",_xlfn.TEXTJOIN("; ", TRUE, _xlfn._xlws.FILTER('Model output'!H:H, 'Model output'!Z:Z=A36)),1)),ISNUMBER(SEARCH("subcutaneous soft tissues",_xlfn.TEXTJOIN("; ", TRUE, _xlfn._xlws.FILTER('Model output'!H:H, 'Model output'!Z:Z=A36)),1)),ISNUMBER(SEARCH("larynx",_xlfn.TEXTJOIN("; ", TRUE, _xlfn._xlws.FILTER('Model output'!H:H, 'Model output'!Z:Z=A36)),1)),ISNUMBER(SEARCH("trachea",_xlfn.TEXTJOIN("; ", TRUE, _xlfn._xlws.FILTER('Model output'!H:H, 'Model output'!Z:Z=A36)),1)),ISNUMBER(SEARCH("esophagus",_xlfn.TEXTJOIN("; ", TRUE, _xlfn._xlws.FILTER('Model output'!H:H, 'Model output'!Z:Z=A36)),1)),ISNUMBER(SEARCH("recurrent laryngeal nerve",_xlfn.TEXTJOIN("; ", TRUE, _xlfn._xlws.FILTER('Model output'!H:H, 'Model output'!Z:Z=A36)),1)),ISNUMBER(SEARCH("RLN",_xlfn.TEXTJOIN("; ", TRUE, _xlfn._xlws.FILTER('Model output'!H:H, 'Model output'!Z:Z=A36)),1)),_xlfn.TEXTJOIN("; ", TRUE, _xlfn._xlws.FILTER('Model output'!H:H, 'Model output'!Z:Z=A36))=""),"negative","positive")</f>
        <v>negative</v>
      </c>
      <c r="L36" s="17" t="str">
        <f>IF(IFERROR(INDEX('Model output'!I:I, MATCH(A36, 'Model output'!Z:Z, 0)), "") &lt; M36, "", IFERROR(INDEX('Model output'!I:I, MATCH(A36, 'Model output'!Z:Z, 0)), ""))</f>
        <v/>
      </c>
      <c r="M36" s="17">
        <f>IFERROR(INDEX('Model output'!J:J, MATCH(A36, 'Model output'!Z:Z, 0)), "")</f>
        <v>1</v>
      </c>
      <c r="N36" s="18" t="str" cm="1">
        <f t="array" ref="N36">ReplaceTo(ReplaceAnd(SUBSTITUTE(SUBSTITUTE(_xlfn.TEXTJOIN("; ", TRUE, _xlfn._xlws.FILTER('Model output'!K:K, 'Model output'!Z:Z=A36)), " ", ""), ",", ";")))</f>
        <v/>
      </c>
      <c r="O36" t="str" cm="1">
        <f t="array" ref="O36">IF(LEFT(IF(RIGHT(SUBSTITUTE(FilterWithUnits(N36)&amp;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";")),1)=";",RIGHT(IF(RIGHT(SUBSTITUTE(FilterWithUnits(N36)&amp;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";")),LEN(IF(RIGHT(SUBSTITUTE(FilterWithUnits(N36)&amp;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";")))-1),IF(RIGHT(SUBSTITUTE(FilterWithUnits(N36)&amp;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f>
        <v/>
      </c>
      <c r="P36" t="str" cm="1">
        <f t="array" ref="P36">IF(MaxSize((SplitDimensions(O36)))=0, "", MaxSize((SplitDimensions(O36))))</f>
        <v/>
      </c>
      <c r="Q36" t="str" cm="1">
        <f t="array" ref="Q36">IF(ISERROR(INDEX(_xlfn._xlws.FILTER('Model output'!L:L, ('Model output'!Z:Z=A36)*('Model output'!L:L&lt;&gt;"")), 1)), " ", LOWER(INDEX(_xlfn._xlws.FILTER('Model output'!L:L, ('Model output'!Z:Z=A36)*('Model output'!L:L&lt;&gt;"")), 1)))</f>
        <v>papillary carcinoma</v>
      </c>
      <c r="R36" t="str" cm="1">
        <f t="array" ref="R36">IF(ISERROR(INDEX(_xlfn._xlws.FILTER('Model output'!M:M, ('Model output'!Z:Z=A36)*('Model output'!M:M&lt;&gt;"")), 1)), " ", LOWER(INDEX(_xlfn._xlws.FILTER('Model output'!M:M, ('Model output'!Z:Z=A36)*('Model output'!M:M&lt;&gt;"")), 1)))</f>
        <v>tall cell variant</v>
      </c>
      <c r="S36" t="str" cm="1">
        <f t="array" ref="S36">IF(OR(ISNUMBER(SEARCH("ly",SUBSTITUTE(INDEX(_xlfn._xlws.FILTER('Model output'!N:N,('Model output'!Z:Z=A36)*('Model output'!N:N&lt;&gt;"")),1)," ",""),1)), ISNUMBER(SEARCH("pole",SUBSTITUTE(INDEX(_xlfn._xlws.FILTER('Model output'!N:N,('Model output'!Z:Z=A36)*('Model output'!N:N&lt;&gt;"")),1)," ",""),1))),"",SUBSTITUTE(INDEX(_xlfn._xlws.FILTER('Model output'!N:N,('Model output'!Z:Z=A36)*('Model output'!N:N&lt;&gt;"")),1)," ",""))</f>
        <v>24.5mm</v>
      </c>
      <c r="T36" t="str" cm="1">
        <f t="array" ref="T36">IF(LEFT(IF(RIGHT(SUBSTITUTE(FilterWithUnits(S36)&amp;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";")),1)=";",RIGHT(IF(RIGHT(SUBSTITUTE(FilterWithUnits(S36)&amp;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";")),LEN(IF(RIGHT(SUBSTITUTE(FilterWithUnits(S36)&amp;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";")))-1),IF(RIGHT(SUBSTITUTE(FilterWithUnits(S36)&amp;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f>
        <v>24.5mm</v>
      </c>
      <c r="U36" cm="1">
        <f t="array" ref="U36">IF(MaxSize((SplitDimensions(T36)))=0, "", MaxSize((SplitDimensions(T36))))</f>
        <v>2.4500000000000002</v>
      </c>
      <c r="V36" s="17" t="str" cm="1">
        <f t="array" ref="V36">IF(ISERROR(INDEX(_xlfn._xlws.FILTER('Model output'!P:P,('Model output'!Z:Z=A36)*('Model output'!P:P&lt;&gt;"")),1)),"negative",IF(OR(ISNUMBER(SEARCH("foc",INDEX(_xlfn._xlws.FILTER('Model output'!P:P,('Model output'!Z:Z=A36)*('Model output'!P:P&lt;&gt;"")),1),1)),ISNUMBER(SEARCH("extensive",INDEX(_xlfn._xlws.FILTER('Model output'!P:P,('Model output'!Z:Z=A36)*('Model output'!P:P&lt;&gt;"")),1),1)),ISNUMBER(SEARCH("present",INDEX(_xlfn._xlws.FILTER('Model output'!P:P,('Model output'!Z:Z=A36)*('Model output'!P:P&lt;&gt;"")),1),1)),ISNUMBER(SEARCH("yes",INDEX(_xlfn._xlws.FILTER('Model output'!P:P,('Model output'!Z:Z=A36)*('Model output'!P:P&lt;&gt;"")),1),1))),"positive","negative"))</f>
        <v>positive</v>
      </c>
      <c r="X36" t="str" cm="1">
        <f t="array" ref="X36">IF(ISNUMBER(SEARCH("4",INDEX(_xlfn._xlws.FILTER('Model output'!P:P,('Model output'!Z:Z=A36)*('Model output'!P:P&lt;&gt;"")),1),1)),INDEX(_xlfn._xlws.FILTER('Model output'!P:P,('Model output'!Z:Z=A36)*('Model output'!P:P&lt;&gt;"")),1),"") &amp; _xlfn.TEXTJOIN("",TRUE,_xlfn._xlws.FILTER('Model output'!Q:Q,'Model output'!Z:Z=A36))</f>
        <v>Extensive (= or &gt;4 vessels)Extensive (= or &gt;4 vessels)</v>
      </c>
      <c r="Y36" t="str">
        <f t="shared" si="9"/>
        <v>extensive</v>
      </c>
      <c r="Z36" t="str" cm="1">
        <f t="array" ref="Z36">IF(OR(ISNUMBER(SEARCH("focal",_xlfn.TEXTJOIN("; ",TRUE,_xlfn._xlws.FILTER('Model output'!R:R,'Model output'!Z:Z=A36)),1)),ISNUMBER(SEARCH("present",_xlfn.TEXTJOIN("; ",TRUE,_xlfn._xlws.FILTER('Model output'!R:R,'Model output'!Z:Z=A36)),1))),"positive",IF(_xlfn.TEXTJOIN("; ",TRUE,_xlfn._xlws.FILTER('Model output'!R:R,'Model output'!Z:Z=A36))="","negative",IF(OR(ISNUMBER(SEARCH("no",_xlfn.TEXTJOIN("; ",TRUE,_xlfn._xlws.FILTER('Model output'!R:R,'Model output'!Z:Z=A36)),1)),ISNUMBER(SEARCH("absent",_xlfn.TEXTJOIN("; ",TRUE,_xlfn._xlws.FILTER('Model output'!R:R,'Model output'!Z:Z=A36)),1))),"negative","positive")))</f>
        <v>negative</v>
      </c>
      <c r="AA36" s="17" t="str">
        <f t="shared" si="10"/>
        <v>positive</v>
      </c>
      <c r="AE36" s="17" t="str">
        <f t="shared" si="11"/>
        <v>positive</v>
      </c>
      <c r="AF36" t="str" cm="1">
        <f t="array" ref="AF36">_xlfn.TEXTJOIN("; ",TRUE,_xlfn._xlws.FILTER('Model output'!S:S,'Model output'!Z:Z=A36))</f>
        <v>Invading subcutaneous soft tissues, larynx, trachea, esophagus, or recurrent laryngeal nerve; perithyroidal fibradipose tissue, larynx, part of carotid sheath</v>
      </c>
      <c r="AG36" s="17" t="str" cm="1">
        <f t="array" ref="AG36">IF(OR(ISNUMBER(SEARCH("uninvolved",_xlfn.TEXTJOIN("; ",TRUE,_xlfn._xlws.FILTER('Model output'!V:V,'Model output'!Z:Z=A36)),1)),ISNUMBER(SEARCH("clear",_xlfn.TEXTJOIN("; ",TRUE,_xlfn._xlws.FILTER('Model output'!V:V,'Model output'!Z:Z=A36)),1))*ISNUMBER(SEARCH("not mentioned",_xlfn.TEXTJOIN("; ",TRUE,_xlfn._xlws.FILTER('Model output'!V:V,'Model output'!Z:Z=A36)),1))),"negative",IF(ISNUMBER(SEARCH("cannot be assessed",_xlfn.TEXTJOIN("; ",TRUE,_xlfn._xlws.FILTER('Model output'!V:V,'Model output'!Z:Z=A36)),1)),"unknown","negative"))</f>
        <v>negative</v>
      </c>
      <c r="AI36" s="45" t="str">
        <f t="shared" si="2"/>
        <v>high</v>
      </c>
      <c r="AJ36" s="36" t="str">
        <f t="shared" si="3"/>
        <v>4a</v>
      </c>
      <c r="AK36" s="36" t="str">
        <f t="shared" si="20"/>
        <v>1a</v>
      </c>
      <c r="AL36" s="36">
        <f t="shared" si="17"/>
        <v>0</v>
      </c>
      <c r="AM36" s="36" t="str">
        <f t="shared" si="18"/>
        <v>III</v>
      </c>
      <c r="AN36" s="37" t="s">
        <v>169</v>
      </c>
      <c r="AO36" s="38" t="s">
        <v>196</v>
      </c>
      <c r="AP36" s="38">
        <v>0</v>
      </c>
      <c r="AQ36" s="38">
        <v>0</v>
      </c>
      <c r="AR36" s="38" t="s">
        <v>69</v>
      </c>
      <c r="AS36" s="37">
        <f t="shared" si="7"/>
        <v>1</v>
      </c>
      <c r="AT36" s="38">
        <f t="shared" si="8"/>
        <v>1</v>
      </c>
      <c r="AU36" s="38">
        <f t="shared" si="12"/>
        <v>0</v>
      </c>
      <c r="AV36" s="38">
        <f t="shared" si="13"/>
        <v>1</v>
      </c>
      <c r="AW36" s="39">
        <f t="shared" si="13"/>
        <v>1</v>
      </c>
    </row>
    <row r="37" spans="1:50">
      <c r="A37" s="26">
        <v>35</v>
      </c>
      <c r="B37" s="27">
        <f>_xlfn.MAXIFS('Model output'!B:B,'Model output'!Z:Z,'Classification result'!$A37)</f>
        <v>44419</v>
      </c>
      <c r="C37" s="27"/>
      <c r="D37" s="27"/>
      <c r="E37" s="28">
        <f>_xlfn.MAXIFS('Model output'!C:C,'Model output'!Z:Z,'Classification result'!$A37)</f>
        <v>62</v>
      </c>
      <c r="F37" s="28" t="str" cm="1">
        <f t="array" ref="F37">LEFT(IF(ISERROR(RIGHT(IF(INDEX(_xlfn._xlws.FILTER('Model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output'!Z:Z=A37)),1),""),1))),"",(RIGHT(IF(INDEX(_xlfn._xlws.FILTER('Model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output'!Z:Z=A37)),1)))))),2)</f>
        <v>4a</v>
      </c>
      <c r="G37" s="28" t="str" cm="1">
        <f t="array" ref="G37">IF(ISNUMBER(SEARCH("N",IF(ISNUMBER(SEARCH("present",IF(INDEX(_xlfn._xlws.FILTER('Model output'!E:E,('Model output'!Z:Z=A37)),1)="","",INDEX(_xlfn._xlws.FILTER('Model output'!E:E,('Model output'!Z:Z=A37)),1)),1)),"N1", IF(INDEX(_xlfn._xlws.FILTER('Model output'!E:E,('Model output'!Z:Z=A37)),1)="","",INDEX(_xlfn._xlws.FILTER('Model output'!E:E,('Model output'!Z:Z=A37)),1))),1)),RIGHT(IF(ISNUMBER(SEARCH("present",IF(INDEX(_xlfn._xlws.FILTER('Model output'!E:E,('Model output'!Z:Z=A37)),1)="","",INDEX(_xlfn._xlws.FILTER('Model output'!E:E,('Model output'!Z:Z=A37)),1)),1)),"N1", IF(INDEX(_xlfn._xlws.FILTER('Model output'!E:E,('Model output'!Z:Z=A37)),1)="","",INDEX(_xlfn._xlws.FILTER('Model output'!E:E,('Model output'!Z:Z=A37)),1))),LEN(IF(ISNUMBER(SEARCH("present",IF(INDEX(_xlfn._xlws.FILTER('Model output'!E:E,('Model output'!Z:Z=A37)),1)="","",INDEX(_xlfn._xlws.FILTER('Model output'!E:E,('Model output'!Z:Z=A37)),1)),1)),"N1", IF(INDEX(_xlfn._xlws.FILTER('Model output'!E:E,('Model output'!Z:Z=A37)),1)="","",INDEX(_xlfn._xlws.FILTER('Model output'!E:E,('Model output'!Z:Z=A37)),1))))-FIND("N",IF(ISNUMBER(SEARCH("present",IF(INDEX(_xlfn._xlws.FILTER('Model output'!E:E,('Model output'!Z:Z=A37)),1)="","",INDEX(_xlfn._xlws.FILTER('Model output'!E:E,('Model output'!Z:Z=A37)),1)),1)),"N1", IF(INDEX(_xlfn._xlws.FILTER('Model output'!E:E,('Model output'!Z:Z=A37)),1)="","",INDEX(_xlfn._xlws.FILTER('Model output'!E:E,('Model output'!Z:Z=A37)),1))),1)), "")</f>
        <v>1b</v>
      </c>
      <c r="H37" s="28" cm="1">
        <f t="array" ref="H37">IF(AND(SUBSTITUTE(_xlfn.TEXTJOIN("/", TRUE, _xlfn._xlws.FILTER('Model output'!F:F, 'Model output'!Z:Z=A37)),"M", "")="", K37="negative"),0,IF(K37="positive",1,0))</f>
        <v>1</v>
      </c>
      <c r="I37" s="29" t="str">
        <f t="shared" si="0"/>
        <v>positive</v>
      </c>
      <c r="J37" s="29" t="str" cm="1">
        <f t="array" ref="J37">IF(AND(M37&gt;0, _xlfn.TEXTJOIN("; ", TRUE, _xlfn._xlws.FILTER('Model output'!G:G, 'Model output'!Z:Z=A37)) &lt;&gt;"", OR(AND(ISNUMBER(SEARCH("level", _xlfn.TEXTJOIN("; ", TRUE, _xlfn._xlws.FILTER('Model output'!G:G, 'Model output'!Z:Z=A37)),1)),OR(ISNUMBER(SEARCH(" II", _xlfn.TEXTJOIN("; ", TRUE, _xlfn._xlws.FILTER('Model output'!G:G, 'Model output'!Z:Z=A37)),1)),ISNUMBER(SEARCH("2", _xlfn.TEXTJOIN("; ", TRUE, _xlfn._xlws.FILTER('Model output'!G:G, 'Model output'!Z:Z=A37)),1)),ISNUMBER(SEARCH("two", _xlfn.TEXTJOIN("; ", TRUE, _xlfn._xlws.FILTER('Model output'!G:G, 'Model output'!Z:Z=A37)),1)),ISNUMBER(SEARCH("III", _xlfn.TEXTJOIN("; ", TRUE, _xlfn._xlws.FILTER('Model output'!G:G, 'Model output'!Z:Z=A37)),1)),ISNUMBER(SEARCH("3", _xlfn.TEXTJOIN("; ", TRUE, _xlfn._xlws.FILTER('Model output'!G:G, 'Model output'!Z:Z=A37)),1)),ISNUMBER(SEARCH("three", _xlfn.TEXTJOIN("; ", TRUE, _xlfn._xlws.FILTER('Model output'!G:G, 'Model output'!Z:Z=A37)),1)),ISNUMBER(SEARCH("IV", _xlfn.TEXTJOIN("; ", TRUE, _xlfn._xlws.FILTER('Model output'!G:G, 'Model output'!Z:Z=A37)),1)),ISNUMBER(SEARCH("4", _xlfn.TEXTJOIN("; ", TRUE, _xlfn._xlws.FILTER('Model output'!G:G, 'Model output'!Z:Z=A37)),1)),ISNUMBER(SEARCH("five", _xlfn.TEXTJOIN("; ", TRUE, _xlfn._xlws.FILTER('Model output'!G:G, 'Model output'!Z:Z=A37)),1)),ISNUMBER(SEARCH("V ", _xlfn.TEXTJOIN("; ", TRUE, _xlfn._xlws.FILTER('Model output'!G:G, 'Model output'!Z:Z=A37)),1)),ISNUMBER(SEARCH("5", _xlfn.TEXTJOIN("; ", TRUE, _xlfn._xlws.FILTER('Model output'!G:G, 'Model output'!Z:Z=A37)),1)),ISNUMBER(SEARCH("five", _xlfn.TEXTJOIN("; ", TRUE, _xlfn._xlws.FILTER('Model output'!G:G, 'Model output'!Z:Z=A37)),1)),ISNUMBER(SEARCH(" lateral", _xlfn.TEXTJOIN("; ", TRUE, _xlfn._xlws.FILTER('Model output'!G:G, 'Model output'!Z:Z=A37)),1)))),ISNUMBER(SEARCH("cervical", _xlfn.TEXTJOIN("; ", TRUE, _xlfn._xlws.FILTER('Model output'!G:G, 'Model output'!Z:Z=A37)),1)),ISNUMBER(SEARCH("jugular", _xlfn.TEXTJOIN("; ", TRUE, _xlfn._xlws.FILTER('Model output'!G:G, 'Model output'!Z:Z=A37)),1)),ISNUMBER(SEARCH("left neck", _xlfn.TEXTJOIN("; ", TRUE, _xlfn._xlws.FILTER('Model output'!G:G, 'Model output'!Z:Z=A37)),1)),ISNUMBER(SEARCH("left anterior neck", _xlfn.TEXTJOIN("; ", TRUE, _xlfn._xlws.FILTER('Model output'!G:G, 'Model output'!Z:Z=A37)),1)),ISNUMBER(SEARCH("left posterior neck", _xlfn.TEXTJOIN("; ", TRUE, _xlfn._xlws.FILTER('Model output'!G:G, 'Model output'!Z:Z=A37)),1)),ISNUMBER(SEARCH("right neck", _xlfn.TEXTJOIN("; ", TRUE, _xlfn._xlws.FILTER('Model output'!G:G, 'Model output'!Z:Z=A37)),1)),ISNUMBER(SEARCH("right anterior neck", _xlfn.TEXTJOIN("; ", TRUE, _xlfn._xlws.FILTER('Model output'!G:G, 'Model output'!Z:Z=A37)),1)),ISNUMBER(SEARCH("right posterior neck", _xlfn.TEXTJOIN("; ", TRUE, _xlfn._xlws.FILTER('Model output'!G:G, 'Model output'!Z:Z=A37)),1)))),"lateral",IF(AND(M37=0, _xlfn.TEXTJOIN("; ", TRUE, _xlfn._xlws.FILTER('Model output'!G:G, 'Model output'!Z:Z=A37))=""),"", "central"))</f>
        <v>lateral</v>
      </c>
      <c r="K37" s="28" t="str" cm="1">
        <f t="array" ref="K37">IF(OR(ISNUMBER(SEARCH("lymph",_xlfn.TEXTJOIN("; ", TRUE, _xlfn._xlws.FILTER('Model output'!H:H, 'Model output'!Z:Z=A37)),1)), ISNUMBER(SEARCH("Not mentioned",_xlfn.TEXTJOIN("; ", TRUE, _xlfn._xlws.FILTER('Model output'!H:H, 'Model output'!Z:Z=A37)),1)),ISNUMBER(SEARCH("subcutaneous soft tissues",_xlfn.TEXTJOIN("; ", TRUE, _xlfn._xlws.FILTER('Model output'!H:H, 'Model output'!Z:Z=A37)),1)),ISNUMBER(SEARCH("larynx",_xlfn.TEXTJOIN("; ", TRUE, _xlfn._xlws.FILTER('Model output'!H:H, 'Model output'!Z:Z=A37)),1)),ISNUMBER(SEARCH("trachea",_xlfn.TEXTJOIN("; ", TRUE, _xlfn._xlws.FILTER('Model output'!H:H, 'Model output'!Z:Z=A37)),1)),ISNUMBER(SEARCH("esophagus",_xlfn.TEXTJOIN("; ", TRUE, _xlfn._xlws.FILTER('Model output'!H:H, 'Model output'!Z:Z=A37)),1)),ISNUMBER(SEARCH("recurrent laryngeal nerve",_xlfn.TEXTJOIN("; ", TRUE, _xlfn._xlws.FILTER('Model output'!H:H, 'Model output'!Z:Z=A37)),1)),ISNUMBER(SEARCH("RLN",_xlfn.TEXTJOIN("; ", TRUE, _xlfn._xlws.FILTER('Model output'!H:H, 'Model output'!Z:Z=A37)),1)),_xlfn.TEXTJOIN("; ", TRUE, _xlfn._xlws.FILTER('Model output'!H:H, 'Model output'!Z:Z=A37))=""),"negative","positive")</f>
        <v>positive</v>
      </c>
      <c r="L37" s="28">
        <f>IF(IFERROR(INDEX('Model output'!I:I, MATCH(A37, 'Model output'!Z:Z, 0)), "") &lt; M37, "", IFERROR(INDEX('Model output'!I:I, MATCH(A37, 'Model output'!Z:Z, 0)), ""))</f>
        <v>35</v>
      </c>
      <c r="M37" s="28">
        <f>IFERROR(INDEX('Model output'!J:J, MATCH(A37, 'Model output'!Z:Z, 0)), "")</f>
        <v>7</v>
      </c>
      <c r="N37" s="30" t="str" cm="1">
        <f t="array" ref="N37">ReplaceTo(ReplaceAnd(SUBSTITUTE(SUBSTITUTE(_xlfn.TEXTJOIN("; ", TRUE, _xlfn._xlws.FILTER('Model output'!K:K, 'Model output'!Z:Z=A37)), " ", ""), ",", ";")))</f>
        <v>1.2cm</v>
      </c>
      <c r="O37" s="29" t="str" cm="1">
        <f t="array" ref="O37">IF(LEFT(IF(RIGHT(SUBSTITUTE(FilterWithUnits(N37)&amp;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";")),1)=";",RIGHT(IF(RIGHT(SUBSTITUTE(FilterWithUnits(N37)&amp;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";")),LEN(IF(RIGHT(SUBSTITUTE(FilterWithUnits(N37)&amp;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";")))-1),IF(RIGHT(SUBSTITUTE(FilterWithUnits(N37)&amp;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f>
        <v>1.2cm</v>
      </c>
      <c r="P37" s="29" cm="1">
        <f t="array" ref="P37">IF(MaxSize((SplitDimensions(O37)))=0, "", MaxSize((SplitDimensions(O37))))</f>
        <v>1.2</v>
      </c>
      <c r="Q37" s="29" t="str" cm="1">
        <f t="array" ref="Q37">IF(ISERROR(INDEX(_xlfn._xlws.FILTER('Model output'!L:L, ('Model output'!Z:Z=A37)*('Model output'!L:L&lt;&gt;"")), 1)), " ", LOWER(INDEX(_xlfn._xlws.FILTER('Model output'!L:L, ('Model output'!Z:Z=A37)*('Model output'!L:L&lt;&gt;"")), 1)))</f>
        <v>papillary carcinoma</v>
      </c>
      <c r="R37" s="29" t="str" cm="1">
        <f t="array" ref="R37">IF(ISERROR(INDEX(_xlfn._xlws.FILTER('Model output'!M:M, ('Model output'!Z:Z=A37)*('Model output'!M:M&lt;&gt;"")), 1)), " ", LOWER(INDEX(_xlfn._xlws.FILTER('Model output'!M:M, ('Model output'!Z:Z=A37)*('Model output'!M:M&lt;&gt;"")), 1)))</f>
        <v>tall cell variant</v>
      </c>
      <c r="S37" s="29" t="str" cm="1">
        <f t="array" ref="S37">IF(OR(ISNUMBER(SEARCH("ly",SUBSTITUTE(INDEX(_xlfn._xlws.FILTER('Model output'!N:N,('Model output'!Z:Z=A37)*('Model output'!N:N&lt;&gt;"")),1)," ",""),1)), ISNUMBER(SEARCH("pole",SUBSTITUTE(INDEX(_xlfn._xlws.FILTER('Model output'!N:N,('Model output'!Z:Z=A37)*('Model output'!N:N&lt;&gt;"")),1)," ",""),1))),"",SUBSTITUTE(INDEX(_xlfn._xlws.FILTER('Model output'!N:N,('Model output'!Z:Z=A37)*('Model output'!N:N&lt;&gt;"")),1)," ",""))</f>
        <v>5.5cm</v>
      </c>
      <c r="T37" s="29" t="str" cm="1">
        <f t="array" ref="T37">IF(LEFT(IF(RIGHT(SUBSTITUTE(FilterWithUnits(S37)&amp;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";")),1)=";",RIGHT(IF(RIGHT(SUBSTITUTE(FilterWithUnits(S37)&amp;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";")),LEN(IF(RIGHT(SUBSTITUTE(FilterWithUnits(S37)&amp;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";")))-1),IF(RIGHT(SUBSTITUTE(FilterWithUnits(S37)&amp;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f>
        <v>5.5cm</v>
      </c>
      <c r="U37" s="29" cm="1">
        <f t="array" ref="U37">IF(MaxSize((SplitDimensions(T37)))=0, "", MaxSize((SplitDimensions(T37))))</f>
        <v>5.5</v>
      </c>
      <c r="V37" s="28" t="str" cm="1">
        <f t="array" ref="V37">IF(ISERROR(INDEX(_xlfn._xlws.FILTER('Model output'!P:P,('Model output'!Z:Z=A37)*('Model output'!P:P&lt;&gt;"")),1)),"negative",IF(OR(ISNUMBER(SEARCH("foc",INDEX(_xlfn._xlws.FILTER('Model output'!P:P,('Model output'!Z:Z=A37)*('Model output'!P:P&lt;&gt;"")),1),1)),ISNUMBER(SEARCH("extensive",INDEX(_xlfn._xlws.FILTER('Model output'!P:P,('Model output'!Z:Z=A37)*('Model output'!P:P&lt;&gt;"")),1),1)),ISNUMBER(SEARCH("present",INDEX(_xlfn._xlws.FILTER('Model output'!P:P,('Model output'!Z:Z=A37)*('Model output'!P:P&lt;&gt;"")),1),1)),ISNUMBER(SEARCH("yes",INDEX(_xlfn._xlws.FILTER('Model output'!P:P,('Model output'!Z:Z=A37)*('Model output'!P:P&lt;&gt;"")),1),1))),"positive","negative"))</f>
        <v>positive</v>
      </c>
      <c r="W37" s="28"/>
      <c r="X37" s="29" t="str" cm="1">
        <f t="array" ref="X37">IF(ISNUMBER(SEARCH("4",INDEX(_xlfn._xlws.FILTER('Model output'!P:P,('Model output'!Z:Z=A37)*('Model output'!P:P&lt;&gt;"")),1),1)),INDEX(_xlfn._xlws.FILTER('Model output'!P:P,('Model output'!Z:Z=A37)*('Model output'!P:P&lt;&gt;"")),1),"") &amp; _xlfn.TEXTJOIN("",TRUE,_xlfn._xlws.FILTER('Model output'!Q:Q,'Model output'!Z:Z=A37))</f>
        <v>Peri-thyroidal adipose tissue, extra-thyroidal adipose tissue</v>
      </c>
      <c r="Y37" s="29" t="str">
        <f t="shared" si="9"/>
        <v>minimal</v>
      </c>
      <c r="Z37" s="29" t="str" cm="1">
        <f t="array" ref="Z37">IF(OR(ISNUMBER(SEARCH("focal",_xlfn.TEXTJOIN("; ",TRUE,_xlfn._xlws.FILTER('Model output'!R:R,'Model output'!Z:Z=A37)),1)),ISNUMBER(SEARCH("present",_xlfn.TEXTJOIN("; ",TRUE,_xlfn._xlws.FILTER('Model output'!R:R,'Model output'!Z:Z=A37)),1))),"positive",IF(_xlfn.TEXTJOIN("; ",TRUE,_xlfn._xlws.FILTER('Model output'!R:R,'Model output'!Z:Z=A37))="","negative",IF(OR(ISNUMBER(SEARCH("no",_xlfn.TEXTJOIN("; ",TRUE,_xlfn._xlws.FILTER('Model output'!R:R,'Model output'!Z:Z=A37)),1)),ISNUMBER(SEARCH("absent",_xlfn.TEXTJOIN("; ",TRUE,_xlfn._xlws.FILTER('Model output'!R:R,'Model output'!Z:Z=A37)),1))),"negative","positive")))</f>
        <v>positive</v>
      </c>
      <c r="AA37" s="28" t="str">
        <f t="shared" si="10"/>
        <v>positive</v>
      </c>
      <c r="AB37" s="28"/>
      <c r="AC37" s="28"/>
      <c r="AD37" s="28"/>
      <c r="AE37" s="28" t="str">
        <f t="shared" si="11"/>
        <v>positive</v>
      </c>
      <c r="AF37" s="29" t="str" cm="1">
        <f t="array" ref="AF37">_xlfn.TEXTJOIN("; ",TRUE,_xlfn._xlws.FILTER('Model output'!S:S,'Model output'!Z:Z=A37))</f>
        <v>perithyroidal fibradipose tissue, skeletal muscle, subcutaneous soft tissues; perithyroidal fibradipose tissue</v>
      </c>
      <c r="AG37" s="28" t="str" cm="1">
        <f t="array" ref="AG37">IF(OR(ISNUMBER(SEARCH("uninvolved",_xlfn.TEXTJOIN("; ",TRUE,_xlfn._xlws.FILTER('Model output'!V:V,'Model output'!Z:Z=A37)),1)),ISNUMBER(SEARCH("clear",_xlfn.TEXTJOIN("; ",TRUE,_xlfn._xlws.FILTER('Model output'!V:V,'Model output'!Z:Z=A37)),1))*ISNUMBER(SEARCH("not mentioned",_xlfn.TEXTJOIN("; ",TRUE,_xlfn._xlws.FILTER('Model output'!V:V,'Model output'!Z:Z=A37)),1))),"negative",IF(ISNUMBER(SEARCH("cannot be assessed",_xlfn.TEXTJOIN("; ",TRUE,_xlfn._xlws.FILTER('Model output'!V:V,'Model output'!Z:Z=A37)),1)),"unknown","negative"))</f>
        <v>negative</v>
      </c>
      <c r="AH37" s="28"/>
      <c r="AI37" s="46" t="str">
        <f t="shared" si="2"/>
        <v>high</v>
      </c>
      <c r="AJ37" s="40" t="str">
        <f t="shared" ref="AJ37" si="21">IF(OR(ISNUMBER(SEARCH("non-invasive follicular",Q37)),ISNUMBER(SEARCH("papillary-like nuclear features",Q37)),ISNUMBER(SEARCH("non-invasive follicular",R37)),ISNUMBER(SEARCH("papillary-like nuclear features",R37))),"NIFTP", IF(OR(F37="4b",AND(AE37="positive",OR(ISNUMBER(SEARCH("prevertebral",AF37)),ISNUMBER(SEARCH("fascia",AF37)),ISNUMBER(SEARCH("carotid artery",AF37)),ISNUMBER(SEARCH("mediastinal",AF37))))),"4b",IF(OR(F37="4a",AND(AE37="positive",OR(ISNUMBER(SEARCH("soft tissue",AF37)),ISNUMBER(SEARCH("larynx",AF37)),ISNUMBER(SEARCH("trachea",AF37)),ISNUMBER(SEARCH("esophagus",AF37)),ISNUMBER(SEARCH("recurrent laryngeal nerve",AF37)),ISNUMBER(SEARCH("RLN",AF37))))),"4a", IF(OR(F37="3b", AE37="positive",ISNUMBER(SEARCH("strap",AF37)),ISNUMBER(SEARCH("sternothyroid",AF37)),ISNUMBER(SEARCH("sternohyoid",AF37)),ISNUMBER(SEARCH("thyrohyoid",AF37)),ISNUMBER(SEARCH("omohyoid",AF37))),"3b",IF(OR(F37="3a", AND(U37&lt;&gt;"",U37&gt;4)),"3a",IF(AND(U37&lt;&gt;"", U37&lt;=4,U37&gt;2),"2",IF(AND(U37&lt;&gt;"",U37&lt;=2,U37&gt;1),"1b",IF(AND(U37&lt;&gt;"",U37&lt;=1),"1a","1a"))))))))</f>
        <v>4a</v>
      </c>
      <c r="AK37" s="40" t="str">
        <f t="shared" si="20"/>
        <v>1b</v>
      </c>
      <c r="AL37" s="40">
        <f t="shared" si="17"/>
        <v>1</v>
      </c>
      <c r="AM37" s="40" t="str">
        <f t="shared" si="18"/>
        <v>IVB</v>
      </c>
      <c r="AN37" s="41" t="s">
        <v>169</v>
      </c>
      <c r="AO37" s="42" t="s">
        <v>403</v>
      </c>
      <c r="AP37" s="42" t="s">
        <v>191</v>
      </c>
      <c r="AQ37" s="42">
        <v>1</v>
      </c>
      <c r="AR37" s="42" t="s">
        <v>405</v>
      </c>
      <c r="AS37" s="41">
        <f t="shared" si="7"/>
        <v>1</v>
      </c>
      <c r="AT37" s="42">
        <f t="shared" si="8"/>
        <v>0</v>
      </c>
      <c r="AU37" s="42">
        <f t="shared" si="12"/>
        <v>1</v>
      </c>
      <c r="AV37" s="42">
        <f t="shared" si="13"/>
        <v>1</v>
      </c>
      <c r="AW37" s="43">
        <f t="shared" si="13"/>
        <v>1</v>
      </c>
    </row>
    <row r="38" spans="1:50">
      <c r="A38" s="13"/>
    </row>
    <row r="39" spans="1:50">
      <c r="A39" s="13"/>
      <c r="F39" s="18"/>
      <c r="G39" s="18"/>
      <c r="Z39" s="12"/>
      <c r="AS39" s="11"/>
      <c r="AT39" s="21"/>
      <c r="AU39" s="21"/>
      <c r="AV39" s="21"/>
      <c r="AW39" s="21"/>
      <c r="AX39" s="12"/>
    </row>
    <row r="40" spans="1:50">
      <c r="A40" s="13"/>
      <c r="F40" s="18"/>
      <c r="G40" t="str">
        <f>IF(ISNUMBER(SEARCH("N",G3,1)),FIND("N",G3,1), "")</f>
        <v/>
      </c>
      <c r="AR40" s="12"/>
      <c r="AS40" s="20"/>
      <c r="AT40" s="20"/>
      <c r="AU40" s="20"/>
      <c r="AV40" s="20"/>
      <c r="AW40" s="20"/>
    </row>
    <row r="41" spans="1:50">
      <c r="A41" s="13"/>
      <c r="F41" s="18"/>
      <c r="G41" t="str">
        <f>IF(ISNUMBER(SEARCH("N",G4,1)),FIND("N",G4,1), "")</f>
        <v/>
      </c>
    </row>
    <row r="42" spans="1:50">
      <c r="A42" s="13"/>
      <c r="F42" s="18"/>
    </row>
    <row r="43" spans="1:50">
      <c r="A43" s="13"/>
      <c r="F43" s="18"/>
    </row>
    <row r="44" spans="1:50">
      <c r="A44" s="13"/>
      <c r="F44" s="18"/>
    </row>
    <row r="45" spans="1:50">
      <c r="A45" s="13"/>
      <c r="F45" s="18"/>
    </row>
    <row r="46" spans="1:50">
      <c r="A46" s="13"/>
      <c r="F46" s="18"/>
    </row>
    <row r="47" spans="1:50">
      <c r="A47" s="13"/>
      <c r="F47" s="18"/>
    </row>
    <row r="48" spans="1:50">
      <c r="A48" s="13"/>
      <c r="F48" s="18"/>
    </row>
    <row r="49" spans="1:6">
      <c r="A49" s="13"/>
      <c r="F49" s="18"/>
    </row>
    <row r="50" spans="1:6">
      <c r="A50" s="13"/>
    </row>
    <row r="51" spans="1:6">
      <c r="A51" s="13"/>
    </row>
    <row r="52" spans="1:6">
      <c r="A52" s="13"/>
    </row>
    <row r="53" spans="1:6">
      <c r="A53" s="13"/>
    </row>
    <row r="54" spans="1:6">
      <c r="A54" s="13"/>
    </row>
    <row r="55" spans="1:6">
      <c r="A55" s="13"/>
    </row>
    <row r="56" spans="1:6">
      <c r="A56" s="13"/>
    </row>
    <row r="57" spans="1:6">
      <c r="A57" s="13"/>
    </row>
    <row r="58" spans="1:6">
      <c r="A58" s="13"/>
    </row>
    <row r="59" spans="1:6">
      <c r="A59" s="13"/>
    </row>
    <row r="60" spans="1:6">
      <c r="A60" s="13"/>
    </row>
    <row r="61" spans="1:6">
      <c r="A61" s="13"/>
    </row>
    <row r="62" spans="1:6">
      <c r="A62" s="13"/>
    </row>
    <row r="63" spans="1:6">
      <c r="A63" s="13"/>
    </row>
    <row r="64" spans="1:6">
      <c r="A64" s="13"/>
    </row>
  </sheetData>
  <mergeCells count="4">
    <mergeCell ref="A1:AG1"/>
    <mergeCell ref="AI1:AM1"/>
    <mergeCell ref="AN1:AR1"/>
    <mergeCell ref="AS1:AW1"/>
  </mergeCells>
  <conditionalFormatting sqref="AL1:AL2">
    <cfRule type="containsText" dxfId="2" priority="8" operator="containsText" text="x">
      <formula>NOT(ISERROR(SEARCH("x",AL1)))</formula>
    </cfRule>
  </conditionalFormatting>
  <conditionalFormatting sqref="AQ1">
    <cfRule type="containsText" dxfId="1" priority="7" operator="containsText" text="x">
      <formula>NOT(ISERROR(SEARCH("x",AQ1)))</formula>
    </cfRule>
  </conditionalFormatting>
  <conditionalFormatting sqref="AV1">
    <cfRule type="containsText" dxfId="0" priority="6" operator="containsText" text="x">
      <formula>NOT(ISERROR(SEARCH("x",AV1)))</formula>
    </cfRule>
  </conditionalFormatting>
  <pageMargins left="0.7" right="0.7" top="0.75" bottom="0.75" header="0.3" footer="0.3"/>
  <pageSetup paperSize="9" orientation="portrait" horizontalDpi="0" verticalDpi="0"/>
  <ignoredErrors>
    <ignoredError sqref="AU3:AU37" formula="1"/>
    <ignoredError sqref="AO4:AR37"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C90A-B424-8A4C-A32B-07F03E2F7322}">
  <dimension ref="A1:Z72"/>
  <sheetViews>
    <sheetView zoomScale="70" zoomScaleNormal="70" workbookViewId="0">
      <pane xSplit="1" topLeftCell="C1" activePane="topRight" state="frozen"/>
      <selection activeCell="S54" sqref="S54"/>
      <selection pane="topRight"/>
    </sheetView>
  </sheetViews>
  <sheetFormatPr defaultColWidth="10.6640625" defaultRowHeight="14.25"/>
  <cols>
    <col min="2" max="2" width="0" hidden="1" customWidth="1"/>
    <col min="4" max="4" width="16.1328125" bestFit="1" customWidth="1"/>
    <col min="7" max="7" width="26.59765625" customWidth="1"/>
    <col min="11" max="11" width="37.1328125" customWidth="1"/>
    <col min="14" max="14" width="65" customWidth="1"/>
    <col min="16" max="16" width="21.33203125" customWidth="1"/>
    <col min="18" max="18" width="17" customWidth="1"/>
    <col min="19" max="19" width="32.46484375" customWidth="1"/>
    <col min="22" max="22" width="167.73046875" bestFit="1" customWidth="1"/>
    <col min="23" max="25" width="0" hidden="1" customWidth="1"/>
    <col min="26" max="26" width="0" style="15" hidden="1" customWidth="1"/>
  </cols>
  <sheetData>
    <row r="1" spans="1:26">
      <c r="A1" s="48" t="s">
        <v>209</v>
      </c>
      <c r="B1" t="s">
        <v>210</v>
      </c>
      <c r="C1" t="s">
        <v>211</v>
      </c>
      <c r="D1" t="s">
        <v>249</v>
      </c>
      <c r="E1" t="s">
        <v>212</v>
      </c>
      <c r="F1" t="s">
        <v>213</v>
      </c>
      <c r="G1" t="s">
        <v>250</v>
      </c>
      <c r="H1" t="s">
        <v>251</v>
      </c>
      <c r="I1" t="s">
        <v>252</v>
      </c>
      <c r="J1" t="s">
        <v>253</v>
      </c>
      <c r="K1" t="s">
        <v>254</v>
      </c>
      <c r="L1" t="s">
        <v>255</v>
      </c>
      <c r="M1" t="s">
        <v>256</v>
      </c>
      <c r="N1" t="s">
        <v>257</v>
      </c>
      <c r="O1" t="s">
        <v>214</v>
      </c>
      <c r="P1" t="s">
        <v>258</v>
      </c>
      <c r="Q1" t="s">
        <v>259</v>
      </c>
      <c r="R1" t="s">
        <v>260</v>
      </c>
      <c r="S1" t="s">
        <v>261</v>
      </c>
      <c r="T1" t="s">
        <v>215</v>
      </c>
      <c r="U1" t="s">
        <v>216</v>
      </c>
      <c r="V1" t="s">
        <v>262</v>
      </c>
      <c r="W1" t="s">
        <v>217</v>
      </c>
      <c r="X1" t="s">
        <v>218</v>
      </c>
      <c r="Z1" s="14" t="s">
        <v>225</v>
      </c>
    </row>
    <row r="2" spans="1:26">
      <c r="A2" t="s">
        <v>30</v>
      </c>
      <c r="B2" s="22">
        <v>45320</v>
      </c>
      <c r="D2" t="s">
        <v>157</v>
      </c>
      <c r="L2" t="s">
        <v>172</v>
      </c>
      <c r="M2" t="s">
        <v>263</v>
      </c>
      <c r="N2" t="s">
        <v>200</v>
      </c>
      <c r="O2">
        <v>2</v>
      </c>
      <c r="P2" t="s">
        <v>173</v>
      </c>
      <c r="R2" t="s">
        <v>264</v>
      </c>
      <c r="S2" t="s">
        <v>173</v>
      </c>
      <c r="V2" t="s">
        <v>325</v>
      </c>
      <c r="W2">
        <v>1</v>
      </c>
      <c r="X2">
        <v>1</v>
      </c>
      <c r="Z2" s="15" cm="1">
        <f t="array" ref="Z2">VALUE(LEFT(A2, MIN(IFERROR(FIND({"o","p"}, A2), LEN(A2)+1))-1))</f>
        <v>1</v>
      </c>
    </row>
    <row r="3" spans="1:26">
      <c r="A3" t="s">
        <v>35</v>
      </c>
      <c r="C3">
        <v>67</v>
      </c>
      <c r="E3" t="s">
        <v>226</v>
      </c>
      <c r="G3" t="s">
        <v>176</v>
      </c>
      <c r="L3" t="s">
        <v>36</v>
      </c>
      <c r="O3">
        <v>2</v>
      </c>
      <c r="W3">
        <v>1</v>
      </c>
      <c r="X3">
        <v>2</v>
      </c>
      <c r="Z3" s="15" cm="1">
        <f t="array" ref="Z3">VALUE(LEFT(A3, MIN(IFERROR(FIND({"o","p"}, A3), LEN(A3)+1))-1))</f>
        <v>1</v>
      </c>
    </row>
    <row r="4" spans="1:26">
      <c r="A4" t="s">
        <v>37</v>
      </c>
      <c r="B4" s="22">
        <v>45348</v>
      </c>
      <c r="C4">
        <v>39</v>
      </c>
      <c r="D4" t="s">
        <v>158</v>
      </c>
      <c r="L4" t="s">
        <v>172</v>
      </c>
      <c r="M4" t="s">
        <v>243</v>
      </c>
      <c r="N4" t="s">
        <v>38</v>
      </c>
      <c r="O4">
        <v>1</v>
      </c>
      <c r="P4" t="s">
        <v>173</v>
      </c>
      <c r="R4" t="s">
        <v>326</v>
      </c>
      <c r="S4" t="s">
        <v>173</v>
      </c>
      <c r="V4" t="s">
        <v>327</v>
      </c>
      <c r="W4">
        <v>2</v>
      </c>
      <c r="X4">
        <v>1</v>
      </c>
      <c r="Z4" s="15" cm="1">
        <f t="array" ref="Z4">VALUE(LEFT(A4, MIN(IFERROR(FIND({"o","p"}, A4), LEN(A4)+1))-1))</f>
        <v>2</v>
      </c>
    </row>
    <row r="5" spans="1:26">
      <c r="A5" t="s">
        <v>39</v>
      </c>
      <c r="C5">
        <v>39</v>
      </c>
      <c r="L5" t="s">
        <v>172</v>
      </c>
      <c r="W5">
        <v>2</v>
      </c>
      <c r="X5">
        <v>2</v>
      </c>
      <c r="Z5" s="15" cm="1">
        <f t="array" ref="Z5">VALUE(LEFT(A5, MIN(IFERROR(FIND({"o","p"}, A5), LEN(A5)+1))-1))</f>
        <v>2</v>
      </c>
    </row>
    <row r="6" spans="1:26">
      <c r="A6" t="s">
        <v>40</v>
      </c>
      <c r="B6" s="22">
        <v>45373</v>
      </c>
      <c r="D6" t="s">
        <v>156</v>
      </c>
      <c r="E6" t="s">
        <v>163</v>
      </c>
      <c r="I6">
        <v>5</v>
      </c>
      <c r="J6">
        <v>1</v>
      </c>
      <c r="K6" t="s">
        <v>41</v>
      </c>
      <c r="L6" t="s">
        <v>172</v>
      </c>
      <c r="M6" t="s">
        <v>174</v>
      </c>
      <c r="N6" t="s">
        <v>265</v>
      </c>
      <c r="O6">
        <v>2</v>
      </c>
      <c r="S6" t="s">
        <v>328</v>
      </c>
      <c r="V6" t="s">
        <v>286</v>
      </c>
      <c r="W6">
        <v>3</v>
      </c>
      <c r="X6">
        <v>1</v>
      </c>
      <c r="Z6" s="15" cm="1">
        <f t="array" ref="Z6">VALUE(LEFT(A6, MIN(IFERROR(FIND({"o","p"}, A6), LEN(A6)+1))-1))</f>
        <v>3</v>
      </c>
    </row>
    <row r="7" spans="1:26">
      <c r="A7" t="s">
        <v>42</v>
      </c>
      <c r="C7">
        <v>52</v>
      </c>
      <c r="M7" t="s">
        <v>329</v>
      </c>
      <c r="N7" t="s">
        <v>235</v>
      </c>
      <c r="O7">
        <v>1</v>
      </c>
      <c r="W7">
        <v>3</v>
      </c>
      <c r="X7">
        <v>2</v>
      </c>
      <c r="Z7" s="15" cm="1">
        <f t="array" ref="Z7">VALUE(LEFT(A7, MIN(IFERROR(FIND({"o","p"}, A7), LEN(A7)+1))-1))</f>
        <v>3</v>
      </c>
    </row>
    <row r="8" spans="1:26">
      <c r="A8" t="s">
        <v>43</v>
      </c>
      <c r="B8" s="22">
        <v>45412</v>
      </c>
      <c r="D8" t="s">
        <v>266</v>
      </c>
      <c r="E8" t="s">
        <v>208</v>
      </c>
      <c r="G8" t="s">
        <v>330</v>
      </c>
      <c r="I8">
        <v>6</v>
      </c>
      <c r="J8">
        <v>4</v>
      </c>
      <c r="K8" t="s">
        <v>45</v>
      </c>
      <c r="L8" t="s">
        <v>172</v>
      </c>
      <c r="M8" t="s">
        <v>201</v>
      </c>
      <c r="N8" t="s">
        <v>46</v>
      </c>
      <c r="O8">
        <v>2</v>
      </c>
      <c r="S8" t="s">
        <v>229</v>
      </c>
      <c r="V8" t="s">
        <v>331</v>
      </c>
      <c r="W8">
        <v>4</v>
      </c>
      <c r="X8">
        <v>1</v>
      </c>
      <c r="Z8" s="15" cm="1">
        <f t="array" ref="Z8">VALUE(LEFT(A8, MIN(IFERROR(FIND({"o","p"}, A8), LEN(A8)+1))-1))</f>
        <v>4</v>
      </c>
    </row>
    <row r="9" spans="1:26">
      <c r="A9" t="s">
        <v>47</v>
      </c>
      <c r="C9">
        <v>61</v>
      </c>
      <c r="G9" t="s">
        <v>267</v>
      </c>
      <c r="I9">
        <v>23</v>
      </c>
      <c r="L9" t="s">
        <v>204</v>
      </c>
      <c r="N9" t="s">
        <v>268</v>
      </c>
      <c r="O9">
        <v>2</v>
      </c>
      <c r="W9">
        <v>4</v>
      </c>
      <c r="X9">
        <v>2</v>
      </c>
      <c r="Z9" s="15" cm="1">
        <f t="array" ref="Z9">VALUE(LEFT(A9, MIN(IFERROR(FIND({"o","p"}, A9), LEN(A9)+1))-1))</f>
        <v>4</v>
      </c>
    </row>
    <row r="10" spans="1:26">
      <c r="A10" t="s">
        <v>48</v>
      </c>
      <c r="B10" s="22">
        <v>45411</v>
      </c>
      <c r="C10">
        <v>34</v>
      </c>
      <c r="D10" t="s">
        <v>159</v>
      </c>
      <c r="E10" t="s">
        <v>163</v>
      </c>
      <c r="I10">
        <v>5</v>
      </c>
      <c r="J10">
        <v>1</v>
      </c>
      <c r="K10" t="s">
        <v>49</v>
      </c>
      <c r="L10" t="s">
        <v>172</v>
      </c>
      <c r="M10" t="s">
        <v>269</v>
      </c>
      <c r="N10" t="s">
        <v>270</v>
      </c>
      <c r="O10">
        <v>2</v>
      </c>
      <c r="P10" t="s">
        <v>271</v>
      </c>
      <c r="R10" t="s">
        <v>332</v>
      </c>
      <c r="S10" t="s">
        <v>272</v>
      </c>
      <c r="V10" t="s">
        <v>273</v>
      </c>
      <c r="W10">
        <v>5</v>
      </c>
      <c r="X10">
        <v>1</v>
      </c>
      <c r="Z10" s="15" cm="1">
        <f t="array" ref="Z10">VALUE(LEFT(A10, MIN(IFERROR(FIND({"o","p"}, A10), LEN(A10)+1))-1))</f>
        <v>5</v>
      </c>
    </row>
    <row r="11" spans="1:26">
      <c r="A11" t="s">
        <v>50</v>
      </c>
      <c r="B11" s="22">
        <v>45411</v>
      </c>
      <c r="C11">
        <v>34</v>
      </c>
      <c r="E11" t="s">
        <v>163</v>
      </c>
      <c r="G11" t="s">
        <v>279</v>
      </c>
      <c r="I11">
        <v>2</v>
      </c>
      <c r="J11">
        <v>1</v>
      </c>
      <c r="K11" t="s">
        <v>49</v>
      </c>
      <c r="L11" t="s">
        <v>204</v>
      </c>
      <c r="W11">
        <v>5</v>
      </c>
      <c r="X11">
        <v>1</v>
      </c>
      <c r="Z11" s="15" cm="1">
        <f t="array" ref="Z11">VALUE(LEFT(A11, MIN(IFERROR(FIND({"o","p"}, A11), LEN(A11)+1))-1))</f>
        <v>5</v>
      </c>
    </row>
    <row r="12" spans="1:26">
      <c r="A12" t="s">
        <v>51</v>
      </c>
      <c r="C12">
        <v>34</v>
      </c>
      <c r="L12" t="s">
        <v>32</v>
      </c>
      <c r="N12" t="s">
        <v>333</v>
      </c>
      <c r="O12">
        <v>2</v>
      </c>
      <c r="P12" t="s">
        <v>34</v>
      </c>
      <c r="Q12" t="s">
        <v>334</v>
      </c>
      <c r="S12" t="s">
        <v>335</v>
      </c>
      <c r="W12">
        <v>5</v>
      </c>
      <c r="X12">
        <v>2</v>
      </c>
      <c r="Z12" s="15" cm="1">
        <f t="array" ref="Z12">VALUE(LEFT(A12, MIN(IFERROR(FIND({"o","p"}, A12), LEN(A12)+1))-1))</f>
        <v>5</v>
      </c>
    </row>
    <row r="13" spans="1:26">
      <c r="A13" t="s">
        <v>52</v>
      </c>
      <c r="B13" s="22">
        <v>45387</v>
      </c>
      <c r="C13">
        <v>66</v>
      </c>
      <c r="L13" t="s">
        <v>113</v>
      </c>
      <c r="M13" t="s">
        <v>178</v>
      </c>
      <c r="N13" t="s">
        <v>274</v>
      </c>
      <c r="O13">
        <v>1</v>
      </c>
      <c r="R13" t="s">
        <v>34</v>
      </c>
      <c r="V13" t="s">
        <v>275</v>
      </c>
      <c r="W13">
        <v>6</v>
      </c>
      <c r="X13">
        <v>1</v>
      </c>
      <c r="Z13" s="15" cm="1">
        <f t="array" ref="Z13">VALUE(LEFT(A13, MIN(IFERROR(FIND({"o","p"}, A13), LEN(A13)+1))-1))</f>
        <v>6</v>
      </c>
    </row>
    <row r="14" spans="1:26">
      <c r="A14" t="s">
        <v>53</v>
      </c>
      <c r="C14">
        <v>66</v>
      </c>
      <c r="L14" t="s">
        <v>32</v>
      </c>
      <c r="N14" t="s">
        <v>177</v>
      </c>
      <c r="O14">
        <v>1</v>
      </c>
      <c r="P14" t="s">
        <v>34</v>
      </c>
      <c r="Q14" t="s">
        <v>336</v>
      </c>
      <c r="R14" t="s">
        <v>337</v>
      </c>
      <c r="T14" t="s">
        <v>337</v>
      </c>
      <c r="U14" t="s">
        <v>337</v>
      </c>
      <c r="V14" t="s">
        <v>337</v>
      </c>
      <c r="W14">
        <v>6</v>
      </c>
      <c r="X14">
        <v>2</v>
      </c>
      <c r="Z14" s="15" cm="1">
        <f t="array" ref="Z14">VALUE(LEFT(A14, MIN(IFERROR(FIND({"o","p"}, A14), LEN(A14)+1))-1))</f>
        <v>6</v>
      </c>
    </row>
    <row r="15" spans="1:26">
      <c r="A15" t="s">
        <v>54</v>
      </c>
      <c r="B15" s="22">
        <v>45429</v>
      </c>
      <c r="C15">
        <v>67</v>
      </c>
      <c r="D15" t="s">
        <v>156</v>
      </c>
      <c r="L15" t="s">
        <v>172</v>
      </c>
      <c r="M15" t="s">
        <v>174</v>
      </c>
      <c r="N15" t="s">
        <v>276</v>
      </c>
      <c r="O15">
        <v>2</v>
      </c>
      <c r="S15" t="s">
        <v>338</v>
      </c>
      <c r="V15" t="s">
        <v>339</v>
      </c>
      <c r="W15">
        <v>7</v>
      </c>
      <c r="X15">
        <v>1</v>
      </c>
      <c r="Z15" s="15" cm="1">
        <f t="array" ref="Z15">VALUE(LEFT(A15, MIN(IFERROR(FIND({"o","p"}, A15), LEN(A15)+1))-1))</f>
        <v>7</v>
      </c>
    </row>
    <row r="16" spans="1:26">
      <c r="A16" t="s">
        <v>55</v>
      </c>
      <c r="C16">
        <v>67</v>
      </c>
      <c r="L16" t="s">
        <v>340</v>
      </c>
      <c r="W16">
        <v>7</v>
      </c>
      <c r="X16">
        <v>2</v>
      </c>
      <c r="Z16" s="15" cm="1">
        <f t="array" ref="Z16">VALUE(LEFT(A16, MIN(IFERROR(FIND({"o","p"}, A16), LEN(A16)+1))-1))</f>
        <v>7</v>
      </c>
    </row>
    <row r="17" spans="1:26">
      <c r="A17" t="s">
        <v>56</v>
      </c>
      <c r="B17" s="22">
        <v>45443</v>
      </c>
      <c r="C17">
        <v>78</v>
      </c>
      <c r="D17" t="s">
        <v>157</v>
      </c>
      <c r="L17" t="s">
        <v>172</v>
      </c>
      <c r="M17" t="s">
        <v>243</v>
      </c>
      <c r="N17" t="s">
        <v>57</v>
      </c>
      <c r="O17">
        <v>1</v>
      </c>
      <c r="P17" t="s">
        <v>173</v>
      </c>
      <c r="R17" t="s">
        <v>277</v>
      </c>
      <c r="S17" t="s">
        <v>173</v>
      </c>
      <c r="V17" t="s">
        <v>278</v>
      </c>
      <c r="W17">
        <v>8</v>
      </c>
      <c r="X17">
        <v>1</v>
      </c>
      <c r="Z17" s="15" cm="1">
        <f t="array" ref="Z17">VALUE(LEFT(A17, MIN(IFERROR(FIND({"o","p"}, A17), LEN(A17)+1))-1))</f>
        <v>8</v>
      </c>
    </row>
    <row r="18" spans="1:26">
      <c r="A18" t="s">
        <v>58</v>
      </c>
      <c r="C18">
        <v>78</v>
      </c>
      <c r="L18" t="s">
        <v>32</v>
      </c>
      <c r="N18" t="s">
        <v>98</v>
      </c>
      <c r="O18">
        <v>1</v>
      </c>
      <c r="W18">
        <v>8</v>
      </c>
      <c r="X18">
        <v>2</v>
      </c>
      <c r="Z18" s="15" cm="1">
        <f t="array" ref="Z18">VALUE(LEFT(A18, MIN(IFERROR(FIND({"o","p"}, A18), LEN(A18)+1))-1))</f>
        <v>8</v>
      </c>
    </row>
    <row r="19" spans="1:26">
      <c r="A19" t="s">
        <v>59</v>
      </c>
      <c r="B19" s="22">
        <v>45331</v>
      </c>
      <c r="C19">
        <v>55</v>
      </c>
      <c r="D19" t="s">
        <v>158</v>
      </c>
      <c r="E19" t="s">
        <v>163</v>
      </c>
      <c r="G19" t="s">
        <v>279</v>
      </c>
      <c r="I19">
        <v>8</v>
      </c>
      <c r="J19">
        <v>4</v>
      </c>
      <c r="L19" t="s">
        <v>172</v>
      </c>
      <c r="M19" t="s">
        <v>201</v>
      </c>
      <c r="N19" t="s">
        <v>280</v>
      </c>
      <c r="O19">
        <v>3</v>
      </c>
      <c r="R19" t="s">
        <v>281</v>
      </c>
      <c r="S19" t="s">
        <v>173</v>
      </c>
      <c r="V19" t="s">
        <v>282</v>
      </c>
      <c r="W19">
        <v>9</v>
      </c>
      <c r="X19">
        <v>1</v>
      </c>
      <c r="Z19" s="15" cm="1">
        <f t="array" ref="Z19">VALUE(LEFT(A19, MIN(IFERROR(FIND({"o","p"}, A19), LEN(A19)+1))-1))</f>
        <v>9</v>
      </c>
    </row>
    <row r="20" spans="1:26">
      <c r="A20" t="s">
        <v>60</v>
      </c>
      <c r="C20">
        <v>55</v>
      </c>
      <c r="E20" t="s">
        <v>162</v>
      </c>
      <c r="G20" t="s">
        <v>283</v>
      </c>
      <c r="I20">
        <v>7</v>
      </c>
      <c r="L20" t="s">
        <v>204</v>
      </c>
      <c r="N20" t="s">
        <v>236</v>
      </c>
      <c r="O20">
        <v>2</v>
      </c>
      <c r="W20">
        <v>9</v>
      </c>
      <c r="X20">
        <v>2</v>
      </c>
      <c r="Z20" s="15" cm="1">
        <f t="array" ref="Z20">VALUE(LEFT(A20, MIN(IFERROR(FIND({"o","p"}, A20), LEN(A20)+1))-1))</f>
        <v>9</v>
      </c>
    </row>
    <row r="21" spans="1:26">
      <c r="A21" t="s">
        <v>61</v>
      </c>
      <c r="B21" s="22">
        <v>45436</v>
      </c>
      <c r="C21">
        <v>24</v>
      </c>
      <c r="D21" t="s">
        <v>157</v>
      </c>
      <c r="I21">
        <v>1</v>
      </c>
      <c r="L21" t="s">
        <v>172</v>
      </c>
      <c r="M21" t="s">
        <v>201</v>
      </c>
      <c r="N21" t="s">
        <v>237</v>
      </c>
      <c r="O21">
        <v>1</v>
      </c>
      <c r="V21" t="s">
        <v>284</v>
      </c>
      <c r="W21">
        <v>10</v>
      </c>
      <c r="X21">
        <v>1</v>
      </c>
      <c r="Z21" s="15" cm="1">
        <f t="array" ref="Z21">VALUE(LEFT(A21, MIN(IFERROR(FIND({"o","p"}, A21), LEN(A21)+1))-1))</f>
        <v>10</v>
      </c>
    </row>
    <row r="22" spans="1:26">
      <c r="A22" t="s">
        <v>62</v>
      </c>
      <c r="C22">
        <v>24</v>
      </c>
      <c r="L22" t="s">
        <v>32</v>
      </c>
      <c r="N22" t="s">
        <v>341</v>
      </c>
      <c r="O22">
        <v>1</v>
      </c>
      <c r="W22">
        <v>10</v>
      </c>
      <c r="X22">
        <v>2</v>
      </c>
      <c r="Z22" s="15" cm="1">
        <f t="array" ref="Z22">VALUE(LEFT(A22, MIN(IFERROR(FIND({"o","p"}, A22), LEN(A22)+1))-1))</f>
        <v>10</v>
      </c>
    </row>
    <row r="23" spans="1:26">
      <c r="A23" t="s">
        <v>63</v>
      </c>
      <c r="B23" s="22">
        <v>45443</v>
      </c>
      <c r="C23">
        <v>70</v>
      </c>
      <c r="D23" t="s">
        <v>153</v>
      </c>
      <c r="L23" t="s">
        <v>319</v>
      </c>
      <c r="M23" t="s">
        <v>64</v>
      </c>
      <c r="N23" t="s">
        <v>285</v>
      </c>
      <c r="O23">
        <v>2</v>
      </c>
      <c r="R23" t="s">
        <v>342</v>
      </c>
      <c r="S23" t="s">
        <v>173</v>
      </c>
      <c r="V23" t="s">
        <v>228</v>
      </c>
      <c r="W23">
        <v>11</v>
      </c>
      <c r="X23">
        <v>1</v>
      </c>
      <c r="Z23" s="15" cm="1">
        <f t="array" ref="Z23">VALUE(LEFT(A23, MIN(IFERROR(FIND({"o","p"}, A23), LEN(A23)+1))-1))</f>
        <v>11</v>
      </c>
    </row>
    <row r="24" spans="1:26">
      <c r="A24" t="s">
        <v>65</v>
      </c>
      <c r="B24" s="23">
        <v>45443</v>
      </c>
      <c r="C24">
        <v>70</v>
      </c>
      <c r="L24" t="s">
        <v>175</v>
      </c>
      <c r="N24" t="s">
        <v>287</v>
      </c>
      <c r="O24">
        <v>1</v>
      </c>
      <c r="P24" t="s">
        <v>343</v>
      </c>
      <c r="W24">
        <v>11</v>
      </c>
      <c r="X24">
        <v>2</v>
      </c>
      <c r="Z24" s="15" cm="1">
        <f t="array" ref="Z24">VALUE(LEFT(A24, MIN(IFERROR(FIND({"o","p"}, A24), LEN(A24)+1))-1))</f>
        <v>11</v>
      </c>
    </row>
    <row r="25" spans="1:26">
      <c r="A25" t="s">
        <v>66</v>
      </c>
      <c r="B25" s="22">
        <v>45415</v>
      </c>
      <c r="C25">
        <v>67</v>
      </c>
      <c r="D25" t="s">
        <v>153</v>
      </c>
      <c r="L25" t="s">
        <v>178</v>
      </c>
      <c r="N25" t="s">
        <v>344</v>
      </c>
      <c r="O25">
        <v>2</v>
      </c>
      <c r="P25" t="s">
        <v>220</v>
      </c>
      <c r="Q25" t="s">
        <v>292</v>
      </c>
      <c r="R25" t="s">
        <v>219</v>
      </c>
      <c r="S25" t="s">
        <v>288</v>
      </c>
      <c r="V25" t="s">
        <v>345</v>
      </c>
      <c r="W25">
        <v>12</v>
      </c>
      <c r="X25">
        <v>1</v>
      </c>
      <c r="Z25" s="15" cm="1">
        <f t="array" ref="Z25">VALUE(LEFT(A25, MIN(IFERROR(FIND({"o","p"}, A25), LEN(A25)+1))-1))</f>
        <v>12</v>
      </c>
    </row>
    <row r="26" spans="1:26">
      <c r="A26" t="s">
        <v>67</v>
      </c>
      <c r="C26">
        <v>67</v>
      </c>
      <c r="L26" t="s">
        <v>346</v>
      </c>
      <c r="N26" t="s">
        <v>179</v>
      </c>
      <c r="O26">
        <v>2</v>
      </c>
      <c r="W26">
        <v>12</v>
      </c>
      <c r="X26">
        <v>2</v>
      </c>
      <c r="Z26" s="15" cm="1">
        <f t="array" ref="Z26">VALUE(LEFT(A26, MIN(IFERROR(FIND({"o","p"}, A26), LEN(A26)+1))-1))</f>
        <v>12</v>
      </c>
    </row>
    <row r="27" spans="1:26">
      <c r="A27" t="s">
        <v>68</v>
      </c>
      <c r="B27" s="22">
        <v>45420</v>
      </c>
      <c r="C27">
        <v>66</v>
      </c>
      <c r="E27" t="s">
        <v>289</v>
      </c>
      <c r="G27" t="s">
        <v>347</v>
      </c>
      <c r="I27">
        <v>19</v>
      </c>
      <c r="J27">
        <v>2</v>
      </c>
      <c r="K27" t="s">
        <v>290</v>
      </c>
      <c r="L27" t="s">
        <v>172</v>
      </c>
      <c r="M27" t="s">
        <v>201</v>
      </c>
      <c r="N27" t="s">
        <v>202</v>
      </c>
      <c r="O27">
        <v>1</v>
      </c>
      <c r="S27" t="s">
        <v>348</v>
      </c>
      <c r="V27" t="s">
        <v>349</v>
      </c>
      <c r="W27">
        <v>13</v>
      </c>
      <c r="X27">
        <v>1</v>
      </c>
      <c r="Z27" s="15" cm="1">
        <f t="array" ref="Z27">VALUE(LEFT(A27, MIN(IFERROR(FIND({"o","p"}, A27), LEN(A27)+1))-1))</f>
        <v>13</v>
      </c>
    </row>
    <row r="28" spans="1:26">
      <c r="A28" t="s">
        <v>70</v>
      </c>
      <c r="C28">
        <v>66</v>
      </c>
      <c r="D28" t="s">
        <v>160</v>
      </c>
      <c r="E28" t="s">
        <v>163</v>
      </c>
      <c r="G28" t="s">
        <v>350</v>
      </c>
      <c r="J28">
        <v>2</v>
      </c>
      <c r="K28" t="s">
        <v>180</v>
      </c>
      <c r="L28" t="s">
        <v>32</v>
      </c>
      <c r="N28" t="s">
        <v>351</v>
      </c>
      <c r="O28">
        <v>1</v>
      </c>
      <c r="P28" t="s">
        <v>34</v>
      </c>
      <c r="Q28" t="s">
        <v>291</v>
      </c>
      <c r="R28" t="s">
        <v>34</v>
      </c>
      <c r="S28" t="s">
        <v>352</v>
      </c>
      <c r="W28">
        <v>13</v>
      </c>
      <c r="X28">
        <v>2</v>
      </c>
      <c r="Z28" s="15" cm="1">
        <f t="array" ref="Z28">VALUE(LEFT(A28, MIN(IFERROR(FIND({"o","p"}, A28), LEN(A28)+1))-1))</f>
        <v>13</v>
      </c>
    </row>
    <row r="29" spans="1:26">
      <c r="A29" t="s">
        <v>71</v>
      </c>
      <c r="B29" s="22">
        <v>45394</v>
      </c>
      <c r="C29">
        <v>51</v>
      </c>
      <c r="D29" t="s">
        <v>353</v>
      </c>
      <c r="L29" t="s">
        <v>172</v>
      </c>
      <c r="M29" t="s">
        <v>201</v>
      </c>
      <c r="N29" t="s">
        <v>72</v>
      </c>
      <c r="O29">
        <v>1</v>
      </c>
      <c r="P29" t="s">
        <v>34</v>
      </c>
      <c r="Q29" t="s">
        <v>292</v>
      </c>
      <c r="R29" t="s">
        <v>34</v>
      </c>
      <c r="S29" t="s">
        <v>354</v>
      </c>
      <c r="V29" t="s">
        <v>228</v>
      </c>
      <c r="W29">
        <v>14</v>
      </c>
      <c r="X29">
        <v>1</v>
      </c>
      <c r="Z29" s="15" cm="1">
        <f t="array" ref="Z29">VALUE(LEFT(A29, MIN(IFERROR(FIND({"o","p"}, A29), LEN(A29)+1))-1))</f>
        <v>14</v>
      </c>
    </row>
    <row r="30" spans="1:26">
      <c r="A30" t="s">
        <v>73</v>
      </c>
      <c r="C30">
        <v>51</v>
      </c>
      <c r="L30" t="s">
        <v>36</v>
      </c>
      <c r="S30" t="s">
        <v>328</v>
      </c>
      <c r="W30">
        <v>14</v>
      </c>
      <c r="X30">
        <v>2</v>
      </c>
      <c r="Z30" s="15" cm="1">
        <f t="array" ref="Z30">VALUE(LEFT(A30, MIN(IFERROR(FIND({"o","p"}, A30), LEN(A30)+1))-1))</f>
        <v>14</v>
      </c>
    </row>
    <row r="31" spans="1:26">
      <c r="A31" t="s">
        <v>74</v>
      </c>
      <c r="B31" s="22">
        <v>45441</v>
      </c>
      <c r="C31">
        <v>64</v>
      </c>
      <c r="L31" t="s">
        <v>113</v>
      </c>
      <c r="M31" t="s">
        <v>293</v>
      </c>
      <c r="N31" t="s">
        <v>238</v>
      </c>
      <c r="O31">
        <v>1</v>
      </c>
      <c r="T31" t="s">
        <v>294</v>
      </c>
      <c r="U31" t="s">
        <v>295</v>
      </c>
      <c r="V31" t="s">
        <v>231</v>
      </c>
      <c r="W31">
        <v>15</v>
      </c>
      <c r="X31">
        <v>1</v>
      </c>
      <c r="Z31" s="15" cm="1">
        <f t="array" ref="Z31">VALUE(LEFT(A31, MIN(IFERROR(FIND({"o","p"}, A31), LEN(A31)+1))-1))</f>
        <v>15</v>
      </c>
    </row>
    <row r="32" spans="1:26">
      <c r="A32" t="s">
        <v>76</v>
      </c>
      <c r="C32">
        <v>64</v>
      </c>
      <c r="L32" t="s">
        <v>32</v>
      </c>
      <c r="O32">
        <v>1</v>
      </c>
      <c r="W32">
        <v>15</v>
      </c>
      <c r="X32">
        <v>2</v>
      </c>
      <c r="Z32" s="15" cm="1">
        <f t="array" ref="Z32">VALUE(LEFT(A32, MIN(IFERROR(FIND({"o","p"}, A32), LEN(A32)+1))-1))</f>
        <v>15</v>
      </c>
    </row>
    <row r="33" spans="1:26">
      <c r="A33" t="s">
        <v>77</v>
      </c>
      <c r="B33" s="22">
        <v>45331</v>
      </c>
      <c r="D33" t="s">
        <v>158</v>
      </c>
      <c r="L33" t="s">
        <v>172</v>
      </c>
      <c r="M33" t="s">
        <v>201</v>
      </c>
      <c r="N33" t="s">
        <v>239</v>
      </c>
      <c r="O33">
        <v>2</v>
      </c>
      <c r="P33" t="s">
        <v>221</v>
      </c>
      <c r="R33" t="s">
        <v>34</v>
      </c>
      <c r="W33">
        <v>16</v>
      </c>
      <c r="X33">
        <v>1</v>
      </c>
      <c r="Z33" s="15" cm="1">
        <f t="array" ref="Z33">VALUE(LEFT(A33, MIN(IFERROR(FIND({"o","p"}, A33), LEN(A33)+1))-1))</f>
        <v>16</v>
      </c>
    </row>
    <row r="34" spans="1:26">
      <c r="A34" t="s">
        <v>78</v>
      </c>
      <c r="C34">
        <v>43</v>
      </c>
      <c r="D34" t="s">
        <v>160</v>
      </c>
      <c r="E34" t="s">
        <v>226</v>
      </c>
      <c r="L34" t="s">
        <v>32</v>
      </c>
      <c r="N34" t="s">
        <v>355</v>
      </c>
      <c r="O34">
        <v>1</v>
      </c>
      <c r="P34" t="s">
        <v>34</v>
      </c>
      <c r="Q34" t="s">
        <v>296</v>
      </c>
      <c r="S34" t="s">
        <v>335</v>
      </c>
      <c r="W34">
        <v>16</v>
      </c>
      <c r="X34">
        <v>2</v>
      </c>
      <c r="Z34" s="15" cm="1">
        <f t="array" ref="Z34">VALUE(LEFT(A34, MIN(IFERROR(FIND({"o","p"}, A34), LEN(A34)+1))-1))</f>
        <v>16</v>
      </c>
    </row>
    <row r="35" spans="1:26">
      <c r="A35" t="s">
        <v>79</v>
      </c>
      <c r="B35" s="22">
        <v>45457</v>
      </c>
      <c r="C35">
        <v>49</v>
      </c>
      <c r="D35" t="s">
        <v>157</v>
      </c>
      <c r="E35" t="s">
        <v>164</v>
      </c>
      <c r="G35" t="s">
        <v>356</v>
      </c>
      <c r="I35">
        <v>21</v>
      </c>
      <c r="J35">
        <v>5</v>
      </c>
      <c r="K35" t="s">
        <v>357</v>
      </c>
      <c r="L35" t="s">
        <v>172</v>
      </c>
      <c r="M35" t="s">
        <v>201</v>
      </c>
      <c r="N35" t="s">
        <v>80</v>
      </c>
      <c r="O35">
        <v>2</v>
      </c>
      <c r="R35" t="s">
        <v>297</v>
      </c>
      <c r="V35" t="s">
        <v>358</v>
      </c>
      <c r="W35">
        <v>17</v>
      </c>
      <c r="X35">
        <v>1</v>
      </c>
      <c r="Z35" s="15" cm="1">
        <f t="array" ref="Z35">VALUE(LEFT(A35, MIN(IFERROR(FIND({"o","p"}, A35), LEN(A35)+1))-1))</f>
        <v>17</v>
      </c>
    </row>
    <row r="36" spans="1:26">
      <c r="A36" t="s">
        <v>81</v>
      </c>
      <c r="C36">
        <v>49</v>
      </c>
      <c r="D36" t="s">
        <v>155</v>
      </c>
      <c r="E36" t="s">
        <v>161</v>
      </c>
      <c r="G36" t="s">
        <v>359</v>
      </c>
      <c r="L36" t="s">
        <v>32</v>
      </c>
      <c r="N36" t="s">
        <v>181</v>
      </c>
      <c r="O36">
        <v>1</v>
      </c>
      <c r="W36">
        <v>17</v>
      </c>
      <c r="X36">
        <v>2</v>
      </c>
      <c r="Z36" s="15" cm="1">
        <f t="array" ref="Z36">VALUE(LEFT(A36, MIN(IFERROR(FIND({"o","p"}, A36), LEN(A36)+1))-1))</f>
        <v>17</v>
      </c>
    </row>
    <row r="37" spans="1:26">
      <c r="A37" t="s">
        <v>82</v>
      </c>
      <c r="B37" s="22">
        <v>45355</v>
      </c>
      <c r="C37">
        <v>55</v>
      </c>
      <c r="D37" t="s">
        <v>154</v>
      </c>
      <c r="E37" t="s">
        <v>163</v>
      </c>
      <c r="G37" t="s">
        <v>240</v>
      </c>
      <c r="I37">
        <v>4</v>
      </c>
      <c r="J37">
        <v>4</v>
      </c>
      <c r="L37" t="s">
        <v>172</v>
      </c>
      <c r="M37" t="s">
        <v>201</v>
      </c>
      <c r="N37" t="s">
        <v>360</v>
      </c>
      <c r="O37">
        <v>1</v>
      </c>
      <c r="P37" t="s">
        <v>173</v>
      </c>
      <c r="R37" t="s">
        <v>298</v>
      </c>
      <c r="S37" t="s">
        <v>230</v>
      </c>
      <c r="V37" t="s">
        <v>361</v>
      </c>
      <c r="W37">
        <v>18</v>
      </c>
      <c r="X37">
        <v>1</v>
      </c>
      <c r="Z37" s="15" cm="1">
        <f t="array" ref="Z37">VALUE(LEFT(A37, MIN(IFERROR(FIND({"o","p"}, A37), LEN(A37)+1))-1))</f>
        <v>18</v>
      </c>
    </row>
    <row r="38" spans="1:26">
      <c r="A38" t="s">
        <v>83</v>
      </c>
      <c r="C38">
        <v>55</v>
      </c>
      <c r="L38" t="s">
        <v>36</v>
      </c>
      <c r="N38" t="s">
        <v>362</v>
      </c>
      <c r="O38">
        <v>1</v>
      </c>
      <c r="P38" t="s">
        <v>34</v>
      </c>
      <c r="Q38" t="s">
        <v>336</v>
      </c>
      <c r="R38" t="s">
        <v>34</v>
      </c>
      <c r="S38" t="s">
        <v>363</v>
      </c>
      <c r="W38">
        <v>18</v>
      </c>
      <c r="X38">
        <v>2</v>
      </c>
      <c r="Z38" s="15" cm="1">
        <f t="array" ref="Z38">VALUE(LEFT(A38, MIN(IFERROR(FIND({"o","p"}, A38), LEN(A38)+1))-1))</f>
        <v>18</v>
      </c>
    </row>
    <row r="39" spans="1:26">
      <c r="A39" t="s">
        <v>84</v>
      </c>
      <c r="B39" s="22">
        <v>45457</v>
      </c>
      <c r="C39">
        <v>23</v>
      </c>
      <c r="I39">
        <v>1</v>
      </c>
      <c r="L39" t="s">
        <v>172</v>
      </c>
      <c r="M39" t="s">
        <v>243</v>
      </c>
      <c r="N39" t="s">
        <v>182</v>
      </c>
      <c r="O39">
        <v>1</v>
      </c>
      <c r="P39" t="s">
        <v>173</v>
      </c>
      <c r="V39" t="s">
        <v>241</v>
      </c>
      <c r="W39">
        <v>19</v>
      </c>
      <c r="X39">
        <v>1</v>
      </c>
      <c r="Z39" s="15" cm="1">
        <f t="array" ref="Z39">VALUE(LEFT(A39, MIN(IFERROR(FIND({"o","p"}, A39), LEN(A39)+1))-1))</f>
        <v>19</v>
      </c>
    </row>
    <row r="40" spans="1:26">
      <c r="A40" t="s">
        <v>85</v>
      </c>
      <c r="C40">
        <v>23</v>
      </c>
      <c r="W40">
        <v>19</v>
      </c>
      <c r="X40">
        <v>2</v>
      </c>
      <c r="Z40" s="15" cm="1">
        <f t="array" ref="Z40">VALUE(LEFT(A40, MIN(IFERROR(FIND({"o","p"}, A40), LEN(A40)+1))-1))</f>
        <v>19</v>
      </c>
    </row>
    <row r="41" spans="1:26">
      <c r="A41" t="s">
        <v>86</v>
      </c>
      <c r="B41" s="22">
        <v>45373</v>
      </c>
      <c r="C41">
        <v>61</v>
      </c>
      <c r="D41" t="s">
        <v>158</v>
      </c>
      <c r="E41" t="s">
        <v>163</v>
      </c>
      <c r="G41" t="s">
        <v>364</v>
      </c>
      <c r="I41">
        <v>4</v>
      </c>
      <c r="J41">
        <v>3</v>
      </c>
      <c r="L41" t="s">
        <v>365</v>
      </c>
      <c r="M41" t="s">
        <v>204</v>
      </c>
      <c r="N41" t="s">
        <v>366</v>
      </c>
      <c r="O41">
        <v>2</v>
      </c>
      <c r="P41" t="s">
        <v>34</v>
      </c>
      <c r="Q41" t="s">
        <v>299</v>
      </c>
      <c r="R41" t="s">
        <v>203</v>
      </c>
      <c r="S41" t="s">
        <v>367</v>
      </c>
      <c r="V41" t="s">
        <v>368</v>
      </c>
      <c r="W41">
        <v>20</v>
      </c>
      <c r="X41">
        <v>1</v>
      </c>
      <c r="Z41" s="15" cm="1">
        <f t="array" ref="Z41">VALUE(LEFT(A41, MIN(IFERROR(FIND({"o","p"}, A41), LEN(A41)+1))-1))</f>
        <v>20</v>
      </c>
    </row>
    <row r="42" spans="1:26">
      <c r="A42" t="s">
        <v>87</v>
      </c>
      <c r="C42">
        <v>61</v>
      </c>
      <c r="L42" t="s">
        <v>32</v>
      </c>
      <c r="N42" t="s">
        <v>369</v>
      </c>
      <c r="O42">
        <v>2</v>
      </c>
      <c r="W42">
        <v>20</v>
      </c>
      <c r="X42">
        <v>2</v>
      </c>
      <c r="Z42" s="15" cm="1">
        <f t="array" ref="Z42">VALUE(LEFT(A42, MIN(IFERROR(FIND({"o","p"}, A42), LEN(A42)+1))-1))</f>
        <v>20</v>
      </c>
    </row>
    <row r="43" spans="1:26">
      <c r="A43" t="s">
        <v>88</v>
      </c>
      <c r="B43" s="22">
        <v>45296</v>
      </c>
      <c r="C43">
        <v>51</v>
      </c>
      <c r="D43" t="s">
        <v>158</v>
      </c>
      <c r="E43" t="s">
        <v>163</v>
      </c>
      <c r="G43" t="s">
        <v>283</v>
      </c>
      <c r="I43">
        <v>7</v>
      </c>
      <c r="J43">
        <v>4</v>
      </c>
      <c r="L43" t="s">
        <v>32</v>
      </c>
      <c r="M43" t="s">
        <v>201</v>
      </c>
      <c r="N43" t="s">
        <v>300</v>
      </c>
      <c r="O43">
        <v>1</v>
      </c>
      <c r="R43" t="s">
        <v>34</v>
      </c>
      <c r="S43" t="s">
        <v>370</v>
      </c>
      <c r="V43" t="s">
        <v>371</v>
      </c>
      <c r="W43">
        <v>21</v>
      </c>
      <c r="X43">
        <v>1</v>
      </c>
      <c r="Z43" s="15" cm="1">
        <f t="array" ref="Z43">VALUE(LEFT(A43, MIN(IFERROR(FIND({"o","p"}, A43), LEN(A43)+1))-1))</f>
        <v>21</v>
      </c>
    </row>
    <row r="44" spans="1:26">
      <c r="A44" t="s">
        <v>89</v>
      </c>
      <c r="C44">
        <v>51</v>
      </c>
      <c r="W44">
        <v>21</v>
      </c>
      <c r="X44">
        <v>2</v>
      </c>
      <c r="Z44" s="15" cm="1">
        <f t="array" ref="Z44">VALUE(LEFT(A44, MIN(IFERROR(FIND({"o","p"}, A44), LEN(A44)+1))-1))</f>
        <v>21</v>
      </c>
    </row>
    <row r="45" spans="1:26">
      <c r="A45" t="s">
        <v>90</v>
      </c>
      <c r="B45" s="22">
        <v>45299</v>
      </c>
      <c r="C45">
        <v>50</v>
      </c>
      <c r="D45" t="s">
        <v>156</v>
      </c>
      <c r="E45" t="s">
        <v>226</v>
      </c>
      <c r="G45" t="s">
        <v>240</v>
      </c>
      <c r="I45">
        <v>1</v>
      </c>
      <c r="J45">
        <v>0</v>
      </c>
      <c r="L45" t="s">
        <v>172</v>
      </c>
      <c r="M45" t="s">
        <v>201</v>
      </c>
      <c r="N45" t="s">
        <v>183</v>
      </c>
      <c r="O45">
        <v>1</v>
      </c>
      <c r="P45" t="s">
        <v>173</v>
      </c>
      <c r="V45" t="s">
        <v>301</v>
      </c>
      <c r="W45">
        <v>22</v>
      </c>
      <c r="X45">
        <v>1</v>
      </c>
      <c r="Z45" s="15" cm="1">
        <f t="array" ref="Z45">VALUE(LEFT(A45, MIN(IFERROR(FIND({"o","p"}, A45), LEN(A45)+1))-1))</f>
        <v>22</v>
      </c>
    </row>
    <row r="46" spans="1:26">
      <c r="A46" t="s">
        <v>91</v>
      </c>
      <c r="C46">
        <v>50</v>
      </c>
      <c r="D46" t="s">
        <v>155</v>
      </c>
      <c r="E46" t="s">
        <v>161</v>
      </c>
      <c r="F46" t="s">
        <v>165</v>
      </c>
      <c r="L46" t="s">
        <v>32</v>
      </c>
      <c r="O46">
        <v>1</v>
      </c>
      <c r="W46">
        <v>22</v>
      </c>
      <c r="X46">
        <v>2</v>
      </c>
      <c r="Z46" s="15" cm="1">
        <f t="array" ref="Z46">VALUE(LEFT(A46, MIN(IFERROR(FIND({"o","p"}, A46), LEN(A46)+1))-1))</f>
        <v>22</v>
      </c>
    </row>
    <row r="47" spans="1:26">
      <c r="A47" t="s">
        <v>92</v>
      </c>
      <c r="B47" s="22">
        <v>45296</v>
      </c>
      <c r="C47">
        <v>61</v>
      </c>
      <c r="I47">
        <v>1</v>
      </c>
      <c r="J47">
        <v>0</v>
      </c>
      <c r="L47" t="s">
        <v>172</v>
      </c>
      <c r="M47" t="s">
        <v>33</v>
      </c>
      <c r="N47" t="s">
        <v>302</v>
      </c>
      <c r="O47">
        <v>2</v>
      </c>
      <c r="S47" t="s">
        <v>372</v>
      </c>
      <c r="V47" t="s">
        <v>303</v>
      </c>
      <c r="W47">
        <v>23</v>
      </c>
      <c r="X47">
        <v>1</v>
      </c>
      <c r="Z47" s="15" cm="1">
        <f t="array" ref="Z47">VALUE(LEFT(A47, MIN(IFERROR(FIND({"o","p"}, A47), LEN(A47)+1))-1))</f>
        <v>23</v>
      </c>
    </row>
    <row r="48" spans="1:26">
      <c r="A48" t="s">
        <v>93</v>
      </c>
      <c r="C48">
        <v>61</v>
      </c>
      <c r="L48" t="s">
        <v>346</v>
      </c>
      <c r="N48" t="s">
        <v>373</v>
      </c>
      <c r="O48">
        <v>1</v>
      </c>
      <c r="W48">
        <v>23</v>
      </c>
      <c r="X48">
        <v>2</v>
      </c>
      <c r="Z48" s="15" cm="1">
        <f t="array" ref="Z48">VALUE(LEFT(A48, MIN(IFERROR(FIND({"o","p"}, A48), LEN(A48)+1))-1))</f>
        <v>23</v>
      </c>
    </row>
    <row r="49" spans="1:26">
      <c r="A49" t="s">
        <v>94</v>
      </c>
      <c r="B49" s="22">
        <v>45301</v>
      </c>
      <c r="C49">
        <v>55</v>
      </c>
      <c r="D49" t="s">
        <v>154</v>
      </c>
      <c r="E49" t="s">
        <v>164</v>
      </c>
      <c r="G49" t="s">
        <v>374</v>
      </c>
      <c r="I49">
        <v>25</v>
      </c>
      <c r="J49">
        <v>18</v>
      </c>
      <c r="K49" t="s">
        <v>242</v>
      </c>
      <c r="L49" t="s">
        <v>172</v>
      </c>
      <c r="M49" t="s">
        <v>375</v>
      </c>
      <c r="N49" t="s">
        <v>304</v>
      </c>
      <c r="O49">
        <v>3</v>
      </c>
      <c r="P49" t="s">
        <v>376</v>
      </c>
      <c r="Q49" t="s">
        <v>305</v>
      </c>
      <c r="R49" t="s">
        <v>222</v>
      </c>
      <c r="S49" t="s">
        <v>232</v>
      </c>
      <c r="V49" t="s">
        <v>185</v>
      </c>
      <c r="W49">
        <v>24</v>
      </c>
      <c r="X49">
        <v>1</v>
      </c>
      <c r="Z49" s="15" cm="1">
        <f t="array" ref="Z49">VALUE(LEFT(A49, MIN(IFERROR(FIND({"o","p"}, A49), LEN(A49)+1))-1))</f>
        <v>24</v>
      </c>
    </row>
    <row r="50" spans="1:26">
      <c r="A50" t="s">
        <v>95</v>
      </c>
      <c r="C50">
        <v>55</v>
      </c>
      <c r="E50" t="s">
        <v>162</v>
      </c>
      <c r="G50" t="s">
        <v>377</v>
      </c>
      <c r="K50" t="s">
        <v>167</v>
      </c>
      <c r="L50" t="s">
        <v>204</v>
      </c>
      <c r="N50" t="s">
        <v>167</v>
      </c>
      <c r="O50">
        <v>1</v>
      </c>
      <c r="P50" t="s">
        <v>34</v>
      </c>
      <c r="Q50" t="s">
        <v>306</v>
      </c>
      <c r="S50" t="s">
        <v>328</v>
      </c>
      <c r="W50">
        <v>24</v>
      </c>
      <c r="X50">
        <v>2</v>
      </c>
      <c r="Z50" s="15" cm="1">
        <f t="array" ref="Z50">VALUE(LEFT(A50, MIN(IFERROR(FIND({"o","p"}, A50), LEN(A50)+1))-1))</f>
        <v>24</v>
      </c>
    </row>
    <row r="51" spans="1:26">
      <c r="A51" t="s">
        <v>96</v>
      </c>
      <c r="B51" s="22">
        <v>45310</v>
      </c>
      <c r="C51">
        <v>42</v>
      </c>
      <c r="D51" t="s">
        <v>157</v>
      </c>
      <c r="L51" t="s">
        <v>172</v>
      </c>
      <c r="M51" t="s">
        <v>375</v>
      </c>
      <c r="N51" t="s">
        <v>307</v>
      </c>
      <c r="O51">
        <v>1</v>
      </c>
      <c r="P51" t="s">
        <v>184</v>
      </c>
      <c r="R51" t="s">
        <v>184</v>
      </c>
      <c r="S51" t="s">
        <v>308</v>
      </c>
      <c r="V51" t="s">
        <v>309</v>
      </c>
      <c r="W51">
        <v>25</v>
      </c>
      <c r="X51">
        <v>1</v>
      </c>
      <c r="Z51" s="15" cm="1">
        <f t="array" ref="Z51">VALUE(LEFT(A51, MIN(IFERROR(FIND({"o","p"}, A51), LEN(A51)+1))-1))</f>
        <v>25</v>
      </c>
    </row>
    <row r="52" spans="1:26">
      <c r="A52" t="s">
        <v>97</v>
      </c>
      <c r="C52">
        <v>42</v>
      </c>
      <c r="L52" t="s">
        <v>172</v>
      </c>
      <c r="N52" t="s">
        <v>98</v>
      </c>
      <c r="O52">
        <v>1</v>
      </c>
      <c r="W52">
        <v>25</v>
      </c>
      <c r="X52">
        <v>2</v>
      </c>
      <c r="Z52" s="15" cm="1">
        <f t="array" ref="Z52">VALUE(LEFT(A52, MIN(IFERROR(FIND({"o","p"}, A52), LEN(A52)+1))-1))</f>
        <v>25</v>
      </c>
    </row>
    <row r="53" spans="1:26">
      <c r="A53" t="s">
        <v>99</v>
      </c>
      <c r="B53" s="22">
        <v>45464</v>
      </c>
      <c r="C53">
        <v>73</v>
      </c>
      <c r="D53" t="s">
        <v>157</v>
      </c>
      <c r="L53" t="s">
        <v>172</v>
      </c>
      <c r="M53" t="s">
        <v>201</v>
      </c>
      <c r="N53" t="s">
        <v>80</v>
      </c>
      <c r="O53">
        <v>1</v>
      </c>
      <c r="P53" t="s">
        <v>173</v>
      </c>
      <c r="R53" t="s">
        <v>314</v>
      </c>
      <c r="S53" t="s">
        <v>244</v>
      </c>
      <c r="V53" t="s">
        <v>310</v>
      </c>
      <c r="W53">
        <v>26</v>
      </c>
      <c r="X53">
        <v>1</v>
      </c>
      <c r="Z53" s="15" cm="1">
        <f t="array" ref="Z53">VALUE(LEFT(A53, MIN(IFERROR(FIND({"o","p"}, A53), LEN(A53)+1))-1))</f>
        <v>26</v>
      </c>
    </row>
    <row r="54" spans="1:26">
      <c r="A54" t="s">
        <v>100</v>
      </c>
      <c r="C54">
        <v>73</v>
      </c>
      <c r="D54" t="s">
        <v>158</v>
      </c>
      <c r="E54" t="s">
        <v>226</v>
      </c>
      <c r="F54" t="s">
        <v>227</v>
      </c>
      <c r="L54" t="s">
        <v>204</v>
      </c>
      <c r="N54" t="s">
        <v>311</v>
      </c>
      <c r="O54">
        <v>2</v>
      </c>
      <c r="P54" t="s">
        <v>34</v>
      </c>
      <c r="Q54" t="s">
        <v>312</v>
      </c>
      <c r="S54" t="s">
        <v>328</v>
      </c>
      <c r="W54">
        <v>26</v>
      </c>
      <c r="X54">
        <v>2</v>
      </c>
      <c r="Z54" s="15" cm="1">
        <f t="array" ref="Z54">VALUE(LEFT(A54, MIN(IFERROR(FIND({"o","p"}, A54), LEN(A54)+1))-1))</f>
        <v>26</v>
      </c>
    </row>
    <row r="55" spans="1:26">
      <c r="A55" t="s">
        <v>101</v>
      </c>
      <c r="B55" s="22">
        <v>45464</v>
      </c>
      <c r="C55">
        <v>39</v>
      </c>
      <c r="D55" t="s">
        <v>207</v>
      </c>
      <c r="G55" t="s">
        <v>246</v>
      </c>
      <c r="I55">
        <v>2</v>
      </c>
      <c r="J55">
        <v>1</v>
      </c>
      <c r="K55" t="s">
        <v>245</v>
      </c>
      <c r="L55" t="s">
        <v>172</v>
      </c>
      <c r="N55" t="s">
        <v>378</v>
      </c>
      <c r="O55">
        <v>3</v>
      </c>
      <c r="P55" t="s">
        <v>173</v>
      </c>
      <c r="R55" t="s">
        <v>313</v>
      </c>
      <c r="S55" t="s">
        <v>173</v>
      </c>
      <c r="V55" t="s">
        <v>379</v>
      </c>
      <c r="W55">
        <v>27</v>
      </c>
      <c r="X55">
        <v>1</v>
      </c>
      <c r="Z55" s="15" cm="1">
        <f t="array" ref="Z55">VALUE(LEFT(A55, MIN(IFERROR(FIND({"o","p"}, A55), LEN(A55)+1))-1))</f>
        <v>27</v>
      </c>
    </row>
    <row r="56" spans="1:26">
      <c r="A56" t="s">
        <v>102</v>
      </c>
      <c r="C56">
        <v>39</v>
      </c>
      <c r="L56" t="s">
        <v>380</v>
      </c>
      <c r="N56" t="s">
        <v>177</v>
      </c>
      <c r="O56">
        <v>1</v>
      </c>
      <c r="W56">
        <v>27</v>
      </c>
      <c r="X56">
        <v>2</v>
      </c>
      <c r="Z56" s="15" cm="1">
        <f t="array" ref="Z56">VALUE(LEFT(A56, MIN(IFERROR(FIND({"o","p"}, A56), LEN(A56)+1))-1))</f>
        <v>27</v>
      </c>
    </row>
    <row r="57" spans="1:26">
      <c r="A57" t="s">
        <v>103</v>
      </c>
      <c r="B57" s="22">
        <v>45464</v>
      </c>
      <c r="C57">
        <v>57</v>
      </c>
      <c r="D57" t="s">
        <v>207</v>
      </c>
      <c r="E57" t="s">
        <v>163</v>
      </c>
      <c r="G57" t="s">
        <v>246</v>
      </c>
      <c r="I57">
        <v>5</v>
      </c>
      <c r="J57">
        <v>1</v>
      </c>
      <c r="K57" t="s">
        <v>104</v>
      </c>
      <c r="L57" t="s">
        <v>172</v>
      </c>
      <c r="N57" t="s">
        <v>381</v>
      </c>
      <c r="O57">
        <v>2</v>
      </c>
      <c r="P57" t="s">
        <v>173</v>
      </c>
      <c r="S57" t="s">
        <v>173</v>
      </c>
      <c r="V57" t="s">
        <v>314</v>
      </c>
      <c r="W57">
        <v>28</v>
      </c>
      <c r="X57">
        <v>1</v>
      </c>
      <c r="Z57" s="15" cm="1">
        <f t="array" ref="Z57">VALUE(LEFT(A57, MIN(IFERROR(FIND({"o","p"}, A57), LEN(A57)+1))-1))</f>
        <v>28</v>
      </c>
    </row>
    <row r="58" spans="1:26">
      <c r="A58" t="s">
        <v>105</v>
      </c>
      <c r="C58">
        <v>57</v>
      </c>
      <c r="L58" t="s">
        <v>32</v>
      </c>
      <c r="N58" t="s">
        <v>382</v>
      </c>
      <c r="O58">
        <v>1</v>
      </c>
      <c r="W58">
        <v>28</v>
      </c>
      <c r="X58">
        <v>2</v>
      </c>
      <c r="Z58" s="15" cm="1">
        <f t="array" ref="Z58">VALUE(LEFT(A58, MIN(IFERROR(FIND({"o","p"}, A58), LEN(A58)+1))-1))</f>
        <v>28</v>
      </c>
    </row>
    <row r="59" spans="1:26">
      <c r="A59" t="s">
        <v>106</v>
      </c>
      <c r="B59" s="22">
        <v>45242</v>
      </c>
      <c r="C59">
        <v>63</v>
      </c>
      <c r="D59" t="s">
        <v>156</v>
      </c>
      <c r="L59" t="s">
        <v>172</v>
      </c>
      <c r="M59" t="s">
        <v>243</v>
      </c>
      <c r="N59" t="s">
        <v>315</v>
      </c>
      <c r="O59">
        <v>1</v>
      </c>
      <c r="P59" t="s">
        <v>173</v>
      </c>
      <c r="S59" t="s">
        <v>173</v>
      </c>
      <c r="V59" t="s">
        <v>286</v>
      </c>
      <c r="W59">
        <v>29</v>
      </c>
      <c r="X59">
        <v>1</v>
      </c>
      <c r="Z59" s="15" cm="1">
        <f t="array" ref="Z59">VALUE(LEFT(A59, MIN(IFERROR(FIND({"o","p"}, A59), LEN(A59)+1))-1))</f>
        <v>29</v>
      </c>
    </row>
    <row r="60" spans="1:26">
      <c r="A60" t="s">
        <v>107</v>
      </c>
      <c r="C60">
        <v>63</v>
      </c>
      <c r="L60" t="s">
        <v>36</v>
      </c>
      <c r="W60">
        <v>29</v>
      </c>
      <c r="X60">
        <v>2</v>
      </c>
      <c r="Z60" s="15" cm="1">
        <f t="array" ref="Z60">VALUE(LEFT(A60, MIN(IFERROR(FIND({"o","p"}, A60), LEN(A60)+1))-1))</f>
        <v>29</v>
      </c>
    </row>
    <row r="61" spans="1:26">
      <c r="A61" t="s">
        <v>108</v>
      </c>
      <c r="B61" s="22">
        <v>45287</v>
      </c>
      <c r="C61">
        <v>39</v>
      </c>
      <c r="D61" t="s">
        <v>157</v>
      </c>
      <c r="E61" t="s">
        <v>163</v>
      </c>
      <c r="G61" t="s">
        <v>383</v>
      </c>
      <c r="I61">
        <v>29</v>
      </c>
      <c r="J61">
        <v>6</v>
      </c>
      <c r="K61" t="s">
        <v>186</v>
      </c>
      <c r="L61" t="s">
        <v>172</v>
      </c>
      <c r="M61" t="s">
        <v>33</v>
      </c>
      <c r="N61" t="s">
        <v>247</v>
      </c>
      <c r="O61">
        <v>3</v>
      </c>
      <c r="V61" t="s">
        <v>384</v>
      </c>
      <c r="W61">
        <v>30</v>
      </c>
      <c r="X61">
        <v>1</v>
      </c>
      <c r="Z61" s="15" cm="1">
        <f t="array" ref="Z61">VALUE(LEFT(A61, MIN(IFERROR(FIND({"o","p"}, A61), LEN(A61)+1))-1))</f>
        <v>30</v>
      </c>
    </row>
    <row r="62" spans="1:26">
      <c r="A62" t="s">
        <v>109</v>
      </c>
      <c r="C62">
        <v>39</v>
      </c>
      <c r="E62" t="s">
        <v>163</v>
      </c>
      <c r="G62" t="s">
        <v>316</v>
      </c>
      <c r="L62" t="s">
        <v>204</v>
      </c>
      <c r="O62">
        <v>1</v>
      </c>
      <c r="W62">
        <v>30</v>
      </c>
      <c r="X62">
        <v>2</v>
      </c>
      <c r="Z62" s="15" cm="1">
        <f t="array" ref="Z62">VALUE(LEFT(A62, MIN(IFERROR(FIND({"o","p"}, A62), LEN(A62)+1))-1))</f>
        <v>30</v>
      </c>
    </row>
    <row r="63" spans="1:26">
      <c r="A63" t="s">
        <v>110</v>
      </c>
      <c r="B63" s="22">
        <v>43304</v>
      </c>
      <c r="D63" t="s">
        <v>154</v>
      </c>
      <c r="E63" t="s">
        <v>164</v>
      </c>
      <c r="G63" t="s">
        <v>283</v>
      </c>
      <c r="I63">
        <v>1</v>
      </c>
      <c r="J63">
        <v>1</v>
      </c>
      <c r="K63" t="s">
        <v>152</v>
      </c>
      <c r="L63" t="s">
        <v>204</v>
      </c>
      <c r="M63" t="s">
        <v>33</v>
      </c>
      <c r="N63" t="s">
        <v>385</v>
      </c>
      <c r="O63">
        <v>2</v>
      </c>
      <c r="P63" t="s">
        <v>34</v>
      </c>
      <c r="R63" t="s">
        <v>34</v>
      </c>
      <c r="S63" t="s">
        <v>370</v>
      </c>
      <c r="V63" t="s">
        <v>317</v>
      </c>
      <c r="W63">
        <v>31</v>
      </c>
      <c r="X63">
        <v>1</v>
      </c>
      <c r="Z63" s="15" cm="1">
        <f t="array" ref="Z63">VALUE(LEFT(A63, MIN(IFERROR(FIND({"o","p"}, A63), LEN(A63)+1))-1))</f>
        <v>31</v>
      </c>
    </row>
    <row r="64" spans="1:26">
      <c r="A64" t="s">
        <v>111</v>
      </c>
      <c r="B64" s="23">
        <v>43304</v>
      </c>
      <c r="C64">
        <v>60</v>
      </c>
      <c r="L64" t="s">
        <v>32</v>
      </c>
      <c r="N64" t="s">
        <v>180</v>
      </c>
      <c r="O64">
        <v>1</v>
      </c>
      <c r="P64" t="s">
        <v>34</v>
      </c>
      <c r="Q64" t="s">
        <v>318</v>
      </c>
      <c r="R64" t="s">
        <v>34</v>
      </c>
      <c r="S64" t="s">
        <v>386</v>
      </c>
      <c r="W64">
        <v>31</v>
      </c>
      <c r="X64">
        <v>2</v>
      </c>
      <c r="Z64" s="15" cm="1">
        <f t="array" ref="Z64">VALUE(LEFT(A64, MIN(IFERROR(FIND({"o","p"}, A64), LEN(A64)+1))-1))</f>
        <v>31</v>
      </c>
    </row>
    <row r="65" spans="1:26">
      <c r="A65" t="s">
        <v>112</v>
      </c>
      <c r="B65" s="22">
        <v>44630</v>
      </c>
      <c r="D65" t="s">
        <v>154</v>
      </c>
      <c r="E65" t="s">
        <v>226</v>
      </c>
      <c r="F65" t="s">
        <v>227</v>
      </c>
      <c r="L65" t="s">
        <v>319</v>
      </c>
      <c r="M65" t="s">
        <v>346</v>
      </c>
      <c r="N65" t="s">
        <v>320</v>
      </c>
      <c r="O65">
        <v>1</v>
      </c>
      <c r="P65" t="s">
        <v>205</v>
      </c>
      <c r="R65" t="s">
        <v>387</v>
      </c>
      <c r="S65" t="s">
        <v>321</v>
      </c>
      <c r="V65" t="s">
        <v>233</v>
      </c>
      <c r="W65">
        <v>32</v>
      </c>
      <c r="X65">
        <v>1</v>
      </c>
      <c r="Z65" s="15" cm="1">
        <f t="array" ref="Z65">VALUE(LEFT(A65, MIN(IFERROR(FIND({"o","p"}, A65), LEN(A65)+1))-1))</f>
        <v>32</v>
      </c>
    </row>
    <row r="66" spans="1:26">
      <c r="A66" t="s">
        <v>114</v>
      </c>
      <c r="B66" s="22">
        <v>44629</v>
      </c>
      <c r="C66">
        <v>72</v>
      </c>
      <c r="G66" t="s">
        <v>176</v>
      </c>
      <c r="L66" t="s">
        <v>113</v>
      </c>
      <c r="N66" t="s">
        <v>248</v>
      </c>
      <c r="O66">
        <v>2</v>
      </c>
      <c r="W66">
        <v>32</v>
      </c>
      <c r="X66">
        <v>2</v>
      </c>
      <c r="Z66" s="15" cm="1">
        <f t="array" ref="Z66">VALUE(LEFT(A66, MIN(IFERROR(FIND({"o","p"}, A66), LEN(A66)+1))-1))</f>
        <v>32</v>
      </c>
    </row>
    <row r="67" spans="1:26">
      <c r="A67" t="s">
        <v>115</v>
      </c>
      <c r="B67" s="22">
        <v>44517</v>
      </c>
      <c r="D67" t="s">
        <v>156</v>
      </c>
      <c r="L67" t="s">
        <v>32</v>
      </c>
      <c r="M67" t="s">
        <v>388</v>
      </c>
      <c r="N67" t="s">
        <v>49</v>
      </c>
      <c r="O67">
        <v>1</v>
      </c>
      <c r="R67" t="s">
        <v>322</v>
      </c>
      <c r="W67">
        <v>33</v>
      </c>
      <c r="X67">
        <v>1</v>
      </c>
      <c r="Z67" s="15" cm="1">
        <f t="array" ref="Z67">VALUE(LEFT(A67, MIN(IFERROR(FIND({"o","p"}, A67), LEN(A67)+1))-1))</f>
        <v>33</v>
      </c>
    </row>
    <row r="68" spans="1:26">
      <c r="A68" t="s">
        <v>116</v>
      </c>
      <c r="B68" s="22">
        <v>44517</v>
      </c>
      <c r="C68">
        <v>41</v>
      </c>
      <c r="F68" t="s">
        <v>166</v>
      </c>
      <c r="H68" t="s">
        <v>223</v>
      </c>
      <c r="L68" t="s">
        <v>187</v>
      </c>
      <c r="W68">
        <v>33</v>
      </c>
      <c r="X68">
        <v>2</v>
      </c>
      <c r="Z68" s="15" cm="1">
        <f t="array" ref="Z68">VALUE(LEFT(A68, MIN(IFERROR(FIND({"o","p"}, A68), LEN(A68)+1))-1))</f>
        <v>33</v>
      </c>
    </row>
    <row r="69" spans="1:26">
      <c r="A69" t="s">
        <v>117</v>
      </c>
      <c r="B69" s="22">
        <v>44825</v>
      </c>
      <c r="D69" t="s">
        <v>389</v>
      </c>
      <c r="E69" t="s">
        <v>161</v>
      </c>
      <c r="G69" t="s">
        <v>246</v>
      </c>
      <c r="J69">
        <v>1</v>
      </c>
      <c r="L69" t="s">
        <v>172</v>
      </c>
      <c r="M69" t="s">
        <v>323</v>
      </c>
      <c r="N69" t="s">
        <v>188</v>
      </c>
      <c r="O69">
        <v>3</v>
      </c>
      <c r="P69" t="s">
        <v>324</v>
      </c>
      <c r="Q69" t="s">
        <v>324</v>
      </c>
      <c r="S69" t="s">
        <v>390</v>
      </c>
      <c r="V69" t="s">
        <v>391</v>
      </c>
      <c r="W69">
        <v>34</v>
      </c>
      <c r="X69">
        <v>1</v>
      </c>
      <c r="Z69" s="15" cm="1">
        <f t="array" ref="Z69">VALUE(LEFT(A69, MIN(IFERROR(FIND({"o","p"}, A69), LEN(A69)+1))-1))</f>
        <v>34</v>
      </c>
    </row>
    <row r="70" spans="1:26">
      <c r="A70" t="s">
        <v>118</v>
      </c>
      <c r="B70" s="23">
        <v>44825</v>
      </c>
      <c r="C70">
        <v>63</v>
      </c>
      <c r="H70" t="s">
        <v>392</v>
      </c>
      <c r="L70" t="s">
        <v>204</v>
      </c>
      <c r="N70" t="s">
        <v>189</v>
      </c>
      <c r="O70">
        <v>1</v>
      </c>
      <c r="P70" t="s">
        <v>393</v>
      </c>
      <c r="S70" t="s">
        <v>394</v>
      </c>
      <c r="W70">
        <v>34</v>
      </c>
      <c r="X70">
        <v>2</v>
      </c>
      <c r="Z70" s="15" cm="1">
        <f t="array" ref="Z70">VALUE(LEFT(A70, MIN(IFERROR(FIND({"o","p"}, A70), LEN(A70)+1))-1))</f>
        <v>34</v>
      </c>
    </row>
    <row r="71" spans="1:26">
      <c r="A71" t="s">
        <v>119</v>
      </c>
      <c r="B71" s="22">
        <v>44419</v>
      </c>
      <c r="D71" t="s">
        <v>154</v>
      </c>
      <c r="E71" t="s">
        <v>164</v>
      </c>
      <c r="F71" t="s">
        <v>227</v>
      </c>
      <c r="G71" t="s">
        <v>224</v>
      </c>
      <c r="I71">
        <v>35</v>
      </c>
      <c r="J71">
        <v>7</v>
      </c>
      <c r="K71" t="s">
        <v>395</v>
      </c>
      <c r="L71" t="s">
        <v>172</v>
      </c>
      <c r="M71" t="s">
        <v>396</v>
      </c>
      <c r="N71" t="s">
        <v>397</v>
      </c>
      <c r="O71">
        <v>3</v>
      </c>
      <c r="P71" t="s">
        <v>34</v>
      </c>
      <c r="Q71" t="s">
        <v>398</v>
      </c>
      <c r="R71" t="s">
        <v>399</v>
      </c>
      <c r="S71" t="s">
        <v>400</v>
      </c>
      <c r="V71" t="s">
        <v>401</v>
      </c>
      <c r="W71">
        <v>35</v>
      </c>
      <c r="X71">
        <v>1</v>
      </c>
      <c r="Z71" s="15" cm="1">
        <f t="array" ref="Z71">VALUE(LEFT(A71, MIN(IFERROR(FIND({"o","p"}, A71), LEN(A71)+1))-1))</f>
        <v>35</v>
      </c>
    </row>
    <row r="72" spans="1:26">
      <c r="A72" t="s">
        <v>120</v>
      </c>
      <c r="B72" s="22">
        <v>44419</v>
      </c>
      <c r="C72">
        <v>62</v>
      </c>
      <c r="E72" t="s">
        <v>163</v>
      </c>
      <c r="F72" t="s">
        <v>166</v>
      </c>
      <c r="G72" t="s">
        <v>402</v>
      </c>
      <c r="H72" t="s">
        <v>190</v>
      </c>
      <c r="L72" t="s">
        <v>204</v>
      </c>
      <c r="N72" t="s">
        <v>180</v>
      </c>
      <c r="O72">
        <v>1</v>
      </c>
      <c r="P72" t="s">
        <v>34</v>
      </c>
      <c r="R72" t="s">
        <v>34</v>
      </c>
      <c r="S72" t="s">
        <v>328</v>
      </c>
      <c r="W72">
        <v>35</v>
      </c>
      <c r="X72">
        <v>2</v>
      </c>
      <c r="Z72" s="15" cm="1">
        <f t="array" ref="Z72">VALUE(LEFT(A72, MIN(IFERROR(FIND({"o","p"}, A72), LEN(A72)+1))-1))</f>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6B7BF-4793-40D9-B3B5-825389DF0028}">
  <sheetPr codeName="Sheet2"/>
  <dimension ref="A1:B28"/>
  <sheetViews>
    <sheetView workbookViewId="0"/>
  </sheetViews>
  <sheetFormatPr defaultColWidth="9" defaultRowHeight="13.9"/>
  <cols>
    <col min="1" max="1" width="16.6640625" style="1" bestFit="1" customWidth="1"/>
    <col min="2" max="2" width="82.1328125" style="1" bestFit="1" customWidth="1"/>
    <col min="3" max="16384" width="9" style="1"/>
  </cols>
  <sheetData>
    <row r="1" spans="1:2">
      <c r="A1" s="2" t="s">
        <v>121</v>
      </c>
      <c r="B1" s="2" t="s">
        <v>122</v>
      </c>
    </row>
    <row r="2" spans="1:2">
      <c r="A2" s="1" t="s">
        <v>2</v>
      </c>
      <c r="B2" s="1" t="s">
        <v>123</v>
      </c>
    </row>
    <row r="3" spans="1:2">
      <c r="A3" s="1" t="s">
        <v>3</v>
      </c>
      <c r="B3" s="1" t="s">
        <v>124</v>
      </c>
    </row>
    <row r="4" spans="1:2">
      <c r="A4" s="1" t="s">
        <v>4</v>
      </c>
      <c r="B4" s="1" t="s">
        <v>125</v>
      </c>
    </row>
    <row r="5" spans="1:2">
      <c r="A5" s="1" t="s">
        <v>5</v>
      </c>
      <c r="B5" s="1" t="s">
        <v>126</v>
      </c>
    </row>
    <row r="6" spans="1:2">
      <c r="A6" s="1" t="s">
        <v>6</v>
      </c>
      <c r="B6" s="1" t="s">
        <v>127</v>
      </c>
    </row>
    <row r="7" spans="1:2">
      <c r="A7" s="1" t="s">
        <v>7</v>
      </c>
      <c r="B7" s="1" t="s">
        <v>128</v>
      </c>
    </row>
    <row r="8" spans="1:2">
      <c r="A8" s="1" t="s">
        <v>10</v>
      </c>
      <c r="B8" s="1" t="s">
        <v>129</v>
      </c>
    </row>
    <row r="9" spans="1:2">
      <c r="A9" s="1" t="s">
        <v>12</v>
      </c>
      <c r="B9" s="1" t="s">
        <v>130</v>
      </c>
    </row>
    <row r="10" spans="1:2">
      <c r="A10" s="1" t="s">
        <v>13</v>
      </c>
      <c r="B10" s="1" t="s">
        <v>131</v>
      </c>
    </row>
    <row r="11" spans="1:2">
      <c r="A11" s="1" t="s">
        <v>14</v>
      </c>
      <c r="B11" s="1" t="s">
        <v>132</v>
      </c>
    </row>
    <row r="12" spans="1:2">
      <c r="A12" s="1" t="s">
        <v>15</v>
      </c>
      <c r="B12" s="1" t="s">
        <v>133</v>
      </c>
    </row>
    <row r="13" spans="1:2">
      <c r="A13" s="1" t="s">
        <v>16</v>
      </c>
      <c r="B13" s="1" t="s">
        <v>134</v>
      </c>
    </row>
    <row r="14" spans="1:2">
      <c r="A14" s="1" t="s">
        <v>18</v>
      </c>
      <c r="B14" s="1" t="s">
        <v>135</v>
      </c>
    </row>
    <row r="15" spans="1:2">
      <c r="A15" s="1" t="s">
        <v>19</v>
      </c>
      <c r="B15" s="1" t="s">
        <v>136</v>
      </c>
    </row>
    <row r="16" spans="1:2">
      <c r="A16" s="1" t="s">
        <v>20</v>
      </c>
      <c r="B16" s="1" t="s">
        <v>137</v>
      </c>
    </row>
    <row r="17" spans="1:2">
      <c r="A17" s="1" t="s">
        <v>21</v>
      </c>
      <c r="B17" s="1" t="s">
        <v>21</v>
      </c>
    </row>
    <row r="18" spans="1:2">
      <c r="A18" s="1" t="s">
        <v>22</v>
      </c>
      <c r="B18" s="1" t="s">
        <v>138</v>
      </c>
    </row>
    <row r="19" spans="1:2">
      <c r="A19" s="1" t="s">
        <v>23</v>
      </c>
      <c r="B19" s="1" t="s">
        <v>139</v>
      </c>
    </row>
    <row r="20" spans="1:2">
      <c r="A20" s="1" t="s">
        <v>24</v>
      </c>
      <c r="B20" s="1" t="s">
        <v>140</v>
      </c>
    </row>
    <row r="21" spans="1:2">
      <c r="A21" s="1" t="s">
        <v>25</v>
      </c>
      <c r="B21" s="1" t="s">
        <v>25</v>
      </c>
    </row>
    <row r="22" spans="1:2">
      <c r="A22" s="1" t="s">
        <v>26</v>
      </c>
      <c r="B22" s="1" t="s">
        <v>141</v>
      </c>
    </row>
    <row r="23" spans="1:2">
      <c r="A23" s="1" t="s">
        <v>27</v>
      </c>
      <c r="B23" s="1" t="s">
        <v>142</v>
      </c>
    </row>
    <row r="24" spans="1:2">
      <c r="A24" s="1" t="s">
        <v>28</v>
      </c>
      <c r="B24" s="1" t="s">
        <v>143</v>
      </c>
    </row>
    <row r="25" spans="1:2">
      <c r="A25" s="2" t="s">
        <v>29</v>
      </c>
      <c r="B25" s="2" t="s">
        <v>144</v>
      </c>
    </row>
    <row r="27" spans="1:2">
      <c r="A27" s="1" t="s">
        <v>145</v>
      </c>
    </row>
    <row r="28" spans="1:2">
      <c r="A28" s="1" t="s">
        <v>146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Classification result</vt:lpstr>
      <vt:lpstr>Model output</vt:lpstr>
      <vt:lpstr>Schema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Tang</dc:creator>
  <cp:keywords/>
  <dc:description/>
  <cp:lastModifiedBy>Eric Tang</cp:lastModifiedBy>
  <cp:revision/>
  <dcterms:created xsi:type="dcterms:W3CDTF">2024-02-07T07:43:00Z</dcterms:created>
  <dcterms:modified xsi:type="dcterms:W3CDTF">2024-12-06T16:59:14Z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6BD3FE08F50D43308719C3E877096B98_12</vt:lpwstr>
  </property>
  <property fmtid="{D5CDD505-2E9C-101B-9397-08002B2CF9AE}" pid="3" name="KSOProductBuildVer">
    <vt:lpwstr>2052-12.1.0.16388</vt:lpwstr>
  </property>
</Properties>
</file>