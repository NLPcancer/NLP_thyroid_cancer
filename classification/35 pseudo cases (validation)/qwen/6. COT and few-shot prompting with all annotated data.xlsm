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66FAFBD9-1537-4A71-9719-5A1D3250D8E6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6" l="1" a="1"/>
  <c r="V4" i="16" s="1"/>
  <c r="Y4" i="16" s="1"/>
  <c r="V5" i="16" a="1"/>
  <c r="V5" i="16" s="1"/>
  <c r="Y5" i="16" s="1"/>
  <c r="V6" i="16" a="1"/>
  <c r="V6" i="16" s="1"/>
  <c r="Y6" i="16" s="1"/>
  <c r="V7" i="16" a="1"/>
  <c r="V7" i="16" s="1"/>
  <c r="V8" i="16" a="1"/>
  <c r="V8" i="16" s="1"/>
  <c r="Y8" i="16" s="1"/>
  <c r="V9" i="16" a="1"/>
  <c r="V9" i="16" s="1"/>
  <c r="Y9" i="16" s="1"/>
  <c r="V10" i="16" a="1"/>
  <c r="V10" i="16" s="1"/>
  <c r="Y10" i="16" s="1"/>
  <c r="V11" i="16" a="1"/>
  <c r="V11" i="16" s="1"/>
  <c r="Y11" i="16" s="1"/>
  <c r="V12" i="16" a="1"/>
  <c r="V12" i="16" s="1"/>
  <c r="Y12" i="16" s="1"/>
  <c r="V13" i="16" a="1"/>
  <c r="V13" i="16" s="1"/>
  <c r="Y13" i="16" s="1"/>
  <c r="V14" i="16" a="1"/>
  <c r="V14" i="16" s="1"/>
  <c r="V15" i="16" a="1"/>
  <c r="V15" i="16" s="1"/>
  <c r="V16" i="16" a="1"/>
  <c r="V16" i="16" s="1"/>
  <c r="V17" i="16" a="1"/>
  <c r="V17" i="16" s="1"/>
  <c r="Y17" i="16" s="1"/>
  <c r="V18" i="16" a="1"/>
  <c r="V18" i="16" s="1"/>
  <c r="V19" i="16" a="1"/>
  <c r="V19" i="16" s="1"/>
  <c r="Y19" i="16" s="1"/>
  <c r="V20" i="16" a="1"/>
  <c r="V20" i="16" s="1"/>
  <c r="Y20" i="16" s="1"/>
  <c r="V21" i="16" a="1"/>
  <c r="V21" i="16" s="1"/>
  <c r="Y21" i="16" s="1"/>
  <c r="V22" i="16" a="1"/>
  <c r="V22" i="16" s="1"/>
  <c r="Y22" i="16" s="1"/>
  <c r="V23" i="16" a="1"/>
  <c r="V23" i="16" s="1"/>
  <c r="V24" i="16" a="1"/>
  <c r="V24" i="16" s="1"/>
  <c r="Y24" i="16" s="1"/>
  <c r="V25" i="16" a="1"/>
  <c r="V25" i="16" s="1"/>
  <c r="Y25" i="16" s="1"/>
  <c r="V26" i="16" a="1"/>
  <c r="V26" i="16" s="1"/>
  <c r="Y26" i="16" s="1"/>
  <c r="V27" i="16" a="1"/>
  <c r="V27" i="16" s="1"/>
  <c r="Y27" i="16" s="1"/>
  <c r="V28" i="16" a="1"/>
  <c r="V28" i="16" s="1"/>
  <c r="Y28" i="16" s="1"/>
  <c r="V29" i="16" a="1"/>
  <c r="V29" i="16" s="1"/>
  <c r="Y29" i="16" s="1"/>
  <c r="V30" i="16" a="1"/>
  <c r="V30" i="16" s="1"/>
  <c r="Y30" i="16" s="1"/>
  <c r="V31" i="16" a="1"/>
  <c r="V31" i="16" s="1"/>
  <c r="Y31" i="16" s="1"/>
  <c r="V32" i="16" a="1"/>
  <c r="V32" i="16" s="1"/>
  <c r="Y32" i="16" s="1"/>
  <c r="V33" i="16" a="1"/>
  <c r="V33" i="16" s="1"/>
  <c r="V34" i="16" a="1"/>
  <c r="V34" i="16" s="1"/>
  <c r="V35" i="16" a="1"/>
  <c r="V35" i="16" s="1"/>
  <c r="Y35" i="16" s="1"/>
  <c r="V36" i="16" a="1"/>
  <c r="V36" i="16" s="1"/>
  <c r="V37" i="16" a="1"/>
  <c r="V37" i="16" s="1"/>
  <c r="V3" i="16" a="1"/>
  <c r="V3" i="16" s="1"/>
  <c r="Y3" i="16" s="1"/>
  <c r="M19" i="16"/>
  <c r="J19" i="16" s="1" a="1"/>
  <c r="J19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F7" i="16" l="1" a="1"/>
  <c r="F7" i="16" s="1"/>
  <c r="F27" i="16" a="1"/>
  <c r="F27" i="16" s="1"/>
  <c r="F31" i="16" a="1"/>
  <c r="F31" i="16" s="1"/>
  <c r="F3" i="16" a="1"/>
  <c r="F3" i="16" s="1"/>
  <c r="F8" i="16" a="1"/>
  <c r="F8" i="16" s="1"/>
  <c r="F28" i="16" a="1"/>
  <c r="F28" i="16" s="1"/>
  <c r="F9" i="16" a="1"/>
  <c r="F9" i="16" s="1"/>
  <c r="F29" i="16" a="1"/>
  <c r="F29" i="16" s="1"/>
  <c r="F5" i="16" a="1"/>
  <c r="F5" i="16" s="1"/>
  <c r="F10" i="16" a="1"/>
  <c r="F10" i="16" s="1"/>
  <c r="F30" i="16" a="1"/>
  <c r="F30" i="16" s="1"/>
  <c r="F11" i="16" a="1"/>
  <c r="F11" i="16" s="1"/>
  <c r="F32" i="16" a="1"/>
  <c r="F32" i="16" s="1"/>
  <c r="F12" i="16" a="1"/>
  <c r="F12" i="16" s="1"/>
  <c r="F13" i="16" a="1"/>
  <c r="F13" i="16" s="1"/>
  <c r="F14" i="16" a="1"/>
  <c r="F14" i="16" s="1"/>
  <c r="F34" i="16" a="1"/>
  <c r="F34" i="16" s="1"/>
  <c r="F15" i="16" a="1"/>
  <c r="F15" i="16" s="1"/>
  <c r="F4" i="16" a="1"/>
  <c r="F4" i="16" s="1"/>
  <c r="F16" i="16" a="1"/>
  <c r="F16" i="16" s="1"/>
  <c r="F36" i="16" a="1"/>
  <c r="F36" i="16" s="1"/>
  <c r="F17" i="16" a="1"/>
  <c r="F17" i="16" s="1"/>
  <c r="F37" i="16" a="1"/>
  <c r="F3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35" i="16" a="1"/>
  <c r="F35" i="16" s="1"/>
  <c r="F24" i="16" a="1"/>
  <c r="F24" i="16" s="1"/>
  <c r="F33" i="16" a="1"/>
  <c r="F33" i="16" s="1"/>
  <c r="F25" i="16" a="1"/>
  <c r="F25" i="16" s="1"/>
  <c r="F26" i="16" a="1"/>
  <c r="F26" i="16" s="1"/>
  <c r="F6" i="16" a="1"/>
  <c r="F6" i="16" s="1"/>
  <c r="K4" i="16" a="1"/>
  <c r="K4" i="16" s="1"/>
  <c r="H4" i="16" s="1" a="1"/>
  <c r="H4" i="16" s="1"/>
  <c r="K24" i="16" a="1"/>
  <c r="K24" i="16" s="1"/>
  <c r="H24" i="16" s="1" a="1"/>
  <c r="H24" i="16" s="1"/>
  <c r="AF8" i="16" a="1"/>
  <c r="AF8" i="16" s="1"/>
  <c r="AF27" i="16" a="1"/>
  <c r="AF27" i="16" s="1"/>
  <c r="AG11" i="16" a="1"/>
  <c r="AG11" i="16" s="1"/>
  <c r="AG31" i="16" a="1"/>
  <c r="AG31" i="16" s="1"/>
  <c r="AG13" i="16" a="1"/>
  <c r="AG13" i="16" s="1"/>
  <c r="AG34" i="16" a="1"/>
  <c r="AG34" i="16" s="1"/>
  <c r="K5" i="16" a="1"/>
  <c r="K5" i="16" s="1"/>
  <c r="H5" i="16" s="1" a="1"/>
  <c r="H5" i="16" s="1"/>
  <c r="K25" i="16" a="1"/>
  <c r="K25" i="16" s="1"/>
  <c r="H25" i="16" s="1" a="1"/>
  <c r="H25" i="16" s="1"/>
  <c r="AF28" i="16" a="1"/>
  <c r="AF28" i="16" s="1"/>
  <c r="AG12" i="16" a="1"/>
  <c r="AG12" i="16" s="1"/>
  <c r="AG32" i="16" a="1"/>
  <c r="AG32" i="16" s="1"/>
  <c r="AF29" i="16" a="1"/>
  <c r="AF29" i="16" s="1"/>
  <c r="K6" i="16" a="1"/>
  <c r="K6" i="16" s="1"/>
  <c r="H6" i="16" s="1" a="1"/>
  <c r="H6" i="16" s="1"/>
  <c r="K26" i="16" a="1"/>
  <c r="K26" i="16" s="1"/>
  <c r="H26" i="16" s="1" a="1"/>
  <c r="H26" i="16" s="1"/>
  <c r="AF9" i="16" a="1"/>
  <c r="AF9" i="16" s="1"/>
  <c r="AG33" i="16" a="1"/>
  <c r="AG33" i="16" s="1"/>
  <c r="K7" i="16" a="1"/>
  <c r="K7" i="16" s="1"/>
  <c r="H7" i="16" s="1" a="1"/>
  <c r="H7" i="16" s="1"/>
  <c r="K27" i="16" a="1"/>
  <c r="K27" i="16" s="1"/>
  <c r="H27" i="16" s="1" a="1"/>
  <c r="H27" i="16" s="1"/>
  <c r="AF10" i="16" a="1"/>
  <c r="AF10" i="16" s="1"/>
  <c r="AF30" i="16" a="1"/>
  <c r="AF30" i="16" s="1"/>
  <c r="AG14" i="16" a="1"/>
  <c r="AG14" i="16" s="1"/>
  <c r="K8" i="16" a="1"/>
  <c r="K8" i="16" s="1"/>
  <c r="K28" i="16" a="1"/>
  <c r="K28" i="16" s="1"/>
  <c r="H28" i="16" s="1" a="1"/>
  <c r="H28" i="16" s="1"/>
  <c r="AF11" i="16" a="1"/>
  <c r="AF11" i="16" s="1"/>
  <c r="AF31" i="16" a="1"/>
  <c r="AF31" i="16" s="1"/>
  <c r="AG15" i="16" a="1"/>
  <c r="AG15" i="16" s="1"/>
  <c r="AG35" i="16" a="1"/>
  <c r="AG35" i="16" s="1"/>
  <c r="AG16" i="16" a="1"/>
  <c r="AG16" i="16" s="1"/>
  <c r="K9" i="16" a="1"/>
  <c r="K9" i="16" s="1"/>
  <c r="K29" i="16" a="1"/>
  <c r="K29" i="16" s="1"/>
  <c r="AF12" i="16" a="1"/>
  <c r="AF12" i="16" s="1"/>
  <c r="AF32" i="16" a="1"/>
  <c r="AF32" i="16" s="1"/>
  <c r="K10" i="16" a="1"/>
  <c r="K10" i="16" s="1"/>
  <c r="H10" i="16" s="1" a="1"/>
  <c r="H10" i="16" s="1"/>
  <c r="K30" i="16" a="1"/>
  <c r="K30" i="16" s="1"/>
  <c r="H30" i="16" s="1" a="1"/>
  <c r="H30" i="16" s="1"/>
  <c r="AF13" i="16" a="1"/>
  <c r="AF13" i="16" s="1"/>
  <c r="AF33" i="16" a="1"/>
  <c r="AF33" i="16" s="1"/>
  <c r="AG17" i="16" a="1"/>
  <c r="AG17" i="16" s="1"/>
  <c r="AG37" i="16" a="1"/>
  <c r="AG37" i="16" s="1"/>
  <c r="K11" i="16" a="1"/>
  <c r="K11" i="16" s="1"/>
  <c r="K31" i="16" a="1"/>
  <c r="K31" i="16" s="1"/>
  <c r="AF14" i="16" a="1"/>
  <c r="AF14" i="16" s="1"/>
  <c r="AF34" i="16" a="1"/>
  <c r="AF34" i="16" s="1"/>
  <c r="AG18" i="16" a="1"/>
  <c r="AG18" i="16" s="1"/>
  <c r="K12" i="16" a="1"/>
  <c r="K12" i="16" s="1"/>
  <c r="K32" i="16" a="1"/>
  <c r="K32" i="16" s="1"/>
  <c r="AF15" i="16" a="1"/>
  <c r="AF15" i="16" s="1"/>
  <c r="AF35" i="16" a="1"/>
  <c r="AF35" i="16" s="1"/>
  <c r="K13" i="16" a="1"/>
  <c r="K13" i="16" s="1"/>
  <c r="K33" i="16" a="1"/>
  <c r="K33" i="16" s="1"/>
  <c r="AF16" i="16" a="1"/>
  <c r="AF16" i="16" s="1"/>
  <c r="AF36" i="16" a="1"/>
  <c r="AF36" i="16" s="1"/>
  <c r="AG20" i="16" a="1"/>
  <c r="AG20" i="16" s="1"/>
  <c r="AF3" i="16" a="1"/>
  <c r="AF3" i="16" s="1"/>
  <c r="AG19" i="16" a="1"/>
  <c r="AG19" i="16" s="1"/>
  <c r="K14" i="16" a="1"/>
  <c r="K14" i="16" s="1"/>
  <c r="K34" i="16" a="1"/>
  <c r="K34" i="16" s="1"/>
  <c r="AF17" i="16" a="1"/>
  <c r="AF17" i="16" s="1"/>
  <c r="AF37" i="16" a="1"/>
  <c r="AF37" i="16" s="1"/>
  <c r="AG21" i="16" a="1"/>
  <c r="AG21" i="16" s="1"/>
  <c r="AG23" i="16" a="1"/>
  <c r="AG23" i="16" s="1"/>
  <c r="K15" i="16" a="1"/>
  <c r="K15" i="16" s="1"/>
  <c r="K35" i="16" a="1"/>
  <c r="K35" i="16" s="1"/>
  <c r="H35" i="16" s="1" a="1"/>
  <c r="H35" i="16" s="1"/>
  <c r="AF18" i="16" a="1"/>
  <c r="AF18" i="16" s="1"/>
  <c r="AG22" i="16" a="1"/>
  <c r="AG22" i="16" s="1"/>
  <c r="K16" i="16" a="1"/>
  <c r="K16" i="16" s="1"/>
  <c r="K36" i="16" a="1"/>
  <c r="K36" i="16" s="1"/>
  <c r="AF19" i="16" a="1"/>
  <c r="AF19" i="16" s="1"/>
  <c r="AG3" i="16" a="1"/>
  <c r="AG3" i="16" s="1"/>
  <c r="K17" i="16" a="1"/>
  <c r="K17" i="16" s="1"/>
  <c r="H17" i="16" s="1" a="1"/>
  <c r="H17" i="16" s="1"/>
  <c r="K37" i="16" a="1"/>
  <c r="K37" i="16" s="1"/>
  <c r="H37" i="16" s="1" a="1"/>
  <c r="H37" i="16" s="1"/>
  <c r="AF20" i="16" a="1"/>
  <c r="AF20" i="16" s="1"/>
  <c r="AG4" i="16" a="1"/>
  <c r="AG4" i="16" s="1"/>
  <c r="AG24" i="16" a="1"/>
  <c r="AG24" i="16" s="1"/>
  <c r="K18" i="16" a="1"/>
  <c r="K18" i="16" s="1"/>
  <c r="H18" i="16" s="1" a="1"/>
  <c r="H18" i="16" s="1"/>
  <c r="K3" i="16" a="1"/>
  <c r="K3" i="16" s="1"/>
  <c r="AF21" i="16" a="1"/>
  <c r="AF21" i="16" s="1"/>
  <c r="AG5" i="16" a="1"/>
  <c r="AG5" i="16" s="1"/>
  <c r="AG25" i="16" a="1"/>
  <c r="AG25" i="16" s="1"/>
  <c r="K19" i="16" a="1"/>
  <c r="K19" i="16" s="1"/>
  <c r="AF22" i="16" a="1"/>
  <c r="AF22" i="16" s="1"/>
  <c r="AG6" i="16" a="1"/>
  <c r="AG6" i="16" s="1"/>
  <c r="AG26" i="16" a="1"/>
  <c r="AG26" i="16" s="1"/>
  <c r="K20" i="16" a="1"/>
  <c r="K20" i="16" s="1"/>
  <c r="AF4" i="16" a="1"/>
  <c r="AF4" i="16" s="1"/>
  <c r="AF23" i="16" a="1"/>
  <c r="AF23" i="16" s="1"/>
  <c r="AG7" i="16" a="1"/>
  <c r="AG7" i="16" s="1"/>
  <c r="AG27" i="16" a="1"/>
  <c r="AG27" i="16" s="1"/>
  <c r="AG28" i="16" a="1"/>
  <c r="AG28" i="16" s="1"/>
  <c r="K21" i="16" a="1"/>
  <c r="K21" i="16" s="1"/>
  <c r="H21" i="16" s="1" a="1"/>
  <c r="H21" i="16" s="1"/>
  <c r="AF5" i="16" a="1"/>
  <c r="AF5" i="16" s="1"/>
  <c r="AF24" i="16" a="1"/>
  <c r="AF24" i="16" s="1"/>
  <c r="AG8" i="16" a="1"/>
  <c r="AG8" i="16" s="1"/>
  <c r="K22" i="16" a="1"/>
  <c r="K22" i="16" s="1"/>
  <c r="H22" i="16" s="1" a="1"/>
  <c r="H22" i="16" s="1"/>
  <c r="AF6" i="16" a="1"/>
  <c r="AF6" i="16" s="1"/>
  <c r="AF25" i="16" a="1"/>
  <c r="AF25" i="16" s="1"/>
  <c r="AG9" i="16" a="1"/>
  <c r="AG9" i="16" s="1"/>
  <c r="AG29" i="16" a="1"/>
  <c r="AG29" i="16" s="1"/>
  <c r="K23" i="16" a="1"/>
  <c r="K23" i="16" s="1"/>
  <c r="H23" i="16" s="1" a="1"/>
  <c r="H23" i="16" s="1"/>
  <c r="AF7" i="16" a="1"/>
  <c r="AF7" i="16" s="1"/>
  <c r="AF26" i="16" a="1"/>
  <c r="AF26" i="16" s="1"/>
  <c r="AG10" i="16" a="1"/>
  <c r="AG10" i="16" s="1"/>
  <c r="AG30" i="16" a="1"/>
  <c r="AG30" i="16" s="1"/>
  <c r="AG36" i="16" a="1"/>
  <c r="AG36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Z22" i="16" a="1"/>
  <c r="Z22" i="16" s="1"/>
  <c r="Q31" i="16" a="1"/>
  <c r="Q31" i="16" s="1"/>
  <c r="Q11" i="16" a="1"/>
  <c r="Q11" i="16" s="1"/>
  <c r="Z21" i="16" a="1"/>
  <c r="Z21" i="16" s="1"/>
  <c r="Q30" i="16" a="1"/>
  <c r="Q30" i="16" s="1"/>
  <c r="Q10" i="16" a="1"/>
  <c r="Q10" i="16" s="1"/>
  <c r="Z20" i="16" a="1"/>
  <c r="Z20" i="16" s="1"/>
  <c r="B27" i="16"/>
  <c r="B7" i="16"/>
  <c r="E22" i="16"/>
  <c r="Q29" i="16" a="1"/>
  <c r="Q29" i="16" s="1"/>
  <c r="Q9" i="16" a="1"/>
  <c r="Q9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AL32" i="16" s="1"/>
  <c r="G10" i="16" a="1"/>
  <c r="G10" i="16" s="1"/>
  <c r="S7" i="16" a="1"/>
  <c r="S7" i="16" s="1"/>
  <c r="S27" i="16" a="1"/>
  <c r="S27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Y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Y33" i="16" s="1"/>
  <c r="X14" i="16" a="1"/>
  <c r="X14" i="16" s="1"/>
  <c r="Y14" i="16" s="1"/>
  <c r="X34" i="16" a="1"/>
  <c r="X34" i="16" s="1"/>
  <c r="Y34" i="16" s="1"/>
  <c r="X15" i="16" a="1"/>
  <c r="X15" i="16" s="1"/>
  <c r="Y15" i="16" s="1"/>
  <c r="X35" i="16" a="1"/>
  <c r="X35" i="16" s="1"/>
  <c r="X16" i="16" a="1"/>
  <c r="X16" i="16" s="1"/>
  <c r="Y16" i="16" s="1"/>
  <c r="X36" i="16" a="1"/>
  <c r="X36" i="16" s="1"/>
  <c r="Y36" i="16" s="1"/>
  <c r="X17" i="16" a="1"/>
  <c r="X17" i="16" s="1"/>
  <c r="X37" i="16" a="1"/>
  <c r="X37" i="16" s="1"/>
  <c r="Y37" i="16" s="1"/>
  <c r="X18" i="16" a="1"/>
  <c r="X18" i="16" s="1"/>
  <c r="Y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Y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Z33" i="16" a="1"/>
  <c r="Z33" i="16" s="1"/>
  <c r="Z13" i="16" a="1"/>
  <c r="Z13" i="16" s="1"/>
  <c r="Q22" i="16" a="1"/>
  <c r="Q22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W3" i="16" s="1" a="1"/>
  <c r="W3" i="16" s="1"/>
  <c r="B18" i="16"/>
  <c r="E33" i="16"/>
  <c r="E13" i="16"/>
  <c r="Q20" i="16" a="1"/>
  <c r="Q20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T23" i="16" a="1"/>
  <c r="T21" i="16" a="1"/>
  <c r="T11" i="16" a="1"/>
  <c r="N11" i="16" a="1"/>
  <c r="T14" i="16" a="1"/>
  <c r="N8" i="16" a="1"/>
  <c r="N29" i="16" a="1"/>
  <c r="T7" i="16" a="1"/>
  <c r="N31" i="16" a="1"/>
  <c r="T17" i="16" a="1"/>
  <c r="N33" i="16" a="1"/>
  <c r="T3" i="16" a="1"/>
  <c r="T35" i="16" a="1"/>
  <c r="N5" i="16" a="1"/>
  <c r="T30" i="16" a="1"/>
  <c r="T16" i="16" a="1"/>
  <c r="N16" i="16" a="1"/>
  <c r="T18" i="16" a="1"/>
  <c r="N34" i="16" a="1"/>
  <c r="N17" i="16" a="1"/>
  <c r="T6" i="16" a="1"/>
  <c r="N13" i="16" a="1"/>
  <c r="T25" i="16" a="1"/>
  <c r="N18" i="16" a="1"/>
  <c r="T4" i="16" a="1"/>
  <c r="N4" i="16" a="1"/>
  <c r="N25" i="16" a="1"/>
  <c r="N21" i="16" a="1"/>
  <c r="T20" i="16" a="1"/>
  <c r="T8" i="16" a="1"/>
  <c r="T27" i="16" a="1"/>
  <c r="N19" i="16" a="1"/>
  <c r="T22" i="16" a="1"/>
  <c r="N7" i="16" a="1"/>
  <c r="N22" i="16" a="1"/>
  <c r="N23" i="16" a="1"/>
  <c r="N28" i="16" a="1"/>
  <c r="N14" i="16" a="1"/>
  <c r="N6" i="16" a="1"/>
  <c r="T37" i="16" a="1"/>
  <c r="N10" i="16" a="1"/>
  <c r="T13" i="16" a="1"/>
  <c r="T24" i="16" a="1"/>
  <c r="T36" i="16" a="1"/>
  <c r="T29" i="16" a="1"/>
  <c r="N27" i="16" a="1"/>
  <c r="N24" i="16" a="1"/>
  <c r="T32" i="16" a="1"/>
  <c r="N36" i="16" a="1"/>
  <c r="N30" i="16" a="1"/>
  <c r="T26" i="16" a="1"/>
  <c r="N9" i="16" a="1"/>
  <c r="T28" i="16" a="1"/>
  <c r="T31" i="16" a="1"/>
  <c r="T10" i="16" a="1"/>
  <c r="T34" i="16" a="1"/>
  <c r="T5" i="16" a="1"/>
  <c r="N35" i="16" a="1"/>
  <c r="T12" i="16" a="1"/>
  <c r="T19" i="16" a="1"/>
  <c r="N26" i="16" a="1"/>
  <c r="T33" i="16" a="1"/>
  <c r="N3" i="16" a="1"/>
  <c r="N37" i="16" a="1"/>
  <c r="N12" i="16" a="1"/>
  <c r="T9" i="16" a="1"/>
  <c r="N20" i="16" a="1"/>
  <c r="N32" i="16" a="1"/>
  <c r="T15" i="16" a="1"/>
  <c r="N15" i="16" a="1"/>
  <c r="AE18" i="16" l="1"/>
  <c r="AA18" i="16"/>
  <c r="AE34" i="16"/>
  <c r="AA34" i="16"/>
  <c r="AA27" i="16"/>
  <c r="AE27" i="16"/>
  <c r="AE14" i="16"/>
  <c r="AA14" i="16"/>
  <c r="AA8" i="16"/>
  <c r="AE8" i="16"/>
  <c r="AA26" i="16"/>
  <c r="AE26" i="16"/>
  <c r="AE22" i="16"/>
  <c r="AA22" i="16"/>
  <c r="AE30" i="16"/>
  <c r="AA30" i="16"/>
  <c r="AA7" i="16"/>
  <c r="AE7" i="16"/>
  <c r="AE10" i="16"/>
  <c r="AA10" i="16"/>
  <c r="AE37" i="16"/>
  <c r="AA37" i="16"/>
  <c r="AE17" i="16"/>
  <c r="AA17" i="16"/>
  <c r="AJ36" i="16"/>
  <c r="AL24" i="16"/>
  <c r="AE21" i="16"/>
  <c r="AA21" i="16"/>
  <c r="AE33" i="16"/>
  <c r="AA33" i="16"/>
  <c r="AA25" i="16"/>
  <c r="AE25" i="16"/>
  <c r="AE13" i="16"/>
  <c r="AA13" i="16"/>
  <c r="AE9" i="16"/>
  <c r="AA9" i="16"/>
  <c r="AE3" i="16"/>
  <c r="AA3" i="16"/>
  <c r="AE32" i="16"/>
  <c r="AA32" i="16"/>
  <c r="AE29" i="16"/>
  <c r="AA29" i="16"/>
  <c r="AJ17" i="16"/>
  <c r="AI17" i="16"/>
  <c r="AA24" i="16"/>
  <c r="AE24" i="16"/>
  <c r="AE20" i="16"/>
  <c r="AA20" i="16"/>
  <c r="AE36" i="16"/>
  <c r="AA36" i="16"/>
  <c r="AE12" i="16"/>
  <c r="AA12" i="16"/>
  <c r="AA6" i="16"/>
  <c r="AE6" i="16"/>
  <c r="AA5" i="16"/>
  <c r="AE5" i="16"/>
  <c r="AE16" i="16"/>
  <c r="AJ16" i="16" s="1"/>
  <c r="AA16" i="16"/>
  <c r="AJ34" i="16"/>
  <c r="AM34" i="16" s="1"/>
  <c r="AA28" i="16"/>
  <c r="AE28" i="16"/>
  <c r="AJ37" i="16"/>
  <c r="AE19" i="16"/>
  <c r="AA19" i="16"/>
  <c r="AE35" i="16"/>
  <c r="AA35" i="16"/>
  <c r="AJ20" i="16"/>
  <c r="AL26" i="16"/>
  <c r="AE15" i="16"/>
  <c r="AA15" i="16"/>
  <c r="AE23" i="16"/>
  <c r="AA23" i="16"/>
  <c r="AE31" i="16"/>
  <c r="AA31" i="16"/>
  <c r="AA4" i="16"/>
  <c r="AE4" i="16"/>
  <c r="AE11" i="16"/>
  <c r="AA11" i="16"/>
  <c r="AL27" i="16"/>
  <c r="AL6" i="16"/>
  <c r="AL12" i="16"/>
  <c r="AL8" i="16"/>
  <c r="AL7" i="16"/>
  <c r="AM7" i="16" s="1"/>
  <c r="AM32" i="16"/>
  <c r="AM27" i="16"/>
  <c r="AM37" i="16"/>
  <c r="AM24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O18" i="16" a="1"/>
  <c r="O6" i="16" a="1"/>
  <c r="U29" i="16" a="1"/>
  <c r="U22" i="16" a="1"/>
  <c r="O35" i="16" a="1"/>
  <c r="O12" i="16" a="1"/>
  <c r="O21" i="16" a="1"/>
  <c r="U9" i="16" a="1"/>
  <c r="U10" i="16" a="1"/>
  <c r="U28" i="16" a="1"/>
  <c r="O30" i="16" a="1"/>
  <c r="O36" i="16" a="1"/>
  <c r="O29" i="16" a="1"/>
  <c r="U37" i="16" a="1"/>
  <c r="U26" i="16" a="1"/>
  <c r="U16" i="16" a="1"/>
  <c r="U20" i="16" a="1"/>
  <c r="U13" i="16" a="1"/>
  <c r="O15" i="16" a="1"/>
  <c r="O25" i="16" a="1"/>
  <c r="U31" i="16" a="1"/>
  <c r="O22" i="16" a="1"/>
  <c r="U32" i="16" a="1"/>
  <c r="O8" i="16" a="1"/>
  <c r="U36" i="16" a="1"/>
  <c r="U35" i="16" a="1"/>
  <c r="U12" i="16" a="1"/>
  <c r="U30" i="16" a="1"/>
  <c r="O4" i="16" a="1"/>
  <c r="U25" i="16" a="1"/>
  <c r="O7" i="16" a="1"/>
  <c r="O20" i="16" a="1"/>
  <c r="U19" i="16" a="1"/>
  <c r="O5" i="16" a="1"/>
  <c r="O28" i="16" a="1"/>
  <c r="U7" i="16" a="1"/>
  <c r="O14" i="16" a="1"/>
  <c r="O9" i="16" a="1"/>
  <c r="U14" i="16" a="1"/>
  <c r="U27" i="16" a="1"/>
  <c r="O11" i="16" a="1"/>
  <c r="U33" i="16" a="1"/>
  <c r="U17" i="16" a="1"/>
  <c r="O17" i="16" a="1"/>
  <c r="O32" i="16" a="1"/>
  <c r="U8" i="16" a="1"/>
  <c r="O26" i="16" a="1"/>
  <c r="U6" i="16" a="1"/>
  <c r="O23" i="16" a="1"/>
  <c r="O31" i="16" a="1"/>
  <c r="O34" i="16" a="1"/>
  <c r="U15" i="16" a="1"/>
  <c r="U11" i="16" a="1"/>
  <c r="O19" i="16" a="1"/>
  <c r="O33" i="16" a="1"/>
  <c r="O24" i="16" a="1"/>
  <c r="O10" i="16" a="1"/>
  <c r="O37" i="16" a="1"/>
  <c r="O13" i="16" a="1"/>
  <c r="U4" i="16" a="1"/>
  <c r="U21" i="16" a="1"/>
  <c r="U18" i="16" a="1"/>
  <c r="U34" i="16" a="1"/>
  <c r="O16" i="16" a="1"/>
  <c r="U3" i="16" a="1"/>
  <c r="O27" i="16" a="1"/>
  <c r="U5" i="16" a="1"/>
  <c r="O3" i="16" a="1"/>
  <c r="U23" i="16" a="1"/>
  <c r="U24" i="16" a="1"/>
  <c r="AM36" i="16" l="1"/>
  <c r="O19" i="16"/>
  <c r="AJ7" i="16"/>
  <c r="AJ26" i="16"/>
  <c r="AM26" i="16" s="1"/>
  <c r="AM20" i="16"/>
  <c r="AJ28" i="16"/>
  <c r="AJ15" i="16"/>
  <c r="AK34" i="16"/>
  <c r="AK35" i="16"/>
  <c r="AK18" i="16"/>
  <c r="AK12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AJ8" i="16" s="1"/>
  <c r="U33" i="16"/>
  <c r="AJ33" i="16" s="1"/>
  <c r="U31" i="16"/>
  <c r="AJ31" i="16" s="1"/>
  <c r="U19" i="16"/>
  <c r="AJ19" i="16" s="1"/>
  <c r="U22" i="16"/>
  <c r="AJ22" i="16" s="1"/>
  <c r="U15" i="16"/>
  <c r="U37" i="16"/>
  <c r="U11" i="16"/>
  <c r="AJ11" i="16" s="1"/>
  <c r="AM11" i="16" s="1"/>
  <c r="U13" i="16"/>
  <c r="AJ13" i="16" s="1"/>
  <c r="AM13" i="16" s="1"/>
  <c r="U24" i="16"/>
  <c r="AJ24" i="16" s="1"/>
  <c r="U29" i="16"/>
  <c r="AJ29" i="16" s="1"/>
  <c r="U30" i="16"/>
  <c r="AJ30" i="16" s="1"/>
  <c r="AM30" i="16" s="1"/>
  <c r="U17" i="16"/>
  <c r="U20" i="16"/>
  <c r="U14" i="16"/>
  <c r="AJ14" i="16" s="1"/>
  <c r="AM14" i="16" s="1"/>
  <c r="U35" i="16"/>
  <c r="AJ35" i="16" s="1"/>
  <c r="U21" i="16"/>
  <c r="AJ21" i="16" s="1"/>
  <c r="U5" i="16"/>
  <c r="AJ5" i="16" s="1"/>
  <c r="U16" i="16"/>
  <c r="U3" i="16"/>
  <c r="AJ3" i="16" s="1"/>
  <c r="U36" i="16"/>
  <c r="U28" i="16"/>
  <c r="U32" i="16"/>
  <c r="AJ32" i="16" s="1"/>
  <c r="U27" i="16"/>
  <c r="AJ27" i="16" s="1"/>
  <c r="U7" i="16"/>
  <c r="U6" i="16"/>
  <c r="AJ6" i="16" s="1"/>
  <c r="U12" i="16"/>
  <c r="AJ12" i="16" s="1"/>
  <c r="U18" i="16"/>
  <c r="AJ18" i="16" s="1"/>
  <c r="U10" i="16"/>
  <c r="AJ10" i="16" s="1"/>
  <c r="U23" i="16"/>
  <c r="AJ23" i="16" s="1"/>
  <c r="U26" i="16"/>
  <c r="U4" i="16"/>
  <c r="AJ4" i="16" s="1"/>
  <c r="U9" i="16"/>
  <c r="AJ9" i="16" s="1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U31" i="16"/>
  <c r="AV30" i="16"/>
  <c r="AU30" i="16"/>
  <c r="AU29" i="16"/>
  <c r="AV28" i="16"/>
  <c r="AV27" i="16"/>
  <c r="AV26" i="16"/>
  <c r="AU26" i="16"/>
  <c r="AV25" i="16"/>
  <c r="AU23" i="16"/>
  <c r="AV22" i="16"/>
  <c r="AU22" i="16"/>
  <c r="AV20" i="16"/>
  <c r="AU20" i="16"/>
  <c r="AU19" i="16"/>
  <c r="AU18" i="16"/>
  <c r="P25" i="16" a="1"/>
  <c r="P34" i="16" a="1"/>
  <c r="P10" i="16" a="1"/>
  <c r="P5" i="16" a="1"/>
  <c r="P30" i="16" a="1"/>
  <c r="P31" i="16" a="1"/>
  <c r="P33" i="16" a="1"/>
  <c r="P9" i="16" a="1"/>
  <c r="P16" i="16" a="1"/>
  <c r="P37" i="16" a="1"/>
  <c r="P19" i="16" a="1"/>
  <c r="P21" i="16" a="1"/>
  <c r="P14" i="16" a="1"/>
  <c r="P7" i="16" a="1"/>
  <c r="P20" i="16" a="1"/>
  <c r="P22" i="16" a="1"/>
  <c r="P24" i="16" a="1"/>
  <c r="P23" i="16" a="1"/>
  <c r="P28" i="16" a="1"/>
  <c r="P26" i="16" a="1"/>
  <c r="P18" i="16" a="1"/>
  <c r="P17" i="16" a="1"/>
  <c r="P35" i="16" a="1"/>
  <c r="P27" i="16" a="1"/>
  <c r="P12" i="16" a="1"/>
  <c r="P15" i="16" a="1"/>
  <c r="P4" i="16" a="1"/>
  <c r="P6" i="16" a="1"/>
  <c r="P3" i="16" a="1"/>
  <c r="P36" i="16" a="1"/>
  <c r="P29" i="16" a="1"/>
  <c r="P11" i="16" a="1"/>
  <c r="P8" i="16" a="1"/>
  <c r="P32" i="16" a="1"/>
  <c r="P13" i="16" a="1"/>
  <c r="AM9" i="16" l="1"/>
  <c r="AM31" i="16"/>
  <c r="AM10" i="16"/>
  <c r="P19" i="16"/>
  <c r="AI19" i="16" s="1"/>
  <c r="AU27" i="16"/>
  <c r="AM33" i="16"/>
  <c r="AM3" i="16"/>
  <c r="AM6" i="16"/>
  <c r="AU28" i="16"/>
  <c r="AU24" i="16"/>
  <c r="AM15" i="16"/>
  <c r="AM22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<sst xmlns="http://schemas.openxmlformats.org/spreadsheetml/2006/main" count="739" uniqueCount="346">
  <si>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</si>
  <si>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</si>
  <si>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</si>
  <si>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</si>
  <si>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</si>
  <si>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</si>
  <si>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</si>
  <si>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</si>
  <si>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</si>
  <si>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</si>
  <si>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</si>
  <si>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</si>
  <si>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</si>
  <si>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</si>
  <si>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</si>
  <si>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</si>
  <si>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</si>
  <si>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</si>
  <si>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</si>
  <si>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</si>
  <si>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</si>
  <si>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</si>
  <si>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</si>
  <si>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</si>
  <si>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</si>
  <si>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</si>
  <si>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</si>
  <si>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</si>
  <si>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</si>
  <si>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</si>
  <si>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</si>
  <si>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</si>
  <si>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</si>
  <si>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</si>
  <si>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</si>
  <si>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</si>
  <si>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</si>
  <si>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</si>
  <si>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</si>
  <si>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</si>
  <si>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</si>
  <si>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</si>
  <si>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</si>
  <si>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</si>
  <si>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</si>
  <si>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</si>
  <si>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</si>
  <si>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</si>
  <si>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</si>
  <si>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</si>
  <si>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</si>
  <si>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</si>
  <si>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</si>
  <si>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</si>
  <si>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</si>
  <si>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</si>
  <si>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</si>
  <si>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</si>
  <si>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</si>
  <si>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</si>
  <si>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</si>
  <si>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</si>
  <si>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</si>
  <si>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</si>
  <si>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</si>
  <si>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</si>
  <si>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</si>
  <si>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</si>
  <si>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</si>
  <si>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</si>
  <si>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</si>
  <si>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</si>
  <si>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</si>
  <si>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</si>
  <si>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</si>
  <si>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</si>
  <si>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</si>
  <si>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</si>
  <si>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</si>
  <si>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</si>
  <si>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</si>
  <si>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</si>
  <si>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</si>
  <si>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</si>
  <si>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</si>
  <si>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</si>
  <si>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</si>
  <si>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</si>
  <si>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</si>
  <si>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</si>
  <si>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</si>
  <si>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</si>
  <si>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</si>
  <si>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</si>
  <si>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</si>
  <si>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</si>
  <si>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</si>
  <si>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</si>
  <si>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</si>
  <si>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</si>
  <si>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</si>
  <si>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28o</t>
  </si>
  <si>
    <t>29p</t>
  </si>
  <si>
    <t>29o</t>
  </si>
  <si>
    <t>30p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</si>
  <si>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</si>
  <si>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</si>
  <si>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</si>
  <si>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</si>
  <si>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</si>
  <si>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</si>
  <si>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</si>
  <si>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</si>
  <si>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</si>
  <si>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</si>
  <si>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</si>
  <si>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</si>
  <si>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</si>
  <si>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</si>
  <si>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</si>
  <si>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</si>
  <si>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</si>
  <si>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</si>
  <si>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</si>
  <si>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</si>
  <si>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</si>
  <si>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</si>
  <si>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</si>
  <si>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</si>
  <si>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</si>
  <si>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</si>
  <si>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</si>
  <si>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</si>
  <si>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</si>
  <si>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</si>
  <si>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</si>
  <si>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</si>
  <si>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</si>
  <si>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</si>
  <si>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</si>
  <si>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</si>
  <si>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</si>
  <si>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</si>
  <si>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</si>
  <si>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</si>
  <si>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</si>
  <si>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</si>
  <si>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</si>
  <si>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T3a</t>
  </si>
  <si>
    <t>T4a</t>
  </si>
  <si>
    <t>T1</t>
  </si>
  <si>
    <t>T1a</t>
  </si>
  <si>
    <t>T1b</t>
  </si>
  <si>
    <t>T2</t>
  </si>
  <si>
    <t>T3b</t>
  </si>
  <si>
    <t>Nx</t>
  </si>
  <si>
    <t>N0</t>
  </si>
  <si>
    <t>N1</t>
  </si>
  <si>
    <t>N1a</t>
  </si>
  <si>
    <t>N1b</t>
  </si>
  <si>
    <t>M0</t>
  </si>
  <si>
    <t>M1</t>
  </si>
  <si>
    <t>intermediate</t>
  </si>
  <si>
    <t>high</t>
  </si>
  <si>
    <t>low</t>
  </si>
  <si>
    <t>LN extent</t>
  </si>
  <si>
    <t>Not identified</t>
  </si>
  <si>
    <t>Nontoxic uninodular goitre</t>
  </si>
  <si>
    <t>Left central compartment</t>
  </si>
  <si>
    <t>2cm</t>
  </si>
  <si>
    <t>6.5cm</t>
  </si>
  <si>
    <t>4cm</t>
  </si>
  <si>
    <t>1.3cm</t>
  </si>
  <si>
    <t>2mm</t>
  </si>
  <si>
    <t>10 mm</t>
  </si>
  <si>
    <t>Absent</t>
  </si>
  <si>
    <t>4.5 mm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</si>
  <si>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</si>
  <si>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</si>
  <si>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</si>
  <si>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</si>
  <si>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</si>
  <si>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</si>
  <si>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</si>
  <si>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</si>
  <si>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</si>
  <si>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</si>
  <si>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</si>
  <si>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</si>
  <si>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</si>
  <si>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</si>
  <si>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</si>
  <si>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oncocytic classic</t>
  </si>
  <si>
    <t>minimally invasive</t>
  </si>
  <si>
    <t>papillary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</si>
  <si>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</si>
  <si>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</si>
  <si>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</si>
  <si>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</si>
  <si>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</si>
  <si>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</si>
  <si>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</si>
  <si>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</si>
  <si>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</si>
  <si>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</si>
  <si>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</si>
  <si>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</si>
  <si>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</si>
  <si>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</si>
  <si>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Focally noted</t>
  </si>
  <si>
    <t>Present (focal)</t>
  </si>
  <si>
    <t>lung, bone</t>
  </si>
  <si>
    <t>left lateral level II, III, IV</t>
  </si>
  <si>
    <t>PATIENT ID</t>
  </si>
  <si>
    <t>NX</t>
  </si>
  <si>
    <t>fatty soft tissue at isthmus</t>
  </si>
  <si>
    <t>Invading only strap muscles</t>
  </si>
  <si>
    <t>Present (minimal)</t>
  </si>
  <si>
    <t>Margin</t>
  </si>
  <si>
    <t>16 mm</t>
  </si>
  <si>
    <t>36 x 32 x 26 mm</t>
  </si>
  <si>
    <t>level VI</t>
  </si>
  <si>
    <t>9mm</t>
  </si>
  <si>
    <t>Microscopic extrathyroidal extension to skeletal muscle anterior to the thyroid gland is present</t>
  </si>
  <si>
    <t>isthmus</t>
  </si>
  <si>
    <t>12 mm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</si>
  <si>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</si>
  <si>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</si>
  <si>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</si>
  <si>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</si>
  <si>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</si>
  <si>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</si>
  <si>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</si>
  <si>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</si>
  <si>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</si>
  <si>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</si>
  <si>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</si>
  <si>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</si>
  <si>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</si>
  <si>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</si>
  <si>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pT1</t>
  </si>
  <si>
    <t>right central compartment</t>
  </si>
  <si>
    <t>3 mm (block A7), 4 mm (block B4)</t>
  </si>
  <si>
    <t>50 mm and 30 mm respectively</t>
  </si>
  <si>
    <t>40g</t>
  </si>
  <si>
    <t>pN1b</t>
  </si>
  <si>
    <t>1.1 cm</t>
  </si>
  <si>
    <t>BRAF, KRAS or NRAS hot spot mutation</t>
  </si>
  <si>
    <t>Posterior margin: involved by carcinoma (Block A3)</t>
  </si>
  <si>
    <t>1.8 cm superoinferiorly, 1.6 cm mediolaterally and 1.1 cm anteroposteriorly</t>
  </si>
  <si>
    <t>Close to resection margins</t>
  </si>
  <si>
    <t>7 mm (microscopical dimension)</t>
  </si>
  <si>
    <t>Focally into adjacent fibroadipose tissue (block B3)</t>
  </si>
  <si>
    <t>multinodular goitre</t>
  </si>
  <si>
    <t>50 mm</t>
  </si>
  <si>
    <t>follicular</t>
  </si>
  <si>
    <t>pT3b</t>
  </si>
  <si>
    <t>Invading only strap muscles (sternohyoid, sternothyroid, thyrohyoid, or omohyoid muscles)</t>
  </si>
  <si>
    <t>8 mm</t>
  </si>
  <si>
    <t>30 mm (Macroscopic)</t>
  </si>
  <si>
    <t>Hurthle cell</t>
  </si>
  <si>
    <t>5 mm (middle pole; block 1), 2.5 mm (isthmus; block 3)</t>
  </si>
  <si>
    <t>10g</t>
  </si>
  <si>
    <t>pT4a</t>
  </si>
  <si>
    <t>tall cell variant</t>
  </si>
  <si>
    <t>Cannot be assessed</t>
  </si>
  <si>
    <t>Negative</t>
  </si>
  <si>
    <t>Present</t>
  </si>
  <si>
    <t>Touched posterior and lateral margins and involvement of extrathyroid soft tissue</t>
  </si>
  <si>
    <t>20 mm in greatest dimension (Lower pole tumour), 16 mm in greatest dimension (Isthmus tumour)</t>
  </si>
  <si>
    <t>Invading soft tissue and strap muscles (microscopic extrathyroidal extension present)</t>
  </si>
  <si>
    <t>MINIMALLY INVASIVE FOLLICULAR CARCINOMA</t>
  </si>
  <si>
    <t>Tumor is present</t>
  </si>
  <si>
    <t>Margins uninvolved</t>
  </si>
  <si>
    <t>Anterior surface: &lt; 0.1 mm from carcinoma (block 3)</t>
  </si>
  <si>
    <t>left central compartment LN</t>
  </si>
  <si>
    <t>27 x 22 x 17 mm</t>
  </si>
  <si>
    <t>central compartment, bilateral</t>
  </si>
  <si>
    <t>not entirely encapsulated</t>
  </si>
  <si>
    <t>Involved by invasive carcinoma (block 5)</t>
  </si>
  <si>
    <t>minimally invasive follicular carcinoma</t>
  </si>
  <si>
    <t>Focal Invasion</t>
  </si>
  <si>
    <t>&lt;4</t>
  </si>
  <si>
    <t>Posterior</t>
  </si>
  <si>
    <t>unilateral, bilateral or contralateral lateral neck lymph nodes (levels I, II, III, IV, or V) or retropharyngeal lymph nodes</t>
  </si>
  <si>
    <t>63 mm (macroscopic)</t>
  </si>
  <si>
    <t>Carcinoma extensively involves</t>
  </si>
  <si>
    <t>Left central compartment LN, Lt IJV / phrenic nerve / CNX</t>
  </si>
  <si>
    <t>non-invasive follicular thyroid neoplasm with papillary-like nuclear features</t>
  </si>
  <si>
    <t>40 x 20 x 20 mm</t>
  </si>
  <si>
    <t>Free of tumor</t>
  </si>
  <si>
    <t>Right level III</t>
  </si>
  <si>
    <t>unspecified</t>
  </si>
  <si>
    <t>CA</t>
  </si>
  <si>
    <t>Right level 2, 3, 4 lymph node</t>
  </si>
  <si>
    <t>2.7 cm</t>
  </si>
  <si>
    <t>11 mm (macroscopic)</t>
  </si>
  <si>
    <t>Anterior: 0.2 mm (block B2), Posterior: 1.5 mm (block B2)</t>
  </si>
  <si>
    <t>5 mm (block A5) and 1.5 mm (block A9)</t>
  </si>
  <si>
    <t>Uninvolved for oncocytic adenoma, Uninvolved for papillary carcinoma</t>
  </si>
  <si>
    <t>Posterior: 0.4 mm (block A8) for papillary carcinoma, Anterior: 2.2 mm (block A5) for papillary carcinoma</t>
  </si>
  <si>
    <t>not involved</t>
  </si>
  <si>
    <t>Left level III LN enlarged</t>
  </si>
  <si>
    <t>4.5 x 3 x 2 cm</t>
  </si>
  <si>
    <t>FOLLICULAR CARCINOMA, WIDELY INVASIVE</t>
  </si>
  <si>
    <t>6 cm superoinferiorly, 3.2 cm transversely and 2.5 cm anteroposteriorly</t>
  </si>
  <si>
    <t>&gt;4</t>
  </si>
  <si>
    <t>microcarcinoma</t>
  </si>
  <si>
    <t>Focally involved by carcinoma</t>
  </si>
  <si>
    <t>Anterior surface: Focally involved by carcinoma</t>
  </si>
  <si>
    <t>8 mm, 2 mm</t>
  </si>
  <si>
    <t>Uninvolved</t>
  </si>
  <si>
    <t>Present, specify: Anterior and Posterior margins involved by tumour</t>
  </si>
  <si>
    <t>Anterior, Posterior</t>
  </si>
  <si>
    <t>4 cm vertically, 2-5 cm transversely and 2 cm anteroposteriorly</t>
  </si>
  <si>
    <t>5 or more</t>
  </si>
  <si>
    <t>27g for right thyroid, 10g for left thyroid</t>
  </si>
  <si>
    <t>Uninvolved by carcinoma</t>
  </si>
  <si>
    <t>invading into the region of the recurrent laryngeal nerve, Invades: perithyroid skeletal muscle, WITH MICROSCOPIC EXTRATHYROIDAL EXTENSION, invades subcutaneous soft tissues, invades larynx, invades trachea, invades esophagus, invades recurrent laryngeal nerve</t>
  </si>
  <si>
    <t>Whole left lobe and isthmus, 4cm left SCF LN encasing Lt IJV / phrenic nerve / CNX</t>
  </si>
  <si>
    <t>Present, invading into the region of the recurrent laryngeal nerve, Invades: perithyroid skeletal muscle, Extending to perithyroidal adipose tissue, Extensive invasion into perithyroidal soft tissues with invasion of skeletal muscle</t>
  </si>
  <si>
    <t>Margins involved</t>
  </si>
  <si>
    <t>11 mm, 6 mm</t>
  </si>
  <si>
    <t>Posterior and Anterior</t>
  </si>
  <si>
    <t>1.2 cm superoinferiorly, 0.6 cm anteroposteriorly and 0.5 cm mediolaterally</t>
  </si>
  <si>
    <t>Right lateral neck level II,III,IV</t>
  </si>
  <si>
    <t>Unifocal</t>
  </si>
  <si>
    <t>Involved</t>
  </si>
  <si>
    <t>Free of involvement</t>
  </si>
  <si>
    <t>Extensive (= or &gt;4 vessels)</t>
  </si>
  <si>
    <t>Invading subcutaneous soft tissues, larynx, trachea, esophagus, or recurrent laryngeal nerve (please correlate with surgical and radiological findings)</t>
  </si>
  <si>
    <t>5.5 cm long, up to 1.2 cm in diameter for the largest nodule; 2.5 cm in diameter for the major tumour nodule</t>
  </si>
  <si>
    <t>3 (one in each thyroid and one in lymph nodes)</t>
  </si>
  <si>
    <t>Carcinoma extensively involves antero-inferior pole, anterior aspect of the inferior pole, and reaches capsule</t>
  </si>
  <si>
    <t>left lateral neck LNs, left central compartment LN, left level II, III, IV LN</t>
  </si>
  <si>
    <t>invading into the region of the recurrent laryngeal nerve, invades: perithyroid skeletal muscle, EXTENDING TO PERITHYROIDAL ADIPOSE TISSUE, extentive invasion into perithyroidal soft tissues with invasion of skeletal muscle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</si>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</sst>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11" fillId="0" borderId="0" applyFont="0" applyFill="0" applyBorder="0" applyAlignment="0" applyProtection="0"/>
    <xf numFmtId="0" fontId="5" fillId="0" borderId="0"/>
    <xf numFmtId="0" fontId="4" fillId="0" borderId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9" applyNumberFormat="0" applyAlignment="0" applyProtection="0"/>
    <xf numFmtId="0" fontId="21" fillId="8" borderId="10" applyNumberFormat="0" applyAlignment="0" applyProtection="0"/>
    <xf numFmtId="0" fontId="22" fillId="8" borderId="9" applyNumberFormat="0" applyAlignment="0" applyProtection="0"/>
    <xf numFmtId="0" fontId="23" fillId="0" borderId="11" applyNumberFormat="0" applyFill="0" applyAlignment="0" applyProtection="0"/>
    <xf numFmtId="0" fontId="24" fillId="9" borderId="12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6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6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6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6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6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6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7" fillId="6" borderId="0" applyNumberFormat="0" applyBorder="0" applyAlignment="0" applyProtection="0"/>
    <xf numFmtId="0" fontId="3" fillId="10" borderId="13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9">
    <xf numFmtId="0" fontId="0" fillId="0" borderId="0" xfId="0"/>
    <xf numFmtId="0" fontId="6" fillId="0" borderId="0" xfId="0" applyFont="1"/>
    <xf numFmtId="0" fontId="6" fillId="0" borderId="1" xfId="0" applyFont="1" applyBorder="1"/>
    <xf numFmtId="0" fontId="8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10" fontId="10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2" fillId="0" borderId="5" xfId="0" applyNumberFormat="1" applyFont="1" applyBorder="1" applyAlignment="1">
      <alignment horizontal="center" vertical="center"/>
    </xf>
    <xf numFmtId="1" fontId="12" fillId="0" borderId="1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12" fillId="2" borderId="0" xfId="0" applyFont="1" applyFill="1" applyAlignment="1">
      <alignment horizontal="center"/>
    </xf>
    <xf numFmtId="1" fontId="12" fillId="3" borderId="4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5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1" fontId="10" fillId="0" borderId="4" xfId="0" applyNumberFormat="1" applyFont="1" applyFill="1" applyBorder="1" applyAlignment="1">
      <alignment horizontal="center"/>
    </xf>
    <xf numFmtId="1" fontId="10" fillId="0" borderId="0" xfId="0" applyNumberFormat="1" applyFont="1" applyFill="1" applyAlignment="1">
      <alignment horizontal="center"/>
    </xf>
    <xf numFmtId="1" fontId="10" fillId="0" borderId="15" xfId="0" applyNumberFormat="1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1" fontId="10" fillId="0" borderId="5" xfId="0" applyNumberFormat="1" applyFont="1" applyFill="1" applyBorder="1" applyAlignment="1">
      <alignment horizontal="center"/>
    </xf>
    <xf numFmtId="1" fontId="10" fillId="0" borderId="2" xfId="0" applyNumberFormat="1" applyFont="1" applyFill="1" applyBorder="1" applyAlignment="1">
      <alignment horizontal="center"/>
    </xf>
    <xf numFmtId="1" fontId="10" fillId="0" borderId="16" xfId="0" applyNumberFormat="1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  <xf numFmtId="0" fontId="1" fillId="0" borderId="0" xfId="0" applyFont="1"/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activeCell="N15" sqref="N15"/>
      <selection pane="topRight" activeCell="N15" sqref="N15"/>
      <selection pane="bottomLeft" activeCell="N15" sqref="N15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12.46484375" bestFit="1" customWidth="1"/>
    <col min="7" max="7" width="11.19921875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customWidth="1"/>
    <col min="25" max="25" width="12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2" t="s">
        <v>342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19"/>
      <c r="AI1" s="33" t="s">
        <v>345</v>
      </c>
      <c r="AJ1" s="34"/>
      <c r="AK1" s="34"/>
      <c r="AL1" s="34"/>
      <c r="AM1" s="34"/>
      <c r="AN1" s="33" t="s">
        <v>188</v>
      </c>
      <c r="AO1" s="34"/>
      <c r="AP1" s="34"/>
      <c r="AQ1" s="34"/>
      <c r="AR1" s="34"/>
      <c r="AS1" s="33" t="s">
        <v>189</v>
      </c>
      <c r="AT1" s="34"/>
      <c r="AU1" s="34"/>
      <c r="AV1" s="34"/>
      <c r="AW1" s="35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165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343</v>
      </c>
      <c r="P2" s="47" t="s">
        <v>344</v>
      </c>
      <c r="Q2" s="6" t="s">
        <v>13</v>
      </c>
      <c r="R2" s="6" t="s">
        <v>14</v>
      </c>
      <c r="S2" s="6" t="s">
        <v>15</v>
      </c>
      <c r="T2" s="7" t="s">
        <v>340</v>
      </c>
      <c r="U2" s="47" t="s">
        <v>341</v>
      </c>
      <c r="V2" s="6" t="s">
        <v>16</v>
      </c>
      <c r="W2" s="6" t="s">
        <v>17</v>
      </c>
      <c r="X2" s="6" t="s">
        <v>18</v>
      </c>
      <c r="Y2" s="7" t="s">
        <v>196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339</v>
      </c>
      <c r="AG2" s="6" t="s">
        <v>218</v>
      </c>
      <c r="AH2" s="8"/>
      <c r="AI2" s="24" t="s">
        <v>143</v>
      </c>
      <c r="AJ2" s="9" t="s">
        <v>144</v>
      </c>
      <c r="AK2" s="9" t="s">
        <v>145</v>
      </c>
      <c r="AL2" s="9" t="s">
        <v>146</v>
      </c>
      <c r="AM2" s="9" t="s">
        <v>147</v>
      </c>
      <c r="AN2" s="10" t="s">
        <v>143</v>
      </c>
      <c r="AO2" s="9" t="s">
        <v>144</v>
      </c>
      <c r="AP2" s="9" t="s">
        <v>145</v>
      </c>
      <c r="AQ2" s="9" t="s">
        <v>146</v>
      </c>
      <c r="AR2" s="9" t="s">
        <v>147</v>
      </c>
      <c r="AS2" s="10" t="s">
        <v>143</v>
      </c>
      <c r="AT2" s="9" t="s">
        <v>144</v>
      </c>
      <c r="AU2" s="9" t="s">
        <v>145</v>
      </c>
      <c r="AV2" s="9" t="s">
        <v>146</v>
      </c>
      <c r="AW2" s="25" t="s">
        <v>147</v>
      </c>
    </row>
    <row r="3" spans="1:49">
      <c r="A3" s="13">
        <v>1</v>
      </c>
      <c r="B3" s="16">
        <f>_xlfn.MAXIFS('Model output'!B:B,'Model output'!Z:Z,'Classification result'!$A3)</f>
        <v>45320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/>
      </c>
      <c r="J3" s="31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/>
      </c>
      <c r="K3" s="17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W3" s="17" t="str" cm="1">
        <f t="array" ref="W3">IF(ISERROR(INDEX(_xlfn._xlws.FILTER('Model output'!Q:Q,('Model output'!AA:AA=B3)*('Model output'!Q:Q&lt;&gt;"")),1)),"negative",IF(OR(ISNUMBER(SEARCH("foc",INDEX(_xlfn._xlws.FILTER('Model output'!Q:Q,('Model output'!AA:AA=B3)*('Model output'!Q:Q&lt;&gt;"")),1),1)),ISNUMBER(SEARCH("extensive",INDEX(_xlfn._xlws.FILTER('Model output'!Q:Q,('Model output'!AA:AA=B3)*('Model output'!Q:Q&lt;&gt;"")),1),1)),ISNUMBER(SEARCH("present",INDEX(_xlfn._xlws.FILTER('Model output'!Q:Q,('Model output'!AA:AA=B3)*('Model output'!Q:Q&lt;&gt;"")),1),1)),ISNUMBER(SEARCH("yes",INDEX(_xlfn._xlws.FILTER('Model output'!Q:Q,('Model output'!AA:AA=B3)*('Model output'!Q:Q&lt;&gt;"")),1),1))),"positive","negative"))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7" t="str">
        <f>IF(OR(ISNUMBER(SEARCH("soft tissue", AF3)), ISNUMBER(SEARCH("adipose tissue", AF3)), 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7" t="str">
        <f>IF(OR(ISNUMBER(SEARCH("subcutaneous soft tissues", AF3)),ISNUMBER(SEARCH("strap muscle", AF3)), ISNUMBER(SEARCH("larynx", AF3)), ISNUMBER(SEARCH("skeletal muscle",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</v>
      </c>
      <c r="AG3" s="17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4" t="str">
        <f t="shared" ref="AI3:AI37" si="1">IF(OR(ISNUMBER(SEARCH("non-invasive follicular",Q3,1)), ISNUMBER(SEARCH("papillary-like nuclear features",R3,1)), ISNUMBER(SEARCH("non-invasive follicular",R3,1)),ISNUMBER(SEARCH("papillary-like nuclear features",R3,1))),"NIFTP",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6" t="str">
        <f t="shared" ref="AJ3:AJ32" si="2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6" t="str">
        <f t="shared" ref="AK3:AK16" si="3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6">
        <f t="shared" ref="AL3:AL16" si="4">IF(OR(ISNUMBER(SEARCH("non-invasive follicular",Q3,1)),ISNUMBER(SEARCH("non-invasive follicular",R3,1))),"NIFTP",IF(K3="unknown","x",IF(K3="negative",0,1)))</f>
        <v>0</v>
      </c>
      <c r="AM3" s="36" t="str">
        <f t="shared" ref="AM3:AM16" si="5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7" t="s">
        <v>164</v>
      </c>
      <c r="AO3" s="38" t="s">
        <v>181</v>
      </c>
      <c r="AP3" s="38" t="s">
        <v>182</v>
      </c>
      <c r="AQ3" s="38">
        <v>0</v>
      </c>
      <c r="AR3" s="38" t="s">
        <v>31</v>
      </c>
      <c r="AS3" s="37">
        <f t="shared" ref="AS3:AS37" si="6">IF(AN3=AI3,1,0)</f>
        <v>1</v>
      </c>
      <c r="AT3" s="38">
        <f t="shared" ref="AT3:AT37" si="7">IF(AO3=AJ3,1,0)</f>
        <v>1</v>
      </c>
      <c r="AU3" s="38">
        <f t="shared" ref="AU3:AU37" si="8">IF(AK3=AP3,1,IF(OR(AND(AP3="x",AK3=0),AND(AK3="x",AP3=0)),1,0))</f>
        <v>1</v>
      </c>
      <c r="AV3" s="38">
        <f t="shared" ref="AV3:AV37" si="9">IF(AQ3=AL3,1,0)</f>
        <v>1</v>
      </c>
      <c r="AW3" s="39">
        <f t="shared" ref="AW3:AW37" si="10">IF(AR3=AM3,1,0)</f>
        <v>1</v>
      </c>
    </row>
    <row r="4" spans="1:49">
      <c r="A4" s="13">
        <v>2</v>
      </c>
      <c r="B4" s="16">
        <f>_xlfn.MAXIFS('Model output'!B:B,'Model output'!Z:Z,'Classification result'!$A4)</f>
        <v>45348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1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7" t="str">
        <f t="shared" ref="AA4:AA37" si="12">IF(OR(ISNUMBER(SEARCH("soft tissue", AF4)), ISNUMBER(SEARCH("adipose tissue", AF4)), 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7" t="str">
        <f t="shared" ref="AE4:AE37" si="13">IF(OR(ISNUMBER(SEARCH("subcutaneous soft tissues", AF4)),ISNUMBER(SEARCH("strap muscle", AF4)), ISNUMBER(SEARCH("larynx", AF4)), ISNUMBER(SEARCH("skeletal muscle",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5" t="str">
        <f t="shared" si="1"/>
        <v>low</v>
      </c>
      <c r="AJ4" s="36" t="str">
        <f t="shared" si="2"/>
        <v>2</v>
      </c>
      <c r="AK4" s="36" t="str">
        <f t="shared" si="3"/>
        <v>x</v>
      </c>
      <c r="AL4" s="36">
        <f t="shared" si="4"/>
        <v>0</v>
      </c>
      <c r="AM4" s="36" t="str">
        <f t="shared" si="5"/>
        <v>I</v>
      </c>
      <c r="AN4" s="37" t="s">
        <v>164</v>
      </c>
      <c r="AO4" s="38" t="s">
        <v>336</v>
      </c>
      <c r="AP4" s="38" t="s">
        <v>182</v>
      </c>
      <c r="AQ4" s="38">
        <v>0</v>
      </c>
      <c r="AR4" s="38" t="s">
        <v>31</v>
      </c>
      <c r="AS4" s="37">
        <f t="shared" si="6"/>
        <v>1</v>
      </c>
      <c r="AT4" s="38">
        <f t="shared" si="7"/>
        <v>1</v>
      </c>
      <c r="AU4" s="38">
        <f t="shared" si="8"/>
        <v>1</v>
      </c>
      <c r="AV4" s="38">
        <f t="shared" si="9"/>
        <v>1</v>
      </c>
      <c r="AW4" s="39">
        <f t="shared" si="10"/>
        <v>1</v>
      </c>
    </row>
    <row r="5" spans="1:49">
      <c r="A5" s="13">
        <v>3</v>
      </c>
      <c r="B5" s="16">
        <f>_xlfn.MAXIFS('Model output'!B:B,'Model output'!Z:Z,'Classification result'!$A5)</f>
        <v>45373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8mm,2mm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1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positive</v>
      </c>
      <c r="AA5" s="17" t="str">
        <f t="shared" si="12"/>
        <v>positive</v>
      </c>
      <c r="AE5" s="17" t="str">
        <f t="shared" si="13"/>
        <v>negative</v>
      </c>
      <c r="AF5" t="str" cm="1">
        <f t="array" ref="AF5">_xlfn.TEXTJOIN("; ",TRUE,_xlfn._xlws.FILTER('Model output'!S:S,'Model output'!Z:Z=A5))</f>
        <v>Present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5" t="str">
        <f t="shared" si="1"/>
        <v>intermediate</v>
      </c>
      <c r="AJ5" s="36" t="str">
        <f t="shared" si="2"/>
        <v>1a</v>
      </c>
      <c r="AK5" s="36" t="str">
        <f t="shared" si="3"/>
        <v>1a</v>
      </c>
      <c r="AL5" s="36">
        <f t="shared" si="4"/>
        <v>0</v>
      </c>
      <c r="AM5" s="36" t="str">
        <f t="shared" si="5"/>
        <v>I</v>
      </c>
      <c r="AN5" s="37" t="s">
        <v>162</v>
      </c>
      <c r="AO5" s="38" t="s">
        <v>183</v>
      </c>
      <c r="AP5" s="38" t="s">
        <v>183</v>
      </c>
      <c r="AQ5" s="38">
        <v>0</v>
      </c>
      <c r="AR5" s="38" t="s">
        <v>31</v>
      </c>
      <c r="AS5" s="37">
        <f t="shared" si="6"/>
        <v>1</v>
      </c>
      <c r="AT5" s="38">
        <f t="shared" si="7"/>
        <v>1</v>
      </c>
      <c r="AU5" s="38">
        <f t="shared" si="8"/>
        <v>1</v>
      </c>
      <c r="AV5" s="38">
        <f t="shared" si="9"/>
        <v>1</v>
      </c>
      <c r="AW5" s="39">
        <f t="shared" si="10"/>
        <v>1</v>
      </c>
    </row>
    <row r="6" spans="1:49">
      <c r="A6" s="13">
        <v>4</v>
      </c>
      <c r="B6" s="16">
        <f>_xlfn.MAXIFS('Model output'!B:B,'Model output'!Z:Z,'Classification result'!$A6)</f>
        <v>45412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4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1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7" t="str">
        <f t="shared" si="12"/>
        <v>positive</v>
      </c>
      <c r="AE6" s="17" t="str">
        <f t="shared" si="13"/>
        <v>negative</v>
      </c>
      <c r="AF6" t="str" cm="1">
        <f t="array" ref="AF6">_xlfn.TEXTJOIN("; ",TRUE,_xlfn._xlws.FILTER('Model output'!S:S,'Model output'!Z:Z=A6))</f>
        <v>fatty soft tissue at isthmus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5" t="str">
        <f t="shared" si="1"/>
        <v>intermediate</v>
      </c>
      <c r="AJ6" s="36" t="str">
        <f t="shared" si="2"/>
        <v>1b</v>
      </c>
      <c r="AK6" s="36" t="str">
        <f t="shared" si="3"/>
        <v>1a</v>
      </c>
      <c r="AL6" s="36">
        <f t="shared" si="4"/>
        <v>0</v>
      </c>
      <c r="AM6" s="36" t="str">
        <f t="shared" si="5"/>
        <v>II</v>
      </c>
      <c r="AN6" s="37" t="s">
        <v>162</v>
      </c>
      <c r="AO6" s="36" t="s">
        <v>181</v>
      </c>
      <c r="AP6" s="38" t="s">
        <v>183</v>
      </c>
      <c r="AQ6" s="38">
        <v>0</v>
      </c>
      <c r="AR6" s="38" t="s">
        <v>42</v>
      </c>
      <c r="AS6" s="37">
        <f t="shared" si="6"/>
        <v>1</v>
      </c>
      <c r="AT6" s="38">
        <f t="shared" si="7"/>
        <v>1</v>
      </c>
      <c r="AU6" s="38">
        <f t="shared" si="8"/>
        <v>1</v>
      </c>
      <c r="AV6" s="38">
        <f t="shared" si="9"/>
        <v>1</v>
      </c>
      <c r="AW6" s="39">
        <f t="shared" si="10"/>
        <v>1</v>
      </c>
    </row>
    <row r="7" spans="1:49">
      <c r="A7" s="13">
        <v>5</v>
      </c>
      <c r="B7" s="16">
        <f>_xlfn.MAXIFS('Model output'!B:B,'Model output'!Z:Z,'Classification result'!$A7)</f>
        <v>45411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 t="str">
        <f>IF(IFERROR(INDEX('Model output'!I:I, MATCH(A7, 'Model output'!Z:Z, 0)), "") &lt; M7, "", IFERROR(INDEX('Model output'!I:I, MATCH(A7, 'Model output'!Z:Z, 0)), ""))</f>
        <v/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/>
      </c>
      <c r="U7" t="str" cm="1">
        <f t="array" ref="U7">IF(MaxSize((SplitDimensions(T7)))=0, "", MaxSize((SplitDimensions(T7))))</f>
        <v/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1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7" t="str">
        <f t="shared" si="12"/>
        <v>positive</v>
      </c>
      <c r="AE7" s="17" t="str">
        <f t="shared" si="13"/>
        <v>positive</v>
      </c>
      <c r="AF7" t="str" cm="1">
        <f t="array" ref="AF7">_xlfn.TEXTJOIN("; ",TRUE,_xlfn._xlws.FILTER('Model output'!S:S,'Model output'!Z:Z=A7))</f>
        <v>Invading soft tissue and strap muscles (microscopic extrathyroidal extension present); Present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5" t="str">
        <f t="shared" si="1"/>
        <v>high</v>
      </c>
      <c r="AJ7" s="36" t="str">
        <f t="shared" si="2"/>
        <v>4a</v>
      </c>
      <c r="AK7" s="36" t="str">
        <f t="shared" si="3"/>
        <v>1a</v>
      </c>
      <c r="AL7" s="36">
        <f t="shared" si="4"/>
        <v>0</v>
      </c>
      <c r="AM7" s="36" t="str">
        <f t="shared" si="5"/>
        <v>I</v>
      </c>
      <c r="AN7" s="37" t="s">
        <v>163</v>
      </c>
      <c r="AO7" s="38" t="s">
        <v>184</v>
      </c>
      <c r="AP7" s="38" t="s">
        <v>183</v>
      </c>
      <c r="AQ7" s="38">
        <v>0</v>
      </c>
      <c r="AR7" s="38" t="s">
        <v>31</v>
      </c>
      <c r="AS7" s="37">
        <f t="shared" si="6"/>
        <v>1</v>
      </c>
      <c r="AT7" s="38">
        <f t="shared" si="7"/>
        <v>0</v>
      </c>
      <c r="AU7" s="38">
        <f t="shared" si="8"/>
        <v>1</v>
      </c>
      <c r="AV7" s="38">
        <f t="shared" si="9"/>
        <v>1</v>
      </c>
      <c r="AW7" s="39">
        <f t="shared" si="10"/>
        <v>1</v>
      </c>
    </row>
    <row r="8" spans="1:49">
      <c r="A8" s="13">
        <v>6</v>
      </c>
      <c r="B8" s="16">
        <f>_xlfn.MAXIFS('Model output'!B:B,'Model output'!Z:Z,'Classification result'!$A8)</f>
        <v>45387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7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 follicular carcinoma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/>
      </c>
      <c r="U8" t="str" cm="1">
        <f t="array" ref="U8">IF(MaxSize((SplitDimensions(T8)))=0, "", MaxSize((SplitDimensions(T8))))</f>
        <v/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1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12"/>
        <v>negative</v>
      </c>
      <c r="AE8" s="17" t="str">
        <f t="shared" si="13"/>
        <v>negative</v>
      </c>
      <c r="AF8" t="str" cm="1">
        <f t="array" ref="AF8">_xlfn.TEXTJOIN("; ",TRUE,_xlfn._xlws.FILTER('Model output'!S:S,'Model output'!Z:Z=A8))</f>
        <v>Not identified</v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5" t="str">
        <f t="shared" si="1"/>
        <v>low</v>
      </c>
      <c r="AJ8" s="36" t="str">
        <f t="shared" si="2"/>
        <v>1a</v>
      </c>
      <c r="AK8" s="36" t="str">
        <f t="shared" si="3"/>
        <v>x</v>
      </c>
      <c r="AL8" s="36">
        <f t="shared" si="4"/>
        <v>0</v>
      </c>
      <c r="AM8" s="36" t="str">
        <f t="shared" si="5"/>
        <v>I</v>
      </c>
      <c r="AN8" s="37" t="s">
        <v>164</v>
      </c>
      <c r="AO8" s="36" t="s">
        <v>182</v>
      </c>
      <c r="AP8" s="38" t="s">
        <v>182</v>
      </c>
      <c r="AQ8" s="38">
        <v>0</v>
      </c>
      <c r="AR8" s="38" t="s">
        <v>31</v>
      </c>
      <c r="AS8" s="37">
        <f t="shared" si="6"/>
        <v>1</v>
      </c>
      <c r="AT8" s="38">
        <f t="shared" si="7"/>
        <v>0</v>
      </c>
      <c r="AU8" s="38">
        <f t="shared" si="8"/>
        <v>1</v>
      </c>
      <c r="AV8" s="38">
        <f t="shared" si="9"/>
        <v>1</v>
      </c>
      <c r="AW8" s="39">
        <f t="shared" si="10"/>
        <v>1</v>
      </c>
    </row>
    <row r="9" spans="1:49">
      <c r="A9" s="13">
        <v>7</v>
      </c>
      <c r="B9" s="16">
        <f>_xlfn.MAXIFS('Model output'!B:B,'Model output'!Z:Z,'Classification result'!$A9)</f>
        <v>0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1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3mm</v>
      </c>
      <c r="U9" cm="1">
        <f t="array" ref="U9">IF(MaxSize((SplitDimensions(T9)))=0, "", MaxSize((SplitDimensions(T9))))</f>
        <v>0.3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1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positive</v>
      </c>
      <c r="AA9" s="17" t="str">
        <f t="shared" si="12"/>
        <v>negative</v>
      </c>
      <c r="AE9" s="17" t="str">
        <f t="shared" si="13"/>
        <v>negative</v>
      </c>
      <c r="AF9" t="str" cm="1">
        <f t="array" ref="AF9">_xlfn.TEXTJOIN("; ",TRUE,_xlfn._xlws.FILTER('Model output'!S:S,'Model output'!Z:Z=A9))</f>
        <v/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5" t="str">
        <f t="shared" si="1"/>
        <v>low</v>
      </c>
      <c r="AJ9" s="36" t="str">
        <f t="shared" si="2"/>
        <v>1a</v>
      </c>
      <c r="AK9" s="36">
        <f t="shared" si="3"/>
        <v>0</v>
      </c>
      <c r="AL9" s="36">
        <f t="shared" si="4"/>
        <v>0</v>
      </c>
      <c r="AM9" s="36" t="str">
        <f t="shared" si="5"/>
        <v>I</v>
      </c>
      <c r="AN9" s="37" t="s">
        <v>164</v>
      </c>
      <c r="AO9" s="38" t="s">
        <v>183</v>
      </c>
      <c r="AP9" s="38" t="s">
        <v>182</v>
      </c>
      <c r="AQ9" s="38">
        <v>0</v>
      </c>
      <c r="AR9" s="38" t="s">
        <v>31</v>
      </c>
      <c r="AS9" s="37">
        <f t="shared" si="6"/>
        <v>1</v>
      </c>
      <c r="AT9" s="38">
        <f t="shared" si="7"/>
        <v>1</v>
      </c>
      <c r="AU9" s="38">
        <f t="shared" si="8"/>
        <v>1</v>
      </c>
      <c r="AV9" s="38">
        <f t="shared" si="9"/>
        <v>1</v>
      </c>
      <c r="AW9" s="39">
        <f t="shared" si="10"/>
        <v>1</v>
      </c>
    </row>
    <row r="10" spans="1:49">
      <c r="A10" s="13">
        <v>8</v>
      </c>
      <c r="B10" s="16">
        <f>_xlfn.MAXIFS('Model output'!B:B,'Model output'!Z:Z,'Classification result'!$A10)</f>
        <v>45443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1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AA10" s="17" t="str">
        <f t="shared" si="12"/>
        <v>negative</v>
      </c>
      <c r="AE10" s="17" t="str">
        <f t="shared" si="13"/>
        <v>negative</v>
      </c>
      <c r="AF10" t="str" cm="1">
        <f t="array" ref="AF10">_xlfn.TEXTJOIN("; ",TRUE,_xlfn._xlws.FILTER('Model output'!S:S,'Model output'!Z:Z=A10))</f>
        <v>Not identified</v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5" t="str">
        <f t="shared" si="1"/>
        <v>low</v>
      </c>
      <c r="AJ10" s="36" t="str">
        <f t="shared" si="2"/>
        <v>1b</v>
      </c>
      <c r="AK10" s="36" t="str">
        <f t="shared" si="3"/>
        <v>x</v>
      </c>
      <c r="AL10" s="36">
        <f t="shared" si="4"/>
        <v>0</v>
      </c>
      <c r="AM10" s="36" t="str">
        <f t="shared" si="5"/>
        <v>I</v>
      </c>
      <c r="AN10" s="37" t="s">
        <v>164</v>
      </c>
      <c r="AO10" s="38" t="s">
        <v>181</v>
      </c>
      <c r="AP10" s="38" t="s">
        <v>182</v>
      </c>
      <c r="AQ10" s="38">
        <v>0</v>
      </c>
      <c r="AR10" s="38" t="s">
        <v>31</v>
      </c>
      <c r="AS10" s="37">
        <f t="shared" si="6"/>
        <v>1</v>
      </c>
      <c r="AT10" s="38">
        <f t="shared" si="7"/>
        <v>1</v>
      </c>
      <c r="AU10" s="38">
        <f t="shared" si="8"/>
        <v>1</v>
      </c>
      <c r="AV10" s="38">
        <f t="shared" si="9"/>
        <v>1</v>
      </c>
      <c r="AW10" s="39">
        <f t="shared" si="10"/>
        <v>1</v>
      </c>
    </row>
    <row r="11" spans="1:49">
      <c r="A11" s="13">
        <v>9</v>
      </c>
      <c r="B11" s="16">
        <f>_xlfn.MAXIFS('Model output'!B:B,'Model output'!Z:Z,'Classification result'!$A11)</f>
        <v>45331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8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/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/>
      </c>
      <c r="P11" t="str" cm="1">
        <f t="array" ref="P11">IF(MaxSize((SplitDimensions(O11)))=0, "", MaxSize((SplitDimensions(O11))))</f>
        <v/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1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12"/>
        <v>negative</v>
      </c>
      <c r="AE11" s="17" t="str">
        <f t="shared" si="13"/>
        <v>negative</v>
      </c>
      <c r="AF11" t="str" cm="1">
        <f t="array" ref="AF11">_xlfn.TEXTJOIN("; ",TRUE,_xlfn._xlws.FILTER('Model output'!S:S,'Model output'!Z:Z=A11))</f>
        <v/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5" t="str">
        <f t="shared" si="1"/>
        <v>low</v>
      </c>
      <c r="AJ11" s="36" t="str">
        <f t="shared" si="2"/>
        <v>2</v>
      </c>
      <c r="AK11" s="36" t="str">
        <f t="shared" si="3"/>
        <v>1a</v>
      </c>
      <c r="AL11" s="36">
        <f t="shared" si="4"/>
        <v>0</v>
      </c>
      <c r="AM11" s="36" t="str">
        <f t="shared" si="5"/>
        <v>II</v>
      </c>
      <c r="AN11" s="37" t="s">
        <v>162</v>
      </c>
      <c r="AO11" s="38" t="s">
        <v>336</v>
      </c>
      <c r="AP11" s="38" t="s">
        <v>183</v>
      </c>
      <c r="AQ11" s="38">
        <v>0</v>
      </c>
      <c r="AR11" s="38" t="s">
        <v>42</v>
      </c>
      <c r="AS11" s="37">
        <f t="shared" si="6"/>
        <v>0</v>
      </c>
      <c r="AT11" s="38">
        <f t="shared" si="7"/>
        <v>1</v>
      </c>
      <c r="AU11" s="38">
        <f t="shared" si="8"/>
        <v>1</v>
      </c>
      <c r="AV11" s="38">
        <f t="shared" si="9"/>
        <v>1</v>
      </c>
      <c r="AW11" s="39">
        <f t="shared" si="10"/>
        <v>1</v>
      </c>
    </row>
    <row r="12" spans="1:49">
      <c r="A12" s="13">
        <v>10</v>
      </c>
      <c r="B12" s="16">
        <f>_xlfn.MAXIFS('Model output'!B:B,'Model output'!Z:Z,'Classification result'!$A12)</f>
        <v>45436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7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1</v>
      </c>
      <c r="N12" s="18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1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AA12" s="17" t="str">
        <f t="shared" si="12"/>
        <v>negative</v>
      </c>
      <c r="AE12" s="17" t="str">
        <f t="shared" si="13"/>
        <v>negative</v>
      </c>
      <c r="AF12" t="str" cm="1">
        <f t="array" ref="AF12">_xlfn.TEXTJOIN("; ",TRUE,_xlfn._xlws.FILTER('Model output'!S:S,'Model output'!Z:Z=A12))</f>
        <v>Not identified</v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5" t="str">
        <f t="shared" si="1"/>
        <v>low</v>
      </c>
      <c r="AJ12" s="36" t="str">
        <f t="shared" si="2"/>
        <v>1b</v>
      </c>
      <c r="AK12" s="36" t="str">
        <f t="shared" si="3"/>
        <v>1a</v>
      </c>
      <c r="AL12" s="36">
        <f t="shared" si="4"/>
        <v>0</v>
      </c>
      <c r="AM12" s="36" t="str">
        <f t="shared" si="5"/>
        <v>I</v>
      </c>
      <c r="AN12" s="37" t="s">
        <v>164</v>
      </c>
      <c r="AO12" s="38" t="s">
        <v>181</v>
      </c>
      <c r="AP12" s="38" t="s">
        <v>183</v>
      </c>
      <c r="AQ12" s="38">
        <v>0</v>
      </c>
      <c r="AR12" s="38" t="s">
        <v>31</v>
      </c>
      <c r="AS12" s="37">
        <f t="shared" si="6"/>
        <v>1</v>
      </c>
      <c r="AT12" s="38">
        <f t="shared" si="7"/>
        <v>1</v>
      </c>
      <c r="AU12" s="38">
        <f t="shared" si="8"/>
        <v>1</v>
      </c>
      <c r="AV12" s="38">
        <f t="shared" si="9"/>
        <v>1</v>
      </c>
      <c r="AW12" s="39">
        <f t="shared" si="10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7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/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/>
      </c>
      <c r="U13" t="str" cm="1">
        <f t="array" ref="U13">IF(MaxSize((SplitDimensions(T13)))=0, "", MaxSize((SplitDimensions(T13))))</f>
        <v/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1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negative</v>
      </c>
      <c r="AA13" s="17" t="str">
        <f t="shared" si="12"/>
        <v>negative</v>
      </c>
      <c r="AE13" s="17" t="str">
        <f t="shared" si="13"/>
        <v>negative</v>
      </c>
      <c r="AF13" t="str" cm="1">
        <f t="array" ref="AF13">_xlfn.TEXTJOIN("; ",TRUE,_xlfn._xlws.FILTER('Model output'!S:S,'Model output'!Z:Z=A13))</f>
        <v>Not identified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5" t="str">
        <f t="shared" si="1"/>
        <v>low</v>
      </c>
      <c r="AJ13" s="36" t="str">
        <f t="shared" si="2"/>
        <v>3a</v>
      </c>
      <c r="AK13" s="36" t="str">
        <f t="shared" si="3"/>
        <v>x</v>
      </c>
      <c r="AL13" s="36">
        <f t="shared" si="4"/>
        <v>0</v>
      </c>
      <c r="AM13" s="36" t="str">
        <f t="shared" si="5"/>
        <v>II</v>
      </c>
      <c r="AN13" s="37" t="s">
        <v>164</v>
      </c>
      <c r="AO13" s="38" t="s">
        <v>185</v>
      </c>
      <c r="AP13" s="38" t="s">
        <v>182</v>
      </c>
      <c r="AQ13" s="38">
        <v>0</v>
      </c>
      <c r="AR13" s="38" t="s">
        <v>42</v>
      </c>
      <c r="AS13" s="37">
        <f t="shared" si="6"/>
        <v>1</v>
      </c>
      <c r="AT13" s="38">
        <f t="shared" si="7"/>
        <v>1</v>
      </c>
      <c r="AU13" s="38">
        <f t="shared" si="8"/>
        <v>1</v>
      </c>
      <c r="AV13" s="38">
        <f t="shared" si="9"/>
        <v>1</v>
      </c>
      <c r="AW13" s="39">
        <f t="shared" si="10"/>
        <v>1</v>
      </c>
    </row>
    <row r="14" spans="1:49">
      <c r="A14" s="13">
        <v>12</v>
      </c>
      <c r="B14" s="16">
        <f>_xlfn.MAXIFS('Model output'!B:B,'Model output'!Z:Z,'Classification result'!$A14)</f>
        <v>45415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Y14" t="str">
        <f t="shared" si="11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7" t="str">
        <f t="shared" si="12"/>
        <v>negative</v>
      </c>
      <c r="AE14" s="17" t="str">
        <f t="shared" si="13"/>
        <v>negative</v>
      </c>
      <c r="AF14" t="str" cm="1">
        <f t="array" ref="AF14">_xlfn.TEXTJOIN("; ",TRUE,_xlfn._xlws.FILTER('Model output'!S:S,'Model output'!Z:Z=A14))</f>
        <v/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5" t="str">
        <f t="shared" si="1"/>
        <v>low</v>
      </c>
      <c r="AJ14" s="36" t="str">
        <f t="shared" si="2"/>
        <v>3a</v>
      </c>
      <c r="AK14" s="36" t="str">
        <f t="shared" si="3"/>
        <v>x</v>
      </c>
      <c r="AL14" s="36">
        <f t="shared" si="4"/>
        <v>0</v>
      </c>
      <c r="AM14" s="36" t="str">
        <f t="shared" si="5"/>
        <v>II</v>
      </c>
      <c r="AN14" s="37" t="s">
        <v>162</v>
      </c>
      <c r="AO14" s="38" t="s">
        <v>185</v>
      </c>
      <c r="AP14" s="38" t="s">
        <v>182</v>
      </c>
      <c r="AQ14" s="38">
        <v>0</v>
      </c>
      <c r="AR14" s="38" t="s">
        <v>42</v>
      </c>
      <c r="AS14" s="37">
        <f t="shared" si="6"/>
        <v>0</v>
      </c>
      <c r="AT14" s="38">
        <f t="shared" si="7"/>
        <v>1</v>
      </c>
      <c r="AU14" s="38">
        <f t="shared" si="8"/>
        <v>1</v>
      </c>
      <c r="AV14" s="38">
        <f t="shared" si="9"/>
        <v>1</v>
      </c>
      <c r="AW14" s="39">
        <f t="shared" si="10"/>
        <v>1</v>
      </c>
    </row>
    <row r="15" spans="1:49">
      <c r="A15" s="13">
        <v>13</v>
      </c>
      <c r="B15" s="16">
        <f>_xlfn.MAXIFS('Model output'!B:B,'Model output'!Z:Z,'Classification result'!$A15)</f>
        <v>45420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7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>1.1cm;4cm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1.1cm;4cm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11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7" t="str">
        <f t="shared" si="12"/>
        <v>positive</v>
      </c>
      <c r="AE15" s="17" t="str">
        <f t="shared" si="13"/>
        <v>positive</v>
      </c>
      <c r="AF15" t="str" cm="1">
        <f t="array" ref="AF15">_xlfn.TEXTJOIN("; ",TRUE,_xlfn._xlws.FILTER('Model output'!S:S,'Model output'!Z:Z=A15))</f>
        <v>invading into the region of the recurrent laryngeal nerve, Invades: perithyroid skeletal muscle, WITH MICROSCOPIC EXTRATHYROIDAL EXTENSION, invades subcutaneous soft tissues, invades larynx, invades trachea, invades esophagus, invades recurrent laryngeal nerve; Present, invading into the region of the recurrent laryngeal nerve, Invades: perithyroid skeletal muscle, Extending to perithyroidal adipose tissue, Extensive invasion into perithyroidal soft tissues with invasion of skeletal muscle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5" t="str">
        <f t="shared" si="1"/>
        <v>high</v>
      </c>
      <c r="AJ15" s="36" t="str">
        <f t="shared" si="2"/>
        <v>4a</v>
      </c>
      <c r="AK15" s="36" t="str">
        <f t="shared" si="3"/>
        <v>1b</v>
      </c>
      <c r="AL15" s="36">
        <f t="shared" si="4"/>
        <v>0</v>
      </c>
      <c r="AM15" s="36" t="str">
        <f t="shared" si="5"/>
        <v>III</v>
      </c>
      <c r="AN15" s="37" t="s">
        <v>163</v>
      </c>
      <c r="AO15" s="38" t="s">
        <v>186</v>
      </c>
      <c r="AP15" s="38" t="s">
        <v>181</v>
      </c>
      <c r="AQ15" s="38">
        <v>0</v>
      </c>
      <c r="AR15" s="38" t="s">
        <v>66</v>
      </c>
      <c r="AS15" s="37">
        <f t="shared" si="6"/>
        <v>1</v>
      </c>
      <c r="AT15" s="38">
        <f t="shared" si="7"/>
        <v>1</v>
      </c>
      <c r="AU15" s="38">
        <f t="shared" si="8"/>
        <v>1</v>
      </c>
      <c r="AV15" s="38">
        <f t="shared" si="9"/>
        <v>1</v>
      </c>
      <c r="AW15" s="39">
        <f t="shared" si="10"/>
        <v>1</v>
      </c>
    </row>
    <row r="16" spans="1:49">
      <c r="A16" s="13">
        <v>14</v>
      </c>
      <c r="B16" s="16">
        <f>_xlfn.MAXIFS('Model output'!B:B,'Model output'!Z:Z,'Classification result'!$A16)</f>
        <v>45394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/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/>
      </c>
      <c r="K16" s="17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Y16" t="str">
        <f t="shared" si="11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12"/>
        <v>positive</v>
      </c>
      <c r="AE16" s="17" t="str">
        <f t="shared" si="13"/>
        <v>positive</v>
      </c>
      <c r="AF16" t="str" cm="1">
        <f t="array" ref="AF16">_xlfn.TEXTJOIN("; ",TRUE,_xlfn._xlws.FILTER('Model output'!S:S,'Model output'!Z:Z=A16))</f>
        <v>Invading only strap muscles (sternohyoid, sternothyroid, thyrohyoid, or omohyoid muscles)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5" t="str">
        <f t="shared" si="1"/>
        <v>high</v>
      </c>
      <c r="AJ16" s="36" t="str">
        <f t="shared" si="2"/>
        <v>3b</v>
      </c>
      <c r="AK16" s="36" t="str">
        <f t="shared" si="3"/>
        <v>x</v>
      </c>
      <c r="AL16" s="36">
        <f t="shared" si="4"/>
        <v>0</v>
      </c>
      <c r="AM16" s="36" t="str">
        <f t="shared" si="5"/>
        <v>I</v>
      </c>
      <c r="AN16" s="37" t="s">
        <v>163</v>
      </c>
      <c r="AO16" s="38" t="s">
        <v>184</v>
      </c>
      <c r="AP16" s="38" t="s">
        <v>182</v>
      </c>
      <c r="AQ16" s="38">
        <v>0</v>
      </c>
      <c r="AR16" s="38" t="s">
        <v>31</v>
      </c>
      <c r="AS16" s="37">
        <f t="shared" si="6"/>
        <v>1</v>
      </c>
      <c r="AT16" s="38">
        <f t="shared" si="7"/>
        <v>1</v>
      </c>
      <c r="AU16" s="38">
        <f t="shared" si="8"/>
        <v>1</v>
      </c>
      <c r="AV16" s="38">
        <f t="shared" si="9"/>
        <v>1</v>
      </c>
      <c r="AW16" s="39">
        <f t="shared" si="10"/>
        <v>1</v>
      </c>
    </row>
    <row r="17" spans="1:49">
      <c r="A17" s="13">
        <v>15</v>
      </c>
      <c r="B17" s="16">
        <f>_xlfn.MAXIFS('Model output'!B:B,'Model output'!Z:Z,'Classification result'!$A17)</f>
        <v>0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7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40x20x20mm</v>
      </c>
      <c r="U17" cm="1">
        <f t="array" ref="U17">IF(MaxSize((SplitDimensions(T17)))=0, "", MaxSize((SplitDimensions(T17))))</f>
        <v>4</v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1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AA17" s="17" t="str">
        <f t="shared" si="12"/>
        <v>negative</v>
      </c>
      <c r="AE17" s="17" t="str">
        <f t="shared" si="13"/>
        <v>negative</v>
      </c>
      <c r="AF17" t="str" cm="1">
        <f t="array" ref="AF17">_xlfn.TEXTJOIN("; ",TRUE,_xlfn._xlws.FILTER('Model output'!S:S,'Model output'!Z:Z=A17))</f>
        <v/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5" t="str">
        <f t="shared" si="1"/>
        <v>NIFTP</v>
      </c>
      <c r="AJ17" s="36" t="str">
        <f t="shared" si="2"/>
        <v>NIFTP</v>
      </c>
      <c r="AK17" s="36" t="s">
        <v>72</v>
      </c>
      <c r="AL17" s="36" t="s">
        <v>72</v>
      </c>
      <c r="AM17" s="36" t="s">
        <v>72</v>
      </c>
      <c r="AN17" s="37" t="s">
        <v>72</v>
      </c>
      <c r="AO17" s="38" t="s">
        <v>72</v>
      </c>
      <c r="AP17" s="38" t="s">
        <v>72</v>
      </c>
      <c r="AQ17" s="38" t="s">
        <v>72</v>
      </c>
      <c r="AR17" s="38" t="s">
        <v>72</v>
      </c>
      <c r="AS17" s="37">
        <f t="shared" si="6"/>
        <v>1</v>
      </c>
      <c r="AT17" s="38">
        <f t="shared" si="7"/>
        <v>1</v>
      </c>
      <c r="AU17" s="38">
        <f t="shared" si="8"/>
        <v>1</v>
      </c>
      <c r="AV17" s="38">
        <f t="shared" si="9"/>
        <v>1</v>
      </c>
      <c r="AW17" s="39">
        <f t="shared" si="10"/>
        <v>1</v>
      </c>
    </row>
    <row r="18" spans="1:49">
      <c r="A18" s="13">
        <v>16</v>
      </c>
      <c r="B18" s="16">
        <f>_xlfn.MAXIFS('Model output'!B:B,'Model output'!Z:Z,'Classification result'!$A18)</f>
        <v>45331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/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/>
      </c>
      <c r="K18" s="17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4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1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12"/>
        <v>positive</v>
      </c>
      <c r="AE18" s="17" t="str">
        <f t="shared" si="13"/>
        <v>negative</v>
      </c>
      <c r="AF18" t="str" cm="1">
        <f t="array" ref="AF18">_xlfn.TEXTJOIN("; ",TRUE,_xlfn._xlws.FILTER('Model output'!S:S,'Model output'!Z:Z=A18))</f>
        <v>Present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5" t="str">
        <f t="shared" si="1"/>
        <v>intermediate</v>
      </c>
      <c r="AJ18" s="36" t="str">
        <f t="shared" si="2"/>
        <v>2</v>
      </c>
      <c r="AK18" s="36">
        <f t="shared" ref="AK18:AK37" si="14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36">
        <f t="shared" ref="AL18:AL37" si="15">IF(OR(ISNUMBER(SEARCH("non-invasive follicular",Q18,1)),ISNUMBER(SEARCH("non-invasive follicular",R18,1))),"NIFTP",IF(K18="unknown","x",IF(K18="negative",0,1)))</f>
        <v>0</v>
      </c>
      <c r="AM18" s="36" t="str">
        <f t="shared" ref="AM18:AM37" si="16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7" t="s">
        <v>162</v>
      </c>
      <c r="AO18" s="38" t="s">
        <v>336</v>
      </c>
      <c r="AP18" s="38">
        <v>0</v>
      </c>
      <c r="AQ18" s="38">
        <v>0</v>
      </c>
      <c r="AR18" s="38" t="s">
        <v>31</v>
      </c>
      <c r="AS18" s="37">
        <f t="shared" si="6"/>
        <v>1</v>
      </c>
      <c r="AT18" s="38">
        <f t="shared" si="7"/>
        <v>1</v>
      </c>
      <c r="AU18" s="38">
        <f t="shared" si="8"/>
        <v>1</v>
      </c>
      <c r="AV18" s="38">
        <f t="shared" si="9"/>
        <v>1</v>
      </c>
      <c r="AW18" s="39">
        <f t="shared" si="10"/>
        <v>1</v>
      </c>
    </row>
    <row r="19" spans="1:49">
      <c r="A19" s="13">
        <v>17</v>
      </c>
      <c r="B19" s="16">
        <f>_xlfn.MAXIFS('Model output'!B:B,'Model output'!Z:Z,'Classification result'!$A19)</f>
        <v>45457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21</v>
      </c>
      <c r="M19" s="17">
        <f>IFERROR(INDEX('Model output'!J:J, MATCH(A19, 'Model output'!Z:Z, 0)), "")</f>
        <v>5</v>
      </c>
      <c r="N19" s="18" t="str" cm="1">
        <f t="array" ref="N19">ReplaceTo(ReplaceAnd(SUBSTITUTE(SUBSTITUTE(_xlfn.TEXTJOIN("; ", TRUE, _xlfn._xlws.FILTER('Model output'!K:K, 'Model output'!Z:Z=A19)), " ", ""), ",", ";")))</f>
        <v>8mm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8mm</v>
      </c>
      <c r="P19" cm="1">
        <f t="array" ref="P19">IF(MaxSize((SplitDimensions(O19)))=0, "", MaxSize((SplitDimensions(O19))))</f>
        <v>0.8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1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AA19" s="17" t="str">
        <f t="shared" si="12"/>
        <v>negative</v>
      </c>
      <c r="AE19" s="17" t="str">
        <f t="shared" si="13"/>
        <v>negative</v>
      </c>
      <c r="AF19" t="str" cm="1">
        <f t="array" ref="AF19">_xlfn.TEXTJOIN("; ",TRUE,_xlfn._xlws.FILTER('Model output'!S:S,'Model output'!Z:Z=A19))</f>
        <v>Not identified</v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5" t="str">
        <f t="shared" si="1"/>
        <v>intermediate</v>
      </c>
      <c r="AJ19" s="36" t="str">
        <f t="shared" si="2"/>
        <v>1b</v>
      </c>
      <c r="AK19" s="36" t="str">
        <f t="shared" si="14"/>
        <v>1b</v>
      </c>
      <c r="AL19" s="36">
        <f t="shared" si="15"/>
        <v>0</v>
      </c>
      <c r="AM19" s="36" t="str">
        <f t="shared" si="16"/>
        <v>I</v>
      </c>
      <c r="AN19" s="37" t="s">
        <v>162</v>
      </c>
      <c r="AO19" s="38" t="s">
        <v>181</v>
      </c>
      <c r="AP19" s="38" t="s">
        <v>181</v>
      </c>
      <c r="AQ19" s="38">
        <v>0</v>
      </c>
      <c r="AR19" s="38" t="s">
        <v>31</v>
      </c>
      <c r="AS19" s="37">
        <f t="shared" si="6"/>
        <v>1</v>
      </c>
      <c r="AT19" s="38">
        <f t="shared" si="7"/>
        <v>1</v>
      </c>
      <c r="AU19" s="38">
        <f t="shared" si="8"/>
        <v>1</v>
      </c>
      <c r="AV19" s="38">
        <f t="shared" si="9"/>
        <v>1</v>
      </c>
      <c r="AW19" s="39">
        <f t="shared" si="10"/>
        <v>1</v>
      </c>
    </row>
    <row r="20" spans="1:49">
      <c r="A20" s="13">
        <v>18</v>
      </c>
      <c r="B20" s="16">
        <f>_xlfn.MAXIFS('Model output'!B:B,'Model output'!Z:Z,'Classification result'!$A20)</f>
        <v>45355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/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/>
      </c>
      <c r="P20" t="str" cm="1">
        <f t="array" ref="P20">IF(MaxSize((SplitDimensions(O20)))=0, "", MaxSize((SplitDimensions(O20))))</f>
        <v/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30mm(Macroscopic)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1"/>
        <v>no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AA20" s="17" t="str">
        <f t="shared" si="12"/>
        <v>positive</v>
      </c>
      <c r="AE20" s="17" t="str">
        <f t="shared" si="13"/>
        <v>positive</v>
      </c>
      <c r="AF20" t="str" cm="1">
        <f t="array" ref="AF20">_xlfn.TEXTJOIN("; ",TRUE,_xlfn._xlws.FILTER('Model output'!S:S,'Model output'!Z:Z=A20))</f>
        <v>Invading only strap muscles; Present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5" t="str">
        <f t="shared" si="1"/>
        <v>high</v>
      </c>
      <c r="AJ20" s="36" t="str">
        <f t="shared" si="2"/>
        <v>4a</v>
      </c>
      <c r="AK20" s="36" t="str">
        <f t="shared" si="14"/>
        <v>1a</v>
      </c>
      <c r="AL20" s="36">
        <f t="shared" si="15"/>
        <v>0</v>
      </c>
      <c r="AM20" s="36" t="str">
        <f t="shared" si="16"/>
        <v>III</v>
      </c>
      <c r="AN20" s="37" t="s">
        <v>163</v>
      </c>
      <c r="AO20" s="38" t="s">
        <v>186</v>
      </c>
      <c r="AP20" s="38" t="s">
        <v>183</v>
      </c>
      <c r="AQ20" s="38">
        <v>0</v>
      </c>
      <c r="AR20" s="38" t="s">
        <v>66</v>
      </c>
      <c r="AS20" s="37">
        <f t="shared" si="6"/>
        <v>1</v>
      </c>
      <c r="AT20" s="38">
        <f t="shared" si="7"/>
        <v>1</v>
      </c>
      <c r="AU20" s="38">
        <f t="shared" si="8"/>
        <v>1</v>
      </c>
      <c r="AV20" s="38">
        <f t="shared" si="9"/>
        <v>1</v>
      </c>
      <c r="AW20" s="39">
        <f t="shared" si="10"/>
        <v>1</v>
      </c>
    </row>
    <row r="21" spans="1:49">
      <c r="A21" s="13">
        <v>19</v>
      </c>
      <c r="B21" s="16">
        <f>_xlfn.MAXIFS('Model output'!B:B,'Model output'!Z:Z,'Classification result'!$A21)</f>
        <v>45457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1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1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AA21" s="17" t="str">
        <f t="shared" si="12"/>
        <v>negative</v>
      </c>
      <c r="AE21" s="17" t="str">
        <f t="shared" si="13"/>
        <v>negative</v>
      </c>
      <c r="AF21" t="str" cm="1">
        <f t="array" ref="AF21">_xlfn.TEXTJOIN("; ",TRUE,_xlfn._xlws.FILTER('Model output'!S:S,'Model output'!Z:Z=A21))</f>
        <v>Not identified</v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5" t="str">
        <f t="shared" si="1"/>
        <v>low</v>
      </c>
      <c r="AJ21" s="36" t="str">
        <f t="shared" si="2"/>
        <v>1a</v>
      </c>
      <c r="AK21" s="36">
        <f t="shared" si="14"/>
        <v>0</v>
      </c>
      <c r="AL21" s="36">
        <f t="shared" si="15"/>
        <v>0</v>
      </c>
      <c r="AM21" s="36" t="str">
        <f t="shared" si="16"/>
        <v>I</v>
      </c>
      <c r="AN21" s="37" t="s">
        <v>164</v>
      </c>
      <c r="AO21" s="38" t="s">
        <v>183</v>
      </c>
      <c r="AP21" s="38">
        <v>0</v>
      </c>
      <c r="AQ21" s="38">
        <v>0</v>
      </c>
      <c r="AR21" s="38" t="s">
        <v>31</v>
      </c>
      <c r="AS21" s="37">
        <f t="shared" si="6"/>
        <v>1</v>
      </c>
      <c r="AT21" s="38">
        <f t="shared" si="7"/>
        <v>1</v>
      </c>
      <c r="AU21" s="38">
        <f t="shared" si="8"/>
        <v>1</v>
      </c>
      <c r="AV21" s="38">
        <f t="shared" si="9"/>
        <v>1</v>
      </c>
      <c r="AW21" s="39">
        <f t="shared" si="10"/>
        <v>1</v>
      </c>
    </row>
    <row r="22" spans="1:49">
      <c r="A22" s="13">
        <v>20</v>
      </c>
      <c r="B22" s="16">
        <f>_xlfn.MAXIFS('Model output'!B:B,'Model output'!Z:Z,'Classification result'!$A22)</f>
        <v>45373</v>
      </c>
      <c r="C22" s="16"/>
      <c r="D22" s="16"/>
      <c r="E22" s="17">
        <f>_xlfn.MAXIFS('Model output'!C:C,'Model output'!Z:Z,'Classification result'!$A22)</f>
        <v>61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/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 t="str">
        <f>IF(IFERROR(INDEX('Model output'!I:I, MATCH(A22, 'Model output'!Z:Z, 0)), "") &lt; M22, "", IFERROR(INDEX('Model output'!I:I, MATCH(A22, 'Model output'!Z:Z, 0)), ""))</f>
        <v/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11mm,6mm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negative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1"/>
        <v>no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AA22" s="17" t="str">
        <f t="shared" si="12"/>
        <v>positive</v>
      </c>
      <c r="AE22" s="17" t="str">
        <f t="shared" si="13"/>
        <v>negative</v>
      </c>
      <c r="AF22" t="str" cm="1">
        <f t="array" ref="AF22">_xlfn.TEXTJOIN("; ",TRUE,_xlfn._xlws.FILTER('Model output'!S:S,'Model output'!Z:Z=A22))</f>
        <v>Present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5" t="str">
        <f t="shared" si="1"/>
        <v>intermediate</v>
      </c>
      <c r="AJ22" s="36" t="str">
        <f t="shared" si="2"/>
        <v>1b</v>
      </c>
      <c r="AK22" s="36" t="str">
        <f t="shared" si="14"/>
        <v>1a</v>
      </c>
      <c r="AL22" s="36">
        <f t="shared" si="15"/>
        <v>0</v>
      </c>
      <c r="AM22" s="36" t="str">
        <f t="shared" si="16"/>
        <v>II</v>
      </c>
      <c r="AN22" s="37" t="s">
        <v>162</v>
      </c>
      <c r="AO22" s="38" t="s">
        <v>181</v>
      </c>
      <c r="AP22" s="38" t="s">
        <v>183</v>
      </c>
      <c r="AQ22" s="38">
        <v>0</v>
      </c>
      <c r="AR22" s="38" t="s">
        <v>42</v>
      </c>
      <c r="AS22" s="37">
        <f t="shared" si="6"/>
        <v>1</v>
      </c>
      <c r="AT22" s="38">
        <f t="shared" si="7"/>
        <v>1</v>
      </c>
      <c r="AU22" s="38">
        <f t="shared" si="8"/>
        <v>1</v>
      </c>
      <c r="AV22" s="38">
        <f t="shared" si="9"/>
        <v>1</v>
      </c>
      <c r="AW22" s="39">
        <f t="shared" si="10"/>
        <v>1</v>
      </c>
    </row>
    <row r="23" spans="1:49">
      <c r="A23" s="13">
        <v>21</v>
      </c>
      <c r="B23" s="16">
        <f>_xlfn.MAXIFS('Model output'!B:B,'Model output'!Z:Z,'Classification result'!$A23)</f>
        <v>45296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/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/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/>
      </c>
      <c r="P23" t="str" cm="1">
        <f t="array" ref="P23">IF(MaxSize((SplitDimensions(O23)))=0, "", MaxSize((SplitDimensions(O23))))</f>
        <v/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/>
      </c>
      <c r="U23" t="str" cm="1">
        <f t="array" ref="U23">IF(MaxSize((SplitDimensions(T23)))=0, "", MaxSize((SplitDimensions(T23))))</f>
        <v/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1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7" t="str">
        <f t="shared" si="12"/>
        <v>positive</v>
      </c>
      <c r="AE23" s="17" t="str">
        <f t="shared" si="13"/>
        <v>negative</v>
      </c>
      <c r="AF23" t="str" cm="1">
        <f t="array" ref="AF23">_xlfn.TEXTJOIN("; ",TRUE,_xlfn._xlws.FILTER('Model output'!S:S,'Model output'!Z:Z=A23))</f>
        <v>Present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5" t="str">
        <f t="shared" si="1"/>
        <v>intermediate</v>
      </c>
      <c r="AJ23" s="36" t="str">
        <f t="shared" si="2"/>
        <v>1a</v>
      </c>
      <c r="AK23" s="36" t="str">
        <f t="shared" si="14"/>
        <v>1a</v>
      </c>
      <c r="AL23" s="36">
        <f t="shared" si="15"/>
        <v>0</v>
      </c>
      <c r="AM23" s="36" t="str">
        <f t="shared" si="16"/>
        <v>I</v>
      </c>
      <c r="AN23" s="37" t="s">
        <v>162</v>
      </c>
      <c r="AO23" s="38" t="s">
        <v>181</v>
      </c>
      <c r="AP23" s="38" t="s">
        <v>183</v>
      </c>
      <c r="AQ23" s="38">
        <v>0</v>
      </c>
      <c r="AR23" s="38" t="s">
        <v>31</v>
      </c>
      <c r="AS23" s="37">
        <f t="shared" si="6"/>
        <v>1</v>
      </c>
      <c r="AT23" s="38">
        <f t="shared" si="7"/>
        <v>0</v>
      </c>
      <c r="AU23" s="38">
        <f t="shared" si="8"/>
        <v>1</v>
      </c>
      <c r="AV23" s="38">
        <f t="shared" si="9"/>
        <v>1</v>
      </c>
      <c r="AW23" s="39">
        <f t="shared" si="10"/>
        <v>1</v>
      </c>
    </row>
    <row r="24" spans="1:49">
      <c r="A24" s="13">
        <v>22</v>
      </c>
      <c r="B24" s="16">
        <f>_xlfn.MAXIFS('Model output'!B:B,'Model output'!Z:Z,'Classification result'!$A24)</f>
        <v>45299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1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7" t="str">
        <f t="shared" si="12"/>
        <v>negative</v>
      </c>
      <c r="AE24" s="17" t="str">
        <f t="shared" si="13"/>
        <v>negative</v>
      </c>
      <c r="AF24" t="str" cm="1">
        <f t="array" ref="AF24">_xlfn.TEXTJOIN("; ",TRUE,_xlfn._xlws.FILTER('Model output'!S:S,'Model output'!Z:Z=A24))</f>
        <v>Not identified</v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5" t="str">
        <f t="shared" si="1"/>
        <v>low</v>
      </c>
      <c r="AJ24" s="36" t="str">
        <f t="shared" si="2"/>
        <v>1a</v>
      </c>
      <c r="AK24" s="36">
        <f t="shared" si="14"/>
        <v>0</v>
      </c>
      <c r="AL24" s="36">
        <f t="shared" si="15"/>
        <v>0</v>
      </c>
      <c r="AM24" s="36" t="str">
        <f t="shared" si="16"/>
        <v>I</v>
      </c>
      <c r="AN24" s="37" t="s">
        <v>164</v>
      </c>
      <c r="AO24" s="38" t="s">
        <v>183</v>
      </c>
      <c r="AP24" s="38">
        <v>0</v>
      </c>
      <c r="AQ24" s="38">
        <v>0</v>
      </c>
      <c r="AR24" s="38" t="s">
        <v>31</v>
      </c>
      <c r="AS24" s="37">
        <f t="shared" si="6"/>
        <v>1</v>
      </c>
      <c r="AT24" s="38">
        <f t="shared" si="7"/>
        <v>1</v>
      </c>
      <c r="AU24" s="38">
        <f t="shared" si="8"/>
        <v>1</v>
      </c>
      <c r="AV24" s="38">
        <f t="shared" si="9"/>
        <v>1</v>
      </c>
      <c r="AW24" s="39">
        <f t="shared" si="10"/>
        <v>1</v>
      </c>
    </row>
    <row r="25" spans="1:49">
      <c r="A25" s="13">
        <v>23</v>
      </c>
      <c r="B25" s="16">
        <f>_xlfn.MAXIFS('Model output'!B:B,'Model output'!Z:Z,'Classification result'!$A25)</f>
        <v>45296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7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1</v>
      </c>
      <c r="M25" s="17">
        <f>IFERROR(INDEX('Model output'!J:J, MATCH(A25, 'Model output'!Z:Z, 0)), "")</f>
        <v>0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/>
      </c>
      <c r="U25" t="str" cm="1">
        <f t="array" ref="U25">IF(MaxSize((SplitDimensions(T25)))=0, "", MaxSize((SplitDimensions(T25))))</f>
        <v/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1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AA25" s="17" t="str">
        <f t="shared" si="12"/>
        <v>positive</v>
      </c>
      <c r="AE25" s="17" t="str">
        <f t="shared" si="13"/>
        <v>negative</v>
      </c>
      <c r="AF25" t="str" cm="1">
        <f t="array" ref="AF25">_xlfn.TEXTJOIN("; ",TRUE,_xlfn._xlws.FILTER('Model output'!S:S,'Model output'!Z:Z=A25))</f>
        <v>Present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5" t="str">
        <f t="shared" si="1"/>
        <v>intermediate</v>
      </c>
      <c r="AJ25" s="36" t="str">
        <f t="shared" si="2"/>
        <v>1a</v>
      </c>
      <c r="AK25" s="36">
        <f t="shared" si="14"/>
        <v>0</v>
      </c>
      <c r="AL25" s="36">
        <f t="shared" si="15"/>
        <v>0</v>
      </c>
      <c r="AM25" s="36" t="str">
        <f t="shared" si="16"/>
        <v>I</v>
      </c>
      <c r="AN25" s="37" t="s">
        <v>162</v>
      </c>
      <c r="AO25" s="38" t="s">
        <v>181</v>
      </c>
      <c r="AP25" s="38">
        <v>0</v>
      </c>
      <c r="AQ25" s="38">
        <v>0</v>
      </c>
      <c r="AR25" s="38" t="s">
        <v>31</v>
      </c>
      <c r="AS25" s="37">
        <f t="shared" si="6"/>
        <v>1</v>
      </c>
      <c r="AT25" s="38">
        <f t="shared" si="7"/>
        <v>0</v>
      </c>
      <c r="AU25" s="38">
        <f t="shared" si="8"/>
        <v>1</v>
      </c>
      <c r="AV25" s="38">
        <f t="shared" si="9"/>
        <v>1</v>
      </c>
      <c r="AW25" s="39">
        <f t="shared" si="10"/>
        <v>1</v>
      </c>
    </row>
    <row r="26" spans="1:49">
      <c r="A26" s="13">
        <v>24</v>
      </c>
      <c r="B26" s="16">
        <f>_xlfn.MAXIFS('Model output'!B:B,'Model output'!Z:Z,'Classification result'!$A26)</f>
        <v>45301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15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Y26" t="str">
        <f t="shared" si="11"/>
        <v>no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12"/>
        <v>positive</v>
      </c>
      <c r="AE26" s="17" t="str">
        <f t="shared" si="13"/>
        <v>negative</v>
      </c>
      <c r="AF26" t="str" cm="1">
        <f t="array" ref="AF26">_xlfn.TEXTJOIN("; ",TRUE,_xlfn._xlws.FILTER('Model output'!S:S,'Model output'!Z:Z=A26))</f>
        <v>Present (minimal); Not identified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5" t="str">
        <f t="shared" si="1"/>
        <v>intermediate</v>
      </c>
      <c r="AJ26" s="36" t="str">
        <f t="shared" si="2"/>
        <v>4a</v>
      </c>
      <c r="AK26" s="36" t="str">
        <f t="shared" si="14"/>
        <v>1b</v>
      </c>
      <c r="AL26" s="36">
        <f t="shared" si="15"/>
        <v>0</v>
      </c>
      <c r="AM26" s="36" t="str">
        <f t="shared" si="16"/>
        <v>III</v>
      </c>
      <c r="AN26" s="37" t="s">
        <v>163</v>
      </c>
      <c r="AO26" s="38" t="s">
        <v>186</v>
      </c>
      <c r="AP26" s="38" t="s">
        <v>181</v>
      </c>
      <c r="AQ26" s="38">
        <v>0</v>
      </c>
      <c r="AR26" s="38" t="s">
        <v>66</v>
      </c>
      <c r="AS26" s="37">
        <f t="shared" si="6"/>
        <v>0</v>
      </c>
      <c r="AT26" s="38">
        <f t="shared" si="7"/>
        <v>1</v>
      </c>
      <c r="AU26" s="38">
        <f t="shared" si="8"/>
        <v>1</v>
      </c>
      <c r="AV26" s="38">
        <f t="shared" si="9"/>
        <v>1</v>
      </c>
      <c r="AW26" s="39">
        <f t="shared" si="10"/>
        <v>1</v>
      </c>
    </row>
    <row r="27" spans="1:49">
      <c r="A27" s="13">
        <v>25</v>
      </c>
      <c r="B27" s="16">
        <f>_xlfn.MAXIFS('Model output'!B:B,'Model output'!Z:Z,'Classification result'!$A27)</f>
        <v>45310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11mm</v>
      </c>
      <c r="U27" cm="1">
        <f t="array" ref="U27">IF(MaxSize((SplitDimensions(T27)))=0, "", MaxSize((SplitDimensions(T27))))</f>
        <v>1.1000000000000001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1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7" t="str">
        <f t="shared" si="12"/>
        <v>negative</v>
      </c>
      <c r="AE27" s="17" t="str">
        <f t="shared" si="13"/>
        <v>negative</v>
      </c>
      <c r="AF27" t="str" cm="1">
        <f t="array" ref="AF27">_xlfn.TEXTJOIN("; ",TRUE,_xlfn._xlws.FILTER('Model output'!S:S,'Model output'!Z:Z=A27))</f>
        <v>Absent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5" t="str">
        <f t="shared" si="1"/>
        <v>low</v>
      </c>
      <c r="AJ27" s="36" t="str">
        <f t="shared" si="2"/>
        <v>1b</v>
      </c>
      <c r="AK27" s="36" t="str">
        <f t="shared" si="14"/>
        <v>x</v>
      </c>
      <c r="AL27" s="36">
        <f t="shared" si="15"/>
        <v>0</v>
      </c>
      <c r="AM27" s="36" t="str">
        <f t="shared" si="16"/>
        <v>I</v>
      </c>
      <c r="AN27" s="37" t="s">
        <v>164</v>
      </c>
      <c r="AO27" s="38" t="s">
        <v>181</v>
      </c>
      <c r="AP27" s="38" t="s">
        <v>182</v>
      </c>
      <c r="AQ27" s="38">
        <v>0</v>
      </c>
      <c r="AR27" s="38" t="s">
        <v>31</v>
      </c>
      <c r="AS27" s="37">
        <f t="shared" si="6"/>
        <v>1</v>
      </c>
      <c r="AT27" s="38">
        <f t="shared" si="7"/>
        <v>1</v>
      </c>
      <c r="AU27" s="38">
        <f t="shared" si="8"/>
        <v>1</v>
      </c>
      <c r="AV27" s="38">
        <f t="shared" si="9"/>
        <v>1</v>
      </c>
      <c r="AW27" s="39">
        <f t="shared" si="10"/>
        <v>1</v>
      </c>
    </row>
    <row r="28" spans="1:49">
      <c r="A28" s="13">
        <v>26</v>
      </c>
      <c r="B28" s="16">
        <f>_xlfn.MAXIFS('Model output'!B:B,'Model output'!Z:Z,'Classification result'!$A28)</f>
        <v>45464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/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/>
      </c>
      <c r="K28" s="17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11mm(macroscopic)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>&lt;4</v>
      </c>
      <c r="Y28" t="str">
        <f t="shared" si="11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AA28" s="17" t="str">
        <f t="shared" si="12"/>
        <v>positive</v>
      </c>
      <c r="AE28" s="17" t="str">
        <f t="shared" si="13"/>
        <v>positive</v>
      </c>
      <c r="AF28" t="str" cm="1">
        <f t="array" ref="AF28">_xlfn.TEXTJOIN("; ",TRUE,_xlfn._xlws.FILTER('Model output'!S:S,'Model output'!Z:Z=A28))</f>
        <v>Microscopic extrathyroidal extension to skeletal muscle anterior to the thyroid gland is present; Present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5" t="str">
        <f t="shared" si="1"/>
        <v>high</v>
      </c>
      <c r="AJ28" s="36" t="str">
        <f t="shared" si="2"/>
        <v>3b</v>
      </c>
      <c r="AK28" s="36" t="str">
        <f t="shared" si="14"/>
        <v>x</v>
      </c>
      <c r="AL28" s="36">
        <f t="shared" si="15"/>
        <v>0</v>
      </c>
      <c r="AM28" s="36" t="str">
        <f t="shared" si="16"/>
        <v>II</v>
      </c>
      <c r="AN28" s="37" t="s">
        <v>163</v>
      </c>
      <c r="AO28" s="38" t="s">
        <v>184</v>
      </c>
      <c r="AP28" s="38" t="s">
        <v>182</v>
      </c>
      <c r="AQ28" s="38">
        <v>0</v>
      </c>
      <c r="AR28" s="38" t="s">
        <v>42</v>
      </c>
      <c r="AS28" s="37">
        <f t="shared" si="6"/>
        <v>1</v>
      </c>
      <c r="AT28" s="38">
        <f t="shared" si="7"/>
        <v>1</v>
      </c>
      <c r="AU28" s="38">
        <f t="shared" si="8"/>
        <v>1</v>
      </c>
      <c r="AV28" s="38">
        <f t="shared" si="9"/>
        <v>1</v>
      </c>
      <c r="AW28" s="39">
        <f t="shared" si="10"/>
        <v>1</v>
      </c>
    </row>
    <row r="29" spans="1:49">
      <c r="A29" s="13">
        <v>27</v>
      </c>
      <c r="B29" s="16">
        <f>_xlfn.MAXIFS('Model output'!B:B,'Model output'!Z:Z,'Classification result'!$A29)</f>
        <v>0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5mm(blockA5)and1.5mm(blockA9)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1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12"/>
        <v>negative</v>
      </c>
      <c r="AE29" s="17" t="str">
        <f t="shared" si="13"/>
        <v>negative</v>
      </c>
      <c r="AF29" t="str" cm="1">
        <f t="array" ref="AF29">_xlfn.TEXTJOIN("; ",TRUE,_xlfn._xlws.FILTER('Model output'!S:S,'Model output'!Z:Z=A29))</f>
        <v>Not identified</v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5" t="str">
        <f t="shared" si="1"/>
        <v>low</v>
      </c>
      <c r="AJ29" s="36" t="str">
        <f t="shared" si="2"/>
        <v>1a</v>
      </c>
      <c r="AK29" s="36" t="str">
        <f t="shared" si="14"/>
        <v>1a</v>
      </c>
      <c r="AL29" s="36">
        <f t="shared" si="15"/>
        <v>0</v>
      </c>
      <c r="AM29" s="36" t="str">
        <f t="shared" si="16"/>
        <v>I</v>
      </c>
      <c r="AN29" s="37" t="s">
        <v>164</v>
      </c>
      <c r="AO29" s="38" t="s">
        <v>183</v>
      </c>
      <c r="AP29" s="38" t="s">
        <v>183</v>
      </c>
      <c r="AQ29" s="38">
        <v>0</v>
      </c>
      <c r="AR29" s="38" t="s">
        <v>31</v>
      </c>
      <c r="AS29" s="37">
        <f t="shared" si="6"/>
        <v>1</v>
      </c>
      <c r="AT29" s="38">
        <f t="shared" si="7"/>
        <v>1</v>
      </c>
      <c r="AU29" s="38">
        <f t="shared" si="8"/>
        <v>1</v>
      </c>
      <c r="AV29" s="38">
        <f t="shared" si="9"/>
        <v>1</v>
      </c>
      <c r="AW29" s="39">
        <f t="shared" si="10"/>
        <v>1</v>
      </c>
    </row>
    <row r="30" spans="1:49">
      <c r="A30" s="13">
        <v>28</v>
      </c>
      <c r="B30" s="16">
        <f>_xlfn.MAXIFS('Model output'!B:B,'Model output'!Z:Z,'Classification result'!$A30)</f>
        <v>45464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/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5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/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/>
      </c>
      <c r="P30" t="str" cm="1">
        <f t="array" ref="P30">IF(MaxSize((SplitDimensions(O30)))=0, "", MaxSize((SplitDimensions(O30))))</f>
        <v/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/>
      </c>
      <c r="U30" t="str" cm="1">
        <f t="array" ref="U30">IF(MaxSize((SplitDimensions(T30)))=0, "", MaxSize((SplitDimensions(T30))))</f>
        <v/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1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positive</v>
      </c>
      <c r="AA30" s="17" t="str">
        <f t="shared" si="12"/>
        <v>negative</v>
      </c>
      <c r="AE30" s="17" t="str">
        <f t="shared" si="13"/>
        <v>negative</v>
      </c>
      <c r="AF30" t="str" cm="1">
        <f t="array" ref="AF30">_xlfn.TEXTJOIN("; ",TRUE,_xlfn._xlws.FILTER('Model output'!S:S,'Model output'!Z:Z=A30))</f>
        <v>Not identified</v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5" t="str">
        <f t="shared" si="1"/>
        <v>low</v>
      </c>
      <c r="AJ30" s="36" t="str">
        <f t="shared" si="2"/>
        <v>1a</v>
      </c>
      <c r="AK30" s="36" t="str">
        <f t="shared" si="14"/>
        <v>1a</v>
      </c>
      <c r="AL30" s="36">
        <f t="shared" si="15"/>
        <v>0</v>
      </c>
      <c r="AM30" s="36" t="str">
        <f t="shared" si="16"/>
        <v>II</v>
      </c>
      <c r="AN30" s="37" t="s">
        <v>164</v>
      </c>
      <c r="AO30" s="38" t="s">
        <v>183</v>
      </c>
      <c r="AP30" s="38" t="s">
        <v>183</v>
      </c>
      <c r="AQ30" s="38">
        <v>0</v>
      </c>
      <c r="AR30" s="38" t="s">
        <v>42</v>
      </c>
      <c r="AS30" s="37">
        <f t="shared" si="6"/>
        <v>1</v>
      </c>
      <c r="AT30" s="38">
        <f t="shared" si="7"/>
        <v>1</v>
      </c>
      <c r="AU30" s="38">
        <f t="shared" si="8"/>
        <v>1</v>
      </c>
      <c r="AV30" s="38">
        <f t="shared" si="9"/>
        <v>1</v>
      </c>
      <c r="AW30" s="39">
        <f t="shared" si="10"/>
        <v>1</v>
      </c>
    </row>
    <row r="31" spans="1:49">
      <c r="A31" s="13">
        <v>29</v>
      </c>
      <c r="B31" s="16">
        <f>_xlfn.MAXIFS('Model output'!B:B,'Model output'!Z:Z,'Classification result'!$A31)</f>
        <v>45242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1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12"/>
        <v>negative</v>
      </c>
      <c r="AE31" s="17" t="str">
        <f t="shared" si="13"/>
        <v>negative</v>
      </c>
      <c r="AF31" t="str" cm="1">
        <f t="array" ref="AF31">_xlfn.TEXTJOIN("; ",TRUE,_xlfn._xlws.FILTER('Model output'!S:S,'Model output'!Z:Z=A31))</f>
        <v>Not identified</v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5" t="str">
        <f t="shared" si="1"/>
        <v>low</v>
      </c>
      <c r="AJ31" s="36" t="str">
        <f t="shared" si="2"/>
        <v>1a</v>
      </c>
      <c r="AK31" s="36" t="str">
        <f t="shared" si="14"/>
        <v>x</v>
      </c>
      <c r="AL31" s="36">
        <f t="shared" si="15"/>
        <v>0</v>
      </c>
      <c r="AM31" s="36" t="str">
        <f t="shared" si="16"/>
        <v>I</v>
      </c>
      <c r="AN31" s="37" t="s">
        <v>164</v>
      </c>
      <c r="AO31" s="38" t="s">
        <v>183</v>
      </c>
      <c r="AP31" s="38" t="s">
        <v>182</v>
      </c>
      <c r="AQ31" s="38">
        <v>0</v>
      </c>
      <c r="AR31" s="38" t="s">
        <v>31</v>
      </c>
      <c r="AS31" s="37">
        <f t="shared" si="6"/>
        <v>1</v>
      </c>
      <c r="AT31" s="38">
        <f t="shared" si="7"/>
        <v>1</v>
      </c>
      <c r="AU31" s="38">
        <f t="shared" si="8"/>
        <v>1</v>
      </c>
      <c r="AV31" s="38">
        <f t="shared" si="9"/>
        <v>1</v>
      </c>
      <c r="AW31" s="39">
        <f t="shared" si="10"/>
        <v>1</v>
      </c>
    </row>
    <row r="32" spans="1:49">
      <c r="A32" s="13">
        <v>30</v>
      </c>
      <c r="B32" s="16">
        <f>_xlfn.MAXIFS('Model output'!B:B,'Model output'!Z:Z,'Classification result'!$A32)</f>
        <v>45287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24</v>
      </c>
      <c r="M32" s="17">
        <f>IFERROR(INDEX('Model output'!J:J, MATCH(A32, 'Model output'!Z:Z, 0)), "")</f>
        <v>3</v>
      </c>
      <c r="N32" s="18" t="str" cm="1">
        <f t="array" ref="N32">ReplaceTo(ReplaceAnd(SUBSTITUTE(SUBSTITUTE(_xlfn.TEXTJOIN("; ", TRUE, _xlfn._xlws.FILTER('Model output'!K:K, 'Model output'!Z:Z=A32)), " ", ""), ",", ";")))</f>
        <v>4.5mm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4.5mm</v>
      </c>
      <c r="P32" cm="1">
        <f t="array" ref="P32">IF(MaxSize((SplitDimensions(O32)))=0, "", MaxSize((SplitDimensions(O32))))</f>
        <v>0.45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1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7" t="str">
        <f t="shared" si="12"/>
        <v>negative</v>
      </c>
      <c r="AE32" s="17" t="str">
        <f t="shared" si="13"/>
        <v>negative</v>
      </c>
      <c r="AF32" t="str" cm="1">
        <f t="array" ref="AF32">_xlfn.TEXTJOIN("; ",TRUE,_xlfn._xlws.FILTER('Model output'!S:S,'Model output'!Z:Z=A32))</f>
        <v>Not identified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5" t="str">
        <f t="shared" si="1"/>
        <v>intermediate</v>
      </c>
      <c r="AJ32" s="36" t="str">
        <f t="shared" si="2"/>
        <v>1b</v>
      </c>
      <c r="AK32" s="36" t="str">
        <f t="shared" si="14"/>
        <v>1b</v>
      </c>
      <c r="AL32" s="36">
        <f t="shared" si="15"/>
        <v>0</v>
      </c>
      <c r="AM32" s="36" t="str">
        <f t="shared" si="16"/>
        <v>I</v>
      </c>
      <c r="AN32" s="37" t="s">
        <v>162</v>
      </c>
      <c r="AO32" s="38" t="s">
        <v>181</v>
      </c>
      <c r="AP32" s="38" t="s">
        <v>181</v>
      </c>
      <c r="AQ32" s="38">
        <v>0</v>
      </c>
      <c r="AR32" s="38" t="s">
        <v>31</v>
      </c>
      <c r="AS32" s="37">
        <f t="shared" si="6"/>
        <v>1</v>
      </c>
      <c r="AT32" s="38">
        <f t="shared" si="7"/>
        <v>1</v>
      </c>
      <c r="AU32" s="38">
        <f t="shared" si="8"/>
        <v>1</v>
      </c>
      <c r="AV32" s="38">
        <f t="shared" si="9"/>
        <v>1</v>
      </c>
      <c r="AW32" s="39">
        <f t="shared" si="10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/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 t="str">
        <f>IF(IFERROR(INDEX('Model output'!I:I, MATCH(A33, 'Model output'!Z:Z, 0)), "") &lt; M33, "", IFERROR(INDEX('Model output'!I:I, MATCH(A33, 'Model output'!Z:Z, 0)), ""))</f>
        <v/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/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/>
      </c>
      <c r="P33" t="str" cm="1">
        <f t="array" ref="P33">IF(MaxSize((SplitDimensions(O33)))=0, "", MaxSize((SplitDimensions(O33))))</f>
        <v/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1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12"/>
        <v>positive</v>
      </c>
      <c r="AE33" s="17" t="str">
        <f t="shared" si="13"/>
        <v>negative</v>
      </c>
      <c r="AF33" t="str" cm="1">
        <f t="array" ref="AF33">_xlfn.TEXTJOIN("; ",TRUE,_xlfn._xlws.FILTER('Model output'!S:S,'Model output'!Z:Z=A33))</f>
        <v>Present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5" t="str">
        <f t="shared" si="1"/>
        <v>intermediate</v>
      </c>
      <c r="AJ33" s="36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3a</v>
      </c>
      <c r="AK33" s="36" t="str">
        <f t="shared" si="14"/>
        <v>1a</v>
      </c>
      <c r="AL33" s="36">
        <f t="shared" si="15"/>
        <v>0</v>
      </c>
      <c r="AM33" s="36" t="str">
        <f t="shared" si="16"/>
        <v>II</v>
      </c>
      <c r="AN33" s="37" t="s">
        <v>163</v>
      </c>
      <c r="AO33" s="38" t="s">
        <v>187</v>
      </c>
      <c r="AP33" s="38" t="s">
        <v>183</v>
      </c>
      <c r="AQ33" s="38">
        <v>0</v>
      </c>
      <c r="AR33" s="38" t="s">
        <v>337</v>
      </c>
      <c r="AS33" s="37">
        <f t="shared" si="6"/>
        <v>0</v>
      </c>
      <c r="AT33" s="38">
        <f t="shared" si="7"/>
        <v>0</v>
      </c>
      <c r="AU33" s="38">
        <f t="shared" si="8"/>
        <v>1</v>
      </c>
      <c r="AV33" s="38">
        <f t="shared" si="9"/>
        <v>1</v>
      </c>
      <c r="AW33" s="39">
        <f t="shared" si="10"/>
        <v>0</v>
      </c>
    </row>
    <row r="34" spans="1:50">
      <c r="A34" s="13">
        <v>32</v>
      </c>
      <c r="B34" s="16">
        <f>_xlfn.MAXIFS('Model output'!B:B,'Model output'!Z:Z,'Classification result'!$A34)</f>
        <v>44630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1b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 t="str">
        <f>IF(IFERROR(INDEX('Model output'!I:I, MATCH(A34, 'Model output'!Z:Z, 0)), "") &lt; M34, "", IFERROR(INDEX('Model output'!I:I, MATCH(A34, 'Model output'!Z:Z, 0)), ""))</f>
        <v/>
      </c>
      <c r="M34" s="17">
        <f>IFERROR(INDEX('Model output'!J:J, MATCH(A34, 'Model output'!Z:Z, 0)), "")</f>
        <v>4</v>
      </c>
      <c r="N34" s="18" t="str" cm="1">
        <f t="array" ref="N34">ReplaceTo(ReplaceAnd(SUBSTITUTE(SUBSTITUTE(_xlfn.TEXTJOIN("; ", TRUE, _xlfn._xlws.FILTER('Model output'!K:K, 'Model output'!Z:Z=A34)), " ", ""), ",", ";")))</f>
        <v/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/>
      </c>
      <c r="P34" t="str" cm="1">
        <f t="array" ref="P34">IF(MaxSize((SplitDimensions(O34)))=0, "", MaxSize((SplitDimensions(O34))))</f>
        <v/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>follicular carcinoma, widely invasive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/>
      </c>
      <c r="U34" t="str" cm="1">
        <f t="array" ref="U34">IF(MaxSize((SplitDimensions(T34)))=0, "", MaxSize((SplitDimensions(T34))))</f>
        <v/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Y34" t="str">
        <f t="shared" si="11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12"/>
        <v>positive</v>
      </c>
      <c r="AE34" s="17" t="str">
        <f t="shared" si="13"/>
        <v>negative</v>
      </c>
      <c r="AF34" t="str" cm="1">
        <f t="array" ref="AF34">_xlfn.TEXTJOIN("; ",TRUE,_xlfn._xlws.FILTER('Model output'!S:S,'Model output'!Z:Z=A34))</f>
        <v>Focally into adjacent fibroadipose tissue (block B3)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5" t="str">
        <f t="shared" si="1"/>
        <v>high</v>
      </c>
      <c r="AJ34" s="36" t="str">
        <f t="shared" ref="AJ34:AJ37" si="17">IF(OR(ISNUMBER(SEARCH("non-invasive follicular",Q34)),ISNUMBER(SEARCH("papillary-like nuclear features",Q34)),ISNUMBER(SEARCH("non-invasive follicular",R34)),ISNUMBER(SEARCH("papillary-like nuclear features",R34))),"NIFTP", IF(OR(F34="4b",AND(AE34="positive",OR(ISNUMBER(SEARCH("prevertebral",AF34)),ISNUMBER(SEARCH("fascia",AF34)),ISNUMBER(SEARCH("carotid artery",AF34)),ISNUMBER(SEARCH("mediastinal",AF34))))),"4b",IF(OR(F34="4a",AND(AE34="positive",OR(ISNUMBER(SEARCH("soft tissue",AF34)),ISNUMBER(SEARCH("larynx",AF34)),ISNUMBER(SEARCH("trachea",AF34)),ISNUMBER(SEARCH("esophagus",AF34)),ISNUMBER(SEARCH("recurrent laryngeal nerve",AF34)),ISNUMBER(SEARCH("RLN",AF34))))),"4a", IF(OR(F34="3b", AE34="positive",ISNUMBER(SEARCH("strap",AF34)),ISNUMBER(SEARCH("sternothyroid",AF34)),ISNUMBER(SEARCH("sternohyoid",AF34)),ISNUMBER(SEARCH("thyrohyoid",AF34)),ISNUMBER(SEARCH("omohyoid",AF34))),"3b",IF(OR(F34="3a", AND(U34&lt;&gt;"",U34&gt;4)),"3a",IF(AND(U34&lt;&gt;"", U34&lt;=4,U34&gt;2),"2",IF(AND(U34&lt;&gt;"",U34&lt;=2,U34&gt;1),"1b",IF(AND(U34&lt;&gt;"",U34&lt;=1),"1a","1a"))))))))</f>
        <v>4a</v>
      </c>
      <c r="AK34" s="36" t="str">
        <f t="shared" si="14"/>
        <v>1a</v>
      </c>
      <c r="AL34" s="36">
        <f t="shared" si="15"/>
        <v>0</v>
      </c>
      <c r="AM34" s="36" t="str">
        <f t="shared" si="16"/>
        <v>III</v>
      </c>
      <c r="AN34" s="37" t="s">
        <v>163</v>
      </c>
      <c r="AO34" s="38" t="s">
        <v>185</v>
      </c>
      <c r="AP34" s="38">
        <v>0</v>
      </c>
      <c r="AQ34" s="38">
        <v>0</v>
      </c>
      <c r="AR34" s="38" t="s">
        <v>42</v>
      </c>
      <c r="AS34" s="37">
        <f t="shared" si="6"/>
        <v>1</v>
      </c>
      <c r="AT34" s="38">
        <f t="shared" si="7"/>
        <v>0</v>
      </c>
      <c r="AU34" s="38">
        <f t="shared" si="8"/>
        <v>0</v>
      </c>
      <c r="AV34" s="38">
        <f t="shared" si="9"/>
        <v>1</v>
      </c>
      <c r="AW34" s="39">
        <f t="shared" si="10"/>
        <v>0</v>
      </c>
    </row>
    <row r="35" spans="1:50">
      <c r="A35" s="13">
        <v>33</v>
      </c>
      <c r="B35" s="16">
        <f>_xlfn.MAXIFS('Model output'!B:B,'Model output'!Z:Z,'Classification result'!$A35)</f>
        <v>44517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1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AA35" s="17" t="str">
        <f t="shared" si="12"/>
        <v>negative</v>
      </c>
      <c r="AE35" s="17" t="str">
        <f t="shared" si="13"/>
        <v>negative</v>
      </c>
      <c r="AF35" t="str" cm="1">
        <f t="array" ref="AF35">_xlfn.TEXTJOIN("; ",TRUE,_xlfn._xlws.FILTER('Model output'!S:S,'Model output'!Z:Z=A35))</f>
        <v>Not identified</v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5" t="str">
        <f t="shared" si="1"/>
        <v>high</v>
      </c>
      <c r="AJ35" s="36" t="str">
        <f t="shared" si="17"/>
        <v>1a</v>
      </c>
      <c r="AK35" s="36" t="str">
        <f t="shared" si="14"/>
        <v>x</v>
      </c>
      <c r="AL35" s="36">
        <f t="shared" si="15"/>
        <v>1</v>
      </c>
      <c r="AM35" s="36" t="str">
        <f t="shared" si="16"/>
        <v>II</v>
      </c>
      <c r="AN35" s="37" t="s">
        <v>163</v>
      </c>
      <c r="AO35" s="38" t="s">
        <v>183</v>
      </c>
      <c r="AP35" s="38" t="s">
        <v>182</v>
      </c>
      <c r="AQ35" s="38">
        <v>1</v>
      </c>
      <c r="AR35" s="38" t="s">
        <v>42</v>
      </c>
      <c r="AS35" s="37">
        <f t="shared" si="6"/>
        <v>1</v>
      </c>
      <c r="AT35" s="38">
        <f t="shared" si="7"/>
        <v>1</v>
      </c>
      <c r="AU35" s="38">
        <f t="shared" si="8"/>
        <v>1</v>
      </c>
      <c r="AV35" s="38">
        <f t="shared" si="9"/>
        <v>1</v>
      </c>
      <c r="AW35" s="39">
        <f t="shared" si="10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7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 t="str">
        <f>IF(IFERROR(INDEX('Model output'!I:I, MATCH(A36, 'Model output'!Z:Z, 0)), "") &lt; M36, "", IFERROR(INDEX('Model output'!I:I, MATCH(A36, 'Model output'!Z:Z, 0)), ""))</f>
        <v/>
      </c>
      <c r="M36" s="17">
        <f>IFERROR(INDEX('Model output'!J:J, MATCH(A36, 'Model output'!Z:Z, 0)), "")</f>
        <v>1</v>
      </c>
      <c r="N36" s="18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Y36" t="str">
        <f t="shared" si="11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7" t="str">
        <f t="shared" si="12"/>
        <v>positive</v>
      </c>
      <c r="AE36" s="17" t="str">
        <f t="shared" si="13"/>
        <v>positive</v>
      </c>
      <c r="AF36" t="str" cm="1">
        <f t="array" ref="AF36">_xlfn.TEXTJOIN("; ",TRUE,_xlfn._xlws.FILTER('Model output'!S:S,'Model output'!Z:Z=A36))</f>
        <v>Invading subcutaneous soft tissues, larynx, trachea, esophagus, or recurrent laryngeal nerve (please correlate with surgical and radiological findings); Present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5" t="str">
        <f t="shared" si="1"/>
        <v>high</v>
      </c>
      <c r="AJ36" s="36" t="str">
        <f t="shared" si="17"/>
        <v>4a</v>
      </c>
      <c r="AK36" s="36" t="str">
        <f t="shared" si="14"/>
        <v>1a</v>
      </c>
      <c r="AL36" s="36">
        <f t="shared" si="15"/>
        <v>0</v>
      </c>
      <c r="AM36" s="36" t="str">
        <f t="shared" si="16"/>
        <v>III</v>
      </c>
      <c r="AN36" s="37" t="s">
        <v>163</v>
      </c>
      <c r="AO36" s="38" t="s">
        <v>186</v>
      </c>
      <c r="AP36" s="38">
        <v>0</v>
      </c>
      <c r="AQ36" s="38">
        <v>0</v>
      </c>
      <c r="AR36" s="38" t="s">
        <v>66</v>
      </c>
      <c r="AS36" s="37">
        <f t="shared" si="6"/>
        <v>1</v>
      </c>
      <c r="AT36" s="38">
        <f t="shared" si="7"/>
        <v>1</v>
      </c>
      <c r="AU36" s="38">
        <f t="shared" si="8"/>
        <v>0</v>
      </c>
      <c r="AV36" s="38">
        <f t="shared" si="9"/>
        <v>1</v>
      </c>
      <c r="AW36" s="39">
        <f t="shared" si="10"/>
        <v>1</v>
      </c>
    </row>
    <row r="37" spans="1:50">
      <c r="A37" s="26">
        <v>35</v>
      </c>
      <c r="B37" s="27">
        <f>_xlfn.MAXIFS('Model output'!B:B,'Model output'!Z:Z,'Classification result'!$A37)</f>
        <v>44419</v>
      </c>
      <c r="C37" s="27"/>
      <c r="D37" s="27"/>
      <c r="E37" s="28">
        <f>_xlfn.MAXIFS('Model output'!C:C,'Model output'!Z:Z,'Classification result'!$A37)</f>
        <v>62</v>
      </c>
      <c r="F37" s="28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28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1a</v>
      </c>
      <c r="H37" s="28" cm="1">
        <f t="array" ref="H37">IF(AND(SUBSTITUTE(_xlfn.TEXTJOIN("/", TRUE, _xlfn._xlws.FILTER('Model output'!F:F, 'Model output'!Z:Z=A37)),"M", "")="", K37="negative"),0,IF(K37="positive",1,0))</f>
        <v>1</v>
      </c>
      <c r="I37" s="29" t="str">
        <f t="shared" si="0"/>
        <v>positive</v>
      </c>
      <c r="J37" s="29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28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28">
        <f>IF(IFERROR(INDEX('Model output'!I:I, MATCH(A37, 'Model output'!Z:Z, 0)), "") &lt; M37, "", IFERROR(INDEX('Model output'!I:I, MATCH(A37, 'Model output'!Z:Z, 0)), ""))</f>
        <v>35</v>
      </c>
      <c r="M37" s="28">
        <f>IFERROR(INDEX('Model output'!J:J, MATCH(A37, 'Model output'!Z:Z, 0)), "")</f>
        <v>7</v>
      </c>
      <c r="N37" s="30" t="str" cm="1">
        <f t="array" ref="N37">ReplaceTo(ReplaceAnd(SUBSTITUTE(SUBSTITUTE(_xlfn.TEXTJOIN("; ", TRUE, _xlfn._xlws.FILTER('Model output'!K:K, 'Model output'!Z:Z=A37)), " ", ""), ",", ";")))</f>
        <v/>
      </c>
      <c r="O37" s="29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/>
      </c>
      <c r="P37" s="29" t="str" cm="1">
        <f t="array" ref="P37">IF(MaxSize((SplitDimensions(O37)))=0, "", MaxSize((SplitDimensions(O37))))</f>
        <v/>
      </c>
      <c r="Q37" s="29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R37" s="29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S37" s="29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5.5cmlong,upto1.2cmindiameterforthelargestnodule;2.5cmindiameterforthemajortumournodule</v>
      </c>
      <c r="T37" s="29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5.5cm;2.5cm</v>
      </c>
      <c r="U37" s="29" cm="1">
        <f t="array" ref="U37">IF(MaxSize((SplitDimensions(T37)))=0, "", MaxSize((SplitDimensions(T37))))</f>
        <v>5.5</v>
      </c>
      <c r="V37" s="28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28"/>
      <c r="X37" s="29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&lt;4</v>
      </c>
      <c r="Y37" s="29" t="str">
        <f t="shared" si="11"/>
        <v>minimal</v>
      </c>
      <c r="Z37" s="29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28" t="str">
        <f t="shared" si="12"/>
        <v>positive</v>
      </c>
      <c r="AB37" s="28"/>
      <c r="AC37" s="28"/>
      <c r="AD37" s="28"/>
      <c r="AE37" s="28" t="str">
        <f t="shared" si="13"/>
        <v>positive</v>
      </c>
      <c r="AF37" s="29" t="str" cm="1">
        <f t="array" ref="AF37">_xlfn.TEXTJOIN("; ",TRUE,_xlfn._xlws.FILTER('Model output'!S:S,'Model output'!Z:Z=A37))</f>
        <v>Present; invading into the region of the recurrent laryngeal nerve, invades: perithyroid skeletal muscle, EXTENDING TO PERITHYROIDAL ADIPOSE TISSUE, extentive invasion into perithyroidal soft tissues with invasion of skeletal muscle</v>
      </c>
      <c r="AG37" s="28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28"/>
      <c r="AI37" s="46" t="str">
        <f t="shared" si="1"/>
        <v>high</v>
      </c>
      <c r="AJ37" s="40" t="str">
        <f t="shared" si="17"/>
        <v>4a</v>
      </c>
      <c r="AK37" s="40" t="str">
        <f t="shared" si="14"/>
        <v>1b</v>
      </c>
      <c r="AL37" s="40">
        <f t="shared" si="15"/>
        <v>1</v>
      </c>
      <c r="AM37" s="40" t="str">
        <f t="shared" si="16"/>
        <v>IVB</v>
      </c>
      <c r="AN37" s="41" t="s">
        <v>163</v>
      </c>
      <c r="AO37" s="42" t="s">
        <v>336</v>
      </c>
      <c r="AP37" s="42" t="s">
        <v>181</v>
      </c>
      <c r="AQ37" s="42">
        <v>1</v>
      </c>
      <c r="AR37" s="42" t="s">
        <v>338</v>
      </c>
      <c r="AS37" s="41">
        <f t="shared" si="6"/>
        <v>1</v>
      </c>
      <c r="AT37" s="42">
        <f t="shared" si="7"/>
        <v>0</v>
      </c>
      <c r="AU37" s="42">
        <f t="shared" si="8"/>
        <v>1</v>
      </c>
      <c r="AV37" s="42">
        <f t="shared" si="9"/>
        <v>1</v>
      </c>
      <c r="AW37" s="43">
        <f t="shared" si="10"/>
        <v>1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activeCell="N15" sqref="N15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s="48" t="s">
        <v>199</v>
      </c>
      <c r="B1" t="s">
        <v>200</v>
      </c>
      <c r="C1" t="s">
        <v>201</v>
      </c>
      <c r="D1" t="s">
        <v>226</v>
      </c>
      <c r="E1" t="s">
        <v>202</v>
      </c>
      <c r="F1" t="s">
        <v>203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t="s">
        <v>204</v>
      </c>
      <c r="P1" t="s">
        <v>235</v>
      </c>
      <c r="Q1" t="s">
        <v>236</v>
      </c>
      <c r="R1" t="s">
        <v>237</v>
      </c>
      <c r="S1" t="s">
        <v>238</v>
      </c>
      <c r="T1" t="s">
        <v>205</v>
      </c>
      <c r="U1" t="s">
        <v>206</v>
      </c>
      <c r="V1" t="s">
        <v>239</v>
      </c>
      <c r="W1" t="s">
        <v>207</v>
      </c>
      <c r="X1" t="s">
        <v>208</v>
      </c>
      <c r="Z1" s="14" t="s">
        <v>213</v>
      </c>
    </row>
    <row r="2" spans="1:26">
      <c r="A2" t="s">
        <v>30</v>
      </c>
      <c r="B2" s="22">
        <v>45320</v>
      </c>
      <c r="C2">
        <v>67</v>
      </c>
      <c r="D2" t="s">
        <v>152</v>
      </c>
      <c r="L2" t="s">
        <v>32</v>
      </c>
      <c r="M2" t="s">
        <v>33</v>
      </c>
      <c r="N2" t="s">
        <v>190</v>
      </c>
      <c r="O2">
        <v>2</v>
      </c>
      <c r="P2" t="s">
        <v>166</v>
      </c>
      <c r="R2" t="s">
        <v>265</v>
      </c>
      <c r="S2" t="s">
        <v>166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194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35</v>
      </c>
      <c r="B4" s="22">
        <v>45348</v>
      </c>
      <c r="C4">
        <v>39</v>
      </c>
      <c r="D4" t="s">
        <v>153</v>
      </c>
      <c r="L4" t="s">
        <v>194</v>
      </c>
      <c r="M4" t="s">
        <v>191</v>
      </c>
      <c r="N4" t="s">
        <v>36</v>
      </c>
      <c r="O4">
        <v>1</v>
      </c>
      <c r="P4" t="s">
        <v>166</v>
      </c>
      <c r="R4" t="s">
        <v>308</v>
      </c>
      <c r="S4" t="s">
        <v>166</v>
      </c>
      <c r="V4" t="s">
        <v>309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37</v>
      </c>
      <c r="C5">
        <v>39</v>
      </c>
      <c r="L5" t="s">
        <v>194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38</v>
      </c>
      <c r="B6" s="22">
        <v>45373</v>
      </c>
      <c r="D6" t="s">
        <v>151</v>
      </c>
      <c r="E6" t="s">
        <v>158</v>
      </c>
      <c r="I6">
        <v>5</v>
      </c>
      <c r="J6">
        <v>1</v>
      </c>
      <c r="K6" t="s">
        <v>39</v>
      </c>
      <c r="L6" t="s">
        <v>194</v>
      </c>
      <c r="M6" t="s">
        <v>33</v>
      </c>
      <c r="N6" t="s">
        <v>310</v>
      </c>
      <c r="O6">
        <v>2</v>
      </c>
      <c r="R6" t="s">
        <v>266</v>
      </c>
      <c r="S6" t="s">
        <v>267</v>
      </c>
      <c r="V6" t="s">
        <v>311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40</v>
      </c>
      <c r="C7">
        <v>52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41</v>
      </c>
      <c r="B8" s="22">
        <v>45412</v>
      </c>
      <c r="D8" t="s">
        <v>240</v>
      </c>
      <c r="E8" t="s">
        <v>198</v>
      </c>
      <c r="G8" t="s">
        <v>241</v>
      </c>
      <c r="I8">
        <v>6</v>
      </c>
      <c r="J8">
        <v>4</v>
      </c>
      <c r="K8" t="s">
        <v>43</v>
      </c>
      <c r="L8" t="s">
        <v>194</v>
      </c>
      <c r="M8" t="s">
        <v>191</v>
      </c>
      <c r="N8" t="s">
        <v>44</v>
      </c>
      <c r="O8">
        <v>1</v>
      </c>
      <c r="R8" t="s">
        <v>267</v>
      </c>
      <c r="S8" t="s">
        <v>215</v>
      </c>
      <c r="V8" t="s">
        <v>268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G9" t="s">
        <v>241</v>
      </c>
      <c r="L9" t="s">
        <v>194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46</v>
      </c>
      <c r="B10" s="22">
        <v>45411</v>
      </c>
      <c r="C10">
        <v>34</v>
      </c>
      <c r="D10" t="s">
        <v>154</v>
      </c>
      <c r="E10" t="s">
        <v>158</v>
      </c>
      <c r="J10">
        <v>1</v>
      </c>
      <c r="L10" t="s">
        <v>32</v>
      </c>
      <c r="M10" t="s">
        <v>192</v>
      </c>
      <c r="N10" t="s">
        <v>269</v>
      </c>
      <c r="O10">
        <v>2</v>
      </c>
      <c r="P10" t="s">
        <v>209</v>
      </c>
      <c r="R10" t="s">
        <v>312</v>
      </c>
      <c r="S10" t="s">
        <v>270</v>
      </c>
      <c r="V10" t="s">
        <v>313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48</v>
      </c>
      <c r="B11" s="22">
        <v>45411</v>
      </c>
      <c r="C11">
        <v>34</v>
      </c>
      <c r="E11" t="s">
        <v>158</v>
      </c>
      <c r="G11" t="s">
        <v>168</v>
      </c>
      <c r="I11">
        <v>2</v>
      </c>
      <c r="J11">
        <v>1</v>
      </c>
      <c r="K11" t="s">
        <v>47</v>
      </c>
      <c r="L11" t="s">
        <v>194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L12" t="s">
        <v>194</v>
      </c>
      <c r="P12" t="s">
        <v>267</v>
      </c>
      <c r="R12" t="s">
        <v>267</v>
      </c>
      <c r="S12" t="s">
        <v>267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50</v>
      </c>
      <c r="B13" s="22">
        <v>45387</v>
      </c>
      <c r="C13">
        <v>66</v>
      </c>
      <c r="L13" t="s">
        <v>109</v>
      </c>
      <c r="M13" t="s">
        <v>271</v>
      </c>
      <c r="N13" t="s">
        <v>314</v>
      </c>
      <c r="O13">
        <v>1</v>
      </c>
      <c r="P13" t="s">
        <v>166</v>
      </c>
      <c r="R13" t="s">
        <v>267</v>
      </c>
      <c r="V13" t="s">
        <v>272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L14" t="s">
        <v>194</v>
      </c>
      <c r="N14" t="s">
        <v>169</v>
      </c>
      <c r="O14">
        <v>1</v>
      </c>
      <c r="P14" t="s">
        <v>166</v>
      </c>
      <c r="R14" t="s">
        <v>175</v>
      </c>
      <c r="S14" t="s">
        <v>166</v>
      </c>
      <c r="V14" t="s">
        <v>273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52</v>
      </c>
      <c r="C15">
        <v>67</v>
      </c>
      <c r="D15" t="s">
        <v>151</v>
      </c>
      <c r="I15">
        <v>1</v>
      </c>
      <c r="J15">
        <v>0</v>
      </c>
      <c r="L15" t="s">
        <v>194</v>
      </c>
      <c r="M15" t="s">
        <v>33</v>
      </c>
      <c r="N15" t="s">
        <v>242</v>
      </c>
      <c r="O15">
        <v>2</v>
      </c>
      <c r="R15" t="s">
        <v>266</v>
      </c>
      <c r="V15" t="s">
        <v>290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L16" t="s">
        <v>253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54</v>
      </c>
      <c r="B17" s="22">
        <v>45443</v>
      </c>
      <c r="C17">
        <v>78</v>
      </c>
      <c r="D17" t="s">
        <v>152</v>
      </c>
      <c r="L17" t="s">
        <v>194</v>
      </c>
      <c r="M17" t="s">
        <v>191</v>
      </c>
      <c r="N17" t="s">
        <v>55</v>
      </c>
      <c r="O17">
        <v>1</v>
      </c>
      <c r="P17" t="s">
        <v>166</v>
      </c>
      <c r="R17" t="s">
        <v>267</v>
      </c>
      <c r="S17" t="s">
        <v>166</v>
      </c>
      <c r="V17" t="s">
        <v>274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L18" t="s">
        <v>194</v>
      </c>
      <c r="N18" t="s">
        <v>95</v>
      </c>
      <c r="O18">
        <v>1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57</v>
      </c>
      <c r="B19" s="22">
        <v>45331</v>
      </c>
      <c r="C19">
        <v>55</v>
      </c>
      <c r="D19" t="s">
        <v>153</v>
      </c>
      <c r="E19" t="s">
        <v>157</v>
      </c>
      <c r="G19" t="s">
        <v>275</v>
      </c>
      <c r="I19">
        <v>8</v>
      </c>
      <c r="J19">
        <v>4</v>
      </c>
      <c r="L19" t="s">
        <v>194</v>
      </c>
      <c r="M19" t="s">
        <v>191</v>
      </c>
      <c r="N19" t="s">
        <v>276</v>
      </c>
      <c r="O19">
        <v>3</v>
      </c>
      <c r="R19" t="s">
        <v>267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157</v>
      </c>
      <c r="G20" t="s">
        <v>277</v>
      </c>
      <c r="J20" t="s">
        <v>315</v>
      </c>
      <c r="L20" t="s">
        <v>194</v>
      </c>
      <c r="N20" t="s">
        <v>316</v>
      </c>
      <c r="O20">
        <v>2</v>
      </c>
      <c r="P20" t="s">
        <v>166</v>
      </c>
      <c r="R20" t="s">
        <v>267</v>
      </c>
      <c r="V20" t="s">
        <v>273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59</v>
      </c>
      <c r="B21" s="22">
        <v>45436</v>
      </c>
      <c r="C21">
        <v>24</v>
      </c>
      <c r="D21" t="s">
        <v>152</v>
      </c>
      <c r="I21">
        <v>1</v>
      </c>
      <c r="J21">
        <v>1</v>
      </c>
      <c r="L21" t="s">
        <v>194</v>
      </c>
      <c r="M21" t="s">
        <v>191</v>
      </c>
      <c r="N21" t="s">
        <v>219</v>
      </c>
      <c r="O21">
        <v>1</v>
      </c>
      <c r="P21" t="s">
        <v>166</v>
      </c>
      <c r="R21" t="s">
        <v>267</v>
      </c>
      <c r="S21" t="s">
        <v>166</v>
      </c>
      <c r="V21" t="s">
        <v>279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60</v>
      </c>
      <c r="C22">
        <v>24</v>
      </c>
      <c r="L22" t="s">
        <v>194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61</v>
      </c>
      <c r="B23" s="22">
        <v>45443</v>
      </c>
      <c r="C23">
        <v>70</v>
      </c>
      <c r="D23" t="s">
        <v>148</v>
      </c>
      <c r="L23" t="s">
        <v>255</v>
      </c>
      <c r="M23" t="s">
        <v>193</v>
      </c>
      <c r="N23" t="s">
        <v>243</v>
      </c>
      <c r="O23">
        <v>2</v>
      </c>
      <c r="P23" t="s">
        <v>166</v>
      </c>
      <c r="R23" t="s">
        <v>278</v>
      </c>
      <c r="S23" t="s">
        <v>166</v>
      </c>
      <c r="V23" t="s">
        <v>317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62</v>
      </c>
      <c r="B24" s="23">
        <v>45443</v>
      </c>
      <c r="C24">
        <v>70</v>
      </c>
      <c r="L24" t="s">
        <v>167</v>
      </c>
      <c r="N24" t="s">
        <v>244</v>
      </c>
      <c r="O24">
        <v>1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63</v>
      </c>
      <c r="B25" s="22">
        <v>45415</v>
      </c>
      <c r="C25">
        <v>67</v>
      </c>
      <c r="D25" t="s">
        <v>148</v>
      </c>
      <c r="L25" t="s">
        <v>255</v>
      </c>
      <c r="M25" t="s">
        <v>280</v>
      </c>
      <c r="N25" t="s">
        <v>254</v>
      </c>
      <c r="O25">
        <v>2</v>
      </c>
      <c r="P25" t="s">
        <v>281</v>
      </c>
      <c r="Q25" t="s">
        <v>282</v>
      </c>
      <c r="R25" t="s">
        <v>267</v>
      </c>
      <c r="V25" t="s">
        <v>283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64</v>
      </c>
      <c r="C26">
        <v>67</v>
      </c>
      <c r="L26" t="s">
        <v>255</v>
      </c>
      <c r="N26" t="s">
        <v>170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65</v>
      </c>
      <c r="B27" s="22">
        <v>45420</v>
      </c>
      <c r="C27">
        <v>66</v>
      </c>
      <c r="E27" t="s">
        <v>245</v>
      </c>
      <c r="G27" t="s">
        <v>284</v>
      </c>
      <c r="I27">
        <v>19</v>
      </c>
      <c r="J27">
        <v>2</v>
      </c>
      <c r="K27" t="s">
        <v>246</v>
      </c>
      <c r="L27" t="s">
        <v>194</v>
      </c>
      <c r="M27" t="s">
        <v>191</v>
      </c>
      <c r="N27" t="s">
        <v>285</v>
      </c>
      <c r="O27">
        <v>2</v>
      </c>
      <c r="R27" t="s">
        <v>267</v>
      </c>
      <c r="S27" t="s">
        <v>318</v>
      </c>
      <c r="V27" t="s">
        <v>286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67</v>
      </c>
      <c r="C28">
        <v>66</v>
      </c>
      <c r="E28" t="s">
        <v>157</v>
      </c>
      <c r="G28" t="s">
        <v>287</v>
      </c>
      <c r="J28">
        <v>1</v>
      </c>
      <c r="K28" t="s">
        <v>171</v>
      </c>
      <c r="L28" t="s">
        <v>194</v>
      </c>
      <c r="N28" t="s">
        <v>319</v>
      </c>
      <c r="O28">
        <v>1</v>
      </c>
      <c r="P28" t="s">
        <v>267</v>
      </c>
      <c r="R28" t="s">
        <v>267</v>
      </c>
      <c r="S28" t="s">
        <v>320</v>
      </c>
      <c r="V28" t="s">
        <v>321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68</v>
      </c>
      <c r="B29" s="22">
        <v>45394</v>
      </c>
      <c r="C29">
        <v>51</v>
      </c>
      <c r="D29" t="s">
        <v>256</v>
      </c>
      <c r="L29" t="s">
        <v>194</v>
      </c>
      <c r="M29" t="s">
        <v>191</v>
      </c>
      <c r="N29" t="s">
        <v>69</v>
      </c>
      <c r="O29">
        <v>1</v>
      </c>
      <c r="P29" t="s">
        <v>267</v>
      </c>
      <c r="Q29" t="s">
        <v>282</v>
      </c>
      <c r="R29" t="s">
        <v>267</v>
      </c>
      <c r="S29" t="s">
        <v>257</v>
      </c>
      <c r="V29" t="s">
        <v>266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70</v>
      </c>
      <c r="C30">
        <v>51</v>
      </c>
      <c r="L30" t="s">
        <v>194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71</v>
      </c>
      <c r="C31">
        <v>64</v>
      </c>
      <c r="L31" t="s">
        <v>255</v>
      </c>
      <c r="M31" t="s">
        <v>288</v>
      </c>
      <c r="N31" t="s">
        <v>289</v>
      </c>
      <c r="O31">
        <v>1</v>
      </c>
      <c r="R31" t="s">
        <v>266</v>
      </c>
      <c r="T31" t="s">
        <v>247</v>
      </c>
      <c r="V31" t="s">
        <v>290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73</v>
      </c>
      <c r="C32">
        <v>64</v>
      </c>
      <c r="L32" t="s">
        <v>194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74</v>
      </c>
      <c r="B33" s="22">
        <v>45331</v>
      </c>
      <c r="D33" t="s">
        <v>153</v>
      </c>
      <c r="I33">
        <v>4</v>
      </c>
      <c r="J33">
        <v>0</v>
      </c>
      <c r="L33" t="s">
        <v>194</v>
      </c>
      <c r="M33" t="s">
        <v>191</v>
      </c>
      <c r="N33" t="s">
        <v>220</v>
      </c>
      <c r="O33">
        <v>2</v>
      </c>
      <c r="R33" t="s">
        <v>267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75</v>
      </c>
      <c r="C34">
        <v>43</v>
      </c>
      <c r="L34" t="s">
        <v>194</v>
      </c>
      <c r="P34" t="s">
        <v>267</v>
      </c>
      <c r="R34" t="s">
        <v>267</v>
      </c>
      <c r="S34" t="s">
        <v>267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76</v>
      </c>
      <c r="B35" s="22">
        <v>45457</v>
      </c>
      <c r="C35">
        <v>49</v>
      </c>
      <c r="D35" t="s">
        <v>152</v>
      </c>
      <c r="E35" t="s">
        <v>159</v>
      </c>
      <c r="G35" t="s">
        <v>291</v>
      </c>
      <c r="I35">
        <v>21</v>
      </c>
      <c r="J35">
        <v>5</v>
      </c>
      <c r="K35" t="s">
        <v>258</v>
      </c>
      <c r="L35" t="s">
        <v>194</v>
      </c>
      <c r="M35" t="s">
        <v>191</v>
      </c>
      <c r="N35" t="s">
        <v>77</v>
      </c>
      <c r="O35">
        <v>2</v>
      </c>
      <c r="R35" t="s">
        <v>267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78</v>
      </c>
      <c r="C36">
        <v>49</v>
      </c>
      <c r="E36" t="s">
        <v>214</v>
      </c>
      <c r="L36" t="s">
        <v>194</v>
      </c>
      <c r="N36" t="s">
        <v>172</v>
      </c>
      <c r="O36">
        <v>1</v>
      </c>
      <c r="P36" t="s">
        <v>166</v>
      </c>
      <c r="R36" t="s">
        <v>175</v>
      </c>
      <c r="S36" t="s">
        <v>166</v>
      </c>
      <c r="V36" t="s">
        <v>273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79</v>
      </c>
      <c r="B37" s="22">
        <v>45355</v>
      </c>
      <c r="C37">
        <v>55</v>
      </c>
      <c r="D37" t="s">
        <v>149</v>
      </c>
      <c r="E37" t="s">
        <v>158</v>
      </c>
      <c r="G37" t="s">
        <v>221</v>
      </c>
      <c r="I37">
        <v>4</v>
      </c>
      <c r="J37">
        <v>4</v>
      </c>
      <c r="L37" t="s">
        <v>194</v>
      </c>
      <c r="M37" t="s">
        <v>191</v>
      </c>
      <c r="N37" t="s">
        <v>259</v>
      </c>
      <c r="O37">
        <v>1</v>
      </c>
      <c r="P37" t="s">
        <v>166</v>
      </c>
      <c r="R37" t="s">
        <v>248</v>
      </c>
      <c r="S37" t="s">
        <v>216</v>
      </c>
      <c r="V37" t="s">
        <v>248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80</v>
      </c>
      <c r="C38">
        <v>55</v>
      </c>
      <c r="L38" t="s">
        <v>194</v>
      </c>
      <c r="P38" t="s">
        <v>267</v>
      </c>
      <c r="R38" t="s">
        <v>267</v>
      </c>
      <c r="S38" t="s">
        <v>267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81</v>
      </c>
      <c r="B39" s="22">
        <v>45457</v>
      </c>
      <c r="C39">
        <v>23</v>
      </c>
      <c r="I39">
        <v>1</v>
      </c>
      <c r="J39">
        <v>0</v>
      </c>
      <c r="L39" t="s">
        <v>194</v>
      </c>
      <c r="M39" t="s">
        <v>191</v>
      </c>
      <c r="N39" t="s">
        <v>173</v>
      </c>
      <c r="O39">
        <v>1</v>
      </c>
      <c r="P39" t="s">
        <v>166</v>
      </c>
      <c r="R39" t="s">
        <v>266</v>
      </c>
      <c r="S39" t="s">
        <v>166</v>
      </c>
      <c r="V39" t="s">
        <v>290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82</v>
      </c>
      <c r="C40">
        <v>23</v>
      </c>
      <c r="L40" t="s">
        <v>292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83</v>
      </c>
      <c r="B41" s="22">
        <v>45373</v>
      </c>
      <c r="C41">
        <v>61</v>
      </c>
      <c r="J41">
        <v>3</v>
      </c>
      <c r="L41" t="s">
        <v>194</v>
      </c>
      <c r="N41" t="s">
        <v>322</v>
      </c>
      <c r="O41">
        <v>2</v>
      </c>
      <c r="P41" t="s">
        <v>166</v>
      </c>
      <c r="R41" t="s">
        <v>267</v>
      </c>
      <c r="S41" t="s">
        <v>267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84</v>
      </c>
      <c r="C42">
        <v>61</v>
      </c>
      <c r="L42" t="s">
        <v>293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85</v>
      </c>
      <c r="B43" s="22">
        <v>45296</v>
      </c>
      <c r="C43">
        <v>51</v>
      </c>
      <c r="I43">
        <v>7</v>
      </c>
      <c r="J43">
        <v>4</v>
      </c>
      <c r="L43" t="s">
        <v>194</v>
      </c>
      <c r="M43" t="s">
        <v>191</v>
      </c>
      <c r="N43" t="s">
        <v>249</v>
      </c>
      <c r="O43">
        <v>1</v>
      </c>
      <c r="P43" t="s">
        <v>267</v>
      </c>
      <c r="R43" t="s">
        <v>267</v>
      </c>
      <c r="S43" t="s">
        <v>267</v>
      </c>
      <c r="V43" t="s">
        <v>323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86</v>
      </c>
      <c r="C44">
        <v>51</v>
      </c>
      <c r="E44" t="s">
        <v>155</v>
      </c>
      <c r="L44" t="s">
        <v>194</v>
      </c>
      <c r="N44" t="s">
        <v>262</v>
      </c>
      <c r="O44">
        <v>1</v>
      </c>
      <c r="P44" t="s">
        <v>166</v>
      </c>
      <c r="R44" t="s">
        <v>266</v>
      </c>
      <c r="V44" t="s">
        <v>273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87</v>
      </c>
      <c r="B45" s="22">
        <v>45299</v>
      </c>
      <c r="C45">
        <v>50</v>
      </c>
      <c r="D45" t="s">
        <v>197</v>
      </c>
      <c r="I45">
        <v>1</v>
      </c>
      <c r="J45">
        <v>0</v>
      </c>
      <c r="L45" t="s">
        <v>194</v>
      </c>
      <c r="M45" t="s">
        <v>191</v>
      </c>
      <c r="N45" t="s">
        <v>174</v>
      </c>
      <c r="O45">
        <v>1</v>
      </c>
      <c r="R45" t="s">
        <v>266</v>
      </c>
      <c r="V45" t="s">
        <v>266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88</v>
      </c>
      <c r="C46">
        <v>50</v>
      </c>
      <c r="D46" t="s">
        <v>150</v>
      </c>
      <c r="E46" t="s">
        <v>156</v>
      </c>
      <c r="F46" t="s">
        <v>160</v>
      </c>
      <c r="L46" t="s">
        <v>194</v>
      </c>
      <c r="P46" t="s">
        <v>166</v>
      </c>
      <c r="R46" t="s">
        <v>175</v>
      </c>
      <c r="S46" t="s">
        <v>166</v>
      </c>
      <c r="V46" t="s">
        <v>266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89</v>
      </c>
      <c r="B47" s="22">
        <v>45296</v>
      </c>
      <c r="C47">
        <v>61</v>
      </c>
      <c r="I47">
        <v>1</v>
      </c>
      <c r="J47">
        <v>0</v>
      </c>
      <c r="L47" t="s">
        <v>194</v>
      </c>
      <c r="M47" t="s">
        <v>33</v>
      </c>
      <c r="N47" t="s">
        <v>324</v>
      </c>
      <c r="O47">
        <v>2</v>
      </c>
      <c r="P47" t="s">
        <v>166</v>
      </c>
      <c r="R47" t="s">
        <v>267</v>
      </c>
      <c r="S47" t="s">
        <v>267</v>
      </c>
      <c r="V47" t="s">
        <v>266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90</v>
      </c>
      <c r="C48">
        <v>61</v>
      </c>
      <c r="L48" t="s">
        <v>255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91</v>
      </c>
      <c r="B49" s="22">
        <v>45301</v>
      </c>
      <c r="C49">
        <v>55</v>
      </c>
      <c r="D49" t="s">
        <v>149</v>
      </c>
      <c r="E49" t="s">
        <v>159</v>
      </c>
      <c r="G49" t="s">
        <v>294</v>
      </c>
      <c r="I49">
        <v>15</v>
      </c>
      <c r="J49">
        <v>9</v>
      </c>
      <c r="K49" t="s">
        <v>222</v>
      </c>
      <c r="L49" t="s">
        <v>194</v>
      </c>
      <c r="M49" t="s">
        <v>191</v>
      </c>
      <c r="N49" t="s">
        <v>295</v>
      </c>
      <c r="O49">
        <v>3</v>
      </c>
      <c r="P49" t="s">
        <v>175</v>
      </c>
      <c r="R49" t="s">
        <v>210</v>
      </c>
      <c r="S49" t="s">
        <v>217</v>
      </c>
      <c r="V49" t="s">
        <v>283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92</v>
      </c>
      <c r="C50">
        <v>55</v>
      </c>
      <c r="G50" t="s">
        <v>325</v>
      </c>
      <c r="L50" t="s">
        <v>293</v>
      </c>
      <c r="O50">
        <v>2</v>
      </c>
      <c r="P50" t="s">
        <v>267</v>
      </c>
      <c r="R50" t="s">
        <v>267</v>
      </c>
      <c r="S50" t="s">
        <v>166</v>
      </c>
      <c r="V50" t="s">
        <v>286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93</v>
      </c>
      <c r="B51" s="22">
        <v>45310</v>
      </c>
      <c r="C51">
        <v>42</v>
      </c>
      <c r="D51" t="s">
        <v>152</v>
      </c>
      <c r="L51" t="s">
        <v>194</v>
      </c>
      <c r="M51" t="s">
        <v>191</v>
      </c>
      <c r="N51" t="s">
        <v>77</v>
      </c>
      <c r="O51">
        <v>1</v>
      </c>
      <c r="P51" t="s">
        <v>175</v>
      </c>
      <c r="R51" t="s">
        <v>175</v>
      </c>
      <c r="S51" t="s">
        <v>175</v>
      </c>
      <c r="V51" t="s">
        <v>266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94</v>
      </c>
      <c r="C52">
        <v>42</v>
      </c>
      <c r="L52" t="s">
        <v>194</v>
      </c>
      <c r="N52" t="s">
        <v>95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96</v>
      </c>
      <c r="B53" s="22">
        <v>45464</v>
      </c>
      <c r="C53">
        <v>73</v>
      </c>
      <c r="D53" t="s">
        <v>153</v>
      </c>
      <c r="L53" t="s">
        <v>194</v>
      </c>
      <c r="M53" t="s">
        <v>191</v>
      </c>
      <c r="N53" t="s">
        <v>296</v>
      </c>
      <c r="O53">
        <v>1</v>
      </c>
      <c r="P53" t="s">
        <v>166</v>
      </c>
      <c r="R53" t="s">
        <v>267</v>
      </c>
      <c r="S53" t="s">
        <v>223</v>
      </c>
      <c r="V53" t="s">
        <v>297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97</v>
      </c>
      <c r="C54">
        <v>73</v>
      </c>
      <c r="L54" t="s">
        <v>194</v>
      </c>
      <c r="N54" t="s">
        <v>95</v>
      </c>
      <c r="O54">
        <v>2</v>
      </c>
      <c r="P54" t="s">
        <v>267</v>
      </c>
      <c r="Q54" t="s">
        <v>282</v>
      </c>
      <c r="R54" t="s">
        <v>267</v>
      </c>
      <c r="S54" t="s">
        <v>267</v>
      </c>
      <c r="V54" t="s">
        <v>286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98</v>
      </c>
      <c r="C55">
        <v>39</v>
      </c>
      <c r="D55" t="s">
        <v>197</v>
      </c>
      <c r="G55" t="s">
        <v>224</v>
      </c>
      <c r="I55">
        <v>2</v>
      </c>
      <c r="J55">
        <v>1</v>
      </c>
      <c r="L55" t="s">
        <v>194</v>
      </c>
      <c r="N55" t="s">
        <v>298</v>
      </c>
      <c r="O55">
        <v>2</v>
      </c>
      <c r="P55" t="s">
        <v>166</v>
      </c>
      <c r="R55" t="s">
        <v>299</v>
      </c>
      <c r="S55" t="s">
        <v>166</v>
      </c>
      <c r="V55" t="s">
        <v>300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99</v>
      </c>
      <c r="C56">
        <v>39</v>
      </c>
      <c r="L56" t="s">
        <v>260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100</v>
      </c>
      <c r="B57" s="22">
        <v>45464</v>
      </c>
      <c r="C57">
        <v>57</v>
      </c>
      <c r="D57" t="s">
        <v>197</v>
      </c>
      <c r="G57" t="s">
        <v>224</v>
      </c>
      <c r="I57">
        <v>5</v>
      </c>
      <c r="J57">
        <v>1</v>
      </c>
      <c r="L57" t="s">
        <v>194</v>
      </c>
      <c r="N57" t="s">
        <v>261</v>
      </c>
      <c r="O57">
        <v>2</v>
      </c>
      <c r="P57" t="s">
        <v>166</v>
      </c>
      <c r="R57" t="s">
        <v>250</v>
      </c>
      <c r="S57" t="s">
        <v>166</v>
      </c>
      <c r="V57" t="s">
        <v>250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101</v>
      </c>
      <c r="C58">
        <v>57</v>
      </c>
      <c r="L58" t="s">
        <v>293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102</v>
      </c>
      <c r="B59" s="22">
        <v>45242</v>
      </c>
      <c r="C59">
        <v>63</v>
      </c>
      <c r="D59" t="s">
        <v>197</v>
      </c>
      <c r="L59" t="s">
        <v>194</v>
      </c>
      <c r="M59" t="s">
        <v>191</v>
      </c>
      <c r="N59" t="s">
        <v>251</v>
      </c>
      <c r="O59" t="s">
        <v>326</v>
      </c>
      <c r="P59" t="s">
        <v>166</v>
      </c>
      <c r="R59" t="s">
        <v>301</v>
      </c>
      <c r="S59" t="s">
        <v>166</v>
      </c>
      <c r="V59" t="s">
        <v>311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103</v>
      </c>
      <c r="C60">
        <v>63</v>
      </c>
      <c r="L60" t="s">
        <v>194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104</v>
      </c>
      <c r="B61" s="22">
        <v>45287</v>
      </c>
      <c r="C61">
        <v>39</v>
      </c>
      <c r="D61" t="s">
        <v>152</v>
      </c>
      <c r="I61">
        <v>24</v>
      </c>
      <c r="J61">
        <v>3</v>
      </c>
      <c r="K61" t="s">
        <v>176</v>
      </c>
      <c r="L61" t="s">
        <v>194</v>
      </c>
      <c r="M61" t="s">
        <v>33</v>
      </c>
      <c r="N61" t="s">
        <v>225</v>
      </c>
      <c r="O61">
        <v>3</v>
      </c>
      <c r="R61" t="s">
        <v>266</v>
      </c>
      <c r="V61" t="s">
        <v>266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105</v>
      </c>
      <c r="C62">
        <v>39</v>
      </c>
      <c r="E62" t="s">
        <v>157</v>
      </c>
      <c r="G62" t="s">
        <v>302</v>
      </c>
      <c r="L62" t="s">
        <v>194</v>
      </c>
      <c r="P62" t="s">
        <v>166</v>
      </c>
      <c r="R62" t="s">
        <v>267</v>
      </c>
      <c r="S62" t="s">
        <v>166</v>
      </c>
      <c r="V62" t="s">
        <v>273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106</v>
      </c>
      <c r="B63" s="22">
        <v>43304</v>
      </c>
      <c r="J63">
        <v>1</v>
      </c>
      <c r="L63" t="s">
        <v>194</v>
      </c>
      <c r="M63" t="s">
        <v>33</v>
      </c>
      <c r="N63" t="s">
        <v>303</v>
      </c>
      <c r="O63">
        <v>2</v>
      </c>
      <c r="R63" t="s">
        <v>267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107</v>
      </c>
      <c r="B64" s="23">
        <v>43304</v>
      </c>
      <c r="C64">
        <v>60</v>
      </c>
      <c r="L64" t="s">
        <v>194</v>
      </c>
      <c r="N64" t="s">
        <v>171</v>
      </c>
      <c r="O64">
        <v>1</v>
      </c>
      <c r="P64" t="s">
        <v>267</v>
      </c>
      <c r="R64" t="s">
        <v>267</v>
      </c>
      <c r="S64" t="s">
        <v>267</v>
      </c>
      <c r="V64" t="s">
        <v>286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108</v>
      </c>
      <c r="B65" s="22">
        <v>44630</v>
      </c>
      <c r="D65" t="s">
        <v>149</v>
      </c>
      <c r="E65" t="s">
        <v>159</v>
      </c>
      <c r="J65">
        <v>4</v>
      </c>
      <c r="L65" t="s">
        <v>255</v>
      </c>
      <c r="M65" t="s">
        <v>304</v>
      </c>
      <c r="N65" t="s">
        <v>305</v>
      </c>
      <c r="O65">
        <v>1</v>
      </c>
      <c r="P65" t="s">
        <v>267</v>
      </c>
      <c r="Q65" t="s">
        <v>306</v>
      </c>
      <c r="R65" t="s">
        <v>267</v>
      </c>
      <c r="S65" t="s">
        <v>252</v>
      </c>
      <c r="V65" t="s">
        <v>327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110</v>
      </c>
      <c r="B66" s="22">
        <v>44629</v>
      </c>
      <c r="C66">
        <v>72</v>
      </c>
      <c r="L66" t="s">
        <v>255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111</v>
      </c>
      <c r="B67" s="22">
        <v>44517</v>
      </c>
      <c r="D67" t="s">
        <v>197</v>
      </c>
      <c r="L67" t="s">
        <v>194</v>
      </c>
      <c r="M67" t="s">
        <v>307</v>
      </c>
      <c r="N67" t="s">
        <v>47</v>
      </c>
      <c r="O67">
        <v>1</v>
      </c>
      <c r="P67" t="s">
        <v>166</v>
      </c>
      <c r="R67" t="s">
        <v>328</v>
      </c>
      <c r="S67" t="s">
        <v>166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112</v>
      </c>
      <c r="B68" s="22">
        <v>44517</v>
      </c>
      <c r="C68">
        <v>41</v>
      </c>
      <c r="F68" t="s">
        <v>161</v>
      </c>
      <c r="H68" t="s">
        <v>211</v>
      </c>
      <c r="L68" t="s">
        <v>177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113</v>
      </c>
      <c r="B69" s="22">
        <v>44825</v>
      </c>
      <c r="D69" t="s">
        <v>263</v>
      </c>
      <c r="E69" t="s">
        <v>156</v>
      </c>
      <c r="J69">
        <v>1</v>
      </c>
      <c r="L69" t="s">
        <v>32</v>
      </c>
      <c r="M69" t="s">
        <v>264</v>
      </c>
      <c r="N69" t="s">
        <v>178</v>
      </c>
      <c r="O69">
        <v>3</v>
      </c>
      <c r="P69" t="s">
        <v>329</v>
      </c>
      <c r="Q69" t="s">
        <v>306</v>
      </c>
      <c r="R69" t="s">
        <v>267</v>
      </c>
      <c r="S69" t="s">
        <v>330</v>
      </c>
      <c r="V69" t="s">
        <v>321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114</v>
      </c>
      <c r="B70" s="23">
        <v>44825</v>
      </c>
      <c r="C70">
        <v>63</v>
      </c>
      <c r="L70" t="s">
        <v>194</v>
      </c>
      <c r="N70" t="s">
        <v>179</v>
      </c>
      <c r="O70">
        <v>1</v>
      </c>
      <c r="P70" t="s">
        <v>267</v>
      </c>
      <c r="R70" t="s">
        <v>267</v>
      </c>
      <c r="S70" t="s">
        <v>267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115</v>
      </c>
      <c r="B71" s="22">
        <v>44419</v>
      </c>
      <c r="E71" t="s">
        <v>158</v>
      </c>
      <c r="G71" t="s">
        <v>212</v>
      </c>
      <c r="I71">
        <v>35</v>
      </c>
      <c r="J71">
        <v>7</v>
      </c>
      <c r="L71" t="s">
        <v>194</v>
      </c>
      <c r="M71" t="s">
        <v>195</v>
      </c>
      <c r="N71" t="s">
        <v>331</v>
      </c>
      <c r="O71" t="s">
        <v>332</v>
      </c>
      <c r="P71" t="s">
        <v>267</v>
      </c>
      <c r="Q71" t="s">
        <v>282</v>
      </c>
      <c r="R71" t="s">
        <v>267</v>
      </c>
      <c r="S71" t="s">
        <v>267</v>
      </c>
      <c r="V71" t="s">
        <v>333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116</v>
      </c>
      <c r="B72" s="23">
        <v>44419</v>
      </c>
      <c r="C72">
        <v>62</v>
      </c>
      <c r="E72" t="s">
        <v>158</v>
      </c>
      <c r="F72" t="s">
        <v>161</v>
      </c>
      <c r="G72" t="s">
        <v>334</v>
      </c>
      <c r="H72" t="s">
        <v>180</v>
      </c>
      <c r="L72" t="s">
        <v>177</v>
      </c>
      <c r="N72" t="s">
        <v>171</v>
      </c>
      <c r="O72">
        <v>1</v>
      </c>
      <c r="P72" t="s">
        <v>166</v>
      </c>
      <c r="R72" t="s">
        <v>278</v>
      </c>
      <c r="S72" t="s">
        <v>335</v>
      </c>
      <c r="V72" t="s">
        <v>286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117</v>
      </c>
      <c r="B1" s="2" t="s">
        <v>118</v>
      </c>
    </row>
    <row r="2" spans="1:2">
      <c r="A2" s="1" t="s">
        <v>2</v>
      </c>
      <c r="B2" s="1" t="s">
        <v>119</v>
      </c>
    </row>
    <row r="3" spans="1:2">
      <c r="A3" s="1" t="s">
        <v>3</v>
      </c>
      <c r="B3" s="1" t="s">
        <v>120</v>
      </c>
    </row>
    <row r="4" spans="1:2">
      <c r="A4" s="1" t="s">
        <v>4</v>
      </c>
      <c r="B4" s="1" t="s">
        <v>121</v>
      </c>
    </row>
    <row r="5" spans="1:2">
      <c r="A5" s="1" t="s">
        <v>5</v>
      </c>
      <c r="B5" s="1" t="s">
        <v>122</v>
      </c>
    </row>
    <row r="6" spans="1:2">
      <c r="A6" s="1" t="s">
        <v>6</v>
      </c>
      <c r="B6" s="1" t="s">
        <v>123</v>
      </c>
    </row>
    <row r="7" spans="1:2">
      <c r="A7" s="1" t="s">
        <v>7</v>
      </c>
      <c r="B7" s="1" t="s">
        <v>124</v>
      </c>
    </row>
    <row r="8" spans="1:2">
      <c r="A8" s="1" t="s">
        <v>10</v>
      </c>
      <c r="B8" s="1" t="s">
        <v>125</v>
      </c>
    </row>
    <row r="9" spans="1:2">
      <c r="A9" s="1" t="s">
        <v>12</v>
      </c>
      <c r="B9" s="1" t="s">
        <v>126</v>
      </c>
    </row>
    <row r="10" spans="1:2">
      <c r="A10" s="1" t="s">
        <v>13</v>
      </c>
      <c r="B10" s="1" t="s">
        <v>127</v>
      </c>
    </row>
    <row r="11" spans="1:2">
      <c r="A11" s="1" t="s">
        <v>14</v>
      </c>
      <c r="B11" s="1" t="s">
        <v>128</v>
      </c>
    </row>
    <row r="12" spans="1:2">
      <c r="A12" s="1" t="s">
        <v>15</v>
      </c>
      <c r="B12" s="1" t="s">
        <v>129</v>
      </c>
    </row>
    <row r="13" spans="1:2">
      <c r="A13" s="1" t="s">
        <v>16</v>
      </c>
      <c r="B13" s="1" t="s">
        <v>130</v>
      </c>
    </row>
    <row r="14" spans="1:2">
      <c r="A14" s="1" t="s">
        <v>18</v>
      </c>
      <c r="B14" s="1" t="s">
        <v>131</v>
      </c>
    </row>
    <row r="15" spans="1:2">
      <c r="A15" s="1" t="s">
        <v>19</v>
      </c>
      <c r="B15" s="1" t="s">
        <v>132</v>
      </c>
    </row>
    <row r="16" spans="1:2">
      <c r="A16" s="1" t="s">
        <v>20</v>
      </c>
      <c r="B16" s="1" t="s">
        <v>133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134</v>
      </c>
    </row>
    <row r="19" spans="1:2">
      <c r="A19" s="1" t="s">
        <v>23</v>
      </c>
      <c r="B19" s="1" t="s">
        <v>135</v>
      </c>
    </row>
    <row r="20" spans="1:2">
      <c r="A20" s="1" t="s">
        <v>24</v>
      </c>
      <c r="B20" s="1" t="s">
        <v>136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137</v>
      </c>
    </row>
    <row r="23" spans="1:2">
      <c r="A23" s="1" t="s">
        <v>27</v>
      </c>
      <c r="B23" s="1" t="s">
        <v>138</v>
      </c>
    </row>
    <row r="24" spans="1:2">
      <c r="A24" s="1" t="s">
        <v>28</v>
      </c>
      <c r="B24" s="1" t="s">
        <v>139</v>
      </c>
    </row>
    <row r="25" spans="1:2">
      <c r="A25" s="2" t="s">
        <v>29</v>
      </c>
      <c r="B25" s="2" t="s">
        <v>140</v>
      </c>
    </row>
    <row r="27" spans="1:2">
      <c r="A27" s="1" t="s">
        <v>141</v>
      </c>
    </row>
    <row r="28" spans="1:2">
      <c r="A28" s="1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2024-12-06T16:53:56Z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