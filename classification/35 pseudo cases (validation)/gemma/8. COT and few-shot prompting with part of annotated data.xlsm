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FB00A839-0BC1-4F7E-890E-D4844462760C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4" i="16" l="1"/>
  <c r="AJ4" i="16"/>
  <c r="AK4" i="16" s="1"/>
  <c r="AI5" i="16"/>
  <c r="AJ5" i="16"/>
  <c r="AK5" i="16"/>
  <c r="AI6" i="16"/>
  <c r="AJ6" i="16"/>
  <c r="AI7" i="16"/>
  <c r="AJ7" i="16"/>
  <c r="AK7" i="16" s="1"/>
  <c r="AI8" i="16"/>
  <c r="AJ8" i="16"/>
  <c r="AI9" i="16"/>
  <c r="AJ9" i="16"/>
  <c r="AI10" i="16"/>
  <c r="AJ10" i="16"/>
  <c r="AI11" i="16"/>
  <c r="AJ11" i="16"/>
  <c r="AI12" i="16"/>
  <c r="AJ12" i="16"/>
  <c r="AK12" i="16"/>
  <c r="AI13" i="16"/>
  <c r="AJ13" i="16"/>
  <c r="AI14" i="16"/>
  <c r="AJ14" i="16"/>
  <c r="AI15" i="16"/>
  <c r="AJ15" i="16"/>
  <c r="AI16" i="16"/>
  <c r="AJ16" i="16"/>
  <c r="AK16" i="16" s="1"/>
  <c r="AI17" i="16"/>
  <c r="AJ17" i="16"/>
  <c r="AK17" i="16"/>
  <c r="AI18" i="16"/>
  <c r="AJ18" i="16"/>
  <c r="AK18" i="16"/>
  <c r="AI19" i="16"/>
  <c r="AJ19" i="16"/>
  <c r="AK19" i="16"/>
  <c r="AI20" i="16"/>
  <c r="AJ20" i="16"/>
  <c r="AI21" i="16"/>
  <c r="AJ21" i="16"/>
  <c r="AK21" i="16"/>
  <c r="AI22" i="16"/>
  <c r="AJ22" i="16"/>
  <c r="AI23" i="16"/>
  <c r="AJ23" i="16"/>
  <c r="AK23" i="16"/>
  <c r="AI24" i="16"/>
  <c r="AJ24" i="16"/>
  <c r="AK24" i="16" s="1"/>
  <c r="AI25" i="16"/>
  <c r="AJ25" i="16"/>
  <c r="AI26" i="16"/>
  <c r="AJ26" i="16"/>
  <c r="AI27" i="16"/>
  <c r="AJ27" i="16"/>
  <c r="AK27" i="16"/>
  <c r="AI28" i="16"/>
  <c r="AJ28" i="16"/>
  <c r="AI29" i="16"/>
  <c r="AJ29" i="16"/>
  <c r="AK29" i="16"/>
  <c r="AI30" i="16"/>
  <c r="AJ30" i="16"/>
  <c r="AI31" i="16"/>
  <c r="AJ31" i="16"/>
  <c r="AI32" i="16"/>
  <c r="AJ32" i="16"/>
  <c r="AK32" i="16"/>
  <c r="AI33" i="16"/>
  <c r="AJ33" i="16"/>
  <c r="AI34" i="16"/>
  <c r="AJ34" i="16"/>
  <c r="AI35" i="16"/>
  <c r="AJ35" i="16"/>
  <c r="AK35" i="16"/>
  <c r="AI36" i="16"/>
  <c r="AJ36" i="16"/>
  <c r="AI37" i="16"/>
  <c r="AJ37" i="16"/>
  <c r="AK37" i="16" s="1"/>
  <c r="AJ3" i="16"/>
  <c r="AI3" i="16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W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W20" i="16" s="1"/>
  <c r="T21" i="16" a="1"/>
  <c r="T21" i="16" s="1"/>
  <c r="W21" i="16" s="1"/>
  <c r="T22" i="16" a="1"/>
  <c r="T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W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AA3" i="16" l="1"/>
  <c r="D7" i="16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AE3" i="16" a="1"/>
  <c r="AE3" i="16" s="1"/>
  <c r="Z3" i="16" s="1"/>
  <c r="AE4" i="16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Y32" i="16" l="1"/>
  <c r="AC32" i="16"/>
  <c r="Y3" i="16"/>
  <c r="AC3" i="16"/>
  <c r="Y15" i="16"/>
  <c r="AC15" i="16"/>
  <c r="Y9" i="16"/>
  <c r="AC9" i="16"/>
  <c r="Y37" i="16"/>
  <c r="AC37" i="16"/>
  <c r="Y34" i="16"/>
  <c r="AC34" i="16"/>
  <c r="Y14" i="16"/>
  <c r="AC14" i="16"/>
  <c r="Y33" i="16"/>
  <c r="AC33" i="16"/>
  <c r="Y13" i="16"/>
  <c r="AC13" i="16"/>
  <c r="Y12" i="16"/>
  <c r="AC12" i="16"/>
  <c r="Y31" i="16"/>
  <c r="AC31" i="16"/>
  <c r="Y11" i="16"/>
  <c r="AC11" i="16"/>
  <c r="Y28" i="16"/>
  <c r="AC28" i="16"/>
  <c r="Y8" i="16"/>
  <c r="AC8" i="16"/>
  <c r="Y27" i="16"/>
  <c r="AC27" i="16"/>
  <c r="Y26" i="16"/>
  <c r="AC26" i="16"/>
  <c r="Y7" i="16"/>
  <c r="AC7" i="16"/>
  <c r="Y25" i="16"/>
  <c r="AC25" i="16"/>
  <c r="Y6" i="16"/>
  <c r="AC6" i="16"/>
  <c r="Y24" i="16"/>
  <c r="AC24" i="16"/>
  <c r="Y5" i="16"/>
  <c r="AC5" i="16"/>
  <c r="Y23" i="16"/>
  <c r="AC23" i="16"/>
  <c r="Y4" i="16"/>
  <c r="AC4" i="16"/>
  <c r="Y22" i="16"/>
  <c r="AC22" i="16"/>
  <c r="Y21" i="16"/>
  <c r="AC21" i="16"/>
  <c r="Y29" i="16"/>
  <c r="AC29" i="16"/>
  <c r="Y20" i="16"/>
  <c r="AC20" i="16"/>
  <c r="Y19" i="16"/>
  <c r="AC19" i="16"/>
  <c r="Y17" i="16"/>
  <c r="AC17" i="16"/>
  <c r="Y36" i="16"/>
  <c r="AC36" i="16"/>
  <c r="Y16" i="16"/>
  <c r="AC16" i="16"/>
  <c r="Y35" i="16"/>
  <c r="AC35" i="16"/>
  <c r="Y30" i="16"/>
  <c r="AC30" i="16"/>
  <c r="Y10" i="16"/>
  <c r="AC10" i="16"/>
  <c r="Y18" i="16"/>
  <c r="AC18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B26" i="16"/>
  <c r="B6" i="16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W22" i="16" s="1"/>
  <c r="V23" i="16" a="1"/>
  <c r="V23" i="16" s="1"/>
  <c r="W23" i="16" s="1"/>
  <c r="B23" i="16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L22" i="16" a="1"/>
  <c r="R5" i="16" a="1"/>
  <c r="L32" i="16" a="1"/>
  <c r="R11" i="16" a="1"/>
  <c r="R34" i="16" a="1"/>
  <c r="R14" i="16" a="1"/>
  <c r="L37" i="16" a="1"/>
  <c r="L8" i="16" a="1"/>
  <c r="R12" i="16" a="1"/>
  <c r="L36" i="16" a="1"/>
  <c r="R10" i="16" a="1"/>
  <c r="L28" i="16" a="1"/>
  <c r="R33" i="16" a="1"/>
  <c r="L33" i="16" a="1"/>
  <c r="L20" i="16" a="1"/>
  <c r="L10" i="16" a="1"/>
  <c r="R13" i="16" a="1"/>
  <c r="R30" i="16" a="1"/>
  <c r="R25" i="16" a="1"/>
  <c r="L27" i="16" a="1"/>
  <c r="R36" i="16" a="1"/>
  <c r="L35" i="16" a="1"/>
  <c r="R6" i="16" a="1"/>
  <c r="R16" i="16" a="1"/>
  <c r="L4" i="16" a="1"/>
  <c r="R17" i="16" a="1"/>
  <c r="R35" i="16" a="1"/>
  <c r="R28" i="16" a="1"/>
  <c r="L11" i="16" a="1"/>
  <c r="L16" i="16" a="1"/>
  <c r="L9" i="16" a="1"/>
  <c r="L23" i="16" a="1"/>
  <c r="L25" i="16" a="1"/>
  <c r="R18" i="16" a="1"/>
  <c r="L24" i="16" a="1"/>
  <c r="R20" i="16" a="1"/>
  <c r="R19" i="16" a="1"/>
  <c r="R23" i="16" a="1"/>
  <c r="R27" i="16" a="1"/>
  <c r="R22" i="16" a="1"/>
  <c r="L17" i="16" a="1"/>
  <c r="R29" i="16" a="1"/>
  <c r="L14" i="16" a="1"/>
  <c r="L18" i="16" a="1"/>
  <c r="L31" i="16" a="1"/>
  <c r="L21" i="16" a="1"/>
  <c r="R15" i="16" a="1"/>
  <c r="R4" i="16" a="1"/>
  <c r="L3" i="16" a="1"/>
  <c r="R9" i="16" a="1"/>
  <c r="L26" i="16" a="1"/>
  <c r="L15" i="16" a="1"/>
  <c r="R31" i="16" a="1"/>
  <c r="R8" i="16" a="1"/>
  <c r="L30" i="16" a="1"/>
  <c r="L13" i="16" a="1"/>
  <c r="L12" i="16" a="1"/>
  <c r="R37" i="16" a="1"/>
  <c r="R32" i="16" a="1"/>
  <c r="L34" i="16" a="1"/>
  <c r="R3" i="16" a="1"/>
  <c r="L6" i="16" a="1"/>
  <c r="R7" i="16" a="1"/>
  <c r="L5" i="16" a="1"/>
  <c r="R21" i="16" a="1"/>
  <c r="L19" i="16" a="1"/>
  <c r="R26" i="16" a="1"/>
  <c r="R24" i="16" a="1"/>
  <c r="L29" i="16" a="1"/>
  <c r="L7" i="16" a="1"/>
  <c r="AH18" i="16" l="1"/>
  <c r="AH20" i="16"/>
  <c r="AK20" i="16" s="1"/>
  <c r="AH26" i="16"/>
  <c r="AK26" i="16" s="1"/>
  <c r="AH15" i="16"/>
  <c r="AK15" i="16" s="1"/>
  <c r="AH36" i="16"/>
  <c r="AK36" i="16" s="1"/>
  <c r="AH7" i="16"/>
  <c r="AH33" i="16"/>
  <c r="AK33" i="16" s="1"/>
  <c r="AH8" i="16"/>
  <c r="AK8" i="16" s="1"/>
  <c r="AH28" i="16"/>
  <c r="AK28" i="16" s="1"/>
  <c r="AH16" i="16"/>
  <c r="AH17" i="16"/>
  <c r="AG17" i="16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23" i="16" a="1"/>
  <c r="M33" i="16" a="1"/>
  <c r="S35" i="16" a="1"/>
  <c r="S21" i="16" a="1"/>
  <c r="M14" i="16" a="1"/>
  <c r="S9" i="16" a="1"/>
  <c r="M7" i="16" a="1"/>
  <c r="M19" i="16" a="1"/>
  <c r="S12" i="16" a="1"/>
  <c r="S17" i="16" a="1"/>
  <c r="M22" i="16" a="1"/>
  <c r="M3" i="16" a="1"/>
  <c r="M20" i="16" a="1"/>
  <c r="S16" i="16" a="1"/>
  <c r="M31" i="16" a="1"/>
  <c r="M37" i="16" a="1"/>
  <c r="M11" i="16" a="1"/>
  <c r="M34" i="16" a="1"/>
  <c r="S31" i="16" a="1"/>
  <c r="M35" i="16" a="1"/>
  <c r="S34" i="16" a="1"/>
  <c r="M8" i="16" a="1"/>
  <c r="S8" i="16" a="1"/>
  <c r="M17" i="16" a="1"/>
  <c r="M21" i="16" a="1"/>
  <c r="S24" i="16" a="1"/>
  <c r="S25" i="16" a="1"/>
  <c r="M30" i="16" a="1"/>
  <c r="M5" i="16" a="1"/>
  <c r="M36" i="16" a="1"/>
  <c r="S10" i="16" a="1"/>
  <c r="M27" i="16" a="1"/>
  <c r="M9" i="16" a="1"/>
  <c r="S13" i="16" a="1"/>
  <c r="M29" i="16" a="1"/>
  <c r="S7" i="16" a="1"/>
  <c r="S3" i="16" a="1"/>
  <c r="S36" i="16" a="1"/>
  <c r="M6" i="16" a="1"/>
  <c r="S20" i="16" a="1"/>
  <c r="S37" i="16" a="1"/>
  <c r="S19" i="16" a="1"/>
  <c r="M28" i="16" a="1"/>
  <c r="S32" i="16" a="1"/>
  <c r="S15" i="16" a="1"/>
  <c r="S27" i="16" a="1"/>
  <c r="M25" i="16" a="1"/>
  <c r="S23" i="16" a="1"/>
  <c r="S11" i="16" a="1"/>
  <c r="M15" i="16" a="1"/>
  <c r="M18" i="16" a="1"/>
  <c r="M10" i="16" a="1"/>
  <c r="M16" i="16" a="1"/>
  <c r="S28" i="16" a="1"/>
  <c r="S33" i="16" a="1"/>
  <c r="S5" i="16" a="1"/>
  <c r="S22" i="16" a="1"/>
  <c r="S6" i="16" a="1"/>
  <c r="M26" i="16" a="1"/>
  <c r="S26" i="16" a="1"/>
  <c r="M12" i="16" a="1"/>
  <c r="M24" i="16" a="1"/>
  <c r="S30" i="16" a="1"/>
  <c r="M32" i="16" a="1"/>
  <c r="M13" i="16" a="1"/>
  <c r="S29" i="16" a="1"/>
  <c r="S4" i="16" a="1"/>
  <c r="S14" i="16" a="1"/>
  <c r="M4" i="16" a="1"/>
  <c r="S18" i="16" a="1"/>
  <c r="M17" i="16" l="1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AK25" i="16" s="1"/>
  <c r="S8" i="16"/>
  <c r="S33" i="16"/>
  <c r="S31" i="16"/>
  <c r="AH31" i="16" s="1"/>
  <c r="AK31" i="16" s="1"/>
  <c r="S19" i="16"/>
  <c r="AH19" i="16" s="1"/>
  <c r="S22" i="16"/>
  <c r="AH22" i="16" s="1"/>
  <c r="AK22" i="16" s="1"/>
  <c r="S15" i="16"/>
  <c r="S37" i="16"/>
  <c r="AH37" i="16" s="1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AK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AK3" i="16" s="1"/>
  <c r="S36" i="16"/>
  <c r="S28" i="16"/>
  <c r="S32" i="16"/>
  <c r="AH32" i="16" s="1"/>
  <c r="S27" i="16"/>
  <c r="AH27" i="16" s="1"/>
  <c r="S7" i="16"/>
  <c r="S6" i="16"/>
  <c r="AH6" i="16" s="1"/>
  <c r="AK6" i="16" s="1"/>
  <c r="S12" i="16"/>
  <c r="AH12" i="16" s="1"/>
  <c r="S18" i="16"/>
  <c r="S10" i="16"/>
  <c r="AH10" i="16" s="1"/>
  <c r="AK10" i="16" s="1"/>
  <c r="S23" i="16"/>
  <c r="AH23" i="16" s="1"/>
  <c r="S26" i="16"/>
  <c r="S4" i="16"/>
  <c r="AH4" i="16" s="1"/>
  <c r="S9" i="16"/>
  <c r="AH9" i="16" s="1"/>
  <c r="AK9" i="16" s="1"/>
  <c r="S34" i="16"/>
  <c r="AH34" i="16" s="1"/>
  <c r="AK34" i="16" s="1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T26" i="16"/>
  <c r="AS26" i="16"/>
  <c r="AT25" i="16"/>
  <c r="AS23" i="16"/>
  <c r="AT22" i="16"/>
  <c r="AS22" i="16"/>
  <c r="AT20" i="16"/>
  <c r="AS20" i="16"/>
  <c r="AS19" i="16"/>
  <c r="AS18" i="16"/>
  <c r="N14" i="16" a="1"/>
  <c r="N30" i="16" a="1"/>
  <c r="N5" i="16" a="1"/>
  <c r="N7" i="16" a="1"/>
  <c r="N21" i="16" a="1"/>
  <c r="N36" i="16" a="1"/>
  <c r="N15" i="16" a="1"/>
  <c r="N29" i="16" a="1"/>
  <c r="N34" i="16" a="1"/>
  <c r="N13" i="16" a="1"/>
  <c r="N22" i="16" a="1"/>
  <c r="N27" i="16" a="1"/>
  <c r="N37" i="16" a="1"/>
  <c r="N25" i="16" a="1"/>
  <c r="N19" i="16" a="1"/>
  <c r="N31" i="16" a="1"/>
  <c r="N16" i="16" a="1"/>
  <c r="N6" i="16" a="1"/>
  <c r="N32" i="16" a="1"/>
  <c r="N35" i="16" a="1"/>
  <c r="N28" i="16" a="1"/>
  <c r="N26" i="16" a="1"/>
  <c r="N17" i="16" a="1"/>
  <c r="N20" i="16" a="1"/>
  <c r="N3" i="16" a="1"/>
  <c r="N23" i="16" a="1"/>
  <c r="N8" i="16" a="1"/>
  <c r="N4" i="16" a="1"/>
  <c r="N10" i="16" a="1"/>
  <c r="N11" i="16" a="1"/>
  <c r="N33" i="16" a="1"/>
  <c r="N9" i="16" a="1"/>
  <c r="N18" i="16" a="1"/>
  <c r="N24" i="16" a="1"/>
  <c r="N12" i="16" a="1"/>
  <c r="AS27" i="16" l="1"/>
  <c r="AS28" i="16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G3" i="16" l="1"/>
  <c r="AB3" i="16" s="1"/>
  <c r="AR33" i="16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<sst xmlns="http://schemas.openxmlformats.org/spreadsheetml/2006/main" count="673" uniqueCount="374">
  <si>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</si>
  <si>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</si>
  <si>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</si>
  <si>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</si>
  <si>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</si>
  <si>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</si>
  <si>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</si>
  <si>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</si>
  <si>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</si>
  <si>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</si>
  <si>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</si>
  <si>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</si>
  <si>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</si>
  <si>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</si>
  <si>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</si>
  <si>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</si>
  <si>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</si>
  <si>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</si>
  <si>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</si>
  <si>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</si>
  <si>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</si>
  <si>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</si>
  <si>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</si>
  <si>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</si>
  <si>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</si>
  <si>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</si>
  <si>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</si>
  <si>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</si>
  <si>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</si>
  <si>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</si>
  <si>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</si>
  <si>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</si>
  <si>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</si>
  <si>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</si>
  <si>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</si>
  <si>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</si>
  <si>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</si>
  <si>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</si>
  <si>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</si>
  <si>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</si>
  <si>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</si>
  <si>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</si>
  <si>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</si>
  <si>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</si>
  <si>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</si>
  <si>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</si>
  <si>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</si>
  <si>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</si>
  <si>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</si>
  <si>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</si>
  <si>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</si>
  <si>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</si>
  <si>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</si>
  <si>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</si>
  <si>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</si>
  <si>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</si>
  <si>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</si>
  <si>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</si>
  <si>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</si>
  <si>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</si>
  <si>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</si>
  <si>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</si>
  <si>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</si>
  <si>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</si>
  <si>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</si>
  <si>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</si>
  <si>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</si>
  <si>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</si>
  <si>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</si>
  <si>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</si>
  <si>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</si>
  <si>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</si>
  <si>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</si>
  <si>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</si>
  <si>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</si>
  <si>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</si>
  <si>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</si>
  <si>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</si>
  <si>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</si>
  <si>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</si>
  <si>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</si>
  <si>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</si>
  <si>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</si>
  <si>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</si>
  <si>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</si>
  <si>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</si>
  <si>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</si>
  <si>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</si>
  <si>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</si>
  <si>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</si>
  <si>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</si>
  <si>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</si>
  <si>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</si>
  <si>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</si>
  <si>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</si>
  <si>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</si>
  <si>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</si>
  <si>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</si>
  <si>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</si>
  <si>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</si>
  <si>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</si>
  <si>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</si>
  <si>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</si>
  <si>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</si>
  <si>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</si>
  <si>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</si>
  <si>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</si>
  <si>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</si>
  <si>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</si>
  <si>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</si>
  <si>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</si>
  <si>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</si>
  <si>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</si>
  <si>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</si>
  <si>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</si>
  <si>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</si>
  <si>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</si>
  <si>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</si>
  <si>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</si>
  <si>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</si>
  <si>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</si>
  <si>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</si>
  <si>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</si>
  <si>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</si>
  <si>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</si>
  <si>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</si>
  <si>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</si>
  <si>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</si>
  <si>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</si>
  <si>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</si>
  <si>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</si>
  <si>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</si>
  <si>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</si>
  <si>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</si>
  <si>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</si>
  <si>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</si>
  <si>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</si>
  <si>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</si>
  <si>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</si>
  <si>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</si>
  <si>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</si>
  <si>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</si>
  <si>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</si>
  <si>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</si>
  <si>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</si>
  <si>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</si>
  <si>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</si>
  <si>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</si>
  <si>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</si>
  <si>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</si>
  <si>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</si>
  <si>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</si>
  <si>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</si>
  <si>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</si>
  <si>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</si>
  <si>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</si>
  <si>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</si>
  <si>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</si>
  <si>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</si>
  <si>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</si>
  <si>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</si>
  <si>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</si>
  <si>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</si>
  <si>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N0</t>
  </si>
  <si>
    <t>N1</t>
  </si>
  <si>
    <t>N1a</t>
  </si>
  <si>
    <t>N1b</t>
  </si>
  <si>
    <t>M0</t>
  </si>
  <si>
    <t>strap muscle</t>
  </si>
  <si>
    <t>2.5cm</t>
  </si>
  <si>
    <t>intermediate</t>
  </si>
  <si>
    <t>high</t>
  </si>
  <si>
    <t>low</t>
  </si>
  <si>
    <t>LN extent</t>
  </si>
  <si>
    <t>Not identified</t>
  </si>
  <si>
    <t>8g</t>
  </si>
  <si>
    <t>Present</t>
  </si>
  <si>
    <t>Nontoxic uninodular goitre</t>
  </si>
  <si>
    <t>Left central compartment</t>
  </si>
  <si>
    <t>11g</t>
  </si>
  <si>
    <t>2 x 1.5 x 1.5 cm</t>
  </si>
  <si>
    <t>2cm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</si>
  <si>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</si>
  <si>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</si>
  <si>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</si>
  <si>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</si>
  <si>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</si>
  <si>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</si>
  <si>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</si>
  <si>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</si>
  <si>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</si>
  <si>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</si>
  <si>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Focal involvement by invasive carcinoma at posterior surface</t>
  </si>
  <si>
    <t>4.5 mm</t>
  </si>
  <si>
    <t>Left level III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</si>
  <si>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</si>
  <si>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</si>
  <si>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</si>
  <si>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</si>
  <si>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</si>
  <si>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</si>
  <si>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</si>
  <si>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</si>
  <si>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</si>
  <si>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</si>
  <si>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</si>
  <si>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</si>
  <si>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</si>
  <si>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</si>
  <si>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</si>
  <si>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20 mm</t>
  </si>
  <si>
    <t>strap muscles</t>
  </si>
  <si>
    <t>minimally invasive</t>
  </si>
  <si>
    <t>63 mm</t>
  </si>
  <si>
    <t>No</t>
  </si>
  <si>
    <t>papillary</t>
  </si>
  <si>
    <t>right cricothyroid and inferior constrictor muscle</t>
  </si>
  <si>
    <t>2.2 mm</t>
  </si>
  <si>
    <t>7 mm</t>
  </si>
  <si>
    <t>Extensive (= or &gt; 4 vessels)</t>
  </si>
  <si>
    <t>tall cell</t>
  </si>
  <si>
    <t>multiple</t>
  </si>
  <si>
    <r>
      <t>NoFociVIFTC</t>
    </r>
    <r>
      <rPr>
        <b/>
        <sz val="11"/>
        <rFont val="Calibri (Body)"/>
      </rPr>
      <t xml:space="preserve"> (extensive/minimal)</t>
    </r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</si>
  <si>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</si>
  <si>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</si>
  <si>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</si>
  <si>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</si>
  <si>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</si>
  <si>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</si>
  <si>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</si>
  <si>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</si>
  <si>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</si>
  <si>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</si>
  <si>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</si>
  <si>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</si>
  <si>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</si>
  <si>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</si>
  <si>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</si>
  <si>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</si>
  <si>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</si>
  <si>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</si>
  <si>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</si>
  <si>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</si>
  <si>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</si>
  <si>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</si>
  <si>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</si>
  <si>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</si>
  <si>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 (&lt; 4 vessels)</t>
  </si>
  <si>
    <t>Suspicious foci</t>
  </si>
  <si>
    <t>Present (focal)</t>
  </si>
  <si>
    <t>follicular</t>
  </si>
  <si>
    <t>PATIENT ID</t>
  </si>
  <si>
    <t>Site of extrathyroidal extension</t>
  </si>
  <si>
    <t>NX</t>
  </si>
  <si>
    <t>MX</t>
  </si>
  <si>
    <t>Anterior surface : Focally involved by carcinoma (Block 1)</t>
  </si>
  <si>
    <t>Uninvolved by carcinoma</t>
  </si>
  <si>
    <t>fatty soft tissue at isthmus</t>
  </si>
  <si>
    <t>19g</t>
  </si>
  <si>
    <t>Cancer</t>
  </si>
  <si>
    <t>Margin</t>
  </si>
  <si>
    <t>7g</t>
  </si>
  <si>
    <t>Invading soft tissue and strap muscles</t>
  </si>
  <si>
    <t>4 mm</t>
  </si>
  <si>
    <t>15g</t>
  </si>
  <si>
    <t>27 x 22 x 17 mm</t>
  </si>
  <si>
    <t>27g</t>
  </si>
  <si>
    <t>16 mm</t>
  </si>
  <si>
    <t>Focal penetration through the thin fibrous capsule</t>
  </si>
  <si>
    <t>25 x 15 x 15 mm</t>
  </si>
  <si>
    <t>24g</t>
  </si>
  <si>
    <t>8 mm</t>
  </si>
  <si>
    <t>12g</t>
  </si>
  <si>
    <t>1.2 cm</t>
  </si>
  <si>
    <t>9mm</t>
  </si>
  <si>
    <t>5cm</t>
  </si>
  <si>
    <t>Hurthle cell</t>
  </si>
  <si>
    <t>isthmus</t>
  </si>
  <si>
    <t>0.5 cm</t>
  </si>
  <si>
    <t>12 mm</t>
  </si>
  <si>
    <t>4.5 x 3 x 2cm</t>
  </si>
  <si>
    <t>6 cm superoinferiorly, 3.2 cm transversely and 2.5 cm anteroposteriorly</t>
  </si>
  <si>
    <t>Focally into adjacent fibroadipose tissue</t>
  </si>
  <si>
    <t>28g</t>
  </si>
  <si>
    <t>2.5 cm</t>
  </si>
  <si>
    <t>right central compartment</t>
  </si>
  <si>
    <t>14g</t>
  </si>
  <si>
    <t>left central compartment</t>
  </si>
  <si>
    <t>near the pyramidal lobe</t>
  </si>
  <si>
    <t>non-invasive follicular thyroid neoplasm with papillary-like nuclear features</t>
  </si>
  <si>
    <t>1.1 cm</t>
  </si>
  <si>
    <t>22 mm</t>
  </si>
  <si>
    <t>Left central compartment, Left level 2, 3, 4 cervical</t>
  </si>
  <si>
    <t>Central compartment</t>
  </si>
  <si>
    <t>Focal capsular invasion</t>
  </si>
  <si>
    <t>microcarcinoma</t>
  </si>
  <si>
    <t>larynx and part of carotid sheath</t>
  </si>
  <si>
    <t>Focally noted</t>
  </si>
  <si>
    <t>central compartment, bilateral</t>
  </si>
  <si>
    <t>Not mentioned</t>
  </si>
  <si>
    <t>Anterior margin: Involved by invasive carcinoma</t>
  </si>
  <si>
    <t>pT2</t>
  </si>
  <si>
    <t>perithyroidal fibradipose tissue</t>
  </si>
  <si>
    <t>surrounding fat</t>
  </si>
  <si>
    <t>near isthmus</t>
  </si>
  <si>
    <t>Papillary carcinoma</t>
  </si>
  <si>
    <t>posterior and lateral margins</t>
  </si>
  <si>
    <t>Anterior margin: Involved by tumour, Posterior margin: Involved by tumour, Lateral margin: Less than 0.1 mm</t>
  </si>
  <si>
    <t>overlying strap muscle</t>
  </si>
  <si>
    <t>No vascular permeation is identified.</t>
  </si>
  <si>
    <t>tongues of mushroom-type complete capsular invasion to adjacent thyroid parenchyma are found.</t>
  </si>
  <si>
    <t>anterior margins (block 4)</t>
  </si>
  <si>
    <t>1.5cm left rln branch</t>
  </si>
  <si>
    <t>infiltrative follicular subtype</t>
  </si>
  <si>
    <t>anterior surface</t>
  </si>
  <si>
    <t>&lt; 0.1 mm from carcinoma (block 3)</t>
  </si>
  <si>
    <t>N2</t>
  </si>
  <si>
    <t>left central compartment LN</t>
  </si>
  <si>
    <t>Minimally invasive follicular carcinoma</t>
  </si>
  <si>
    <t>40g</t>
  </si>
  <si>
    <t>levels I, II, III, IV, or V or retropharyngeal</t>
  </si>
  <si>
    <t>skeletal muscle, posteriorly adherent to trachea and esophagus at cricoid level</t>
  </si>
  <si>
    <t>level II-VB, left central compartment</t>
  </si>
  <si>
    <t>surrounding muscles, posteriorly adherent to trachea and esophagus at cricoid level</t>
  </si>
  <si>
    <t>upper pole</t>
  </si>
  <si>
    <t>no</t>
  </si>
  <si>
    <t>BRAF, KRAS or NRAS hot spot mutation</t>
  </si>
  <si>
    <t>clear</t>
  </si>
  <si>
    <t>Recurrent laryngeal nerve</t>
  </si>
  <si>
    <t>36x32x26 mm</t>
  </si>
  <si>
    <t>overlying strap muscles</t>
  </si>
  <si>
    <t>level III</t>
  </si>
  <si>
    <t>level III, right central compartment</t>
  </si>
  <si>
    <t>level VI</t>
  </si>
  <si>
    <t>isthmic side resection end</t>
  </si>
  <si>
    <t>infiltrative follicular pattern</t>
  </si>
  <si>
    <t>6 mm</t>
  </si>
  <si>
    <t>Lymphovascular permeation is present.</t>
  </si>
  <si>
    <t>present</t>
  </si>
  <si>
    <t>unknown</t>
  </si>
  <si>
    <t>central compartment</t>
  </si>
  <si>
    <t>skeletal muscle</t>
  </si>
  <si>
    <t>peri-thyroidal adipose tissue</t>
  </si>
  <si>
    <t>level 2, 3, 4</t>
  </si>
  <si>
    <t>Classic</t>
  </si>
  <si>
    <t>minimal</t>
  </si>
  <si>
    <t>level II,III,IV</t>
  </si>
  <si>
    <t>It has invaded beyond the capsule into the surrounding striated muscle.</t>
  </si>
  <si>
    <t>Anterior and posterior margins focally involved.</t>
  </si>
  <si>
    <t>rich vascular anastomosis identified</t>
  </si>
  <si>
    <t>overlying strap muscle, invasion to carotid sheath and wrapped around RLN at lower pole. Posteriorly it invaded to muscular layer of esophagus and prevertebral fascia</t>
  </si>
  <si>
    <t>carcinoma</t>
  </si>
  <si>
    <t>Extensive</t>
  </si>
  <si>
    <t>lung, bone</t>
  </si>
  <si>
    <t>CA thyroid</t>
  </si>
  <si>
    <t>= or &gt;4 vessels</t>
  </si>
  <si>
    <t>subcutaneous soft tissues, larynx, trachea, esophagus, or recurrent laryngeal nerve</t>
  </si>
  <si>
    <t>Deep margin: Involved, Superior pole margin: Involved, Anterior margin: Clear, 0.2 mm</t>
  </si>
  <si>
    <t>level II, III, IV</t>
  </si>
  <si>
    <t>5.5 cm</t>
  </si>
  <si>
    <t>perithyroidal adipose tissue</t>
  </si>
  <si>
    <t>Antero-inferior pole</t>
  </si>
  <si>
    <t>left lateral neck, level II,III,IV</t>
  </si>
  <si>
    <t>ECS</t>
  </si>
  <si>
    <t>2</t>
  </si>
  <si>
    <t>IVA</t>
  </si>
  <si>
    <t>IVB</t>
  </si>
  <si>
    <t>CLASSIFICATION RESULT</t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</si>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</sst>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1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0" fillId="0" borderId="3" xfId="0" applyBorder="1"/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" fontId="8" fillId="0" borderId="4" xfId="0" applyNumberFormat="1" applyFont="1" applyFill="1" applyBorder="1" applyAlignment="1">
      <alignment horizontal="center"/>
    </xf>
    <xf numFmtId="1" fontId="8" fillId="0" borderId="0" xfId="0" applyNumberFormat="1" applyFont="1" applyFill="1" applyAlignment="1">
      <alignment horizontal="center"/>
    </xf>
    <xf numFmtId="0" fontId="8" fillId="0" borderId="2" xfId="0" applyFont="1" applyFill="1" applyBorder="1" applyAlignment="1">
      <alignment horizontal="center"/>
    </xf>
    <xf numFmtId="1" fontId="8" fillId="0" borderId="5" xfId="0" applyNumberFormat="1" applyFont="1" applyFill="1" applyBorder="1" applyAlignment="1">
      <alignment horizontal="center"/>
    </xf>
    <xf numFmtId="1" fontId="8" fillId="0" borderId="2" xfId="0" applyNumberFormat="1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0.53125" customWidth="1"/>
    <col min="5" max="5" width="11.3984375" customWidth="1"/>
    <col min="6" max="6" width="10.796875" style="17"/>
    <col min="8" max="8" width="12.33203125" customWidth="1"/>
    <col min="9" max="9" width="11.796875" style="17" customWidth="1"/>
    <col min="10" max="11" width="12.3320312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hidden="1" customWidth="1"/>
    <col min="23" max="23" width="12.1992187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2.796875" customWidth="1"/>
    <col min="39" max="44" width="10.796875" customWidth="1"/>
    <col min="45" max="47" width="10.6640625" customWidth="1"/>
  </cols>
  <sheetData>
    <row r="1" spans="1:47" s="4" customFormat="1">
      <c r="A1" s="37" t="s">
        <v>368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19"/>
      <c r="AG1" s="38" t="s">
        <v>367</v>
      </c>
      <c r="AH1" s="39"/>
      <c r="AI1" s="39"/>
      <c r="AJ1" s="39"/>
      <c r="AK1" s="39"/>
      <c r="AL1" s="38" t="s">
        <v>205</v>
      </c>
      <c r="AM1" s="39"/>
      <c r="AN1" s="39"/>
      <c r="AO1" s="39"/>
      <c r="AP1" s="39"/>
      <c r="AQ1" s="38" t="s">
        <v>206</v>
      </c>
      <c r="AR1" s="39"/>
      <c r="AS1" s="39"/>
      <c r="AT1" s="39"/>
      <c r="AU1" s="40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173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369</v>
      </c>
      <c r="N2" s="49" t="s">
        <v>370</v>
      </c>
      <c r="O2" s="5" t="s">
        <v>13</v>
      </c>
      <c r="P2" s="5" t="s">
        <v>14</v>
      </c>
      <c r="Q2" s="5" t="s">
        <v>15</v>
      </c>
      <c r="R2" s="6" t="s">
        <v>371</v>
      </c>
      <c r="S2" s="49" t="s">
        <v>372</v>
      </c>
      <c r="T2" s="5" t="s">
        <v>16</v>
      </c>
      <c r="U2" s="5" t="s">
        <v>17</v>
      </c>
      <c r="V2" s="5" t="s">
        <v>18</v>
      </c>
      <c r="W2" s="6" t="s">
        <v>222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373</v>
      </c>
      <c r="AE2" s="5" t="s">
        <v>260</v>
      </c>
      <c r="AF2" s="7"/>
      <c r="AG2" s="24" t="s">
        <v>148</v>
      </c>
      <c r="AH2" s="8" t="s">
        <v>149</v>
      </c>
      <c r="AI2" s="8" t="s">
        <v>150</v>
      </c>
      <c r="AJ2" s="8" t="s">
        <v>151</v>
      </c>
      <c r="AK2" s="8" t="s">
        <v>152</v>
      </c>
      <c r="AL2" s="9" t="s">
        <v>148</v>
      </c>
      <c r="AM2" s="8" t="s">
        <v>149</v>
      </c>
      <c r="AN2" s="8" t="s">
        <v>150</v>
      </c>
      <c r="AO2" s="8" t="s">
        <v>151</v>
      </c>
      <c r="AP2" s="8" t="s">
        <v>152</v>
      </c>
      <c r="AQ2" s="9" t="s">
        <v>148</v>
      </c>
      <c r="AR2" s="8" t="s">
        <v>149</v>
      </c>
      <c r="AS2" s="8" t="s">
        <v>150</v>
      </c>
      <c r="AT2" s="8" t="s">
        <v>151</v>
      </c>
      <c r="AU2" s="26" t="s">
        <v>152</v>
      </c>
    </row>
    <row r="3" spans="1:47">
      <c r="A3" s="13">
        <v>1</v>
      </c>
      <c r="B3" s="16">
        <f>_xlfn.MAXIFS('Model output'!B:B,'Model output'!Z:Z,'Classification result'!$A3)</f>
        <v>45320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6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1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 t="shared" ref="Y3:Y4" si="1">IF(OR(ISNUMBER(SEARCH("soft tissue", AD3)), ISNUMBER(SEARCH("adipose tissue", AD3)),ISNUMBER(SEARCH("skeletal muscle", AD3)), ISNUMBER(SEARCH("microscopic", AD3)), ISNUMBER(SEARCH("minimal", AD3)), ISNUMBER(SEARCH("surrounding fat", AD3)), ISNUMBER(SEARCH("present", AD3)), ISNUMBER(SEARCH("yes", AD3)), ISNUMBER(SEARCH("positive", AD3))), "positive", "negative")</f>
        <v>negative</v>
      </c>
      <c r="Z3" s="17" t="str">
        <f t="shared" ref="Z3:AB3" si="2">IF(OR(ISNUMBER(SEARCH("soft tissue", AE3)), ISNUMBER(SEARCH("muscles", AE3)), ISNUMBER(SEARCH("microscopic", AE3)), ISNUMBER(SEARCH("minimal", AE3)), ISNUMBER(SEARCH("present", AE3)), ISNUMBER(SEARCH("yes", AE3)), ISNUMBER(SEARCH("positive", AE3))), "positive", "negative")</f>
        <v>positive</v>
      </c>
      <c r="AA3" s="17" t="str">
        <f t="shared" si="2"/>
        <v>negative</v>
      </c>
      <c r="AB3" s="17" t="str">
        <f t="shared" si="2"/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G3" s="47" t="str">
        <f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41" t="str">
        <f t="shared" ref="AH3:AH36" si="3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41">
        <f>IF(OR(ISNUMBER(SEARCH("non-invasive follicular",O3)),ISNUMBER(SEARCH("papillary-like nuclear features",O3)),ISNUMBER(SEARCH("non-invasive follicular",P3)),ISNUMBER(SEARCH("papillary-like nuclear features",P3))),"NIFTP",IF(AND(K3&gt;0,G3="positive",H3="central"),"1a",IF(AND(K3&gt;0,G3="positive",H3="lateral"),"1b",IF(AND(K3=0,J3=0),"x",0))))</f>
        <v>0</v>
      </c>
      <c r="AJ3" s="41">
        <f>IF(OR(ISNUMBER(SEARCH("non-invasive follicular",O3)),ISNUMBER(SEARCH("papillary-like nuclear features",O3)),ISNUMBER(SEARCH("non-invasive follicular",P3)),ISNUMBER(SEARCH("papillary-like nuclear features",P3))),"NIFTP",IF(I3="unknown","x",IF(I3="negative",0,1)))</f>
        <v>0</v>
      </c>
      <c r="AK3" s="41" t="str">
        <f>IF(OR(ISNUMBER(SEARCH("non-invasive follicular",O3)),ISNUMBER(SEARCH("papillary-like nuclear features",O3)),ISNUMBER(SEARCH("non-invasive follicular",P3)),ISNUMBER(SEARCH("papillary-like nuclear features",P3)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42" t="s">
        <v>172</v>
      </c>
      <c r="AM3" s="43" t="s">
        <v>198</v>
      </c>
      <c r="AN3" s="43" t="s">
        <v>199</v>
      </c>
      <c r="AO3" s="43">
        <v>0</v>
      </c>
      <c r="AP3" s="43" t="s">
        <v>31</v>
      </c>
      <c r="AQ3" s="10">
        <f>IF(AL3=AG3,1,0)</f>
        <v>1</v>
      </c>
      <c r="AR3" s="25">
        <f>IF(AM3=AH3,1,0)</f>
        <v>1</v>
      </c>
      <c r="AS3" s="25">
        <f>IF(AI3=AN3,1,IF(OR(AND(AN3="x",AI3=0),AND(AI3="x",AN3=0)),1,0))</f>
        <v>1</v>
      </c>
      <c r="AT3" s="25">
        <f>IF(AO3=AJ3,1,0)</f>
        <v>1</v>
      </c>
      <c r="AU3" s="27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45348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4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7" t="str">
        <f t="shared" si="1"/>
        <v>positive</v>
      </c>
      <c r="AC4" s="17" t="str">
        <f t="shared" ref="AC4:AC37" si="5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perithyroidal fibradipose tissue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7" t="str">
        <f>IF(OR(ISNUMBER(SEARCH("non-invasive follicular",O4,1)), ISNUMBER(SEARCH("papillary-like nuclear features",P4,1)), ISNUMBER(SEARCH("non-invasive follicular",P4,1)),ISNUMBER(SEARCH("papillary-like nuclear features",P4,1))),"NIFTP", IF(OR(I4="positive",AC4="positive",AND(OR(ISNUMBER(SEARCH("follicular", O4)),ISNUMBER(SEARCH("FTC", O4))),W4="extensive"),AND(G4="positive",ISNUMBER(N4),N4&gt;3),AI4=1),"high",IF(OR(ISNUMBER(SEARCH("positive",Y4,1)),ISNUMBER(SEARCH("tall",P4,1)),ISNUMBER(SEARCH("hobnail",P4,1)),ISNUMBER(SEARCH("cribriform",P4,1)),ISNUMBER(SEARCH("diffuse",P4,1)),ISNUMBER(SEARCH("columnar",P4,1)),ISNUMBER(SEARCH("solid",P4,1)),ISNUMBER(SEARCH("tall",O4,1)),ISNUMBER(SEARCH("hobnail",O4,1)),ISNUMBER(SEARCH("cribriform",O4,1)),ISNUMBER(SEARCH("diffuse",O4,1)),ISNUMBER(SEARCH("columnar",O4,1)),ISNUMBER(SEARCH("solid",O4,1)),AND(OR(ISNUMBER(SEARCH("papillary carcinoma",O4,1)),ISNUMBER(SEARCH("papillary microcarcinoma",O4,1))),T4="positive"),,AND(AND(ISNUMBER(K4),K4&gt;=5),N4=""),AND(AND(ISNUMBER(K4),K4&gt;=5),AND(ISNUMBER(N4),N4&gt;=1)),H4="lateral"),"intermediate","low")))</f>
        <v>intermediate</v>
      </c>
      <c r="AH4" s="41" t="str">
        <f t="shared" si="3"/>
        <v>2</v>
      </c>
      <c r="AI4" s="41" t="str">
        <f t="shared" ref="AI4:AI37" si="6">IF(OR(ISNUMBER(SEARCH("non-invasive follicular",O4)),ISNUMBER(SEARCH("papillary-like nuclear features",O4)),ISNUMBER(SEARCH("non-invasive follicular",P4)),ISNUMBER(SEARCH("papillary-like nuclear features",P4))),"NIFTP",IF(AND(K4&gt;0,G4="positive",H4="central"),"1a",IF(AND(K4&gt;0,G4="positive",H4="lateral"),"1b",IF(AND(K4=0,J4=0),"x",0))))</f>
        <v>x</v>
      </c>
      <c r="AJ4" s="41">
        <f t="shared" ref="AJ4:AJ37" si="7">IF(OR(ISNUMBER(SEARCH("non-invasive follicular",O4)),ISNUMBER(SEARCH("papillary-like nuclear features",O4)),ISNUMBER(SEARCH("non-invasive follicular",P4)),ISNUMBER(SEARCH("papillary-like nuclear features",P4))),"NIFTP",IF(I4="unknown","x",IF(I4="negative",0,1)))</f>
        <v>0</v>
      </c>
      <c r="AK4" s="41" t="str">
        <f t="shared" ref="AK4:AK37" si="8">IF(OR(ISNUMBER(SEARCH("non-invasive follicular",O4)),ISNUMBER(SEARCH("papillary-like nuclear features",O4)),ISNUMBER(SEARCH("non-invasive follicular",P4)),ISNUMBER(SEARCH("papillary-like nuclear features",P4))),"NIFTP",IF(AND(C4&lt;55,AJ4=0),"I",IF(AND(C4&lt;55,AJ4=1),"II",IF(AJ4=1,"IVB",IF(AND(AH4="4b",AJ4=0),"IVA",IF(AND(AH4="4a",AJ4=0),"III",IF(AND(OR(AH4="3",AH4="3a",AH4="3b"),AJ4=0),"II",IF(AND(AH4="2",OR(AI4="1",AI4="1a",AI4="1b"),AJ4=0),"II",IF(AND(OR(AH4="1a",AH4="1b",AH4="1",AH4="1 "),OR(AI4="1",AI4="1a",AI4="1b"),AJ4=0),"II","I")))))))))</f>
        <v>I</v>
      </c>
      <c r="AL4" s="42" t="s">
        <v>172</v>
      </c>
      <c r="AM4" s="43" t="s">
        <v>364</v>
      </c>
      <c r="AN4" s="43" t="s">
        <v>199</v>
      </c>
      <c r="AO4" s="43">
        <v>0</v>
      </c>
      <c r="AP4" s="43" t="s">
        <v>31</v>
      </c>
      <c r="AQ4" s="10">
        <f>IF(AL4=AG4,1,0)</f>
        <v>0</v>
      </c>
      <c r="AR4" s="25">
        <f>IF(AM4=AH4,1,0)</f>
        <v>1</v>
      </c>
      <c r="AS4" s="25">
        <f t="shared" ref="AS4:AS37" si="9">IF(AI4=AN4,1,IF(OR(AND(AN4="x",AI4=0),AND(AI4="x",AN4=0)),1,0))</f>
        <v>1</v>
      </c>
      <c r="AT4" s="25">
        <f t="shared" ref="AT4:AU37" si="10">IF(AO4=AJ4,1,0)</f>
        <v>1</v>
      </c>
      <c r="AU4" s="27">
        <f t="shared" si="10"/>
        <v>1</v>
      </c>
    </row>
    <row r="5" spans="1:47">
      <c r="A5" s="13">
        <v>3</v>
      </c>
      <c r="B5" s="16">
        <f>_xlfn.MAXIFS('Model output'!B:B,'Model output'!Z:Z,'Classification result'!$A5)</f>
        <v>45373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4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>IF(OR(ISNUMBER(SEARCH("soft tissue", AD5)), ISNUMBER(SEARCH("adipose tissue", AD5)),ISNUMBER(SEARCH("skeletal muscle", AD5)), ISNUMBER(SEARCH("microscopic", AD5)), ISNUMBER(SEARCH("minimal", AD5)), ISNUMBER(SEARCH("surrounding fat", AD5)), ISNUMBER(SEARCH("present", AD5)), ISNUMBER(SEARCH("yes", AD5)), ISNUMBER(SEARCH("positive", AD5))), "positive", "negative")</f>
        <v>positive</v>
      </c>
      <c r="AC5" s="17" t="str">
        <f t="shared" si="5"/>
        <v>negative</v>
      </c>
      <c r="AD5" t="str" cm="1">
        <f t="array" ref="AD5">_xlfn.TEXTJOIN("; ",TRUE,_xlfn._xlws.FILTER('Model output'!S:S,'Model output'!Z:Z=A5))</f>
        <v>surrounding fat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7" t="str">
        <f>IF(OR(ISNUMBER(SEARCH("non-invasive follicular",O5,1)), ISNUMBER(SEARCH("papillary-like nuclear features",P5,1)), ISNUMBER(SEARCH("non-invasive follicular",P5,1)),ISNUMBER(SEARCH("papillary-like nuclear features",P5,1))),"NIFTP", IF(OR(I5="positive",AC5="positive",AND(OR(ISNUMBER(SEARCH("follicular", O5)),ISNUMBER(SEARCH("FTC", O5))),W5="extensive"),AND(G5="positive",ISNUMBER(N5),N5&gt;3),AI5=1),"high",IF(OR(ISNUMBER(SEARCH("positive",Y5,1)),ISNUMBER(SEARCH("tall",P5,1)),ISNUMBER(SEARCH("hobnail",P5,1)),ISNUMBER(SEARCH("cribriform",P5,1)),ISNUMBER(SEARCH("diffuse",P5,1)),ISNUMBER(SEARCH("columnar",P5,1)),ISNUMBER(SEARCH("solid",P5,1)),ISNUMBER(SEARCH("tall",O5,1)),ISNUMBER(SEARCH("hobnail",O5,1)),ISNUMBER(SEARCH("cribriform",O5,1)),ISNUMBER(SEARCH("diffuse",O5,1)),ISNUMBER(SEARCH("columnar",O5,1)),ISNUMBER(SEARCH("solid",O5,1)),AND(OR(ISNUMBER(SEARCH("papillary carcinoma",O5,1)),ISNUMBER(SEARCH("papillary microcarcinoma",O5,1))),T5="positive"),,AND(AND(ISNUMBER(K5),K5&gt;=5),N5=""),AND(AND(ISNUMBER(K5),K5&gt;=5),AND(ISNUMBER(N5),N5&gt;=1)),H5="lateral"),"intermediate","low")))</f>
        <v>intermediate</v>
      </c>
      <c r="AH5" s="41" t="str">
        <f t="shared" si="3"/>
        <v>1a</v>
      </c>
      <c r="AI5" s="41" t="str">
        <f t="shared" si="6"/>
        <v>1a</v>
      </c>
      <c r="AJ5" s="41">
        <f t="shared" si="7"/>
        <v>0</v>
      </c>
      <c r="AK5" s="41" t="str">
        <f t="shared" si="8"/>
        <v>I</v>
      </c>
      <c r="AL5" s="42" t="s">
        <v>170</v>
      </c>
      <c r="AM5" s="43" t="s">
        <v>200</v>
      </c>
      <c r="AN5" s="43" t="s">
        <v>200</v>
      </c>
      <c r="AO5" s="43">
        <v>0</v>
      </c>
      <c r="AP5" s="43" t="s">
        <v>31</v>
      </c>
      <c r="AQ5" s="10">
        <f>IF(AL5=AG5,1,0)</f>
        <v>1</v>
      </c>
      <c r="AR5" s="25">
        <f>IF(AM5=AH5,1,0)</f>
        <v>1</v>
      </c>
      <c r="AS5" s="25">
        <f t="shared" si="9"/>
        <v>1</v>
      </c>
      <c r="AT5" s="25">
        <f t="shared" si="10"/>
        <v>1</v>
      </c>
      <c r="AU5" s="27">
        <f t="shared" si="10"/>
        <v>1</v>
      </c>
    </row>
    <row r="6" spans="1:47">
      <c r="A6" s="13">
        <v>4</v>
      </c>
      <c r="B6" s="16">
        <f>_xlfn.MAXIFS('Model output'!B:B,'Model output'!Z:Z,'Classification result'!$A6)</f>
        <v>45412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4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7" t="str">
        <f t="shared" ref="Y6:Y37" si="11">IF(OR(ISNUMBER(SEARCH("soft tissue", AD6)), ISNUMBER(SEARCH("adipose tissue", AD6)),ISNUMBER(SEARCH("skeletal muscle", AD6)), ISNUMBER(SEARCH("microscopic", AD6)), ISNUMBER(SEARCH("minimal", AD6)), ISNUMBER(SEARCH("surrounding fat", AD6)), ISNUMBER(SEARCH("present", AD6)), ISNUMBER(SEARCH("yes", AD6)), ISNUMBER(SEARCH("positive", AD6))), "positive", "negative")</f>
        <v>positive</v>
      </c>
      <c r="AC6" s="17" t="str">
        <f t="shared" si="5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7" t="str">
        <f>IF(OR(ISNUMBER(SEARCH("non-invasive follicular",O6,1)), ISNUMBER(SEARCH("papillary-like nuclear features",P6,1)), ISNUMBER(SEARCH("non-invasive follicular",P6,1)),ISNUMBER(SEARCH("papillary-like nuclear features",P6,1))),"NIFTP", IF(OR(I6="positive",AC6="positive",AND(OR(ISNUMBER(SEARCH("follicular", O6)),ISNUMBER(SEARCH("FTC", O6))),W6="extensive"),AND(G6="positive",ISNUMBER(N6),N6&gt;3),AI6=1),"high",IF(OR(ISNUMBER(SEARCH("positive",Y6,1)),ISNUMBER(SEARCH("tall",P6,1)),ISNUMBER(SEARCH("hobnail",P6,1)),ISNUMBER(SEARCH("cribriform",P6,1)),ISNUMBER(SEARCH("diffuse",P6,1)),ISNUMBER(SEARCH("columnar",P6,1)),ISNUMBER(SEARCH("solid",P6,1)),ISNUMBER(SEARCH("tall",O6,1)),ISNUMBER(SEARCH("hobnail",O6,1)),ISNUMBER(SEARCH("cribriform",O6,1)),ISNUMBER(SEARCH("diffuse",O6,1)),ISNUMBER(SEARCH("columnar",O6,1)),ISNUMBER(SEARCH("solid",O6,1)),AND(OR(ISNUMBER(SEARCH("papillary carcinoma",O6,1)),ISNUMBER(SEARCH("papillary microcarcinoma",O6,1))),T6="positive"),,AND(AND(ISNUMBER(K6),K6&gt;=5),N6=""),AND(AND(ISNUMBER(K6),K6&gt;=5),AND(ISNUMBER(N6),N6&gt;=1)),H6="lateral"),"intermediate","low")))</f>
        <v>intermediate</v>
      </c>
      <c r="AH6" s="41" t="str">
        <f t="shared" si="3"/>
        <v>1b</v>
      </c>
      <c r="AI6" s="41" t="str">
        <f t="shared" si="6"/>
        <v>1a</v>
      </c>
      <c r="AJ6" s="41">
        <f t="shared" si="7"/>
        <v>0</v>
      </c>
      <c r="AK6" s="41" t="str">
        <f t="shared" si="8"/>
        <v>II</v>
      </c>
      <c r="AL6" s="42" t="s">
        <v>170</v>
      </c>
      <c r="AM6" s="41" t="s">
        <v>198</v>
      </c>
      <c r="AN6" s="43" t="s">
        <v>200</v>
      </c>
      <c r="AO6" s="43">
        <v>0</v>
      </c>
      <c r="AP6" s="43" t="s">
        <v>44</v>
      </c>
      <c r="AQ6" s="10">
        <f>IF(AL6=AG6,1,0)</f>
        <v>1</v>
      </c>
      <c r="AR6" s="25">
        <f>IF(AM6=AH6,1,0)</f>
        <v>1</v>
      </c>
      <c r="AS6" s="25">
        <f t="shared" si="9"/>
        <v>1</v>
      </c>
      <c r="AT6" s="25">
        <f t="shared" si="10"/>
        <v>1</v>
      </c>
      <c r="AU6" s="27">
        <f t="shared" si="10"/>
        <v>1</v>
      </c>
    </row>
    <row r="7" spans="1:47">
      <c r="A7" s="13">
        <v>5</v>
      </c>
      <c r="B7" s="16">
        <f>_xlfn.MAXIFS('Model output'!B:B,'Model output'!Z:Z,'Classification result'!$A7)</f>
        <v>45411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4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7" t="str">
        <f t="shared" si="11"/>
        <v>positive</v>
      </c>
      <c r="AC7" s="17" t="str">
        <f t="shared" si="5"/>
        <v>positive</v>
      </c>
      <c r="AD7" t="str" cm="1">
        <f t="array" ref="AD7">_xlfn.TEXTJOIN("; ",TRUE,_xlfn._xlws.FILTER('Model output'!S:S,'Model output'!Z:Z=A7))</f>
        <v>Invading soft tissue and strap muscles; overlying strap muscle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7" t="str">
        <f>IF(OR(ISNUMBER(SEARCH("non-invasive follicular",O7,1)), ISNUMBER(SEARCH("papillary-like nuclear features",P7,1)), ISNUMBER(SEARCH("non-invasive follicular",P7,1)),ISNUMBER(SEARCH("papillary-like nuclear features",P7,1))),"NIFTP", IF(OR(I7="positive",AC7="positive",AND(OR(ISNUMBER(SEARCH("follicular", O7)),ISNUMBER(SEARCH("FTC", O7))),W7="extensive"),AND(G7="positive",ISNUMBER(N7),N7&gt;3),AI7=1),"high",IF(OR(ISNUMBER(SEARCH("positive",Y7,1)),ISNUMBER(SEARCH("tall",P7,1)),ISNUMBER(SEARCH("hobnail",P7,1)),ISNUMBER(SEARCH("cribriform",P7,1)),ISNUMBER(SEARCH("diffuse",P7,1)),ISNUMBER(SEARCH("columnar",P7,1)),ISNUMBER(SEARCH("solid",P7,1)),ISNUMBER(SEARCH("tall",O7,1)),ISNUMBER(SEARCH("hobnail",O7,1)),ISNUMBER(SEARCH("cribriform",O7,1)),ISNUMBER(SEARCH("diffuse",O7,1)),ISNUMBER(SEARCH("columnar",O7,1)),ISNUMBER(SEARCH("solid",O7,1)),AND(OR(ISNUMBER(SEARCH("papillary carcinoma",O7,1)),ISNUMBER(SEARCH("papillary microcarcinoma",O7,1))),T7="positive"),,AND(AND(ISNUMBER(K7),K7&gt;=5),N7=""),AND(AND(ISNUMBER(K7),K7&gt;=5),AND(ISNUMBER(N7),N7&gt;=1)),H7="lateral"),"intermediate","low")))</f>
        <v>high</v>
      </c>
      <c r="AH7" s="41" t="str">
        <f t="shared" si="3"/>
        <v>4a</v>
      </c>
      <c r="AI7" s="41" t="str">
        <f t="shared" si="6"/>
        <v>1a</v>
      </c>
      <c r="AJ7" s="41">
        <f t="shared" si="7"/>
        <v>0</v>
      </c>
      <c r="AK7" s="41" t="str">
        <f t="shared" si="8"/>
        <v>I</v>
      </c>
      <c r="AL7" s="42" t="s">
        <v>171</v>
      </c>
      <c r="AM7" s="43" t="s">
        <v>201</v>
      </c>
      <c r="AN7" s="43" t="s">
        <v>200</v>
      </c>
      <c r="AO7" s="43">
        <v>0</v>
      </c>
      <c r="AP7" s="43" t="s">
        <v>31</v>
      </c>
      <c r="AQ7" s="10">
        <f>IF(AL7=AG7,1,0)</f>
        <v>1</v>
      </c>
      <c r="AR7" s="25">
        <f>IF(AM7=AH7,1,0)</f>
        <v>0</v>
      </c>
      <c r="AS7" s="25">
        <f t="shared" si="9"/>
        <v>1</v>
      </c>
      <c r="AT7" s="25">
        <f t="shared" si="10"/>
        <v>1</v>
      </c>
      <c r="AU7" s="27">
        <f t="shared" si="10"/>
        <v>1</v>
      </c>
    </row>
    <row r="8" spans="1:47">
      <c r="A8" s="13">
        <v>6</v>
      </c>
      <c r="B8" s="16">
        <f>_xlfn.MAXIFS('Model output'!B:B,'Model output'!Z:Z,'Classification result'!$A8)</f>
        <v>45387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4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11"/>
        <v>negative</v>
      </c>
      <c r="AC8" s="17" t="str">
        <f t="shared" si="5"/>
        <v>positive</v>
      </c>
      <c r="AD8" t="str" cm="1">
        <f t="array" ref="AD8">_xlfn.TEXTJOIN("; ",TRUE,_xlfn._xlws.FILTER('Model output'!S:S,'Model output'!Z:Z=A8))</f>
        <v>1.5cm left rln branch</v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7" t="str">
        <f>IF(OR(ISNUMBER(SEARCH("non-invasive follicular",O8,1)), ISNUMBER(SEARCH("papillary-like nuclear features",P8,1)), ISNUMBER(SEARCH("non-invasive follicular",P8,1)),ISNUMBER(SEARCH("papillary-like nuclear features",P8,1))),"NIFTP", IF(OR(I8="positive",AC8="positive",AND(OR(ISNUMBER(SEARCH("follicular", O8)),ISNUMBER(SEARCH("FTC", O8))),W8="extensive"),AND(G8="positive",ISNUMBER(N8),N8&gt;3),AI8=1),"high",IF(OR(ISNUMBER(SEARCH("positive",Y8,1)),ISNUMBER(SEARCH("tall",P8,1)),ISNUMBER(SEARCH("hobnail",P8,1)),ISNUMBER(SEARCH("cribriform",P8,1)),ISNUMBER(SEARCH("diffuse",P8,1)),ISNUMBER(SEARCH("columnar",P8,1)),ISNUMBER(SEARCH("solid",P8,1)),ISNUMBER(SEARCH("tall",O8,1)),ISNUMBER(SEARCH("hobnail",O8,1)),ISNUMBER(SEARCH("cribriform",O8,1)),ISNUMBER(SEARCH("diffuse",O8,1)),ISNUMBER(SEARCH("columnar",O8,1)),ISNUMBER(SEARCH("solid",O8,1)),AND(OR(ISNUMBER(SEARCH("papillary carcinoma",O8,1)),ISNUMBER(SEARCH("papillary microcarcinoma",O8,1))),T8="positive"),,AND(AND(ISNUMBER(K8),K8&gt;=5),N8=""),AND(AND(ISNUMBER(K8),K8&gt;=5),AND(ISNUMBER(N8),N8&gt;=1)),H8="lateral"),"intermediate","low")))</f>
        <v>high</v>
      </c>
      <c r="AH8" s="41" t="str">
        <f t="shared" si="3"/>
        <v>4a</v>
      </c>
      <c r="AI8" s="41" t="str">
        <f t="shared" si="6"/>
        <v>x</v>
      </c>
      <c r="AJ8" s="41">
        <f t="shared" si="7"/>
        <v>0</v>
      </c>
      <c r="AK8" s="41" t="str">
        <f t="shared" si="8"/>
        <v>III</v>
      </c>
      <c r="AL8" s="42" t="s">
        <v>172</v>
      </c>
      <c r="AM8" s="41" t="s">
        <v>199</v>
      </c>
      <c r="AN8" s="43" t="s">
        <v>199</v>
      </c>
      <c r="AO8" s="43">
        <v>0</v>
      </c>
      <c r="AP8" s="43" t="s">
        <v>31</v>
      </c>
      <c r="AQ8" s="10">
        <f>IF(AL8=AG8,1,0)</f>
        <v>0</v>
      </c>
      <c r="AR8" s="25">
        <f>IF(AM8=AH8,1,0)</f>
        <v>0</v>
      </c>
      <c r="AS8" s="25">
        <f t="shared" si="9"/>
        <v>1</v>
      </c>
      <c r="AT8" s="25">
        <f t="shared" si="10"/>
        <v>1</v>
      </c>
      <c r="AU8" s="27">
        <f t="shared" si="10"/>
        <v>0</v>
      </c>
    </row>
    <row r="9" spans="1:47">
      <c r="A9" s="13">
        <v>7</v>
      </c>
      <c r="B9" s="16">
        <f>_xlfn.MAXIFS('Model output'!B:B,'Model output'!Z:Z,'Classification result'!$A9)</f>
        <v>45429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4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11"/>
        <v>negative</v>
      </c>
      <c r="AC9" s="17" t="str">
        <f t="shared" si="5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7" t="str">
        <f>IF(OR(ISNUMBER(SEARCH("non-invasive follicular",O9,1)), ISNUMBER(SEARCH("papillary-like nuclear features",P9,1)), ISNUMBER(SEARCH("non-invasive follicular",P9,1)),ISNUMBER(SEARCH("papillary-like nuclear features",P9,1))),"NIFTP", IF(OR(I9="positive",AC9="positive",AND(OR(ISNUMBER(SEARCH("follicular", O9)),ISNUMBER(SEARCH("FTC", O9))),W9="extensive"),AND(G9="positive",ISNUMBER(N9),N9&gt;3),AI9=1),"high",IF(OR(ISNUMBER(SEARCH("positive",Y9,1)),ISNUMBER(SEARCH("tall",P9,1)),ISNUMBER(SEARCH("hobnail",P9,1)),ISNUMBER(SEARCH("cribriform",P9,1)),ISNUMBER(SEARCH("diffuse",P9,1)),ISNUMBER(SEARCH("columnar",P9,1)),ISNUMBER(SEARCH("solid",P9,1)),ISNUMBER(SEARCH("tall",O9,1)),ISNUMBER(SEARCH("hobnail",O9,1)),ISNUMBER(SEARCH("cribriform",O9,1)),ISNUMBER(SEARCH("diffuse",O9,1)),ISNUMBER(SEARCH("columnar",O9,1)),ISNUMBER(SEARCH("solid",O9,1)),AND(OR(ISNUMBER(SEARCH("papillary carcinoma",O9,1)),ISNUMBER(SEARCH("papillary microcarcinoma",O9,1))),T9="positive"),,AND(AND(ISNUMBER(K9),K9&gt;=5),N9=""),AND(AND(ISNUMBER(K9),K9&gt;=5),AND(ISNUMBER(N9),N9&gt;=1)),H9="lateral"),"intermediate","low")))</f>
        <v>low</v>
      </c>
      <c r="AH9" s="41" t="str">
        <f t="shared" si="3"/>
        <v>1a</v>
      </c>
      <c r="AI9" s="41">
        <f t="shared" si="6"/>
        <v>0</v>
      </c>
      <c r="AJ9" s="41">
        <f t="shared" si="7"/>
        <v>0</v>
      </c>
      <c r="AK9" s="41" t="str">
        <f t="shared" si="8"/>
        <v>I</v>
      </c>
      <c r="AL9" s="42" t="s">
        <v>172</v>
      </c>
      <c r="AM9" s="43" t="s">
        <v>200</v>
      </c>
      <c r="AN9" s="43" t="s">
        <v>199</v>
      </c>
      <c r="AO9" s="43">
        <v>0</v>
      </c>
      <c r="AP9" s="43" t="s">
        <v>31</v>
      </c>
      <c r="AQ9" s="10">
        <f>IF(AL9=AG9,1,0)</f>
        <v>1</v>
      </c>
      <c r="AR9" s="25">
        <f>IF(AM9=AH9,1,0)</f>
        <v>1</v>
      </c>
      <c r="AS9" s="25">
        <f t="shared" si="9"/>
        <v>1</v>
      </c>
      <c r="AT9" s="25">
        <f t="shared" si="10"/>
        <v>1</v>
      </c>
      <c r="AU9" s="27">
        <f t="shared" si="10"/>
        <v>1</v>
      </c>
    </row>
    <row r="10" spans="1:47">
      <c r="A10" s="13">
        <v>8</v>
      </c>
      <c r="B10" s="16">
        <f>_xlfn.MAXIFS('Model output'!B:B,'Model output'!Z:Z,'Classification result'!$A10)</f>
        <v>45443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4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11"/>
        <v>negative</v>
      </c>
      <c r="AC10" s="17" t="str">
        <f t="shared" si="5"/>
        <v>negative</v>
      </c>
      <c r="AD10" t="str" cm="1">
        <f t="array" ref="AD10">_xlfn.TEXTJOIN("; ",TRUE,_xlfn._xlws.FILTER('Model output'!S:S,'Model output'!Z:Z=A10))</f>
        <v/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7" t="str">
        <f>IF(OR(ISNUMBER(SEARCH("non-invasive follicular",O10,1)), ISNUMBER(SEARCH("papillary-like nuclear features",P10,1)), ISNUMBER(SEARCH("non-invasive follicular",P10,1)),ISNUMBER(SEARCH("papillary-like nuclear features",P10,1))),"NIFTP", IF(OR(I10="positive",AC10="positive",AND(OR(ISNUMBER(SEARCH("follicular", O10)),ISNUMBER(SEARCH("FTC", O10))),W10="extensive"),AND(G10="positive",ISNUMBER(N10),N10&gt;3),AI10=1),"high",IF(OR(ISNUMBER(SEARCH("positive",Y10,1)),ISNUMBER(SEARCH("tall",P10,1)),ISNUMBER(SEARCH("hobnail",P10,1)),ISNUMBER(SEARCH("cribriform",P10,1)),ISNUMBER(SEARCH("diffuse",P10,1)),ISNUMBER(SEARCH("columnar",P10,1)),ISNUMBER(SEARCH("solid",P10,1)),ISNUMBER(SEARCH("tall",O10,1)),ISNUMBER(SEARCH("hobnail",O10,1)),ISNUMBER(SEARCH("cribriform",O10,1)),ISNUMBER(SEARCH("diffuse",O10,1)),ISNUMBER(SEARCH("columnar",O10,1)),ISNUMBER(SEARCH("solid",O10,1)),AND(OR(ISNUMBER(SEARCH("papillary carcinoma",O10,1)),ISNUMBER(SEARCH("papillary microcarcinoma",O10,1))),T10="positive"),,AND(AND(ISNUMBER(K10),K10&gt;=5),N10=""),AND(AND(ISNUMBER(K10),K10&gt;=5),AND(ISNUMBER(N10),N10&gt;=1)),H10="lateral"),"intermediate","low")))</f>
        <v>low</v>
      </c>
      <c r="AH10" s="41" t="str">
        <f t="shared" si="3"/>
        <v>1b</v>
      </c>
      <c r="AI10" s="41" t="str">
        <f t="shared" si="6"/>
        <v>x</v>
      </c>
      <c r="AJ10" s="41">
        <f t="shared" si="7"/>
        <v>0</v>
      </c>
      <c r="AK10" s="41" t="str">
        <f t="shared" si="8"/>
        <v>I</v>
      </c>
      <c r="AL10" s="42" t="s">
        <v>172</v>
      </c>
      <c r="AM10" s="43" t="s">
        <v>198</v>
      </c>
      <c r="AN10" s="43" t="s">
        <v>199</v>
      </c>
      <c r="AO10" s="43">
        <v>0</v>
      </c>
      <c r="AP10" s="43" t="s">
        <v>31</v>
      </c>
      <c r="AQ10" s="10">
        <f>IF(AL10=AG10,1,0)</f>
        <v>1</v>
      </c>
      <c r="AR10" s="25">
        <f>IF(AM10=AH10,1,0)</f>
        <v>1</v>
      </c>
      <c r="AS10" s="25">
        <f t="shared" si="9"/>
        <v>1</v>
      </c>
      <c r="AT10" s="25">
        <f t="shared" si="10"/>
        <v>1</v>
      </c>
      <c r="AU10" s="27">
        <f t="shared" si="10"/>
        <v>1</v>
      </c>
    </row>
    <row r="11" spans="1:47">
      <c r="A11" s="13">
        <v>9</v>
      </c>
      <c r="B11" s="16">
        <f>_xlfn.MAXIFS('Model output'!B:B,'Model output'!Z:Z,'Classification result'!$A11)</f>
        <v>45331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2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4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11"/>
        <v>negative</v>
      </c>
      <c r="AC11" s="17" t="str">
        <f t="shared" si="5"/>
        <v>negative</v>
      </c>
      <c r="AD11" t="str" cm="1">
        <f t="array" ref="AD11">_xlfn.TEXTJOIN("; ",TRUE,_xlfn._xlws.FILTER('Model output'!S:S,'Model output'!Z:Z=A11))</f>
        <v/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7" t="str">
        <f>IF(OR(ISNUMBER(SEARCH("non-invasive follicular",O11,1)), ISNUMBER(SEARCH("papillary-like nuclear features",P11,1)), ISNUMBER(SEARCH("non-invasive follicular",P11,1)),ISNUMBER(SEARCH("papillary-like nuclear features",P11,1))),"NIFTP", IF(OR(I11="positive",AC11="positive",AND(OR(ISNUMBER(SEARCH("follicular", O11)),ISNUMBER(SEARCH("FTC", O11))),W11="extensive"),AND(G11="positive",ISNUMBER(N11),N11&gt;3),AI11=1),"high",IF(OR(ISNUMBER(SEARCH("positive",Y11,1)),ISNUMBER(SEARCH("tall",P11,1)),ISNUMBER(SEARCH("hobnail",P11,1)),ISNUMBER(SEARCH("cribriform",P11,1)),ISNUMBER(SEARCH("diffuse",P11,1)),ISNUMBER(SEARCH("columnar",P11,1)),ISNUMBER(SEARCH("solid",P11,1)),ISNUMBER(SEARCH("tall",O11,1)),ISNUMBER(SEARCH("hobnail",O11,1)),ISNUMBER(SEARCH("cribriform",O11,1)),ISNUMBER(SEARCH("diffuse",O11,1)),ISNUMBER(SEARCH("columnar",O11,1)),ISNUMBER(SEARCH("solid",O11,1)),AND(OR(ISNUMBER(SEARCH("papillary carcinoma",O11,1)),ISNUMBER(SEARCH("papillary microcarcinoma",O11,1))),T11="positive"),,AND(AND(ISNUMBER(K11),K11&gt;=5),N11=""),AND(AND(ISNUMBER(K11),K11&gt;=5),AND(ISNUMBER(N11),N11&gt;=1)),H11="lateral"),"intermediate","low")))</f>
        <v>low</v>
      </c>
      <c r="AH11" s="41" t="str">
        <f t="shared" si="3"/>
        <v>2</v>
      </c>
      <c r="AI11" s="41" t="str">
        <f t="shared" si="6"/>
        <v>1a</v>
      </c>
      <c r="AJ11" s="41">
        <f t="shared" si="7"/>
        <v>0</v>
      </c>
      <c r="AK11" s="41" t="str">
        <f t="shared" si="8"/>
        <v>II</v>
      </c>
      <c r="AL11" s="42" t="s">
        <v>170</v>
      </c>
      <c r="AM11" s="43" t="s">
        <v>364</v>
      </c>
      <c r="AN11" s="43" t="s">
        <v>200</v>
      </c>
      <c r="AO11" s="43">
        <v>0</v>
      </c>
      <c r="AP11" s="43" t="s">
        <v>44</v>
      </c>
      <c r="AQ11" s="10">
        <f>IF(AL11=AG11,1,0)</f>
        <v>0</v>
      </c>
      <c r="AR11" s="25">
        <f>IF(AM11=AH11,1,0)</f>
        <v>1</v>
      </c>
      <c r="AS11" s="25">
        <f t="shared" si="9"/>
        <v>1</v>
      </c>
      <c r="AT11" s="25">
        <f t="shared" si="10"/>
        <v>1</v>
      </c>
      <c r="AU11" s="27">
        <f t="shared" si="10"/>
        <v>1</v>
      </c>
    </row>
    <row r="12" spans="1:47">
      <c r="A12" s="13">
        <v>10</v>
      </c>
      <c r="B12" s="16">
        <f>_xlfn.MAXIFS('Model output'!B:B,'Model output'!Z:Z,'Classification result'!$A12)</f>
        <v>45436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1a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4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11"/>
        <v>negative</v>
      </c>
      <c r="AC12" s="17" t="str">
        <f t="shared" si="5"/>
        <v>negative</v>
      </c>
      <c r="AD12" t="str" cm="1">
        <f t="array" ref="AD12">_xlfn.TEXTJOIN("; ",TRUE,_xlfn._xlws.FILTER('Model output'!S:S,'Model output'!Z:Z=A12))</f>
        <v/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7" t="str">
        <f>IF(OR(ISNUMBER(SEARCH("non-invasive follicular",O12,1)), ISNUMBER(SEARCH("papillary-like nuclear features",P12,1)), ISNUMBER(SEARCH("non-invasive follicular",P12,1)),ISNUMBER(SEARCH("papillary-like nuclear features",P12,1))),"NIFTP", IF(OR(I12="positive",AC12="positive",AND(OR(ISNUMBER(SEARCH("follicular", O12)),ISNUMBER(SEARCH("FTC", O12))),W12="extensive"),AND(G12="positive",ISNUMBER(N12),N12&gt;3),AI12=1),"high",IF(OR(ISNUMBER(SEARCH("positive",Y12,1)),ISNUMBER(SEARCH("tall",P12,1)),ISNUMBER(SEARCH("hobnail",P12,1)),ISNUMBER(SEARCH("cribriform",P12,1)),ISNUMBER(SEARCH("diffuse",P12,1)),ISNUMBER(SEARCH("columnar",P12,1)),ISNUMBER(SEARCH("solid",P12,1)),ISNUMBER(SEARCH("tall",O12,1)),ISNUMBER(SEARCH("hobnail",O12,1)),ISNUMBER(SEARCH("cribriform",O12,1)),ISNUMBER(SEARCH("diffuse",O12,1)),ISNUMBER(SEARCH("columnar",O12,1)),ISNUMBER(SEARCH("solid",O12,1)),AND(OR(ISNUMBER(SEARCH("papillary carcinoma",O12,1)),ISNUMBER(SEARCH("papillary microcarcinoma",O12,1))),T12="positive"),,AND(AND(ISNUMBER(K12),K12&gt;=5),N12=""),AND(AND(ISNUMBER(K12),K12&gt;=5),AND(ISNUMBER(N12),N12&gt;=1)),H12="lateral"),"intermediate","low")))</f>
        <v>low</v>
      </c>
      <c r="AH12" s="41" t="str">
        <f t="shared" si="3"/>
        <v>1b</v>
      </c>
      <c r="AI12" s="41" t="str">
        <f t="shared" si="6"/>
        <v>1a</v>
      </c>
      <c r="AJ12" s="41">
        <f t="shared" si="7"/>
        <v>0</v>
      </c>
      <c r="AK12" s="41" t="str">
        <f t="shared" si="8"/>
        <v>I</v>
      </c>
      <c r="AL12" s="42" t="s">
        <v>172</v>
      </c>
      <c r="AM12" s="43" t="s">
        <v>198</v>
      </c>
      <c r="AN12" s="43" t="s">
        <v>200</v>
      </c>
      <c r="AO12" s="43">
        <v>0</v>
      </c>
      <c r="AP12" s="43" t="s">
        <v>31</v>
      </c>
      <c r="AQ12" s="10">
        <f>IF(AL12=AG12,1,0)</f>
        <v>1</v>
      </c>
      <c r="AR12" s="25">
        <f>IF(AM12=AH12,1,0)</f>
        <v>1</v>
      </c>
      <c r="AS12" s="25">
        <f t="shared" si="9"/>
        <v>1</v>
      </c>
      <c r="AT12" s="25">
        <f t="shared" si="10"/>
        <v>1</v>
      </c>
      <c r="AU12" s="27">
        <f t="shared" si="10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4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1"/>
        <v>negative</v>
      </c>
      <c r="AC13" s="17" t="str">
        <f t="shared" si="5"/>
        <v>negative</v>
      </c>
      <c r="AD13" t="str" cm="1">
        <f t="array" ref="AD13">_xlfn.TEXTJOIN("; ",TRUE,_xlfn._xlws.FILTER('Model output'!S:S,'Model output'!Z:Z=A13))</f>
        <v/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7" t="str">
        <f>IF(OR(ISNUMBER(SEARCH("non-invasive follicular",O13,1)), ISNUMBER(SEARCH("papillary-like nuclear features",P13,1)), ISNUMBER(SEARCH("non-invasive follicular",P13,1)),ISNUMBER(SEARCH("papillary-like nuclear features",P13,1))),"NIFTP", IF(OR(I13="positive",AC13="positive",AND(OR(ISNUMBER(SEARCH("follicular", O13)),ISNUMBER(SEARCH("FTC", O13))),W13="extensive"),AND(G13="positive",ISNUMBER(N13),N13&gt;3),AI13=1),"high",IF(OR(ISNUMBER(SEARCH("positive",Y13,1)),ISNUMBER(SEARCH("tall",P13,1)),ISNUMBER(SEARCH("hobnail",P13,1)),ISNUMBER(SEARCH("cribriform",P13,1)),ISNUMBER(SEARCH("diffuse",P13,1)),ISNUMBER(SEARCH("columnar",P13,1)),ISNUMBER(SEARCH("solid",P13,1)),ISNUMBER(SEARCH("tall",O13,1)),ISNUMBER(SEARCH("hobnail",O13,1)),ISNUMBER(SEARCH("cribriform",O13,1)),ISNUMBER(SEARCH("diffuse",O13,1)),ISNUMBER(SEARCH("columnar",O13,1)),ISNUMBER(SEARCH("solid",O13,1)),AND(OR(ISNUMBER(SEARCH("papillary carcinoma",O13,1)),ISNUMBER(SEARCH("papillary microcarcinoma",O13,1))),T13="positive"),,AND(AND(ISNUMBER(K13),K13&gt;=5),N13=""),AND(AND(ISNUMBER(K13),K13&gt;=5),AND(ISNUMBER(N13),N13&gt;=1)),H13="lateral"),"intermediate","low")))</f>
        <v>low</v>
      </c>
      <c r="AH13" s="41" t="str">
        <f t="shared" si="3"/>
        <v>3a</v>
      </c>
      <c r="AI13" s="41" t="str">
        <f t="shared" si="6"/>
        <v>x</v>
      </c>
      <c r="AJ13" s="41">
        <f t="shared" si="7"/>
        <v>0</v>
      </c>
      <c r="AK13" s="41" t="str">
        <f t="shared" si="8"/>
        <v>II</v>
      </c>
      <c r="AL13" s="42" t="s">
        <v>172</v>
      </c>
      <c r="AM13" s="43" t="s">
        <v>202</v>
      </c>
      <c r="AN13" s="43" t="s">
        <v>199</v>
      </c>
      <c r="AO13" s="43">
        <v>0</v>
      </c>
      <c r="AP13" s="43" t="s">
        <v>44</v>
      </c>
      <c r="AQ13" s="10">
        <f>IF(AL13=AG13,1,0)</f>
        <v>1</v>
      </c>
      <c r="AR13" s="25">
        <f>IF(AM13=AH13,1,0)</f>
        <v>1</v>
      </c>
      <c r="AS13" s="25">
        <f t="shared" si="9"/>
        <v>1</v>
      </c>
      <c r="AT13" s="25">
        <f t="shared" si="10"/>
        <v>1</v>
      </c>
      <c r="AU13" s="27">
        <f t="shared" si="10"/>
        <v>1</v>
      </c>
    </row>
    <row r="14" spans="1:47">
      <c r="A14" s="13">
        <v>12</v>
      </c>
      <c r="B14" s="16">
        <f>_xlfn.MAXIFS('Model output'!B:B,'Model output'!Z:Z,'Classification result'!$A14)</f>
        <v>45415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4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1"/>
        <v>negative</v>
      </c>
      <c r="AC14" s="17" t="str">
        <f t="shared" si="5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7" t="str">
        <f>IF(OR(ISNUMBER(SEARCH("non-invasive follicular",O14,1)), ISNUMBER(SEARCH("papillary-like nuclear features",P14,1)), ISNUMBER(SEARCH("non-invasive follicular",P14,1)),ISNUMBER(SEARCH("papillary-like nuclear features",P14,1))),"NIFTP", IF(OR(I14="positive",AC14="positive",AND(OR(ISNUMBER(SEARCH("follicular", O14)),ISNUMBER(SEARCH("FTC", O14))),W14="extensive"),AND(G14="positive",ISNUMBER(N14),N14&gt;3),AI14=1),"high",IF(OR(ISNUMBER(SEARCH("positive",Y14,1)),ISNUMBER(SEARCH("tall",P14,1)),ISNUMBER(SEARCH("hobnail",P14,1)),ISNUMBER(SEARCH("cribriform",P14,1)),ISNUMBER(SEARCH("diffuse",P14,1)),ISNUMBER(SEARCH("columnar",P14,1)),ISNUMBER(SEARCH("solid",P14,1)),ISNUMBER(SEARCH("tall",O14,1)),ISNUMBER(SEARCH("hobnail",O14,1)),ISNUMBER(SEARCH("cribriform",O14,1)),ISNUMBER(SEARCH("diffuse",O14,1)),ISNUMBER(SEARCH("columnar",O14,1)),ISNUMBER(SEARCH("solid",O14,1)),AND(OR(ISNUMBER(SEARCH("papillary carcinoma",O14,1)),ISNUMBER(SEARCH("papillary microcarcinoma",O14,1))),T14="positive"),,AND(AND(ISNUMBER(K14),K14&gt;=5),N14=""),AND(AND(ISNUMBER(K14),K14&gt;=5),AND(ISNUMBER(N14),N14&gt;=1)),H14="lateral"),"intermediate","low")))</f>
        <v>low</v>
      </c>
      <c r="AH14" s="41" t="str">
        <f t="shared" si="3"/>
        <v>3a</v>
      </c>
      <c r="AI14" s="41" t="str">
        <f t="shared" si="6"/>
        <v>x</v>
      </c>
      <c r="AJ14" s="41">
        <f t="shared" si="7"/>
        <v>0</v>
      </c>
      <c r="AK14" s="41" t="str">
        <f t="shared" si="8"/>
        <v>II</v>
      </c>
      <c r="AL14" s="42" t="s">
        <v>170</v>
      </c>
      <c r="AM14" s="43" t="s">
        <v>202</v>
      </c>
      <c r="AN14" s="43" t="s">
        <v>199</v>
      </c>
      <c r="AO14" s="43">
        <v>0</v>
      </c>
      <c r="AP14" s="43" t="s">
        <v>44</v>
      </c>
      <c r="AQ14" s="10">
        <f>IF(AL14=AG14,1,0)</f>
        <v>0</v>
      </c>
      <c r="AR14" s="25">
        <f>IF(AM14=AH14,1,0)</f>
        <v>1</v>
      </c>
      <c r="AS14" s="25">
        <f t="shared" si="9"/>
        <v>1</v>
      </c>
      <c r="AT14" s="25">
        <f t="shared" si="10"/>
        <v>1</v>
      </c>
      <c r="AU14" s="27">
        <f t="shared" si="10"/>
        <v>1</v>
      </c>
    </row>
    <row r="15" spans="1:47">
      <c r="A15" s="13">
        <v>13</v>
      </c>
      <c r="B15" s="16">
        <f>_xlfn.MAXIFS('Model output'!B:B,'Model output'!Z:Z,'Classification result'!$A15)</f>
        <v>45420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Notmentioned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/>
      </c>
      <c r="N15" t="str" cm="1">
        <f t="array" ref="N15">IF(MaxSize((SplitDimensions(M15)))=0, "", MaxSize((SplitDimensions(M15))))</f>
        <v/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negative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4"/>
        <v>no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7" t="str">
        <f t="shared" si="11"/>
        <v>positive</v>
      </c>
      <c r="AC15" s="17" t="str">
        <f t="shared" si="5"/>
        <v>positive</v>
      </c>
      <c r="AD15" t="str" cm="1">
        <f t="array" ref="AD15">_xlfn.TEXTJOIN("; ",TRUE,_xlfn._xlws.FILTER('Model output'!S:S,'Model output'!Z:Z=A15))</f>
        <v>skeletal muscle, posteriorly adherent to trachea and esophagus at cricoid level; surrounding muscles, posteriorly adherent to trachea and esophagus at cricoid level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7" t="str">
        <f>IF(OR(ISNUMBER(SEARCH("non-invasive follicular",O15,1)), ISNUMBER(SEARCH("papillary-like nuclear features",P15,1)), ISNUMBER(SEARCH("non-invasive follicular",P15,1)),ISNUMBER(SEARCH("papillary-like nuclear features",P15,1))),"NIFTP", IF(OR(I15="positive",AC15="positive",AND(OR(ISNUMBER(SEARCH("follicular", O15)),ISNUMBER(SEARCH("FTC", O15))),W15="extensive"),AND(G15="positive",ISNUMBER(N15),N15&gt;3),AI15=1),"high",IF(OR(ISNUMBER(SEARCH("positive",Y15,1)),ISNUMBER(SEARCH("tall",P15,1)),ISNUMBER(SEARCH("hobnail",P15,1)),ISNUMBER(SEARCH("cribriform",P15,1)),ISNUMBER(SEARCH("diffuse",P15,1)),ISNUMBER(SEARCH("columnar",P15,1)),ISNUMBER(SEARCH("solid",P15,1)),ISNUMBER(SEARCH("tall",O15,1)),ISNUMBER(SEARCH("hobnail",O15,1)),ISNUMBER(SEARCH("cribriform",O15,1)),ISNUMBER(SEARCH("diffuse",O15,1)),ISNUMBER(SEARCH("columnar",O15,1)),ISNUMBER(SEARCH("solid",O15,1)),AND(OR(ISNUMBER(SEARCH("papillary carcinoma",O15,1)),ISNUMBER(SEARCH("papillary microcarcinoma",O15,1))),T15="positive"),,AND(AND(ISNUMBER(K15),K15&gt;=5),N15=""),AND(AND(ISNUMBER(K15),K15&gt;=5),AND(ISNUMBER(N15),N15&gt;=1)),H15="lateral"),"intermediate","low")))</f>
        <v>high</v>
      </c>
      <c r="AH15" s="41" t="str">
        <f t="shared" si="3"/>
        <v>4a</v>
      </c>
      <c r="AI15" s="41" t="str">
        <f t="shared" si="6"/>
        <v>1b</v>
      </c>
      <c r="AJ15" s="41">
        <f t="shared" si="7"/>
        <v>0</v>
      </c>
      <c r="AK15" s="41" t="str">
        <f t="shared" si="8"/>
        <v>III</v>
      </c>
      <c r="AL15" s="42" t="s">
        <v>171</v>
      </c>
      <c r="AM15" s="43" t="s">
        <v>203</v>
      </c>
      <c r="AN15" s="43" t="s">
        <v>198</v>
      </c>
      <c r="AO15" s="43">
        <v>0</v>
      </c>
      <c r="AP15" s="43" t="s">
        <v>68</v>
      </c>
      <c r="AQ15" s="10">
        <f>IF(AL15=AG15,1,0)</f>
        <v>1</v>
      </c>
      <c r="AR15" s="25">
        <f>IF(AM15=AH15,1,0)</f>
        <v>1</v>
      </c>
      <c r="AS15" s="25">
        <f t="shared" si="9"/>
        <v>1</v>
      </c>
      <c r="AT15" s="25">
        <f t="shared" si="10"/>
        <v>1</v>
      </c>
      <c r="AU15" s="27">
        <f t="shared" si="10"/>
        <v>1</v>
      </c>
    </row>
    <row r="16" spans="1:47">
      <c r="A16" s="13">
        <v>14</v>
      </c>
      <c r="B16" s="16">
        <f>_xlfn.MAXIFS('Model output'!B:B,'Model output'!Z:Z,'Classification result'!$A16)</f>
        <v>45394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4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1"/>
        <v>negative</v>
      </c>
      <c r="AC16" s="17" t="str">
        <f t="shared" si="5"/>
        <v>positive</v>
      </c>
      <c r="AD16" t="str" cm="1">
        <f t="array" ref="AD16">_xlfn.TEXTJOIN("; ",TRUE,_xlfn._xlws.FILTER('Model output'!S:S,'Model output'!Z:Z=A16))</f>
        <v>strap muscles; upper pole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7" t="str">
        <f>IF(OR(ISNUMBER(SEARCH("non-invasive follicular",O16,1)), ISNUMBER(SEARCH("papillary-like nuclear features",P16,1)), ISNUMBER(SEARCH("non-invasive follicular",P16,1)),ISNUMBER(SEARCH("papillary-like nuclear features",P16,1))),"NIFTP", IF(OR(I16="positive",AC16="positive",AND(OR(ISNUMBER(SEARCH("follicular", O16)),ISNUMBER(SEARCH("FTC", O16))),W16="extensive"),AND(G16="positive",ISNUMBER(N16),N16&gt;3),AI16=1),"high",IF(OR(ISNUMBER(SEARCH("positive",Y16,1)),ISNUMBER(SEARCH("tall",P16,1)),ISNUMBER(SEARCH("hobnail",P16,1)),ISNUMBER(SEARCH("cribriform",P16,1)),ISNUMBER(SEARCH("diffuse",P16,1)),ISNUMBER(SEARCH("columnar",P16,1)),ISNUMBER(SEARCH("solid",P16,1)),ISNUMBER(SEARCH("tall",O16,1)),ISNUMBER(SEARCH("hobnail",O16,1)),ISNUMBER(SEARCH("cribriform",O16,1)),ISNUMBER(SEARCH("diffuse",O16,1)),ISNUMBER(SEARCH("columnar",O16,1)),ISNUMBER(SEARCH("solid",O16,1)),AND(OR(ISNUMBER(SEARCH("papillary carcinoma",O16,1)),ISNUMBER(SEARCH("papillary microcarcinoma",O16,1))),T16="positive"),,AND(AND(ISNUMBER(K16),K16&gt;=5),N16=""),AND(AND(ISNUMBER(K16),K16&gt;=5),AND(ISNUMBER(N16),N16&gt;=1)),H16="lateral"),"intermediate","low")))</f>
        <v>high</v>
      </c>
      <c r="AH16" s="41" t="str">
        <f t="shared" si="3"/>
        <v>3b</v>
      </c>
      <c r="AI16" s="41" t="str">
        <f t="shared" si="6"/>
        <v>x</v>
      </c>
      <c r="AJ16" s="41">
        <f t="shared" si="7"/>
        <v>0</v>
      </c>
      <c r="AK16" s="41" t="str">
        <f t="shared" si="8"/>
        <v>I</v>
      </c>
      <c r="AL16" s="42" t="s">
        <v>171</v>
      </c>
      <c r="AM16" s="43" t="s">
        <v>201</v>
      </c>
      <c r="AN16" s="43" t="s">
        <v>199</v>
      </c>
      <c r="AO16" s="43">
        <v>0</v>
      </c>
      <c r="AP16" s="43" t="s">
        <v>31</v>
      </c>
      <c r="AQ16" s="10">
        <f>IF(AL16=AG16,1,0)</f>
        <v>1</v>
      </c>
      <c r="AR16" s="25">
        <f>IF(AM16=AH16,1,0)</f>
        <v>1</v>
      </c>
      <c r="AS16" s="25">
        <f t="shared" si="9"/>
        <v>1</v>
      </c>
      <c r="AT16" s="25">
        <f t="shared" si="10"/>
        <v>1</v>
      </c>
      <c r="AU16" s="27">
        <f t="shared" si="10"/>
        <v>1</v>
      </c>
    </row>
    <row r="17" spans="1:47">
      <c r="A17" s="13">
        <v>15</v>
      </c>
      <c r="B17" s="16">
        <f>_xlfn.MAXIFS('Model output'!B:B,'Model output'!Z:Z,'Classification result'!$A17)</f>
        <v>45441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4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11"/>
        <v>negative</v>
      </c>
      <c r="AC17" s="17" t="str">
        <f t="shared" si="5"/>
        <v>positive</v>
      </c>
      <c r="AD17" t="str" cm="1">
        <f t="array" ref="AD17">_xlfn.TEXTJOIN("; ",TRUE,_xlfn._xlws.FILTER('Model output'!S:S,'Model output'!Z:Z=A17))</f>
        <v>Recurrent laryngeal nerve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7" t="str">
        <f>IF(OR(ISNUMBER(SEARCH("non-invasive follicular",O17,1)), ISNUMBER(SEARCH("papillary-like nuclear features",P17,1)), ISNUMBER(SEARCH("non-invasive follicular",P17,1)),ISNUMBER(SEARCH("papillary-like nuclear features",P17,1))),"NIFTP", IF(OR(I17="positive",AC17="positive",AND(OR(ISNUMBER(SEARCH("follicular", O17)),ISNUMBER(SEARCH("FTC", O17))),W17="extensive"),AND(G17="positive",ISNUMBER(N17),N17&gt;3),AI17=1),"high",IF(OR(ISNUMBER(SEARCH("positive",Y17,1)),ISNUMBER(SEARCH("tall",P17,1)),ISNUMBER(SEARCH("hobnail",P17,1)),ISNUMBER(SEARCH("cribriform",P17,1)),ISNUMBER(SEARCH("diffuse",P17,1)),ISNUMBER(SEARCH("columnar",P17,1)),ISNUMBER(SEARCH("solid",P17,1)),ISNUMBER(SEARCH("tall",O17,1)),ISNUMBER(SEARCH("hobnail",O17,1)),ISNUMBER(SEARCH("cribriform",O17,1)),ISNUMBER(SEARCH("diffuse",O17,1)),ISNUMBER(SEARCH("columnar",O17,1)),ISNUMBER(SEARCH("solid",O17,1)),AND(OR(ISNUMBER(SEARCH("papillary carcinoma",O17,1)),ISNUMBER(SEARCH("papillary microcarcinoma",O17,1))),T17="positive"),,AND(AND(ISNUMBER(K17),K17&gt;=5),N17=""),AND(AND(ISNUMBER(K17),K17&gt;=5),AND(ISNUMBER(N17),N17&gt;=1)),H17="lateral"),"intermediate","low")))</f>
        <v>NIFTP</v>
      </c>
      <c r="AH17" s="41" t="str">
        <f t="shared" si="3"/>
        <v>NIFTP</v>
      </c>
      <c r="AI17" s="41" t="str">
        <f t="shared" si="6"/>
        <v>NIFTP</v>
      </c>
      <c r="AJ17" s="41" t="str">
        <f t="shared" si="7"/>
        <v>NIFTP</v>
      </c>
      <c r="AK17" s="41" t="str">
        <f t="shared" si="8"/>
        <v>NIFTP</v>
      </c>
      <c r="AL17" s="42" t="s">
        <v>74</v>
      </c>
      <c r="AM17" s="43" t="s">
        <v>74</v>
      </c>
      <c r="AN17" s="43" t="s">
        <v>74</v>
      </c>
      <c r="AO17" s="43" t="s">
        <v>74</v>
      </c>
      <c r="AP17" s="43" t="s">
        <v>74</v>
      </c>
      <c r="AQ17" s="10">
        <f>IF(AL17=AG17,1,0)</f>
        <v>1</v>
      </c>
      <c r="AR17" s="25">
        <f>IF(AM17=AH17,1,0)</f>
        <v>1</v>
      </c>
      <c r="AS17" s="25">
        <f t="shared" si="9"/>
        <v>1</v>
      </c>
      <c r="AT17" s="25">
        <f t="shared" si="10"/>
        <v>1</v>
      </c>
      <c r="AU17" s="27">
        <f t="shared" si="10"/>
        <v>1</v>
      </c>
    </row>
    <row r="18" spans="1:47">
      <c r="A18" s="13">
        <v>16</v>
      </c>
      <c r="B18" s="16">
        <f>_xlfn.MAXIFS('Model output'!B:B,'Model output'!Z:Z,'Classification result'!$A18)</f>
        <v>45331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0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4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11"/>
        <v>negative</v>
      </c>
      <c r="AC18" s="17" t="str">
        <f t="shared" si="5"/>
        <v>positive</v>
      </c>
      <c r="AD18" t="str" cm="1">
        <f t="array" ref="AD18">_xlfn.TEXTJOIN("; ",TRUE,_xlfn._xlws.FILTER('Model output'!S:S,'Model output'!Z:Z=A18))</f>
        <v>overlying strap muscles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7" t="str">
        <f>IF(OR(ISNUMBER(SEARCH("non-invasive follicular",O18,1)), ISNUMBER(SEARCH("papillary-like nuclear features",P18,1)), ISNUMBER(SEARCH("non-invasive follicular",P18,1)),ISNUMBER(SEARCH("papillary-like nuclear features",P18,1))),"NIFTP", IF(OR(I18="positive",AC18="positive",AND(OR(ISNUMBER(SEARCH("follicular", O18)),ISNUMBER(SEARCH("FTC", O18))),W18="extensive"),AND(G18="positive",ISNUMBER(N18),N18&gt;3),AI18=1),"high",IF(OR(ISNUMBER(SEARCH("positive",Y18,1)),ISNUMBER(SEARCH("tall",P18,1)),ISNUMBER(SEARCH("hobnail",P18,1)),ISNUMBER(SEARCH("cribriform",P18,1)),ISNUMBER(SEARCH("diffuse",P18,1)),ISNUMBER(SEARCH("columnar",P18,1)),ISNUMBER(SEARCH("solid",P18,1)),ISNUMBER(SEARCH("tall",O18,1)),ISNUMBER(SEARCH("hobnail",O18,1)),ISNUMBER(SEARCH("cribriform",O18,1)),ISNUMBER(SEARCH("diffuse",O18,1)),ISNUMBER(SEARCH("columnar",O18,1)),ISNUMBER(SEARCH("solid",O18,1)),AND(OR(ISNUMBER(SEARCH("papillary carcinoma",O18,1)),ISNUMBER(SEARCH("papillary microcarcinoma",O18,1))),T18="positive"),,AND(AND(ISNUMBER(K18),K18&gt;=5),N18=""),AND(AND(ISNUMBER(K18),K18&gt;=5),AND(ISNUMBER(N18),N18&gt;=1)),H18="lateral"),"intermediate","low")))</f>
        <v>high</v>
      </c>
      <c r="AH18" s="41" t="str">
        <f t="shared" si="3"/>
        <v>3b</v>
      </c>
      <c r="AI18" s="41">
        <f t="shared" si="6"/>
        <v>0</v>
      </c>
      <c r="AJ18" s="41">
        <f t="shared" si="7"/>
        <v>0</v>
      </c>
      <c r="AK18" s="41" t="str">
        <f t="shared" si="8"/>
        <v>I</v>
      </c>
      <c r="AL18" s="42" t="s">
        <v>170</v>
      </c>
      <c r="AM18" s="43" t="s">
        <v>364</v>
      </c>
      <c r="AN18" s="43">
        <v>0</v>
      </c>
      <c r="AO18" s="43">
        <v>0</v>
      </c>
      <c r="AP18" s="43" t="s">
        <v>31</v>
      </c>
      <c r="AQ18" s="10">
        <f>IF(AL18=AG18,1,0)</f>
        <v>0</v>
      </c>
      <c r="AR18" s="25">
        <f>IF(AM18=AH18,1,0)</f>
        <v>0</v>
      </c>
      <c r="AS18" s="25">
        <f t="shared" si="9"/>
        <v>1</v>
      </c>
      <c r="AT18" s="25">
        <f t="shared" si="10"/>
        <v>1</v>
      </c>
      <c r="AU18" s="27">
        <f t="shared" si="10"/>
        <v>1</v>
      </c>
    </row>
    <row r="19" spans="1:47">
      <c r="A19" s="13">
        <v>17</v>
      </c>
      <c r="B19" s="16">
        <f>_xlfn.MAXIFS('Model output'!B:B,'Model output'!Z:Z,'Classification result'!$A19)</f>
        <v>45457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4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11"/>
        <v>negative</v>
      </c>
      <c r="AC19" s="17" t="str">
        <f t="shared" si="5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7" t="str">
        <f>IF(OR(ISNUMBER(SEARCH("non-invasive follicular",O19,1)), ISNUMBER(SEARCH("papillary-like nuclear features",P19,1)), ISNUMBER(SEARCH("non-invasive follicular",P19,1)),ISNUMBER(SEARCH("papillary-like nuclear features",P19,1))),"NIFTP", IF(OR(I19="positive",AC19="positive",AND(OR(ISNUMBER(SEARCH("follicular", O19)),ISNUMBER(SEARCH("FTC", O19))),W19="extensive"),AND(G19="positive",ISNUMBER(N19),N19&gt;3),AI19=1),"high",IF(OR(ISNUMBER(SEARCH("positive",Y19,1)),ISNUMBER(SEARCH("tall",P19,1)),ISNUMBER(SEARCH("hobnail",P19,1)),ISNUMBER(SEARCH("cribriform",P19,1)),ISNUMBER(SEARCH("diffuse",P19,1)),ISNUMBER(SEARCH("columnar",P19,1)),ISNUMBER(SEARCH("solid",P19,1)),ISNUMBER(SEARCH("tall",O19,1)),ISNUMBER(SEARCH("hobnail",O19,1)),ISNUMBER(SEARCH("cribriform",O19,1)),ISNUMBER(SEARCH("diffuse",O19,1)),ISNUMBER(SEARCH("columnar",O19,1)),ISNUMBER(SEARCH("solid",O19,1)),AND(OR(ISNUMBER(SEARCH("papillary carcinoma",O19,1)),ISNUMBER(SEARCH("papillary microcarcinoma",O19,1))),T19="positive"),,AND(AND(ISNUMBER(K19),K19&gt;=5),N19=""),AND(AND(ISNUMBER(K19),K19&gt;=5),AND(ISNUMBER(N19),N19&gt;=1)),H19="lateral"),"intermediate","low")))</f>
        <v>intermediate</v>
      </c>
      <c r="AH19" s="41" t="str">
        <f t="shared" si="3"/>
        <v>1b</v>
      </c>
      <c r="AI19" s="41" t="str">
        <f t="shared" si="6"/>
        <v>1b</v>
      </c>
      <c r="AJ19" s="41">
        <f t="shared" si="7"/>
        <v>0</v>
      </c>
      <c r="AK19" s="41" t="str">
        <f t="shared" si="8"/>
        <v>I</v>
      </c>
      <c r="AL19" s="42" t="s">
        <v>170</v>
      </c>
      <c r="AM19" s="43" t="s">
        <v>198</v>
      </c>
      <c r="AN19" s="43" t="s">
        <v>198</v>
      </c>
      <c r="AO19" s="43">
        <v>0</v>
      </c>
      <c r="AP19" s="43" t="s">
        <v>31</v>
      </c>
      <c r="AQ19" s="10">
        <f>IF(AL19=AG19,1,0)</f>
        <v>1</v>
      </c>
      <c r="AR19" s="25">
        <f>IF(AM19=AH19,1,0)</f>
        <v>1</v>
      </c>
      <c r="AS19" s="25">
        <f t="shared" si="9"/>
        <v>1</v>
      </c>
      <c r="AT19" s="25">
        <f t="shared" si="10"/>
        <v>1</v>
      </c>
      <c r="AU19" s="27">
        <f t="shared" si="10"/>
        <v>1</v>
      </c>
    </row>
    <row r="20" spans="1:47">
      <c r="A20" s="13">
        <v>18</v>
      </c>
      <c r="B20" s="16">
        <f>_xlfn.MAXIFS('Model output'!B:B,'Model output'!Z:Z,'Classification result'!$A20)</f>
        <v>45355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4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7" t="str">
        <f t="shared" si="11"/>
        <v>negative</v>
      </c>
      <c r="AC20" s="17" t="str">
        <f t="shared" si="5"/>
        <v>positive</v>
      </c>
      <c r="AD20" t="str" cm="1">
        <f t="array" ref="AD20">_xlfn.TEXTJOIN("; ",TRUE,_xlfn._xlws.FILTER('Model output'!S:S,'Model output'!Z:Z=A20))</f>
        <v>strap muscles; right cricothyroid and inferior constrictor muscle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7" t="str">
        <f>IF(OR(ISNUMBER(SEARCH("non-invasive follicular",O20,1)), ISNUMBER(SEARCH("papillary-like nuclear features",P20,1)), ISNUMBER(SEARCH("non-invasive follicular",P20,1)),ISNUMBER(SEARCH("papillary-like nuclear features",P20,1))),"NIFTP", IF(OR(I20="positive",AC20="positive",AND(OR(ISNUMBER(SEARCH("follicular", O20)),ISNUMBER(SEARCH("FTC", O20))),W20="extensive"),AND(G20="positive",ISNUMBER(N20),N20&gt;3),AI20=1),"high",IF(OR(ISNUMBER(SEARCH("positive",Y20,1)),ISNUMBER(SEARCH("tall",P20,1)),ISNUMBER(SEARCH("hobnail",P20,1)),ISNUMBER(SEARCH("cribriform",P20,1)),ISNUMBER(SEARCH("diffuse",P20,1)),ISNUMBER(SEARCH("columnar",P20,1)),ISNUMBER(SEARCH("solid",P20,1)),ISNUMBER(SEARCH("tall",O20,1)),ISNUMBER(SEARCH("hobnail",O20,1)),ISNUMBER(SEARCH("cribriform",O20,1)),ISNUMBER(SEARCH("diffuse",O20,1)),ISNUMBER(SEARCH("columnar",O20,1)),ISNUMBER(SEARCH("solid",O20,1)),AND(OR(ISNUMBER(SEARCH("papillary carcinoma",O20,1)),ISNUMBER(SEARCH("papillary microcarcinoma",O20,1))),T20="positive"),,AND(AND(ISNUMBER(K20),K20&gt;=5),N20=""),AND(AND(ISNUMBER(K20),K20&gt;=5),AND(ISNUMBER(N20),N20&gt;=1)),H20="lateral"),"intermediate","low")))</f>
        <v>high</v>
      </c>
      <c r="AH20" s="41" t="str">
        <f t="shared" si="3"/>
        <v>4a</v>
      </c>
      <c r="AI20" s="41" t="str">
        <f t="shared" si="6"/>
        <v>1a</v>
      </c>
      <c r="AJ20" s="41">
        <f t="shared" si="7"/>
        <v>0</v>
      </c>
      <c r="AK20" s="41" t="str">
        <f t="shared" si="8"/>
        <v>III</v>
      </c>
      <c r="AL20" s="42" t="s">
        <v>171</v>
      </c>
      <c r="AM20" s="43" t="s">
        <v>203</v>
      </c>
      <c r="AN20" s="43" t="s">
        <v>200</v>
      </c>
      <c r="AO20" s="43">
        <v>0</v>
      </c>
      <c r="AP20" s="43" t="s">
        <v>68</v>
      </c>
      <c r="AQ20" s="10">
        <f>IF(AL20=AG20,1,0)</f>
        <v>1</v>
      </c>
      <c r="AR20" s="25">
        <f>IF(AM20=AH20,1,0)</f>
        <v>1</v>
      </c>
      <c r="AS20" s="25">
        <f t="shared" si="9"/>
        <v>1</v>
      </c>
      <c r="AT20" s="25">
        <f t="shared" si="10"/>
        <v>1</v>
      </c>
      <c r="AU20" s="27">
        <f t="shared" si="10"/>
        <v>1</v>
      </c>
    </row>
    <row r="21" spans="1:47">
      <c r="A21" s="13">
        <v>19</v>
      </c>
      <c r="B21" s="16">
        <f>_xlfn.MAXIFS('Model output'!B:B,'Model output'!Z:Z,'Classification result'!$A21)</f>
        <v>45457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4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11"/>
        <v>negative</v>
      </c>
      <c r="AC21" s="17" t="str">
        <f t="shared" si="5"/>
        <v>negative</v>
      </c>
      <c r="AD21" t="str" cm="1">
        <f t="array" ref="AD21">_xlfn.TEXTJOIN("; ",TRUE,_xlfn._xlws.FILTER('Model output'!S:S,'Model output'!Z:Z=A21))</f>
        <v/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7" t="str">
        <f>IF(OR(ISNUMBER(SEARCH("non-invasive follicular",O21,1)), ISNUMBER(SEARCH("papillary-like nuclear features",P21,1)), ISNUMBER(SEARCH("non-invasive follicular",P21,1)),ISNUMBER(SEARCH("papillary-like nuclear features",P21,1))),"NIFTP", IF(OR(I21="positive",AC21="positive",AND(OR(ISNUMBER(SEARCH("follicular", O21)),ISNUMBER(SEARCH("FTC", O21))),W21="extensive"),AND(G21="positive",ISNUMBER(N21),N21&gt;3),AI21=1),"high",IF(OR(ISNUMBER(SEARCH("positive",Y21,1)),ISNUMBER(SEARCH("tall",P21,1)),ISNUMBER(SEARCH("hobnail",P21,1)),ISNUMBER(SEARCH("cribriform",P21,1)),ISNUMBER(SEARCH("diffuse",P21,1)),ISNUMBER(SEARCH("columnar",P21,1)),ISNUMBER(SEARCH("solid",P21,1)),ISNUMBER(SEARCH("tall",O21,1)),ISNUMBER(SEARCH("hobnail",O21,1)),ISNUMBER(SEARCH("cribriform",O21,1)),ISNUMBER(SEARCH("diffuse",O21,1)),ISNUMBER(SEARCH("columnar",O21,1)),ISNUMBER(SEARCH("solid",O21,1)),AND(OR(ISNUMBER(SEARCH("papillary carcinoma",O21,1)),ISNUMBER(SEARCH("papillary microcarcinoma",O21,1))),T21="positive"),,AND(AND(ISNUMBER(K21),K21&gt;=5),N21=""),AND(AND(ISNUMBER(K21),K21&gt;=5),AND(ISNUMBER(N21),N21&gt;=1)),H21="lateral"),"intermediate","low")))</f>
        <v>low</v>
      </c>
      <c r="AH21" s="41" t="str">
        <f t="shared" si="3"/>
        <v>1a</v>
      </c>
      <c r="AI21" s="41">
        <f t="shared" si="6"/>
        <v>0</v>
      </c>
      <c r="AJ21" s="41">
        <f t="shared" si="7"/>
        <v>0</v>
      </c>
      <c r="AK21" s="41" t="str">
        <f t="shared" si="8"/>
        <v>I</v>
      </c>
      <c r="AL21" s="42" t="s">
        <v>172</v>
      </c>
      <c r="AM21" s="43" t="s">
        <v>200</v>
      </c>
      <c r="AN21" s="43">
        <v>0</v>
      </c>
      <c r="AO21" s="43">
        <v>0</v>
      </c>
      <c r="AP21" s="43" t="s">
        <v>31</v>
      </c>
      <c r="AQ21" s="10">
        <f>IF(AL21=AG21,1,0)</f>
        <v>1</v>
      </c>
      <c r="AR21" s="25">
        <f>IF(AM21=AH21,1,0)</f>
        <v>1</v>
      </c>
      <c r="AS21" s="25">
        <f t="shared" si="9"/>
        <v>1</v>
      </c>
      <c r="AT21" s="25">
        <f t="shared" si="10"/>
        <v>1</v>
      </c>
      <c r="AU21" s="27">
        <f t="shared" si="10"/>
        <v>1</v>
      </c>
    </row>
    <row r="22" spans="1:47">
      <c r="A22" s="13">
        <v>20</v>
      </c>
      <c r="B22" s="16">
        <f>_xlfn.MAXIFS('Model output'!B:B,'Model output'!Z:Z,'Classification result'!$A22)</f>
        <v>45373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1b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>infiltrative follicular pattern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6mm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6mm</v>
      </c>
      <c r="S22" cm="1">
        <f t="array" ref="S22">IF(MaxSize((SplitDimensions(R22)))=0, "", MaxSize((SplitDimensions(R22))))</f>
        <v>0.6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4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11"/>
        <v>positive</v>
      </c>
      <c r="AC22" s="17" t="str">
        <f t="shared" si="5"/>
        <v>negative</v>
      </c>
      <c r="AD22" t="str" cm="1">
        <f t="array" ref="AD22">_xlfn.TEXTJOIN("; ",TRUE,_xlfn._xlws.FILTER('Model output'!S:S,'Model output'!Z:Z=A22))</f>
        <v>present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7" t="str">
        <f>IF(OR(ISNUMBER(SEARCH("non-invasive follicular",O22,1)), ISNUMBER(SEARCH("papillary-like nuclear features",P22,1)), ISNUMBER(SEARCH("non-invasive follicular",P22,1)),ISNUMBER(SEARCH("papillary-like nuclear features",P22,1))),"NIFTP", IF(OR(I22="positive",AC22="positive",AND(OR(ISNUMBER(SEARCH("follicular", O22)),ISNUMBER(SEARCH("FTC", O22))),W22="extensive"),AND(G22="positive",ISNUMBER(N22),N22&gt;3),AI22=1),"high",IF(OR(ISNUMBER(SEARCH("positive",Y22,1)),ISNUMBER(SEARCH("tall",P22,1)),ISNUMBER(SEARCH("hobnail",P22,1)),ISNUMBER(SEARCH("cribriform",P22,1)),ISNUMBER(SEARCH("diffuse",P22,1)),ISNUMBER(SEARCH("columnar",P22,1)),ISNUMBER(SEARCH("solid",P22,1)),ISNUMBER(SEARCH("tall",O22,1)),ISNUMBER(SEARCH("hobnail",O22,1)),ISNUMBER(SEARCH("cribriform",O22,1)),ISNUMBER(SEARCH("diffuse",O22,1)),ISNUMBER(SEARCH("columnar",O22,1)),ISNUMBER(SEARCH("solid",O22,1)),AND(OR(ISNUMBER(SEARCH("papillary carcinoma",O22,1)),ISNUMBER(SEARCH("papillary microcarcinoma",O22,1))),T22="positive"),,AND(AND(ISNUMBER(K22),K22&gt;=5),N22=""),AND(AND(ISNUMBER(K22),K22&gt;=5),AND(ISNUMBER(N22),N22&gt;=1)),H22="lateral"),"intermediate","low")))</f>
        <v>intermediate</v>
      </c>
      <c r="AH22" s="41" t="str">
        <f t="shared" si="3"/>
        <v>1a</v>
      </c>
      <c r="AI22" s="41" t="str">
        <f t="shared" si="6"/>
        <v>1a</v>
      </c>
      <c r="AJ22" s="41">
        <f t="shared" si="7"/>
        <v>0</v>
      </c>
      <c r="AK22" s="41" t="str">
        <f t="shared" si="8"/>
        <v>II</v>
      </c>
      <c r="AL22" s="42" t="s">
        <v>170</v>
      </c>
      <c r="AM22" s="43" t="s">
        <v>198</v>
      </c>
      <c r="AN22" s="43" t="s">
        <v>200</v>
      </c>
      <c r="AO22" s="43">
        <v>0</v>
      </c>
      <c r="AP22" s="43" t="s">
        <v>44</v>
      </c>
      <c r="AQ22" s="10">
        <f>IF(AL22=AG22,1,0)</f>
        <v>1</v>
      </c>
      <c r="AR22" s="25">
        <f>IF(AM22=AH22,1,0)</f>
        <v>0</v>
      </c>
      <c r="AS22" s="25">
        <f t="shared" si="9"/>
        <v>1</v>
      </c>
      <c r="AT22" s="25">
        <f t="shared" si="10"/>
        <v>1</v>
      </c>
      <c r="AU22" s="27">
        <f t="shared" si="10"/>
        <v>1</v>
      </c>
    </row>
    <row r="23" spans="1:47">
      <c r="A23" s="13">
        <v>21</v>
      </c>
      <c r="B23" s="16">
        <f>_xlfn.MAXIFS('Model output'!B:B,'Model output'!Z:Z,'Classification result'!$A23)</f>
        <v>45296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4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11"/>
        <v>positive</v>
      </c>
      <c r="AC23" s="17" t="str">
        <f t="shared" si="5"/>
        <v>negative</v>
      </c>
      <c r="AD23" t="str" cm="1">
        <f t="array" ref="AD23">_xlfn.TEXTJOIN("; ",TRUE,_xlfn._xlws.FILTER('Model output'!S:S,'Model output'!Z:Z=A23))</f>
        <v>skeletal muscle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7" t="str">
        <f>IF(OR(ISNUMBER(SEARCH("non-invasive follicular",O23,1)), ISNUMBER(SEARCH("papillary-like nuclear features",P23,1)), ISNUMBER(SEARCH("non-invasive follicular",P23,1)),ISNUMBER(SEARCH("papillary-like nuclear features",P23,1))),"NIFTP", IF(OR(I23="positive",AC23="positive",AND(OR(ISNUMBER(SEARCH("follicular", O23)),ISNUMBER(SEARCH("FTC", O23))),W23="extensive"),AND(G23="positive",ISNUMBER(N23),N23&gt;3),AI23=1),"high",IF(OR(ISNUMBER(SEARCH("positive",Y23,1)),ISNUMBER(SEARCH("tall",P23,1)),ISNUMBER(SEARCH("hobnail",P23,1)),ISNUMBER(SEARCH("cribriform",P23,1)),ISNUMBER(SEARCH("diffuse",P23,1)),ISNUMBER(SEARCH("columnar",P23,1)),ISNUMBER(SEARCH("solid",P23,1)),ISNUMBER(SEARCH("tall",O23,1)),ISNUMBER(SEARCH("hobnail",O23,1)),ISNUMBER(SEARCH("cribriform",O23,1)),ISNUMBER(SEARCH("diffuse",O23,1)),ISNUMBER(SEARCH("columnar",O23,1)),ISNUMBER(SEARCH("solid",O23,1)),AND(OR(ISNUMBER(SEARCH("papillary carcinoma",O23,1)),ISNUMBER(SEARCH("papillary microcarcinoma",O23,1))),T23="positive"),,AND(AND(ISNUMBER(K23),K23&gt;=5),N23=""),AND(AND(ISNUMBER(K23),K23&gt;=5),AND(ISNUMBER(N23),N23&gt;=1)),H23="lateral"),"intermediate","low")))</f>
        <v>intermediate</v>
      </c>
      <c r="AH23" s="41" t="str">
        <f t="shared" si="3"/>
        <v>1b</v>
      </c>
      <c r="AI23" s="41" t="str">
        <f t="shared" si="6"/>
        <v>1a</v>
      </c>
      <c r="AJ23" s="41">
        <f t="shared" si="7"/>
        <v>0</v>
      </c>
      <c r="AK23" s="41" t="str">
        <f t="shared" si="8"/>
        <v>I</v>
      </c>
      <c r="AL23" s="42" t="s">
        <v>170</v>
      </c>
      <c r="AM23" s="43" t="s">
        <v>198</v>
      </c>
      <c r="AN23" s="43" t="s">
        <v>200</v>
      </c>
      <c r="AO23" s="43">
        <v>0</v>
      </c>
      <c r="AP23" s="43" t="s">
        <v>31</v>
      </c>
      <c r="AQ23" s="10">
        <f>IF(AL23=AG23,1,0)</f>
        <v>1</v>
      </c>
      <c r="AR23" s="25">
        <f>IF(AM23=AH23,1,0)</f>
        <v>1</v>
      </c>
      <c r="AS23" s="25">
        <f t="shared" si="9"/>
        <v>1</v>
      </c>
      <c r="AT23" s="25">
        <f t="shared" si="10"/>
        <v>1</v>
      </c>
      <c r="AU23" s="27">
        <f t="shared" si="10"/>
        <v>1</v>
      </c>
    </row>
    <row r="24" spans="1:47">
      <c r="A24" s="13">
        <v>22</v>
      </c>
      <c r="B24" s="16">
        <f>_xlfn.MAXIFS('Model output'!B:B,'Model output'!Z:Z,'Classification result'!$A24)</f>
        <v>45299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0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4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11"/>
        <v>negative</v>
      </c>
      <c r="AC24" s="17" t="str">
        <f t="shared" si="5"/>
        <v>negative</v>
      </c>
      <c r="AD24" t="str" cm="1">
        <f t="array" ref="AD24">_xlfn.TEXTJOIN("; ",TRUE,_xlfn._xlws.FILTER('Model output'!S:S,'Model output'!Z:Z=A24))</f>
        <v/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7" t="str">
        <f>IF(OR(ISNUMBER(SEARCH("non-invasive follicular",O24,1)), ISNUMBER(SEARCH("papillary-like nuclear features",P24,1)), ISNUMBER(SEARCH("non-invasive follicular",P24,1)),ISNUMBER(SEARCH("papillary-like nuclear features",P24,1))),"NIFTP", IF(OR(I24="positive",AC24="positive",AND(OR(ISNUMBER(SEARCH("follicular", O24)),ISNUMBER(SEARCH("FTC", O24))),W24="extensive"),AND(G24="positive",ISNUMBER(N24),N24&gt;3),AI24=1),"high",IF(OR(ISNUMBER(SEARCH("positive",Y24,1)),ISNUMBER(SEARCH("tall",P24,1)),ISNUMBER(SEARCH("hobnail",P24,1)),ISNUMBER(SEARCH("cribriform",P24,1)),ISNUMBER(SEARCH("diffuse",P24,1)),ISNUMBER(SEARCH("columnar",P24,1)),ISNUMBER(SEARCH("solid",P24,1)),ISNUMBER(SEARCH("tall",O24,1)),ISNUMBER(SEARCH("hobnail",O24,1)),ISNUMBER(SEARCH("cribriform",O24,1)),ISNUMBER(SEARCH("diffuse",O24,1)),ISNUMBER(SEARCH("columnar",O24,1)),ISNUMBER(SEARCH("solid",O24,1)),AND(OR(ISNUMBER(SEARCH("papillary carcinoma",O24,1)),ISNUMBER(SEARCH("papillary microcarcinoma",O24,1))),T24="positive"),,AND(AND(ISNUMBER(K24),K24&gt;=5),N24=""),AND(AND(ISNUMBER(K24),K24&gt;=5),AND(ISNUMBER(N24),N24&gt;=1)),H24="lateral"),"intermediate","low")))</f>
        <v>low</v>
      </c>
      <c r="AH24" s="41" t="str">
        <f t="shared" si="3"/>
        <v>1a</v>
      </c>
      <c r="AI24" s="41">
        <f t="shared" si="6"/>
        <v>0</v>
      </c>
      <c r="AJ24" s="41">
        <f t="shared" si="7"/>
        <v>0</v>
      </c>
      <c r="AK24" s="41" t="str">
        <f t="shared" si="8"/>
        <v>I</v>
      </c>
      <c r="AL24" s="42" t="s">
        <v>172</v>
      </c>
      <c r="AM24" s="43" t="s">
        <v>200</v>
      </c>
      <c r="AN24" s="43">
        <v>0</v>
      </c>
      <c r="AO24" s="43">
        <v>0</v>
      </c>
      <c r="AP24" s="43" t="s">
        <v>31</v>
      </c>
      <c r="AQ24" s="10">
        <f>IF(AL24=AG24,1,0)</f>
        <v>1</v>
      </c>
      <c r="AR24" s="25">
        <f>IF(AM24=AH24,1,0)</f>
        <v>1</v>
      </c>
      <c r="AS24" s="25">
        <f t="shared" si="9"/>
        <v>1</v>
      </c>
      <c r="AT24" s="25">
        <f t="shared" si="10"/>
        <v>1</v>
      </c>
      <c r="AU24" s="27">
        <f t="shared" si="10"/>
        <v>1</v>
      </c>
    </row>
    <row r="25" spans="1:47">
      <c r="A25" s="13">
        <v>23</v>
      </c>
      <c r="B25" s="16">
        <f>_xlfn.MAXIFS('Model output'!B:B,'Model output'!Z:Z,'Classification result'!$A25)</f>
        <v>45296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4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11"/>
        <v>positive</v>
      </c>
      <c r="AC25" s="17" t="str">
        <f t="shared" si="5"/>
        <v>negative</v>
      </c>
      <c r="AD25" t="str" cm="1">
        <f t="array" ref="AD25">_xlfn.TEXTJOIN("; ",TRUE,_xlfn._xlws.FILTER('Model output'!S:S,'Model output'!Z:Z=A25))</f>
        <v>peri-thyroidal adipose tissue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7" t="str">
        <f>IF(OR(ISNUMBER(SEARCH("non-invasive follicular",O25,1)), ISNUMBER(SEARCH("papillary-like nuclear features",P25,1)), ISNUMBER(SEARCH("non-invasive follicular",P25,1)),ISNUMBER(SEARCH("papillary-like nuclear features",P25,1))),"NIFTP", IF(OR(I25="positive",AC25="positive",AND(OR(ISNUMBER(SEARCH("follicular", O25)),ISNUMBER(SEARCH("FTC", O25))),W25="extensive"),AND(G25="positive",ISNUMBER(N25),N25&gt;3),AI25=1),"high",IF(OR(ISNUMBER(SEARCH("positive",Y25,1)),ISNUMBER(SEARCH("tall",P25,1)),ISNUMBER(SEARCH("hobnail",P25,1)),ISNUMBER(SEARCH("cribriform",P25,1)),ISNUMBER(SEARCH("diffuse",P25,1)),ISNUMBER(SEARCH("columnar",P25,1)),ISNUMBER(SEARCH("solid",P25,1)),ISNUMBER(SEARCH("tall",O25,1)),ISNUMBER(SEARCH("hobnail",O25,1)),ISNUMBER(SEARCH("cribriform",O25,1)),ISNUMBER(SEARCH("diffuse",O25,1)),ISNUMBER(SEARCH("columnar",O25,1)),ISNUMBER(SEARCH("solid",O25,1)),AND(OR(ISNUMBER(SEARCH("papillary carcinoma",O25,1)),ISNUMBER(SEARCH("papillary microcarcinoma",O25,1))),T25="positive"),,AND(AND(ISNUMBER(K25),K25&gt;=5),N25=""),AND(AND(ISNUMBER(K25),K25&gt;=5),AND(ISNUMBER(N25),N25&gt;=1)),H25="lateral"),"intermediate","low")))</f>
        <v>intermediate</v>
      </c>
      <c r="AH25" s="41" t="str">
        <f t="shared" si="3"/>
        <v>1b</v>
      </c>
      <c r="AI25" s="41">
        <f t="shared" si="6"/>
        <v>0</v>
      </c>
      <c r="AJ25" s="41">
        <f t="shared" si="7"/>
        <v>0</v>
      </c>
      <c r="AK25" s="41" t="str">
        <f t="shared" si="8"/>
        <v>I</v>
      </c>
      <c r="AL25" s="42" t="s">
        <v>170</v>
      </c>
      <c r="AM25" s="43" t="s">
        <v>198</v>
      </c>
      <c r="AN25" s="43">
        <v>0</v>
      </c>
      <c r="AO25" s="43">
        <v>0</v>
      </c>
      <c r="AP25" s="43" t="s">
        <v>31</v>
      </c>
      <c r="AQ25" s="10">
        <f>IF(AL25=AG25,1,0)</f>
        <v>1</v>
      </c>
      <c r="AR25" s="25">
        <f>IF(AM25=AH25,1,0)</f>
        <v>1</v>
      </c>
      <c r="AS25" s="25">
        <f t="shared" si="9"/>
        <v>1</v>
      </c>
      <c r="AT25" s="25">
        <f t="shared" si="10"/>
        <v>1</v>
      </c>
      <c r="AU25" s="27">
        <f t="shared" si="10"/>
        <v>1</v>
      </c>
    </row>
    <row r="26" spans="1:47">
      <c r="A26" s="13">
        <v>24</v>
      </c>
      <c r="B26" s="16">
        <f>_xlfn.MAXIFS('Model output'!B:B,'Model output'!Z:Z,'Classification result'!$A26)</f>
        <v>45301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15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4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1"/>
        <v>positive</v>
      </c>
      <c r="AC26" s="17" t="str">
        <f t="shared" si="5"/>
        <v>negative</v>
      </c>
      <c r="AD26" t="str" cm="1">
        <f t="array" ref="AD26">_xlfn.TEXTJOIN("; ",TRUE,_xlfn._xlws.FILTER('Model output'!S:S,'Model output'!Z:Z=A26))</f>
        <v>minimal; perithyroidal fibradipose tissue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7" t="str">
        <f>IF(OR(ISNUMBER(SEARCH("non-invasive follicular",O26,1)), ISNUMBER(SEARCH("papillary-like nuclear features",P26,1)), ISNUMBER(SEARCH("non-invasive follicular",P26,1)),ISNUMBER(SEARCH("papillary-like nuclear features",P26,1))),"NIFTP", IF(OR(I26="positive",AC26="positive",AND(OR(ISNUMBER(SEARCH("follicular", O26)),ISNUMBER(SEARCH("FTC", O26))),W26="extensive"),AND(G26="positive",ISNUMBER(N26),N26&gt;3),AI26=1),"high",IF(OR(ISNUMBER(SEARCH("positive",Y26,1)),ISNUMBER(SEARCH("tall",P26,1)),ISNUMBER(SEARCH("hobnail",P26,1)),ISNUMBER(SEARCH("cribriform",P26,1)),ISNUMBER(SEARCH("diffuse",P26,1)),ISNUMBER(SEARCH("columnar",P26,1)),ISNUMBER(SEARCH("solid",P26,1)),ISNUMBER(SEARCH("tall",O26,1)),ISNUMBER(SEARCH("hobnail",O26,1)),ISNUMBER(SEARCH("cribriform",O26,1)),ISNUMBER(SEARCH("diffuse",O26,1)),ISNUMBER(SEARCH("columnar",O26,1)),ISNUMBER(SEARCH("solid",O26,1)),AND(OR(ISNUMBER(SEARCH("papillary carcinoma",O26,1)),ISNUMBER(SEARCH("papillary microcarcinoma",O26,1))),T26="positive"),,AND(AND(ISNUMBER(K26),K26&gt;=5),N26=""),AND(AND(ISNUMBER(K26),K26&gt;=5),AND(ISNUMBER(N26),N26&gt;=1)),H26="lateral"),"intermediate","low")))</f>
        <v>intermediate</v>
      </c>
      <c r="AH26" s="41" t="str">
        <f t="shared" si="3"/>
        <v>4a</v>
      </c>
      <c r="AI26" s="41" t="str">
        <f t="shared" si="6"/>
        <v>1b</v>
      </c>
      <c r="AJ26" s="41">
        <f t="shared" si="7"/>
        <v>0</v>
      </c>
      <c r="AK26" s="41" t="str">
        <f t="shared" si="8"/>
        <v>III</v>
      </c>
      <c r="AL26" s="42" t="s">
        <v>171</v>
      </c>
      <c r="AM26" s="43" t="s">
        <v>203</v>
      </c>
      <c r="AN26" s="43" t="s">
        <v>198</v>
      </c>
      <c r="AO26" s="43">
        <v>0</v>
      </c>
      <c r="AP26" s="43" t="s">
        <v>68</v>
      </c>
      <c r="AQ26" s="10">
        <f>IF(AL26=AG26,1,0)</f>
        <v>0</v>
      </c>
      <c r="AR26" s="25">
        <f>IF(AM26=AH26,1,0)</f>
        <v>1</v>
      </c>
      <c r="AS26" s="25">
        <f t="shared" si="9"/>
        <v>1</v>
      </c>
      <c r="AT26" s="25">
        <f t="shared" si="10"/>
        <v>1</v>
      </c>
      <c r="AU26" s="27">
        <f t="shared" si="10"/>
        <v>1</v>
      </c>
    </row>
    <row r="27" spans="1:47">
      <c r="A27" s="13">
        <v>25</v>
      </c>
      <c r="B27" s="16">
        <f>_xlfn.MAXIFS('Model output'!B:B,'Model output'!Z:Z,'Classification result'!$A27)</f>
        <v>45310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4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1"/>
        <v>negative</v>
      </c>
      <c r="AC27" s="17" t="str">
        <f t="shared" si="5"/>
        <v>negative</v>
      </c>
      <c r="AD27" t="str" cm="1">
        <f t="array" ref="AD27">_xlfn.TEXTJOIN("; ",TRUE,_xlfn._xlws.FILTER('Model output'!S:S,'Model output'!Z:Z=A27))</f>
        <v>Absent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7" t="str">
        <f>IF(OR(ISNUMBER(SEARCH("non-invasive follicular",O27,1)), ISNUMBER(SEARCH("papillary-like nuclear features",P27,1)), ISNUMBER(SEARCH("non-invasive follicular",P27,1)),ISNUMBER(SEARCH("papillary-like nuclear features",P27,1))),"NIFTP", IF(OR(I27="positive",AC27="positive",AND(OR(ISNUMBER(SEARCH("follicular", O27)),ISNUMBER(SEARCH("FTC", O27))),W27="extensive"),AND(G27="positive",ISNUMBER(N27),N27&gt;3),AI27=1),"high",IF(OR(ISNUMBER(SEARCH("positive",Y27,1)),ISNUMBER(SEARCH("tall",P27,1)),ISNUMBER(SEARCH("hobnail",P27,1)),ISNUMBER(SEARCH("cribriform",P27,1)),ISNUMBER(SEARCH("diffuse",P27,1)),ISNUMBER(SEARCH("columnar",P27,1)),ISNUMBER(SEARCH("solid",P27,1)),ISNUMBER(SEARCH("tall",O27,1)),ISNUMBER(SEARCH("hobnail",O27,1)),ISNUMBER(SEARCH("cribriform",O27,1)),ISNUMBER(SEARCH("diffuse",O27,1)),ISNUMBER(SEARCH("columnar",O27,1)),ISNUMBER(SEARCH("solid",O27,1)),AND(OR(ISNUMBER(SEARCH("papillary carcinoma",O27,1)),ISNUMBER(SEARCH("papillary microcarcinoma",O27,1))),T27="positive"),,AND(AND(ISNUMBER(K27),K27&gt;=5),N27=""),AND(AND(ISNUMBER(K27),K27&gt;=5),AND(ISNUMBER(N27),N27&gt;=1)),H27="lateral"),"intermediate","low")))</f>
        <v>low</v>
      </c>
      <c r="AH27" s="41" t="str">
        <f t="shared" si="3"/>
        <v>1b</v>
      </c>
      <c r="AI27" s="41" t="str">
        <f t="shared" si="6"/>
        <v>x</v>
      </c>
      <c r="AJ27" s="41">
        <f t="shared" si="7"/>
        <v>0</v>
      </c>
      <c r="AK27" s="41" t="str">
        <f t="shared" si="8"/>
        <v>I</v>
      </c>
      <c r="AL27" s="42" t="s">
        <v>172</v>
      </c>
      <c r="AM27" s="43" t="s">
        <v>198</v>
      </c>
      <c r="AN27" s="43" t="s">
        <v>199</v>
      </c>
      <c r="AO27" s="43">
        <v>0</v>
      </c>
      <c r="AP27" s="43" t="s">
        <v>31</v>
      </c>
      <c r="AQ27" s="10">
        <f>IF(AL27=AG27,1,0)</f>
        <v>1</v>
      </c>
      <c r="AR27" s="25">
        <f>IF(AM27=AH27,1,0)</f>
        <v>1</v>
      </c>
      <c r="AS27" s="25">
        <f t="shared" si="9"/>
        <v>1</v>
      </c>
      <c r="AT27" s="25">
        <f t="shared" si="10"/>
        <v>1</v>
      </c>
      <c r="AU27" s="27">
        <f t="shared" si="10"/>
        <v>1</v>
      </c>
    </row>
    <row r="28" spans="1:47">
      <c r="A28" s="13">
        <v>26</v>
      </c>
      <c r="B28" s="16">
        <f>_xlfn.MAXIFS('Model output'!B:B,'Model output'!Z:Z,'Classification result'!$A28)</f>
        <v>45464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1b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1.1cm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1.1cm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4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7" t="str">
        <f t="shared" si="11"/>
        <v>positive</v>
      </c>
      <c r="AC28" s="17" t="str">
        <f t="shared" si="5"/>
        <v>positive</v>
      </c>
      <c r="AD28" t="str" cm="1">
        <f t="array" ref="AD28">_xlfn.TEXTJOIN("; ",TRUE,_xlfn._xlws.FILTER('Model output'!S:S,'Model output'!Z:Z=A28))</f>
        <v>skeletal muscle; strap muscle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7" t="str">
        <f>IF(OR(ISNUMBER(SEARCH("non-invasive follicular",O28,1)), ISNUMBER(SEARCH("papillary-like nuclear features",P28,1)), ISNUMBER(SEARCH("non-invasive follicular",P28,1)),ISNUMBER(SEARCH("papillary-like nuclear features",P28,1))),"NIFTP", IF(OR(I28="positive",AC28="positive",AND(OR(ISNUMBER(SEARCH("follicular", O28)),ISNUMBER(SEARCH("FTC", O28))),W28="extensive"),AND(G28="positive",ISNUMBER(N28),N28&gt;3),AI28=1),"high",IF(OR(ISNUMBER(SEARCH("positive",Y28,1)),ISNUMBER(SEARCH("tall",P28,1)),ISNUMBER(SEARCH("hobnail",P28,1)),ISNUMBER(SEARCH("cribriform",P28,1)),ISNUMBER(SEARCH("diffuse",P28,1)),ISNUMBER(SEARCH("columnar",P28,1)),ISNUMBER(SEARCH("solid",P28,1)),ISNUMBER(SEARCH("tall",O28,1)),ISNUMBER(SEARCH("hobnail",O28,1)),ISNUMBER(SEARCH("cribriform",O28,1)),ISNUMBER(SEARCH("diffuse",O28,1)),ISNUMBER(SEARCH("columnar",O28,1)),ISNUMBER(SEARCH("solid",O28,1)),AND(OR(ISNUMBER(SEARCH("papillary carcinoma",O28,1)),ISNUMBER(SEARCH("papillary microcarcinoma",O28,1))),T28="positive"),,AND(AND(ISNUMBER(K28),K28&gt;=5),N28=""),AND(AND(ISNUMBER(K28),K28&gt;=5),AND(ISNUMBER(N28),N28&gt;=1)),H28="lateral"),"intermediate","low")))</f>
        <v>high</v>
      </c>
      <c r="AH28" s="41" t="str">
        <f t="shared" si="3"/>
        <v>3b</v>
      </c>
      <c r="AI28" s="41">
        <f t="shared" si="6"/>
        <v>0</v>
      </c>
      <c r="AJ28" s="41">
        <f t="shared" si="7"/>
        <v>0</v>
      </c>
      <c r="AK28" s="41" t="str">
        <f t="shared" si="8"/>
        <v>II</v>
      </c>
      <c r="AL28" s="42" t="s">
        <v>171</v>
      </c>
      <c r="AM28" s="43" t="s">
        <v>201</v>
      </c>
      <c r="AN28" s="43" t="s">
        <v>199</v>
      </c>
      <c r="AO28" s="43">
        <v>0</v>
      </c>
      <c r="AP28" s="43" t="s">
        <v>44</v>
      </c>
      <c r="AQ28" s="10">
        <f>IF(AL28=AG28,1,0)</f>
        <v>1</v>
      </c>
      <c r="AR28" s="25">
        <f>IF(AM28=AH28,1,0)</f>
        <v>1</v>
      </c>
      <c r="AS28" s="25">
        <f t="shared" si="9"/>
        <v>1</v>
      </c>
      <c r="AT28" s="25">
        <f t="shared" si="10"/>
        <v>1</v>
      </c>
      <c r="AU28" s="27">
        <f t="shared" si="10"/>
        <v>1</v>
      </c>
    </row>
    <row r="29" spans="1:47">
      <c r="A29" s="13">
        <v>27</v>
      </c>
      <c r="B29" s="16">
        <f>_xlfn.MAXIFS('Model output'!B:B,'Model output'!Z:Z,'Classification result'!$A29)</f>
        <v>45464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1a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22mm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22mm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4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1"/>
        <v>negative</v>
      </c>
      <c r="AC29" s="17" t="str">
        <f t="shared" si="5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7" t="str">
        <f>IF(OR(ISNUMBER(SEARCH("non-invasive follicular",O29,1)), ISNUMBER(SEARCH("papillary-like nuclear features",P29,1)), ISNUMBER(SEARCH("non-invasive follicular",P29,1)),ISNUMBER(SEARCH("papillary-like nuclear features",P29,1))),"NIFTP", IF(OR(I29="positive",AC29="positive",AND(OR(ISNUMBER(SEARCH("follicular", O29)),ISNUMBER(SEARCH("FTC", O29))),W29="extensive"),AND(G29="positive",ISNUMBER(N29),N29&gt;3),AI29=1),"high",IF(OR(ISNUMBER(SEARCH("positive",Y29,1)),ISNUMBER(SEARCH("tall",P29,1)),ISNUMBER(SEARCH("hobnail",P29,1)),ISNUMBER(SEARCH("cribriform",P29,1)),ISNUMBER(SEARCH("diffuse",P29,1)),ISNUMBER(SEARCH("columnar",P29,1)),ISNUMBER(SEARCH("solid",P29,1)),ISNUMBER(SEARCH("tall",O29,1)),ISNUMBER(SEARCH("hobnail",O29,1)),ISNUMBER(SEARCH("cribriform",O29,1)),ISNUMBER(SEARCH("diffuse",O29,1)),ISNUMBER(SEARCH("columnar",O29,1)),ISNUMBER(SEARCH("solid",O29,1)),AND(OR(ISNUMBER(SEARCH("papillary carcinoma",O29,1)),ISNUMBER(SEARCH("papillary microcarcinoma",O29,1))),T29="positive"),,AND(AND(ISNUMBER(K29),K29&gt;=5),N29=""),AND(AND(ISNUMBER(K29),K29&gt;=5),AND(ISNUMBER(N29),N29&gt;=1)),H29="lateral"),"intermediate","low")))</f>
        <v>low</v>
      </c>
      <c r="AH29" s="41" t="str">
        <f t="shared" si="3"/>
        <v>2</v>
      </c>
      <c r="AI29" s="41" t="str">
        <f t="shared" si="6"/>
        <v>1a</v>
      </c>
      <c r="AJ29" s="41">
        <f t="shared" si="7"/>
        <v>0</v>
      </c>
      <c r="AK29" s="41" t="str">
        <f t="shared" si="8"/>
        <v>I</v>
      </c>
      <c r="AL29" s="42" t="s">
        <v>172</v>
      </c>
      <c r="AM29" s="43" t="s">
        <v>200</v>
      </c>
      <c r="AN29" s="43" t="s">
        <v>200</v>
      </c>
      <c r="AO29" s="43">
        <v>0</v>
      </c>
      <c r="AP29" s="43" t="s">
        <v>31</v>
      </c>
      <c r="AQ29" s="10">
        <f>IF(AL29=AG29,1,0)</f>
        <v>1</v>
      </c>
      <c r="AR29" s="25">
        <f>IF(AM29=AH29,1,0)</f>
        <v>0</v>
      </c>
      <c r="AS29" s="25">
        <f t="shared" si="9"/>
        <v>1</v>
      </c>
      <c r="AT29" s="25">
        <f t="shared" si="10"/>
        <v>1</v>
      </c>
      <c r="AU29" s="27">
        <f t="shared" si="10"/>
        <v>1</v>
      </c>
    </row>
    <row r="30" spans="1:47">
      <c r="A30" s="13">
        <v>28</v>
      </c>
      <c r="B30" s="16">
        <f>_xlfn.MAXIFS('Model output'!B:B,'Model output'!Z:Z,'Classification result'!$A30)</f>
        <v>45464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4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1"/>
        <v>negative</v>
      </c>
      <c r="AC30" s="17" t="str">
        <f t="shared" si="5"/>
        <v>negative</v>
      </c>
      <c r="AD30" t="str" cm="1">
        <f t="array" ref="AD30">_xlfn.TEXTJOIN("; ",TRUE,_xlfn._xlws.FILTER('Model output'!S:S,'Model output'!Z:Z=A30))</f>
        <v/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7" t="str">
        <f>IF(OR(ISNUMBER(SEARCH("non-invasive follicular",O30,1)), ISNUMBER(SEARCH("papillary-like nuclear features",P30,1)), ISNUMBER(SEARCH("non-invasive follicular",P30,1)),ISNUMBER(SEARCH("papillary-like nuclear features",P30,1))),"NIFTP", IF(OR(I30="positive",AC30="positive",AND(OR(ISNUMBER(SEARCH("follicular", O30)),ISNUMBER(SEARCH("FTC", O30))),W30="extensive"),AND(G30="positive",ISNUMBER(N30),N30&gt;3),AI30=1),"high",IF(OR(ISNUMBER(SEARCH("positive",Y30,1)),ISNUMBER(SEARCH("tall",P30,1)),ISNUMBER(SEARCH("hobnail",P30,1)),ISNUMBER(SEARCH("cribriform",P30,1)),ISNUMBER(SEARCH("diffuse",P30,1)),ISNUMBER(SEARCH("columnar",P30,1)),ISNUMBER(SEARCH("solid",P30,1)),ISNUMBER(SEARCH("tall",O30,1)),ISNUMBER(SEARCH("hobnail",O30,1)),ISNUMBER(SEARCH("cribriform",O30,1)),ISNUMBER(SEARCH("diffuse",O30,1)),ISNUMBER(SEARCH("columnar",O30,1)),ISNUMBER(SEARCH("solid",O30,1)),AND(OR(ISNUMBER(SEARCH("papillary carcinoma",O30,1)),ISNUMBER(SEARCH("papillary microcarcinoma",O30,1))),T30="positive"),,AND(AND(ISNUMBER(K30),K30&gt;=5),N30=""),AND(AND(ISNUMBER(K30),K30&gt;=5),AND(ISNUMBER(N30),N30&gt;=1)),H30="lateral"),"intermediate","low")))</f>
        <v>low</v>
      </c>
      <c r="AH30" s="41" t="str">
        <f t="shared" si="3"/>
        <v>1a</v>
      </c>
      <c r="AI30" s="41" t="str">
        <f t="shared" si="6"/>
        <v>1a</v>
      </c>
      <c r="AJ30" s="41">
        <f t="shared" si="7"/>
        <v>0</v>
      </c>
      <c r="AK30" s="41" t="str">
        <f t="shared" si="8"/>
        <v>II</v>
      </c>
      <c r="AL30" s="42" t="s">
        <v>172</v>
      </c>
      <c r="AM30" s="43" t="s">
        <v>200</v>
      </c>
      <c r="AN30" s="43" t="s">
        <v>200</v>
      </c>
      <c r="AO30" s="43">
        <v>0</v>
      </c>
      <c r="AP30" s="43" t="s">
        <v>44</v>
      </c>
      <c r="AQ30" s="10">
        <f>IF(AL30=AG30,1,0)</f>
        <v>1</v>
      </c>
      <c r="AR30" s="25">
        <f>IF(AM30=AH30,1,0)</f>
        <v>1</v>
      </c>
      <c r="AS30" s="25">
        <f t="shared" si="9"/>
        <v>1</v>
      </c>
      <c r="AT30" s="25">
        <f t="shared" si="10"/>
        <v>1</v>
      </c>
      <c r="AU30" s="27">
        <f t="shared" si="10"/>
        <v>1</v>
      </c>
    </row>
    <row r="31" spans="1:47">
      <c r="A31" s="13">
        <v>29</v>
      </c>
      <c r="B31" s="16">
        <f>_xlfn.MAXIFS('Model output'!B:B,'Model output'!Z:Z,'Classification result'!$A31)</f>
        <v>45271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4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1"/>
        <v>negative</v>
      </c>
      <c r="AC31" s="17" t="str">
        <f t="shared" si="5"/>
        <v>negative</v>
      </c>
      <c r="AD31" t="str" cm="1">
        <f t="array" ref="AD31">_xlfn.TEXTJOIN("; ",TRUE,_xlfn._xlws.FILTER('Model output'!S:S,'Model output'!Z:Z=A31))</f>
        <v/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7" t="str">
        <f>IF(OR(ISNUMBER(SEARCH("non-invasive follicular",O31,1)), ISNUMBER(SEARCH("papillary-like nuclear features",P31,1)), ISNUMBER(SEARCH("non-invasive follicular",P31,1)),ISNUMBER(SEARCH("papillary-like nuclear features",P31,1))),"NIFTP", IF(OR(I31="positive",AC31="positive",AND(OR(ISNUMBER(SEARCH("follicular", O31)),ISNUMBER(SEARCH("FTC", O31))),W31="extensive"),AND(G31="positive",ISNUMBER(N31),N31&gt;3),AI31=1),"high",IF(OR(ISNUMBER(SEARCH("positive",Y31,1)),ISNUMBER(SEARCH("tall",P31,1)),ISNUMBER(SEARCH("hobnail",P31,1)),ISNUMBER(SEARCH("cribriform",P31,1)),ISNUMBER(SEARCH("diffuse",P31,1)),ISNUMBER(SEARCH("columnar",P31,1)),ISNUMBER(SEARCH("solid",P31,1)),ISNUMBER(SEARCH("tall",O31,1)),ISNUMBER(SEARCH("hobnail",O31,1)),ISNUMBER(SEARCH("cribriform",O31,1)),ISNUMBER(SEARCH("diffuse",O31,1)),ISNUMBER(SEARCH("columnar",O31,1)),ISNUMBER(SEARCH("solid",O31,1)),AND(OR(ISNUMBER(SEARCH("papillary carcinoma",O31,1)),ISNUMBER(SEARCH("papillary microcarcinoma",O31,1))),T31="positive"),,AND(AND(ISNUMBER(K31),K31&gt;=5),N31=""),AND(AND(ISNUMBER(K31),K31&gt;=5),AND(ISNUMBER(N31),N31&gt;=1)),H31="lateral"),"intermediate","low")))</f>
        <v>low</v>
      </c>
      <c r="AH31" s="41" t="str">
        <f t="shared" si="3"/>
        <v>1a</v>
      </c>
      <c r="AI31" s="41" t="str">
        <f t="shared" si="6"/>
        <v>x</v>
      </c>
      <c r="AJ31" s="41">
        <f t="shared" si="7"/>
        <v>0</v>
      </c>
      <c r="AK31" s="41" t="str">
        <f t="shared" si="8"/>
        <v>I</v>
      </c>
      <c r="AL31" s="42" t="s">
        <v>172</v>
      </c>
      <c r="AM31" s="43" t="s">
        <v>200</v>
      </c>
      <c r="AN31" s="43" t="s">
        <v>199</v>
      </c>
      <c r="AO31" s="43">
        <v>0</v>
      </c>
      <c r="AP31" s="43" t="s">
        <v>31</v>
      </c>
      <c r="AQ31" s="10">
        <f>IF(AL31=AG31,1,0)</f>
        <v>1</v>
      </c>
      <c r="AR31" s="25">
        <f>IF(AM31=AH31,1,0)</f>
        <v>1</v>
      </c>
      <c r="AS31" s="25">
        <f t="shared" si="9"/>
        <v>1</v>
      </c>
      <c r="AT31" s="25">
        <f t="shared" si="10"/>
        <v>1</v>
      </c>
      <c r="AU31" s="27">
        <f t="shared" si="10"/>
        <v>1</v>
      </c>
    </row>
    <row r="32" spans="1:47">
      <c r="A32" s="13">
        <v>30</v>
      </c>
      <c r="B32" s="16">
        <f>_xlfn.MAXIFS('Model output'!B:B,'Model output'!Z:Z,'Classification result'!$A32)</f>
        <v>45287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4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11"/>
        <v>negative</v>
      </c>
      <c r="AC32" s="17" t="str">
        <f t="shared" si="5"/>
        <v>negative</v>
      </c>
      <c r="AD32" t="str" cm="1">
        <f t="array" ref="AD32">_xlfn.TEXTJOIN("; ",TRUE,_xlfn._xlws.FILTER('Model output'!S:S,'Model output'!Z:Z=A32))</f>
        <v/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7" t="str">
        <f>IF(OR(ISNUMBER(SEARCH("non-invasive follicular",O32,1)), ISNUMBER(SEARCH("papillary-like nuclear features",P32,1)), ISNUMBER(SEARCH("non-invasive follicular",P32,1)),ISNUMBER(SEARCH("papillary-like nuclear features",P32,1))),"NIFTP", IF(OR(I32="positive",AC32="positive",AND(OR(ISNUMBER(SEARCH("follicular", O32)),ISNUMBER(SEARCH("FTC", O32))),W32="extensive"),AND(G32="positive",ISNUMBER(N32),N32&gt;3),AI32=1),"high",IF(OR(ISNUMBER(SEARCH("positive",Y32,1)),ISNUMBER(SEARCH("tall",P32,1)),ISNUMBER(SEARCH("hobnail",P32,1)),ISNUMBER(SEARCH("cribriform",P32,1)),ISNUMBER(SEARCH("diffuse",P32,1)),ISNUMBER(SEARCH("columnar",P32,1)),ISNUMBER(SEARCH("solid",P32,1)),ISNUMBER(SEARCH("tall",O32,1)),ISNUMBER(SEARCH("hobnail",O32,1)),ISNUMBER(SEARCH("cribriform",O32,1)),ISNUMBER(SEARCH("diffuse",O32,1)),ISNUMBER(SEARCH("columnar",O32,1)),ISNUMBER(SEARCH("solid",O32,1)),AND(OR(ISNUMBER(SEARCH("papillary carcinoma",O32,1)),ISNUMBER(SEARCH("papillary microcarcinoma",O32,1))),T32="positive"),,AND(AND(ISNUMBER(K32),K32&gt;=5),N32=""),AND(AND(ISNUMBER(K32),K32&gt;=5),AND(ISNUMBER(N32),N32&gt;=1)),H32="lateral"),"intermediate","low")))</f>
        <v>intermediate</v>
      </c>
      <c r="AH32" s="41" t="str">
        <f t="shared" si="3"/>
        <v>1b</v>
      </c>
      <c r="AI32" s="41" t="str">
        <f t="shared" si="6"/>
        <v>1b</v>
      </c>
      <c r="AJ32" s="41">
        <f t="shared" si="7"/>
        <v>0</v>
      </c>
      <c r="AK32" s="41" t="str">
        <f t="shared" si="8"/>
        <v>I</v>
      </c>
      <c r="AL32" s="42" t="s">
        <v>170</v>
      </c>
      <c r="AM32" s="43" t="s">
        <v>198</v>
      </c>
      <c r="AN32" s="43" t="s">
        <v>198</v>
      </c>
      <c r="AO32" s="43">
        <v>0</v>
      </c>
      <c r="AP32" s="43" t="s">
        <v>31</v>
      </c>
      <c r="AQ32" s="10">
        <f>IF(AL32=AG32,1,0)</f>
        <v>1</v>
      </c>
      <c r="AR32" s="25">
        <f>IF(AM32=AH32,1,0)</f>
        <v>1</v>
      </c>
      <c r="AS32" s="25">
        <f t="shared" si="9"/>
        <v>1</v>
      </c>
      <c r="AT32" s="25">
        <f t="shared" si="10"/>
        <v>1</v>
      </c>
      <c r="AU32" s="27">
        <f t="shared" si="10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2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4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1"/>
        <v>negative</v>
      </c>
      <c r="AC33" s="17" t="str">
        <f t="shared" si="5"/>
        <v>positive</v>
      </c>
      <c r="AD33" t="str" cm="1">
        <f t="array" ref="AD33">_xlfn.TEXTJOIN("; ",TRUE,_xlfn._xlws.FILTER('Model output'!S:S,'Model output'!Z:Z=A33))</f>
        <v>overlying strap muscle, invasion to carotid sheath and wrapped around RLN at lower pole. Posteriorly it invaded to muscular layer of esophagus and prevertebral fascia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7" t="str">
        <f>IF(OR(ISNUMBER(SEARCH("non-invasive follicular",O33,1)), ISNUMBER(SEARCH("papillary-like nuclear features",P33,1)), ISNUMBER(SEARCH("non-invasive follicular",P33,1)),ISNUMBER(SEARCH("papillary-like nuclear features",P33,1))),"NIFTP", IF(OR(I33="positive",AC33="positive",AND(OR(ISNUMBER(SEARCH("follicular", O33)),ISNUMBER(SEARCH("FTC", O33))),W33="extensive"),AND(G33="positive",ISNUMBER(N33),N33&gt;3),AI33=1),"high",IF(OR(ISNUMBER(SEARCH("positive",Y33,1)),ISNUMBER(SEARCH("tall",P33,1)),ISNUMBER(SEARCH("hobnail",P33,1)),ISNUMBER(SEARCH("cribriform",P33,1)),ISNUMBER(SEARCH("diffuse",P33,1)),ISNUMBER(SEARCH("columnar",P33,1)),ISNUMBER(SEARCH("solid",P33,1)),ISNUMBER(SEARCH("tall",O33,1)),ISNUMBER(SEARCH("hobnail",O33,1)),ISNUMBER(SEARCH("cribriform",O33,1)),ISNUMBER(SEARCH("diffuse",O33,1)),ISNUMBER(SEARCH("columnar",O33,1)),ISNUMBER(SEARCH("solid",O33,1)),AND(OR(ISNUMBER(SEARCH("papillary carcinoma",O33,1)),ISNUMBER(SEARCH("papillary microcarcinoma",O33,1))),T33="positive"),,AND(AND(ISNUMBER(K33),K33&gt;=5),N33=""),AND(AND(ISNUMBER(K33),K33&gt;=5),AND(ISNUMBER(N33),N33&gt;=1)),H33="lateral"),"intermediate","low")))</f>
        <v>high</v>
      </c>
      <c r="AH33" s="41" t="str">
        <f t="shared" si="3"/>
        <v>4b</v>
      </c>
      <c r="AI33" s="41" t="str">
        <f t="shared" si="6"/>
        <v>1a</v>
      </c>
      <c r="AJ33" s="41">
        <f t="shared" si="7"/>
        <v>0</v>
      </c>
      <c r="AK33" s="41" t="str">
        <f t="shared" si="8"/>
        <v>IVA</v>
      </c>
      <c r="AL33" s="42" t="s">
        <v>171</v>
      </c>
      <c r="AM33" s="43" t="s">
        <v>204</v>
      </c>
      <c r="AN33" s="43" t="s">
        <v>200</v>
      </c>
      <c r="AO33" s="43">
        <v>0</v>
      </c>
      <c r="AP33" s="43" t="s">
        <v>365</v>
      </c>
      <c r="AQ33" s="10">
        <f>IF(AL33=AG33,1,0)</f>
        <v>1</v>
      </c>
      <c r="AR33" s="25">
        <f>IF(AM33=AH33,1,0)</f>
        <v>1</v>
      </c>
      <c r="AS33" s="25">
        <f t="shared" si="9"/>
        <v>1</v>
      </c>
      <c r="AT33" s="25">
        <f t="shared" si="10"/>
        <v>1</v>
      </c>
      <c r="AU33" s="27">
        <f t="shared" si="10"/>
        <v>1</v>
      </c>
    </row>
    <row r="34" spans="1:48">
      <c r="A34" s="13">
        <v>32</v>
      </c>
      <c r="B34" s="16">
        <f>_xlfn.MAXIFS('Model output'!B:B,'Model output'!Z:Z,'Classification result'!$A34)</f>
        <v>44630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>carcinoma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vessels)Extensive</v>
      </c>
      <c r="W34" t="str">
        <f t="shared" si="4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1"/>
        <v>positive</v>
      </c>
      <c r="AC34" s="17" t="str">
        <f t="shared" si="5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7" t="str">
        <f>IF(OR(ISNUMBER(SEARCH("non-invasive follicular",O34,1)), ISNUMBER(SEARCH("papillary-like nuclear features",P34,1)), ISNUMBER(SEARCH("non-invasive follicular",P34,1)),ISNUMBER(SEARCH("papillary-like nuclear features",P34,1))),"NIFTP", IF(OR(I34="positive",AC34="positive",AND(OR(ISNUMBER(SEARCH("follicular", O34)),ISNUMBER(SEARCH("FTC", O34))),W34="extensive"),AND(G34="positive",ISNUMBER(N34),N34&gt;3),AI34=1),"high",IF(OR(ISNUMBER(SEARCH("positive",Y34,1)),ISNUMBER(SEARCH("tall",P34,1)),ISNUMBER(SEARCH("hobnail",P34,1)),ISNUMBER(SEARCH("cribriform",P34,1)),ISNUMBER(SEARCH("diffuse",P34,1)),ISNUMBER(SEARCH("columnar",P34,1)),ISNUMBER(SEARCH("solid",P34,1)),ISNUMBER(SEARCH("tall",O34,1)),ISNUMBER(SEARCH("hobnail",O34,1)),ISNUMBER(SEARCH("cribriform",O34,1)),ISNUMBER(SEARCH("diffuse",O34,1)),ISNUMBER(SEARCH("columnar",O34,1)),ISNUMBER(SEARCH("solid",O34,1)),AND(OR(ISNUMBER(SEARCH("papillary carcinoma",O34,1)),ISNUMBER(SEARCH("papillary microcarcinoma",O34,1))),T34="positive"),,AND(AND(ISNUMBER(K34),K34&gt;=5),N34=""),AND(AND(ISNUMBER(K34),K34&gt;=5),AND(ISNUMBER(N34),N34&gt;=1)),H34="lateral"),"intermediate","low")))</f>
        <v>high</v>
      </c>
      <c r="AH34" s="41" t="str">
        <f t="shared" si="3"/>
        <v>1a</v>
      </c>
      <c r="AI34" s="41" t="str">
        <f t="shared" si="6"/>
        <v>1a</v>
      </c>
      <c r="AJ34" s="41">
        <f t="shared" si="7"/>
        <v>0</v>
      </c>
      <c r="AK34" s="41" t="str">
        <f t="shared" si="8"/>
        <v>II</v>
      </c>
      <c r="AL34" s="42" t="s">
        <v>171</v>
      </c>
      <c r="AM34" s="43" t="s">
        <v>202</v>
      </c>
      <c r="AN34" s="43">
        <v>0</v>
      </c>
      <c r="AO34" s="43">
        <v>0</v>
      </c>
      <c r="AP34" s="43" t="s">
        <v>44</v>
      </c>
      <c r="AQ34" s="10">
        <f>IF(AL34=AG34,1,0)</f>
        <v>1</v>
      </c>
      <c r="AR34" s="25">
        <f>IF(AM34=AH34,1,0)</f>
        <v>0</v>
      </c>
      <c r="AS34" s="25">
        <f t="shared" si="9"/>
        <v>0</v>
      </c>
      <c r="AT34" s="25">
        <f t="shared" si="10"/>
        <v>1</v>
      </c>
      <c r="AU34" s="27">
        <f t="shared" si="10"/>
        <v>1</v>
      </c>
    </row>
    <row r="35" spans="1:48">
      <c r="A35" s="13">
        <v>33</v>
      </c>
      <c r="B35" s="16">
        <f>_xlfn.MAXIFS('Model output'!B:B,'Model output'!Z:Z,'Classification result'!$A35)</f>
        <v>44518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4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11"/>
        <v>negative</v>
      </c>
      <c r="AC35" s="17" t="str">
        <f t="shared" si="5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7" t="str">
        <f>IF(OR(ISNUMBER(SEARCH("non-invasive follicular",O35,1)), ISNUMBER(SEARCH("papillary-like nuclear features",P35,1)), ISNUMBER(SEARCH("non-invasive follicular",P35,1)),ISNUMBER(SEARCH("papillary-like nuclear features",P35,1))),"NIFTP", IF(OR(I35="positive",AC35="positive",AND(OR(ISNUMBER(SEARCH("follicular", O35)),ISNUMBER(SEARCH("FTC", O35))),W35="extensive"),AND(G35="positive",ISNUMBER(N35),N35&gt;3),AI35=1),"high",IF(OR(ISNUMBER(SEARCH("positive",Y35,1)),ISNUMBER(SEARCH("tall",P35,1)),ISNUMBER(SEARCH("hobnail",P35,1)),ISNUMBER(SEARCH("cribriform",P35,1)),ISNUMBER(SEARCH("diffuse",P35,1)),ISNUMBER(SEARCH("columnar",P35,1)),ISNUMBER(SEARCH("solid",P35,1)),ISNUMBER(SEARCH("tall",O35,1)),ISNUMBER(SEARCH("hobnail",O35,1)),ISNUMBER(SEARCH("cribriform",O35,1)),ISNUMBER(SEARCH("diffuse",O35,1)),ISNUMBER(SEARCH("columnar",O35,1)),ISNUMBER(SEARCH("solid",O35,1)),AND(OR(ISNUMBER(SEARCH("papillary carcinoma",O35,1)),ISNUMBER(SEARCH("papillary microcarcinoma",O35,1))),T35="positive"),,AND(AND(ISNUMBER(K35),K35&gt;=5),N35=""),AND(AND(ISNUMBER(K35),K35&gt;=5),AND(ISNUMBER(N35),N35&gt;=1)),H35="lateral"),"intermediate","low")))</f>
        <v>high</v>
      </c>
      <c r="AH35" s="41" t="str">
        <f t="shared" si="3"/>
        <v>1a</v>
      </c>
      <c r="AI35" s="41" t="str">
        <f t="shared" si="6"/>
        <v>x</v>
      </c>
      <c r="AJ35" s="41">
        <f t="shared" si="7"/>
        <v>1</v>
      </c>
      <c r="AK35" s="41" t="str">
        <f t="shared" si="8"/>
        <v>II</v>
      </c>
      <c r="AL35" s="42" t="s">
        <v>171</v>
      </c>
      <c r="AM35" s="43" t="s">
        <v>200</v>
      </c>
      <c r="AN35" s="43" t="s">
        <v>199</v>
      </c>
      <c r="AO35" s="43">
        <v>1</v>
      </c>
      <c r="AP35" s="43" t="s">
        <v>44</v>
      </c>
      <c r="AQ35" s="10">
        <f>IF(AL35=AG35,1,0)</f>
        <v>1</v>
      </c>
      <c r="AR35" s="25">
        <f>IF(AM35=AH35,1,0)</f>
        <v>1</v>
      </c>
      <c r="AS35" s="25">
        <f t="shared" si="9"/>
        <v>1</v>
      </c>
      <c r="AT35" s="25">
        <f t="shared" si="10"/>
        <v>1</v>
      </c>
      <c r="AU35" s="27">
        <f t="shared" si="10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= or &gt;4 vessels</v>
      </c>
      <c r="W36" t="str">
        <f t="shared" si="4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7" t="str">
        <f t="shared" si="11"/>
        <v>positive</v>
      </c>
      <c r="AC36" s="17" t="str">
        <f t="shared" si="5"/>
        <v>positive</v>
      </c>
      <c r="AD36" t="str" cm="1">
        <f t="array" ref="AD36">_xlfn.TEXTJOIN("; ",TRUE,_xlfn._xlws.FILTER('Model output'!S:S,'Model output'!Z:Z=A36))</f>
        <v>subcutaneous soft tissues, larynx, trachea, esophagus, or recurrent laryngeal nerve; larynx and part of carotid sheath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7" t="str">
        <f>IF(OR(ISNUMBER(SEARCH("non-invasive follicular",O36,1)), ISNUMBER(SEARCH("papillary-like nuclear features",P36,1)), ISNUMBER(SEARCH("non-invasive follicular",P36,1)),ISNUMBER(SEARCH("papillary-like nuclear features",P36,1))),"NIFTP", IF(OR(I36="positive",AC36="positive",AND(OR(ISNUMBER(SEARCH("follicular", O36)),ISNUMBER(SEARCH("FTC", O36))),W36="extensive"),AND(G36="positive",ISNUMBER(N36),N36&gt;3),AI36=1),"high",IF(OR(ISNUMBER(SEARCH("positive",Y36,1)),ISNUMBER(SEARCH("tall",P36,1)),ISNUMBER(SEARCH("hobnail",P36,1)),ISNUMBER(SEARCH("cribriform",P36,1)),ISNUMBER(SEARCH("diffuse",P36,1)),ISNUMBER(SEARCH("columnar",P36,1)),ISNUMBER(SEARCH("solid",P36,1)),ISNUMBER(SEARCH("tall",O36,1)),ISNUMBER(SEARCH("hobnail",O36,1)),ISNUMBER(SEARCH("cribriform",O36,1)),ISNUMBER(SEARCH("diffuse",O36,1)),ISNUMBER(SEARCH("columnar",O36,1)),ISNUMBER(SEARCH("solid",O36,1)),AND(OR(ISNUMBER(SEARCH("papillary carcinoma",O36,1)),ISNUMBER(SEARCH("papillary microcarcinoma",O36,1))),T36="positive"),,AND(AND(ISNUMBER(K36),K36&gt;=5),N36=""),AND(AND(ISNUMBER(K36),K36&gt;=5),AND(ISNUMBER(N36),N36&gt;=1)),H36="lateral"),"intermediate","low")))</f>
        <v>high</v>
      </c>
      <c r="AH36" s="41" t="str">
        <f t="shared" si="3"/>
        <v>4a</v>
      </c>
      <c r="AI36" s="41">
        <f t="shared" si="6"/>
        <v>0</v>
      </c>
      <c r="AJ36" s="41">
        <f t="shared" si="7"/>
        <v>0</v>
      </c>
      <c r="AK36" s="41" t="str">
        <f t="shared" si="8"/>
        <v>III</v>
      </c>
      <c r="AL36" s="42" t="s">
        <v>171</v>
      </c>
      <c r="AM36" s="43" t="s">
        <v>203</v>
      </c>
      <c r="AN36" s="43">
        <v>0</v>
      </c>
      <c r="AO36" s="43">
        <v>0</v>
      </c>
      <c r="AP36" s="43" t="s">
        <v>68</v>
      </c>
      <c r="AQ36" s="10">
        <f>IF(AL36=AG36,1,0)</f>
        <v>1</v>
      </c>
      <c r="AR36" s="25">
        <f>IF(AM36=AH36,1,0)</f>
        <v>1</v>
      </c>
      <c r="AS36" s="25">
        <f t="shared" si="9"/>
        <v>1</v>
      </c>
      <c r="AT36" s="25">
        <f t="shared" si="10"/>
        <v>1</v>
      </c>
      <c r="AU36" s="27">
        <f t="shared" si="10"/>
        <v>1</v>
      </c>
    </row>
    <row r="37" spans="1:48">
      <c r="A37" s="28">
        <v>35</v>
      </c>
      <c r="B37" s="29">
        <f>_xlfn.MAXIFS('Model output'!B:B,'Model output'!Z:Z,'Classification result'!$A37)</f>
        <v>44419</v>
      </c>
      <c r="C37" s="30">
        <f>_xlfn.MAXIFS('Model output'!C:C,'Model output'!Z:Z,'Classification result'!$A37)</f>
        <v>62</v>
      </c>
      <c r="D37" s="30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3</v>
      </c>
      <c r="E37" s="30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30" cm="1">
        <f t="array" ref="F37">IF(AND(SUBSTITUTE(_xlfn.TEXTJOIN("/", TRUE, _xlfn._xlws.FILTER('Model output'!F:F, 'Model output'!Z:Z=A37)),"M", "")="", I37="negative"),0,IF(I37="positive",1,0))</f>
        <v>1</v>
      </c>
      <c r="G37" s="31" t="str">
        <f t="shared" si="0"/>
        <v>positive</v>
      </c>
      <c r="H37" s="31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0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0">
        <f>IF(IFERROR(INDEX('Model output'!I:I, MATCH(A37, 'Model output'!Z:Z, 0)), "") &lt; K37, "", IFERROR(INDEX('Model output'!I:I, MATCH(A37, 'Model output'!Z:Z, 0)), ""))</f>
        <v>35</v>
      </c>
      <c r="K37" s="30">
        <f>IFERROR(INDEX('Model output'!J:J, MATCH(A37, 'Model output'!Z:Z, 0)), "")</f>
        <v>7</v>
      </c>
      <c r="L37" s="32" t="str" cm="1">
        <f t="array" ref="L37">ReplaceTo(ReplaceAnd(SUBSTITUTE(SUBSTITUTE(_xlfn.TEXTJOIN("; ", TRUE, _xlfn._xlws.FILTER('Model output'!K:K, 'Model output'!Z:Z=A37)), " ", ""), ",", ";")))</f>
        <v>5.5cm</v>
      </c>
      <c r="M37" s="31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5.5cm</v>
      </c>
      <c r="N37" s="31" cm="1">
        <f t="array" ref="N37">IF(MaxSize((SplitDimensions(M37)))=0, "", MaxSize((SplitDimensions(M37))))</f>
        <v>5.5</v>
      </c>
      <c r="O37" s="31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1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1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1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1" cm="1">
        <f t="array" ref="S37">IF(MaxSize((SplitDimensions(R37)))=0, "", MaxSize((SplitDimensions(R37))))</f>
        <v>2.5</v>
      </c>
      <c r="T37" s="30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0"/>
      <c r="V37" s="31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1" t="str">
        <f t="shared" si="4"/>
        <v>minimal</v>
      </c>
      <c r="X37" s="31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0" t="str">
        <f t="shared" si="11"/>
        <v>positive</v>
      </c>
      <c r="Z37" s="30"/>
      <c r="AA37" s="30"/>
      <c r="AB37" s="30"/>
      <c r="AC37" s="30" t="str">
        <f t="shared" si="5"/>
        <v>negative</v>
      </c>
      <c r="AD37" s="31" t="str" cm="1">
        <f t="array" ref="AD37">_xlfn.TEXTJOIN("; ",TRUE,_xlfn._xlws.FILTER('Model output'!S:S,'Model output'!Z:Z=A37))</f>
        <v>perithyroidal adipose tissue</v>
      </c>
      <c r="AE37" s="30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0"/>
      <c r="AG37" s="48" t="str">
        <f>IF(OR(ISNUMBER(SEARCH("non-invasive follicular",O37,1)), ISNUMBER(SEARCH("papillary-like nuclear features",P37,1)), ISNUMBER(SEARCH("non-invasive follicular",P37,1)),ISNUMBER(SEARCH("papillary-like nuclear features",P37,1))),"NIFTP", IF(OR(I37="positive",AC37="positive",AND(OR(ISNUMBER(SEARCH("follicular", O37)),ISNUMBER(SEARCH("FTC", O37))),W37="extensive"),AND(G37="positive",ISNUMBER(N37),N37&gt;3),AI37=1),"high",IF(OR(ISNUMBER(SEARCH("positive",Y37,1)),ISNUMBER(SEARCH("tall",P37,1)),ISNUMBER(SEARCH("hobnail",P37,1)),ISNUMBER(SEARCH("cribriform",P37,1)),ISNUMBER(SEARCH("diffuse",P37,1)),ISNUMBER(SEARCH("columnar",P37,1)),ISNUMBER(SEARCH("solid",P37,1)),ISNUMBER(SEARCH("tall",O37,1)),ISNUMBER(SEARCH("hobnail",O37,1)),ISNUMBER(SEARCH("cribriform",O37,1)),ISNUMBER(SEARCH("diffuse",O37,1)),ISNUMBER(SEARCH("columnar",O37,1)),ISNUMBER(SEARCH("solid",O37,1)),AND(OR(ISNUMBER(SEARCH("papillary carcinoma",O37,1)),ISNUMBER(SEARCH("papillary microcarcinoma",O37,1))),T37="positive"),,AND(AND(ISNUMBER(K37),K37&gt;=5),N37=""),AND(AND(ISNUMBER(K37),K37&gt;=5),AND(ISNUMBER(N37),N37&gt;=1)),H37="lateral"),"intermediate","low")))</f>
        <v>high</v>
      </c>
      <c r="AH37" s="44" t="str">
        <f t="shared" ref="AH37" si="12">IF(OR(ISNUMBER(SEARCH("non-invasive follicular",O37)),ISNUMBER(SEARCH("papillary-like nuclear features",O37)),ISNUMBER(SEARCH("non-invasive follicular",P37)),ISNUMBER(SEARCH("papillary-like nuclear features",P37))),"NIFTP", IF(OR(D37="4b",AND(AC37="positive",OR(ISNUMBER(SEARCH("prevertebral",AD37)),ISNUMBER(SEARCH("fascia",AD37)),ISNUMBER(SEARCH("carotid artery",AD37)),ISNUMBER(SEARCH("mediastinal",AD37))))),"4b",IF(OR(D37="4a",AND(AC37="positive",OR(ISNUMBER(SEARCH("soft tissue",AD37)),ISNUMBER(SEARCH("larynx",AD37)),ISNUMBER(SEARCH("trachea",AD37)),ISNUMBER(SEARCH("esophagus",AD37)),ISNUMBER(SEARCH("recurrent laryngeal nerve",AD37)),ISNUMBER(SEARCH("RLN",AD37))))),"4a", IF(OR(D37="3b", AC37="positive",ISNUMBER(SEARCH("strap",AD37)),ISNUMBER(SEARCH("sternothyroid",AD37)),ISNUMBER(SEARCH("sternohyoid",AD37)),ISNUMBER(SEARCH("thyrohyoid",AD37)),ISNUMBER(SEARCH("omohyoid",AD37))),"3b",IF(OR(D37="3a", AND(S37&lt;&gt;"",S37&gt;4)),"3a",IF(AND(S37&lt;&gt;"", S37&lt;=4,S37&gt;2),"2",IF(AND(S37&lt;&gt;"",S37&lt;=2,S37&gt;1),"1b",IF(AND(S37&lt;&gt;"",S37&lt;=1),"1a","1a"))))))))</f>
        <v>2</v>
      </c>
      <c r="AI37" s="44" t="str">
        <f t="shared" si="6"/>
        <v>1b</v>
      </c>
      <c r="AJ37" s="44">
        <f t="shared" si="7"/>
        <v>1</v>
      </c>
      <c r="AK37" s="50" t="str">
        <f t="shared" si="8"/>
        <v>IVB</v>
      </c>
      <c r="AL37" s="45" t="s">
        <v>171</v>
      </c>
      <c r="AM37" s="46" t="s">
        <v>364</v>
      </c>
      <c r="AN37" s="46" t="s">
        <v>198</v>
      </c>
      <c r="AO37" s="46">
        <v>1</v>
      </c>
      <c r="AP37" s="46" t="s">
        <v>366</v>
      </c>
      <c r="AQ37" s="33">
        <f>IF(AL37=AG37,1,0)</f>
        <v>1</v>
      </c>
      <c r="AR37" s="34">
        <f>IF(AM37=AH37,1,0)</f>
        <v>1</v>
      </c>
      <c r="AS37" s="34">
        <f t="shared" si="9"/>
        <v>1</v>
      </c>
      <c r="AT37" s="34">
        <f t="shared" si="10"/>
        <v>1</v>
      </c>
      <c r="AU37" s="35">
        <f t="shared" si="10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3:AM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E6" sqref="E6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223</v>
      </c>
      <c r="B1" t="s">
        <v>224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237</v>
      </c>
      <c r="P1" t="s">
        <v>238</v>
      </c>
      <c r="Q1" t="s">
        <v>239</v>
      </c>
      <c r="R1" t="s">
        <v>240</v>
      </c>
      <c r="S1" t="s">
        <v>252</v>
      </c>
      <c r="T1" t="s">
        <v>241</v>
      </c>
      <c r="U1" t="s">
        <v>242</v>
      </c>
      <c r="V1" t="s">
        <v>243</v>
      </c>
      <c r="W1" t="s">
        <v>244</v>
      </c>
      <c r="X1" t="s">
        <v>245</v>
      </c>
      <c r="Z1" s="14" t="s">
        <v>251</v>
      </c>
    </row>
    <row r="2" spans="1:26">
      <c r="A2" t="s">
        <v>30</v>
      </c>
      <c r="B2" s="22">
        <v>45320</v>
      </c>
      <c r="C2">
        <v>67</v>
      </c>
      <c r="D2" t="s">
        <v>158</v>
      </c>
      <c r="I2">
        <v>1</v>
      </c>
      <c r="J2">
        <v>0</v>
      </c>
      <c r="L2" t="s">
        <v>32</v>
      </c>
      <c r="M2" t="s">
        <v>33</v>
      </c>
      <c r="N2" t="s">
        <v>207</v>
      </c>
      <c r="O2">
        <v>1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35</v>
      </c>
      <c r="C3">
        <v>67</v>
      </c>
      <c r="G3" t="s">
        <v>287</v>
      </c>
      <c r="I3">
        <v>1</v>
      </c>
      <c r="J3">
        <v>1</v>
      </c>
      <c r="L3" t="s">
        <v>36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37</v>
      </c>
      <c r="B4" s="22">
        <v>45348</v>
      </c>
      <c r="C4">
        <v>39</v>
      </c>
      <c r="D4" t="s">
        <v>301</v>
      </c>
      <c r="L4" t="s">
        <v>32</v>
      </c>
      <c r="M4" t="s">
        <v>208</v>
      </c>
      <c r="N4" t="s">
        <v>38</v>
      </c>
      <c r="O4">
        <v>1</v>
      </c>
      <c r="V4" t="s">
        <v>255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39</v>
      </c>
      <c r="C5">
        <v>39</v>
      </c>
      <c r="L5" t="s">
        <v>215</v>
      </c>
      <c r="S5" t="s">
        <v>302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40</v>
      </c>
      <c r="B6" s="22">
        <v>45373</v>
      </c>
      <c r="D6" t="s">
        <v>157</v>
      </c>
      <c r="E6" t="s">
        <v>165</v>
      </c>
      <c r="I6">
        <v>5</v>
      </c>
      <c r="J6">
        <v>1</v>
      </c>
      <c r="K6" t="s">
        <v>41</v>
      </c>
      <c r="L6" t="s">
        <v>32</v>
      </c>
      <c r="M6" t="s">
        <v>33</v>
      </c>
      <c r="N6" t="s">
        <v>271</v>
      </c>
      <c r="O6">
        <v>2</v>
      </c>
      <c r="S6" t="s">
        <v>303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42</v>
      </c>
      <c r="C7">
        <v>52</v>
      </c>
      <c r="I7">
        <v>0</v>
      </c>
      <c r="J7">
        <v>0</v>
      </c>
      <c r="L7" t="s">
        <v>177</v>
      </c>
      <c r="N7" t="s">
        <v>261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43</v>
      </c>
      <c r="B8" s="22">
        <v>45412</v>
      </c>
      <c r="D8" t="s">
        <v>156</v>
      </c>
      <c r="E8" t="s">
        <v>165</v>
      </c>
      <c r="G8" t="s">
        <v>304</v>
      </c>
      <c r="I8">
        <v>6</v>
      </c>
      <c r="J8">
        <v>3</v>
      </c>
      <c r="K8" t="s">
        <v>45</v>
      </c>
      <c r="L8" t="s">
        <v>305</v>
      </c>
      <c r="M8" t="s">
        <v>208</v>
      </c>
      <c r="N8" t="s">
        <v>46</v>
      </c>
      <c r="O8">
        <v>1</v>
      </c>
      <c r="S8" t="s">
        <v>257</v>
      </c>
      <c r="V8" t="s">
        <v>306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47</v>
      </c>
      <c r="C9">
        <v>61</v>
      </c>
      <c r="G9" t="s">
        <v>285</v>
      </c>
      <c r="I9">
        <v>1</v>
      </c>
      <c r="J9">
        <v>1</v>
      </c>
      <c r="L9" t="s">
        <v>36</v>
      </c>
      <c r="N9" t="s">
        <v>286</v>
      </c>
      <c r="O9">
        <v>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48</v>
      </c>
      <c r="B10" s="22">
        <v>45411</v>
      </c>
      <c r="D10" t="s">
        <v>161</v>
      </c>
      <c r="E10" t="s">
        <v>165</v>
      </c>
      <c r="I10">
        <v>5</v>
      </c>
      <c r="J10">
        <v>1</v>
      </c>
      <c r="K10" t="s">
        <v>49</v>
      </c>
      <c r="L10" t="s">
        <v>32</v>
      </c>
      <c r="M10" t="s">
        <v>209</v>
      </c>
      <c r="N10" t="s">
        <v>210</v>
      </c>
      <c r="O10">
        <v>2</v>
      </c>
      <c r="P10" t="s">
        <v>297</v>
      </c>
      <c r="S10" t="s">
        <v>262</v>
      </c>
      <c r="V10" t="s">
        <v>307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50</v>
      </c>
      <c r="B11" s="22">
        <v>45411</v>
      </c>
      <c r="C11">
        <v>34</v>
      </c>
      <c r="E11" t="s">
        <v>165</v>
      </c>
      <c r="G11" t="s">
        <v>287</v>
      </c>
      <c r="I11">
        <v>2</v>
      </c>
      <c r="J11">
        <v>1</v>
      </c>
      <c r="K11" t="s">
        <v>49</v>
      </c>
      <c r="L11" t="s">
        <v>215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51</v>
      </c>
      <c r="C12">
        <v>34</v>
      </c>
      <c r="G12" t="s">
        <v>287</v>
      </c>
      <c r="I12">
        <v>1</v>
      </c>
      <c r="J12">
        <v>1</v>
      </c>
      <c r="L12" t="s">
        <v>36</v>
      </c>
      <c r="N12" t="s">
        <v>179</v>
      </c>
      <c r="O12">
        <v>1</v>
      </c>
      <c r="S12" t="s">
        <v>308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52</v>
      </c>
      <c r="B13" s="22">
        <v>45387</v>
      </c>
      <c r="C13">
        <v>66</v>
      </c>
      <c r="L13" t="s">
        <v>250</v>
      </c>
      <c r="M13" t="s">
        <v>212</v>
      </c>
      <c r="N13" t="s">
        <v>180</v>
      </c>
      <c r="P13" t="s">
        <v>309</v>
      </c>
      <c r="R13" t="s">
        <v>310</v>
      </c>
      <c r="V13" t="s">
        <v>311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53</v>
      </c>
      <c r="C14">
        <v>66</v>
      </c>
      <c r="I14">
        <v>0</v>
      </c>
      <c r="J14">
        <v>0</v>
      </c>
      <c r="L14" t="s">
        <v>177</v>
      </c>
      <c r="N14" t="s">
        <v>181</v>
      </c>
      <c r="O14">
        <v>1</v>
      </c>
      <c r="S14" t="s">
        <v>312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54</v>
      </c>
      <c r="B15" s="22">
        <v>45429</v>
      </c>
      <c r="C15">
        <v>67</v>
      </c>
      <c r="D15" t="s">
        <v>157</v>
      </c>
      <c r="I15">
        <v>1</v>
      </c>
      <c r="J15">
        <v>0</v>
      </c>
      <c r="L15" t="s">
        <v>305</v>
      </c>
      <c r="M15" t="s">
        <v>313</v>
      </c>
      <c r="N15" t="s">
        <v>263</v>
      </c>
      <c r="O15">
        <v>2</v>
      </c>
      <c r="V15" t="s">
        <v>314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55</v>
      </c>
      <c r="C16">
        <v>67</v>
      </c>
      <c r="N16" t="s">
        <v>264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56</v>
      </c>
      <c r="B17" s="22">
        <v>45443</v>
      </c>
      <c r="C17">
        <v>78</v>
      </c>
      <c r="D17" t="s">
        <v>158</v>
      </c>
      <c r="L17" t="s">
        <v>32</v>
      </c>
      <c r="M17" t="s">
        <v>208</v>
      </c>
      <c r="N17" t="s">
        <v>57</v>
      </c>
      <c r="P17" t="s">
        <v>174</v>
      </c>
      <c r="V17" t="s">
        <v>315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58</v>
      </c>
      <c r="C18">
        <v>78</v>
      </c>
      <c r="N18" t="s">
        <v>98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59</v>
      </c>
      <c r="B19" s="22">
        <v>45331</v>
      </c>
      <c r="D19" t="s">
        <v>159</v>
      </c>
      <c r="E19" t="s">
        <v>316</v>
      </c>
      <c r="G19" t="s">
        <v>317</v>
      </c>
      <c r="I19">
        <v>8</v>
      </c>
      <c r="J19">
        <v>4</v>
      </c>
      <c r="L19" t="s">
        <v>32</v>
      </c>
      <c r="M19" t="s">
        <v>208</v>
      </c>
      <c r="N19" t="s">
        <v>265</v>
      </c>
      <c r="O19">
        <v>3</v>
      </c>
      <c r="R19" t="s">
        <v>34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60</v>
      </c>
      <c r="C20">
        <v>55</v>
      </c>
      <c r="G20" t="s">
        <v>298</v>
      </c>
      <c r="I20">
        <v>6</v>
      </c>
      <c r="J20">
        <v>1</v>
      </c>
      <c r="K20" t="s">
        <v>109</v>
      </c>
      <c r="L20" t="s">
        <v>36</v>
      </c>
      <c r="N20" t="s">
        <v>266</v>
      </c>
      <c r="O20">
        <v>1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61</v>
      </c>
      <c r="B21" s="22">
        <v>45436</v>
      </c>
      <c r="C21">
        <v>24</v>
      </c>
      <c r="D21" t="s">
        <v>158</v>
      </c>
      <c r="E21" t="s">
        <v>165</v>
      </c>
      <c r="G21" t="s">
        <v>288</v>
      </c>
      <c r="I21">
        <v>1</v>
      </c>
      <c r="J21">
        <v>1</v>
      </c>
      <c r="L21" t="s">
        <v>32</v>
      </c>
      <c r="M21" t="s">
        <v>208</v>
      </c>
      <c r="N21" t="s">
        <v>267</v>
      </c>
      <c r="O21">
        <v>1</v>
      </c>
      <c r="V21" t="s">
        <v>300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62</v>
      </c>
      <c r="C22">
        <v>24</v>
      </c>
      <c r="L22" t="s">
        <v>36</v>
      </c>
      <c r="N22" t="s">
        <v>175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63</v>
      </c>
      <c r="B23" s="22">
        <v>45443</v>
      </c>
      <c r="C23">
        <v>70</v>
      </c>
      <c r="D23" t="s">
        <v>154</v>
      </c>
      <c r="L23" t="s">
        <v>318</v>
      </c>
      <c r="N23" t="s">
        <v>182</v>
      </c>
      <c r="O23">
        <v>2</v>
      </c>
      <c r="P23" t="s">
        <v>174</v>
      </c>
      <c r="R23" t="s">
        <v>268</v>
      </c>
      <c r="V23" t="s">
        <v>256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64</v>
      </c>
      <c r="B24" s="23">
        <v>45443</v>
      </c>
      <c r="C24">
        <v>70</v>
      </c>
      <c r="L24" t="s">
        <v>177</v>
      </c>
      <c r="N24" t="s">
        <v>319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65</v>
      </c>
      <c r="B25" s="22">
        <v>45415</v>
      </c>
      <c r="C25">
        <v>67</v>
      </c>
      <c r="D25" t="s">
        <v>154</v>
      </c>
      <c r="E25" t="s">
        <v>253</v>
      </c>
      <c r="F25" t="s">
        <v>254</v>
      </c>
      <c r="L25" t="s">
        <v>318</v>
      </c>
      <c r="N25" t="s">
        <v>182</v>
      </c>
      <c r="O25">
        <v>2</v>
      </c>
      <c r="P25" t="s">
        <v>247</v>
      </c>
      <c r="R25" t="s">
        <v>297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I26">
        <v>0</v>
      </c>
      <c r="J26">
        <v>0</v>
      </c>
      <c r="L26" t="s">
        <v>250</v>
      </c>
      <c r="N26" t="s">
        <v>183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67</v>
      </c>
      <c r="B27" s="22">
        <v>45420</v>
      </c>
      <c r="C27">
        <v>66</v>
      </c>
      <c r="D27" t="s">
        <v>160</v>
      </c>
      <c r="E27" t="s">
        <v>166</v>
      </c>
      <c r="G27" t="s">
        <v>320</v>
      </c>
      <c r="I27">
        <v>19</v>
      </c>
      <c r="J27">
        <v>2</v>
      </c>
      <c r="K27" t="s">
        <v>299</v>
      </c>
      <c r="L27" t="s">
        <v>32</v>
      </c>
      <c r="M27" t="s">
        <v>208</v>
      </c>
      <c r="N27" t="s">
        <v>213</v>
      </c>
      <c r="O27">
        <v>1</v>
      </c>
      <c r="S27" t="s">
        <v>321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G28" t="s">
        <v>322</v>
      </c>
      <c r="I28">
        <v>1</v>
      </c>
      <c r="J28">
        <v>1</v>
      </c>
      <c r="O28">
        <v>1</v>
      </c>
      <c r="S28" t="s">
        <v>323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70</v>
      </c>
      <c r="B29" s="22">
        <v>45394</v>
      </c>
      <c r="C29">
        <v>51</v>
      </c>
      <c r="D29" t="s">
        <v>161</v>
      </c>
      <c r="I29">
        <v>0</v>
      </c>
      <c r="J29">
        <v>0</v>
      </c>
      <c r="L29" t="s">
        <v>32</v>
      </c>
      <c r="M29" t="s">
        <v>208</v>
      </c>
      <c r="N29" t="s">
        <v>71</v>
      </c>
      <c r="O29">
        <v>1</v>
      </c>
      <c r="P29" t="s">
        <v>247</v>
      </c>
      <c r="R29" t="b">
        <v>1</v>
      </c>
      <c r="S29" t="s">
        <v>211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G30" t="s">
        <v>287</v>
      </c>
      <c r="L30" t="s">
        <v>36</v>
      </c>
      <c r="S30" t="s">
        <v>324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73</v>
      </c>
      <c r="B31" s="22">
        <v>45441</v>
      </c>
      <c r="C31">
        <v>64</v>
      </c>
      <c r="I31">
        <v>0</v>
      </c>
      <c r="J31">
        <v>0</v>
      </c>
      <c r="L31" t="s">
        <v>250</v>
      </c>
      <c r="M31" t="s">
        <v>289</v>
      </c>
      <c r="N31" t="s">
        <v>269</v>
      </c>
      <c r="O31">
        <v>1</v>
      </c>
      <c r="P31" t="s">
        <v>325</v>
      </c>
      <c r="R31" t="s">
        <v>325</v>
      </c>
      <c r="T31" t="s">
        <v>326</v>
      </c>
      <c r="V31" t="s">
        <v>327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L32" t="s">
        <v>36</v>
      </c>
      <c r="S32" t="s">
        <v>328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76</v>
      </c>
      <c r="B33" s="22">
        <v>45331</v>
      </c>
      <c r="D33" t="s">
        <v>159</v>
      </c>
      <c r="E33" t="s">
        <v>163</v>
      </c>
      <c r="I33">
        <v>6</v>
      </c>
      <c r="J33">
        <v>0</v>
      </c>
      <c r="L33" t="s">
        <v>32</v>
      </c>
      <c r="M33" t="s">
        <v>208</v>
      </c>
      <c r="N33" t="s">
        <v>329</v>
      </c>
      <c r="O33">
        <v>2</v>
      </c>
      <c r="P33" t="s">
        <v>248</v>
      </c>
      <c r="R33" t="b">
        <v>1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E34" t="s">
        <v>164</v>
      </c>
      <c r="G34" t="s">
        <v>285</v>
      </c>
      <c r="I34">
        <v>1</v>
      </c>
      <c r="J34">
        <v>1</v>
      </c>
      <c r="L34" t="s">
        <v>36</v>
      </c>
      <c r="N34" t="s">
        <v>270</v>
      </c>
      <c r="O34">
        <v>1</v>
      </c>
      <c r="S34" t="s">
        <v>330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78</v>
      </c>
      <c r="B35" s="22">
        <v>45457</v>
      </c>
      <c r="C35">
        <v>49</v>
      </c>
      <c r="D35" t="s">
        <v>158</v>
      </c>
      <c r="E35" t="s">
        <v>166</v>
      </c>
      <c r="G35" t="s">
        <v>331</v>
      </c>
      <c r="I35">
        <v>21</v>
      </c>
      <c r="J35">
        <v>5</v>
      </c>
      <c r="K35" t="s">
        <v>271</v>
      </c>
      <c r="L35" t="s">
        <v>32</v>
      </c>
      <c r="M35" t="s">
        <v>208</v>
      </c>
      <c r="N35" t="s">
        <v>79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G36" t="s">
        <v>332</v>
      </c>
      <c r="I36">
        <v>2</v>
      </c>
      <c r="J36">
        <v>1</v>
      </c>
      <c r="N36" t="s">
        <v>185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81</v>
      </c>
      <c r="B37" s="22">
        <v>45355</v>
      </c>
      <c r="C37">
        <v>55</v>
      </c>
      <c r="D37" t="s">
        <v>155</v>
      </c>
      <c r="E37" t="s">
        <v>165</v>
      </c>
      <c r="G37" t="s">
        <v>333</v>
      </c>
      <c r="I37">
        <v>4</v>
      </c>
      <c r="J37">
        <v>4</v>
      </c>
      <c r="L37" t="s">
        <v>32</v>
      </c>
      <c r="M37" t="s">
        <v>208</v>
      </c>
      <c r="N37" t="s">
        <v>38</v>
      </c>
      <c r="O37">
        <v>1</v>
      </c>
      <c r="S37" t="s">
        <v>211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I38">
        <v>0</v>
      </c>
      <c r="J38">
        <v>0</v>
      </c>
      <c r="L38" t="s">
        <v>36</v>
      </c>
      <c r="N38" t="s">
        <v>272</v>
      </c>
      <c r="O38">
        <v>1</v>
      </c>
      <c r="S38" t="s">
        <v>216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83</v>
      </c>
      <c r="B39" s="22">
        <v>45457</v>
      </c>
      <c r="C39">
        <v>23</v>
      </c>
      <c r="I39">
        <v>1</v>
      </c>
      <c r="J39">
        <v>0</v>
      </c>
      <c r="L39" t="s">
        <v>305</v>
      </c>
      <c r="M39" t="s">
        <v>208</v>
      </c>
      <c r="N39" t="s">
        <v>186</v>
      </c>
      <c r="O39">
        <v>1</v>
      </c>
      <c r="P39" t="s">
        <v>174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N40" t="s">
        <v>258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85</v>
      </c>
      <c r="B41" s="22">
        <v>45373</v>
      </c>
      <c r="C41">
        <v>61</v>
      </c>
      <c r="D41" t="s">
        <v>158</v>
      </c>
      <c r="E41" t="s">
        <v>166</v>
      </c>
      <c r="G41" t="s">
        <v>334</v>
      </c>
      <c r="I41">
        <v>4</v>
      </c>
      <c r="J41">
        <v>3</v>
      </c>
      <c r="L41" t="s">
        <v>32</v>
      </c>
      <c r="M41" t="s">
        <v>335</v>
      </c>
      <c r="N41" t="s">
        <v>336</v>
      </c>
      <c r="O41">
        <v>2</v>
      </c>
      <c r="P41" t="s">
        <v>337</v>
      </c>
      <c r="S41" t="s">
        <v>338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G42" t="s">
        <v>287</v>
      </c>
      <c r="I42" t="s">
        <v>339</v>
      </c>
      <c r="J42" t="s">
        <v>339</v>
      </c>
      <c r="L42" t="s">
        <v>259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87</v>
      </c>
      <c r="B43" s="22">
        <v>45296</v>
      </c>
      <c r="C43">
        <v>51</v>
      </c>
      <c r="D43" t="s">
        <v>159</v>
      </c>
      <c r="E43" t="s">
        <v>164</v>
      </c>
      <c r="G43" t="s">
        <v>340</v>
      </c>
      <c r="I43">
        <v>7</v>
      </c>
      <c r="J43">
        <v>4</v>
      </c>
      <c r="L43" t="s">
        <v>32</v>
      </c>
      <c r="M43" t="s">
        <v>208</v>
      </c>
      <c r="N43" t="s">
        <v>88</v>
      </c>
      <c r="O43">
        <v>1</v>
      </c>
      <c r="P43" t="s">
        <v>34</v>
      </c>
      <c r="R43" t="s">
        <v>34</v>
      </c>
      <c r="S43" t="s">
        <v>341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G44" t="s">
        <v>246</v>
      </c>
      <c r="I44">
        <v>1</v>
      </c>
      <c r="J44">
        <v>1</v>
      </c>
      <c r="N44" t="s">
        <v>187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90</v>
      </c>
      <c r="B45" s="22">
        <v>45299</v>
      </c>
      <c r="C45">
        <v>50</v>
      </c>
      <c r="D45" t="s">
        <v>157</v>
      </c>
      <c r="E45" t="s">
        <v>163</v>
      </c>
      <c r="I45">
        <v>1</v>
      </c>
      <c r="J45">
        <v>0</v>
      </c>
      <c r="L45" t="s">
        <v>32</v>
      </c>
      <c r="M45" t="s">
        <v>208</v>
      </c>
      <c r="N45" t="s">
        <v>188</v>
      </c>
      <c r="O45">
        <v>1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156</v>
      </c>
      <c r="E46" t="s">
        <v>163</v>
      </c>
      <c r="F46" t="s">
        <v>167</v>
      </c>
      <c r="L46" t="s">
        <v>36</v>
      </c>
      <c r="N46" t="s">
        <v>189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92</v>
      </c>
      <c r="B47" s="22">
        <v>45296</v>
      </c>
      <c r="C47">
        <v>61</v>
      </c>
      <c r="I47">
        <v>1</v>
      </c>
      <c r="J47">
        <v>0</v>
      </c>
      <c r="L47" t="s">
        <v>32</v>
      </c>
      <c r="M47" t="s">
        <v>33</v>
      </c>
      <c r="N47" t="s">
        <v>273</v>
      </c>
      <c r="O47">
        <v>2</v>
      </c>
      <c r="P47" t="s">
        <v>214</v>
      </c>
      <c r="S47" t="s">
        <v>342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I48">
        <v>0</v>
      </c>
      <c r="J48">
        <v>0</v>
      </c>
      <c r="L48" t="s">
        <v>250</v>
      </c>
      <c r="N48" t="s">
        <v>190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94</v>
      </c>
      <c r="B49" s="22">
        <v>45301</v>
      </c>
      <c r="C49">
        <v>55</v>
      </c>
      <c r="D49" t="s">
        <v>155</v>
      </c>
      <c r="E49" t="s">
        <v>164</v>
      </c>
      <c r="G49" t="s">
        <v>343</v>
      </c>
      <c r="I49">
        <v>15</v>
      </c>
      <c r="J49">
        <v>9</v>
      </c>
      <c r="K49" t="s">
        <v>274</v>
      </c>
      <c r="L49" t="s">
        <v>32</v>
      </c>
      <c r="M49" t="s">
        <v>344</v>
      </c>
      <c r="N49" t="s">
        <v>275</v>
      </c>
      <c r="P49" t="s">
        <v>191</v>
      </c>
      <c r="R49" t="s">
        <v>249</v>
      </c>
      <c r="S49" t="s">
        <v>345</v>
      </c>
      <c r="V49" t="s">
        <v>192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G50" t="s">
        <v>346</v>
      </c>
      <c r="I50" t="s">
        <v>221</v>
      </c>
      <c r="J50" t="s">
        <v>221</v>
      </c>
      <c r="N50" t="s">
        <v>169</v>
      </c>
      <c r="O50">
        <v>2</v>
      </c>
      <c r="S50" t="s">
        <v>302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96</v>
      </c>
      <c r="B51" s="22">
        <v>45310</v>
      </c>
      <c r="C51">
        <v>42</v>
      </c>
      <c r="D51" t="s">
        <v>158</v>
      </c>
      <c r="L51" t="s">
        <v>32</v>
      </c>
      <c r="M51" t="s">
        <v>344</v>
      </c>
      <c r="N51" t="s">
        <v>79</v>
      </c>
      <c r="O51">
        <v>1</v>
      </c>
      <c r="P51" t="s">
        <v>191</v>
      </c>
      <c r="R51" t="s">
        <v>191</v>
      </c>
      <c r="S51" t="s">
        <v>191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L52" t="s">
        <v>215</v>
      </c>
      <c r="N52" t="s">
        <v>98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99</v>
      </c>
      <c r="B53" s="22">
        <v>45464</v>
      </c>
      <c r="C53">
        <v>73</v>
      </c>
      <c r="D53" t="s">
        <v>158</v>
      </c>
      <c r="E53" t="s">
        <v>253</v>
      </c>
      <c r="F53" t="s">
        <v>167</v>
      </c>
      <c r="I53">
        <v>1</v>
      </c>
      <c r="J53">
        <v>0</v>
      </c>
      <c r="L53" t="s">
        <v>32</v>
      </c>
      <c r="M53" t="s">
        <v>208</v>
      </c>
      <c r="N53" t="s">
        <v>290</v>
      </c>
      <c r="O53">
        <v>1</v>
      </c>
      <c r="P53" t="s">
        <v>174</v>
      </c>
      <c r="S53" t="s">
        <v>341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G54" t="s">
        <v>246</v>
      </c>
      <c r="N54" t="s">
        <v>98</v>
      </c>
      <c r="O54">
        <v>1</v>
      </c>
      <c r="S54" t="s">
        <v>168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101</v>
      </c>
      <c r="B55" s="22">
        <v>45464</v>
      </c>
      <c r="C55">
        <v>39</v>
      </c>
      <c r="D55" t="s">
        <v>157</v>
      </c>
      <c r="E55" t="s">
        <v>165</v>
      </c>
      <c r="G55" t="s">
        <v>277</v>
      </c>
      <c r="I55">
        <v>2</v>
      </c>
      <c r="J55">
        <v>1</v>
      </c>
      <c r="K55" t="s">
        <v>217</v>
      </c>
      <c r="L55" t="s">
        <v>32</v>
      </c>
      <c r="N55" t="s">
        <v>291</v>
      </c>
      <c r="O55">
        <v>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I56">
        <v>0</v>
      </c>
      <c r="J56">
        <v>0</v>
      </c>
      <c r="L56" t="s">
        <v>276</v>
      </c>
      <c r="N56" t="s">
        <v>181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103</v>
      </c>
      <c r="B57" s="22">
        <v>45464</v>
      </c>
      <c r="C57">
        <v>57</v>
      </c>
      <c r="D57" t="s">
        <v>157</v>
      </c>
      <c r="E57" t="s">
        <v>165</v>
      </c>
      <c r="G57" t="s">
        <v>277</v>
      </c>
      <c r="I57">
        <v>5</v>
      </c>
      <c r="J57">
        <v>1</v>
      </c>
      <c r="K57" t="s">
        <v>104</v>
      </c>
      <c r="L57" t="s">
        <v>32</v>
      </c>
      <c r="N57" t="s">
        <v>278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N58" t="s">
        <v>187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106</v>
      </c>
      <c r="B59" s="22">
        <v>45271</v>
      </c>
      <c r="C59">
        <v>63</v>
      </c>
      <c r="D59" t="s">
        <v>157</v>
      </c>
      <c r="L59" t="s">
        <v>32</v>
      </c>
      <c r="M59" t="s">
        <v>208</v>
      </c>
      <c r="N59" t="s">
        <v>218</v>
      </c>
      <c r="P59" t="s">
        <v>174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I60">
        <v>0</v>
      </c>
      <c r="J60">
        <v>0</v>
      </c>
      <c r="L60" t="s">
        <v>36</v>
      </c>
      <c r="N60" t="s">
        <v>187</v>
      </c>
      <c r="O60">
        <v>1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108</v>
      </c>
      <c r="B61" s="22">
        <v>45287</v>
      </c>
      <c r="C61">
        <v>39</v>
      </c>
      <c r="D61" t="s">
        <v>158</v>
      </c>
      <c r="E61" t="s">
        <v>164</v>
      </c>
      <c r="G61" t="s">
        <v>292</v>
      </c>
      <c r="I61">
        <v>24</v>
      </c>
      <c r="J61">
        <v>3</v>
      </c>
      <c r="K61" t="s">
        <v>193</v>
      </c>
      <c r="L61" t="s">
        <v>305</v>
      </c>
      <c r="M61" t="s">
        <v>313</v>
      </c>
      <c r="N61" t="s">
        <v>279</v>
      </c>
      <c r="O61">
        <v>2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110</v>
      </c>
      <c r="C62">
        <v>39</v>
      </c>
      <c r="E62" t="s">
        <v>164</v>
      </c>
      <c r="G62" t="s">
        <v>194</v>
      </c>
      <c r="I62">
        <v>7</v>
      </c>
      <c r="J62">
        <v>1</v>
      </c>
      <c r="O62">
        <v>1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111</v>
      </c>
      <c r="B63" s="22">
        <v>43304</v>
      </c>
      <c r="D63" t="s">
        <v>159</v>
      </c>
      <c r="E63" t="s">
        <v>165</v>
      </c>
      <c r="G63" t="s">
        <v>293</v>
      </c>
      <c r="I63">
        <v>1</v>
      </c>
      <c r="J63">
        <v>1</v>
      </c>
      <c r="K63" t="s">
        <v>153</v>
      </c>
      <c r="L63" t="s">
        <v>32</v>
      </c>
      <c r="M63" t="s">
        <v>33</v>
      </c>
      <c r="N63" t="s">
        <v>280</v>
      </c>
      <c r="O63">
        <v>2</v>
      </c>
      <c r="P63" t="s">
        <v>337</v>
      </c>
      <c r="R63" t="s">
        <v>347</v>
      </c>
      <c r="V63" t="s">
        <v>348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112</v>
      </c>
      <c r="B64" s="23">
        <v>43304</v>
      </c>
      <c r="C64">
        <v>60</v>
      </c>
      <c r="G64" t="s">
        <v>246</v>
      </c>
      <c r="N64" t="s">
        <v>184</v>
      </c>
      <c r="P64" t="s">
        <v>349</v>
      </c>
      <c r="S64" t="s">
        <v>350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113</v>
      </c>
      <c r="B65" s="22">
        <v>44630</v>
      </c>
      <c r="D65" t="s">
        <v>162</v>
      </c>
      <c r="E65" t="s">
        <v>164</v>
      </c>
      <c r="G65" t="s">
        <v>178</v>
      </c>
      <c r="I65">
        <v>3</v>
      </c>
      <c r="J65">
        <v>1</v>
      </c>
      <c r="L65" t="s">
        <v>114</v>
      </c>
      <c r="M65" t="s">
        <v>351</v>
      </c>
      <c r="N65" t="s">
        <v>281</v>
      </c>
      <c r="P65" t="s">
        <v>219</v>
      </c>
      <c r="Q65" t="s">
        <v>352</v>
      </c>
      <c r="R65" t="s">
        <v>294</v>
      </c>
      <c r="S65" t="s">
        <v>282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115</v>
      </c>
      <c r="B66" s="23">
        <v>44629</v>
      </c>
      <c r="C66">
        <v>72</v>
      </c>
      <c r="G66" t="s">
        <v>178</v>
      </c>
      <c r="L66" t="s">
        <v>250</v>
      </c>
      <c r="N66" t="s">
        <v>283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116</v>
      </c>
      <c r="B67" s="22">
        <v>44518</v>
      </c>
      <c r="D67" t="s">
        <v>157</v>
      </c>
      <c r="L67" t="s">
        <v>32</v>
      </c>
      <c r="M67" t="s">
        <v>295</v>
      </c>
      <c r="N67" t="s">
        <v>49</v>
      </c>
      <c r="O67">
        <v>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117</v>
      </c>
      <c r="B68" s="23">
        <v>44517</v>
      </c>
      <c r="C68">
        <v>41</v>
      </c>
      <c r="H68" t="s">
        <v>353</v>
      </c>
      <c r="L68" t="s">
        <v>354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118</v>
      </c>
      <c r="B69" s="22">
        <v>44825</v>
      </c>
      <c r="D69" t="s">
        <v>155</v>
      </c>
      <c r="E69" t="s">
        <v>163</v>
      </c>
      <c r="I69">
        <v>1</v>
      </c>
      <c r="J69">
        <v>0</v>
      </c>
      <c r="L69" t="s">
        <v>305</v>
      </c>
      <c r="M69" t="s">
        <v>220</v>
      </c>
      <c r="N69" t="s">
        <v>195</v>
      </c>
      <c r="O69">
        <v>3</v>
      </c>
      <c r="P69" t="s">
        <v>352</v>
      </c>
      <c r="Q69" t="s">
        <v>355</v>
      </c>
      <c r="S69" t="s">
        <v>356</v>
      </c>
      <c r="V69" t="s">
        <v>357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119</v>
      </c>
      <c r="B70" s="23">
        <v>44825</v>
      </c>
      <c r="C70">
        <v>63</v>
      </c>
      <c r="L70" t="s">
        <v>32</v>
      </c>
      <c r="N70" t="s">
        <v>196</v>
      </c>
      <c r="S70" t="s">
        <v>296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120</v>
      </c>
      <c r="B71" s="22">
        <v>44419</v>
      </c>
      <c r="D71" t="s">
        <v>160</v>
      </c>
      <c r="E71" t="s">
        <v>166</v>
      </c>
      <c r="G71" t="s">
        <v>358</v>
      </c>
      <c r="I71">
        <v>35</v>
      </c>
      <c r="J71">
        <v>7</v>
      </c>
      <c r="K71" t="s">
        <v>359</v>
      </c>
      <c r="L71" t="s">
        <v>215</v>
      </c>
      <c r="M71" t="s">
        <v>220</v>
      </c>
      <c r="N71" t="s">
        <v>284</v>
      </c>
      <c r="P71" t="s">
        <v>176</v>
      </c>
      <c r="R71" t="s">
        <v>34</v>
      </c>
      <c r="S71" t="s">
        <v>360</v>
      </c>
      <c r="V71" t="s">
        <v>361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121</v>
      </c>
      <c r="B72" s="23">
        <v>44419</v>
      </c>
      <c r="C72">
        <v>62</v>
      </c>
      <c r="G72" t="s">
        <v>362</v>
      </c>
      <c r="H72" t="s">
        <v>197</v>
      </c>
      <c r="L72" t="s">
        <v>363</v>
      </c>
      <c r="N72" t="s">
        <v>184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122</v>
      </c>
      <c r="B1" s="2" t="s">
        <v>123</v>
      </c>
    </row>
    <row r="2" spans="1:2">
      <c r="A2" s="1" t="s">
        <v>2</v>
      </c>
      <c r="B2" s="1" t="s">
        <v>124</v>
      </c>
    </row>
    <row r="3" spans="1:2">
      <c r="A3" s="1" t="s">
        <v>3</v>
      </c>
      <c r="B3" s="1" t="s">
        <v>125</v>
      </c>
    </row>
    <row r="4" spans="1:2">
      <c r="A4" s="1" t="s">
        <v>4</v>
      </c>
      <c r="B4" s="1" t="s">
        <v>126</v>
      </c>
    </row>
    <row r="5" spans="1:2">
      <c r="A5" s="1" t="s">
        <v>5</v>
      </c>
      <c r="B5" s="1" t="s">
        <v>127</v>
      </c>
    </row>
    <row r="6" spans="1:2">
      <c r="A6" s="1" t="s">
        <v>6</v>
      </c>
      <c r="B6" s="1" t="s">
        <v>128</v>
      </c>
    </row>
    <row r="7" spans="1:2">
      <c r="A7" s="1" t="s">
        <v>7</v>
      </c>
      <c r="B7" s="1" t="s">
        <v>129</v>
      </c>
    </row>
    <row r="8" spans="1:2">
      <c r="A8" s="1" t="s">
        <v>10</v>
      </c>
      <c r="B8" s="1" t="s">
        <v>130</v>
      </c>
    </row>
    <row r="9" spans="1:2">
      <c r="A9" s="1" t="s">
        <v>12</v>
      </c>
      <c r="B9" s="1" t="s">
        <v>131</v>
      </c>
    </row>
    <row r="10" spans="1:2">
      <c r="A10" s="1" t="s">
        <v>13</v>
      </c>
      <c r="B10" s="1" t="s">
        <v>132</v>
      </c>
    </row>
    <row r="11" spans="1:2">
      <c r="A11" s="1" t="s">
        <v>14</v>
      </c>
      <c r="B11" s="1" t="s">
        <v>133</v>
      </c>
    </row>
    <row r="12" spans="1:2">
      <c r="A12" s="1" t="s">
        <v>15</v>
      </c>
      <c r="B12" s="1" t="s">
        <v>134</v>
      </c>
    </row>
    <row r="13" spans="1:2">
      <c r="A13" s="1" t="s">
        <v>16</v>
      </c>
      <c r="B13" s="1" t="s">
        <v>135</v>
      </c>
    </row>
    <row r="14" spans="1:2">
      <c r="A14" s="1" t="s">
        <v>18</v>
      </c>
      <c r="B14" s="1" t="s">
        <v>136</v>
      </c>
    </row>
    <row r="15" spans="1:2">
      <c r="A15" s="1" t="s">
        <v>19</v>
      </c>
      <c r="B15" s="1" t="s">
        <v>137</v>
      </c>
    </row>
    <row r="16" spans="1:2">
      <c r="A16" s="1" t="s">
        <v>20</v>
      </c>
      <c r="B16" s="1" t="s">
        <v>138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139</v>
      </c>
    </row>
    <row r="19" spans="1:2">
      <c r="A19" s="1" t="s">
        <v>23</v>
      </c>
      <c r="B19" s="1" t="s">
        <v>140</v>
      </c>
    </row>
    <row r="20" spans="1:2">
      <c r="A20" s="1" t="s">
        <v>24</v>
      </c>
      <c r="B20" s="1" t="s">
        <v>141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142</v>
      </c>
    </row>
    <row r="23" spans="1:2">
      <c r="A23" s="1" t="s">
        <v>27</v>
      </c>
      <c r="B23" s="1" t="s">
        <v>143</v>
      </c>
    </row>
    <row r="24" spans="1:2">
      <c r="A24" s="1" t="s">
        <v>28</v>
      </c>
      <c r="B24" s="1" t="s">
        <v>144</v>
      </c>
    </row>
    <row r="25" spans="1:2">
      <c r="A25" s="2" t="s">
        <v>29</v>
      </c>
      <c r="B25" s="2" t="s">
        <v>145</v>
      </c>
    </row>
    <row r="27" spans="1:2">
      <c r="A27" s="1" t="s">
        <v>146</v>
      </c>
    </row>
    <row r="28" spans="1:2">
      <c r="A28" s="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2025-06-26T13:42:52Z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