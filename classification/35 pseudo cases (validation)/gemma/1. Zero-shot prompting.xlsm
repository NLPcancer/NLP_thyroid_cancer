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C599B1E0-3511-4FE4-88EE-C5F3FC2ED63A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 a="1"/>
  <c r="AE3" i="16" s="1"/>
  <c r="T4" i="16" a="1"/>
  <c r="T4" i="16" s="1"/>
  <c r="W4" i="16" s="1"/>
  <c r="T5" i="16" a="1"/>
  <c r="T5" i="16" s="1"/>
  <c r="W5" i="16" s="1"/>
  <c r="T6" i="16" a="1"/>
  <c r="T6" i="16" s="1"/>
  <c r="W6" i="16" s="1"/>
  <c r="T7" i="16" a="1"/>
  <c r="T7" i="16" s="1"/>
  <c r="T8" i="16" a="1"/>
  <c r="T8" i="16" s="1"/>
  <c r="W8" i="16" s="1"/>
  <c r="T9" i="16" a="1"/>
  <c r="T9" i="16" s="1"/>
  <c r="W9" i="16" s="1"/>
  <c r="T10" i="16" a="1"/>
  <c r="T10" i="16" s="1"/>
  <c r="W10" i="16" s="1"/>
  <c r="T11" i="16" a="1"/>
  <c r="T11" i="16" s="1"/>
  <c r="W11" i="16" s="1"/>
  <c r="T12" i="16" a="1"/>
  <c r="T12" i="16" s="1"/>
  <c r="W12" i="16" s="1"/>
  <c r="T13" i="16" a="1"/>
  <c r="T13" i="16" s="1"/>
  <c r="W13" i="16" s="1"/>
  <c r="T14" i="16" a="1"/>
  <c r="T14" i="16" s="1"/>
  <c r="T15" i="16" a="1"/>
  <c r="T15" i="16" s="1"/>
  <c r="W15" i="16" s="1"/>
  <c r="T16" i="16" a="1"/>
  <c r="T16" i="16" s="1"/>
  <c r="T17" i="16" a="1"/>
  <c r="T17" i="16" s="1"/>
  <c r="W17" i="16" s="1"/>
  <c r="T18" i="16" a="1"/>
  <c r="T18" i="16" s="1"/>
  <c r="T19" i="16" a="1"/>
  <c r="T19" i="16" s="1"/>
  <c r="W19" i="16" s="1"/>
  <c r="T20" i="16" a="1"/>
  <c r="T20" i="16" s="1"/>
  <c r="W20" i="16" s="1"/>
  <c r="T21" i="16" a="1"/>
  <c r="T21" i="16" s="1"/>
  <c r="W21" i="16" s="1"/>
  <c r="T22" i="16" a="1"/>
  <c r="T22" i="16" s="1"/>
  <c r="T23" i="16" a="1"/>
  <c r="T23" i="16" s="1"/>
  <c r="T24" i="16" a="1"/>
  <c r="T24" i="16" s="1"/>
  <c r="W24" i="16" s="1"/>
  <c r="T25" i="16" a="1"/>
  <c r="T25" i="16" s="1"/>
  <c r="W25" i="16" s="1"/>
  <c r="T26" i="16" a="1"/>
  <c r="T26" i="16" s="1"/>
  <c r="T27" i="16" a="1"/>
  <c r="T27" i="16" s="1"/>
  <c r="W27" i="16" s="1"/>
  <c r="T28" i="16" a="1"/>
  <c r="T28" i="16" s="1"/>
  <c r="W28" i="16" s="1"/>
  <c r="T29" i="16" a="1"/>
  <c r="T29" i="16" s="1"/>
  <c r="W29" i="16" s="1"/>
  <c r="T30" i="16" a="1"/>
  <c r="T30" i="16" s="1"/>
  <c r="W30" i="16" s="1"/>
  <c r="T31" i="16" a="1"/>
  <c r="T31" i="16" s="1"/>
  <c r="W31" i="16" s="1"/>
  <c r="T32" i="16" a="1"/>
  <c r="T32" i="16" s="1"/>
  <c r="W32" i="16" s="1"/>
  <c r="T33" i="16" a="1"/>
  <c r="T33" i="16" s="1"/>
  <c r="T34" i="16" a="1"/>
  <c r="T34" i="16" s="1"/>
  <c r="T35" i="16" a="1"/>
  <c r="T35" i="16" s="1"/>
  <c r="W35" i="16" s="1"/>
  <c r="T36" i="16" a="1"/>
  <c r="T36" i="16" s="1"/>
  <c r="T37" i="16" a="1"/>
  <c r="T37" i="16" s="1"/>
  <c r="T3" i="16" a="1"/>
  <c r="T3" i="16" s="1"/>
  <c r="W3" i="16" s="1"/>
  <c r="D7" i="16" l="1" a="1"/>
  <c r="D7" i="16" s="1"/>
  <c r="D8" i="16" a="1"/>
  <c r="D8" i="16" s="1"/>
  <c r="D9" i="16" a="1"/>
  <c r="D9" i="16" s="1"/>
  <c r="D10" i="16" a="1"/>
  <c r="D10" i="16" s="1"/>
  <c r="D11" i="16" a="1"/>
  <c r="D11" i="16" s="1"/>
  <c r="D12" i="16" a="1"/>
  <c r="D12" i="16" s="1"/>
  <c r="D13" i="16" a="1"/>
  <c r="D13" i="16" s="1"/>
  <c r="D14" i="16" a="1"/>
  <c r="D14" i="16" s="1"/>
  <c r="D15" i="16" a="1"/>
  <c r="D15" i="16" s="1"/>
  <c r="D16" i="16" a="1"/>
  <c r="D16" i="16" s="1"/>
  <c r="D17" i="16" a="1"/>
  <c r="D17" i="16" s="1"/>
  <c r="D18" i="16" a="1"/>
  <c r="D18" i="16" s="1"/>
  <c r="D19" i="16" a="1"/>
  <c r="D19" i="16" s="1"/>
  <c r="D20" i="16" a="1"/>
  <c r="D20" i="16" s="1"/>
  <c r="D21" i="16" a="1"/>
  <c r="D21" i="16" s="1"/>
  <c r="D22" i="16" a="1"/>
  <c r="D22" i="16" s="1"/>
  <c r="D23" i="16" a="1"/>
  <c r="D23" i="16" s="1"/>
  <c r="D24" i="16" a="1"/>
  <c r="D24" i="16" s="1"/>
  <c r="D25" i="16" a="1"/>
  <c r="D25" i="16" s="1"/>
  <c r="D26" i="16" a="1"/>
  <c r="D26" i="16" s="1"/>
  <c r="D27" i="16" a="1"/>
  <c r="D27" i="16" s="1"/>
  <c r="D28" i="16" a="1"/>
  <c r="D28" i="16" s="1"/>
  <c r="D29" i="16" a="1"/>
  <c r="D29" i="16" s="1"/>
  <c r="D30" i="16" a="1"/>
  <c r="D30" i="16" s="1"/>
  <c r="D31" i="16" a="1"/>
  <c r="D31" i="16" s="1"/>
  <c r="D32" i="16" a="1"/>
  <c r="D32" i="16" s="1"/>
  <c r="D33" i="16" a="1"/>
  <c r="D33" i="16" s="1"/>
  <c r="D34" i="16" a="1"/>
  <c r="D34" i="16" s="1"/>
  <c r="D35" i="16" a="1"/>
  <c r="D35" i="16" s="1"/>
  <c r="D36" i="16" a="1"/>
  <c r="D36" i="16" s="1"/>
  <c r="D37" i="16" a="1"/>
  <c r="D37" i="16" s="1"/>
  <c r="D3" i="16" a="1"/>
  <c r="D3" i="16" s="1"/>
  <c r="D4" i="16" a="1"/>
  <c r="D4" i="16" s="1"/>
  <c r="D5" i="16" a="1"/>
  <c r="D5" i="16" s="1"/>
  <c r="D6" i="16" a="1"/>
  <c r="D6" i="16" s="1"/>
  <c r="I4" i="16" l="1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" i="16" a="1"/>
  <c r="I3" i="16" s="1"/>
  <c r="AD4" i="16" a="1"/>
  <c r="AD4" i="16" s="1"/>
  <c r="AD5" i="16" a="1"/>
  <c r="AD5" i="16" s="1"/>
  <c r="AD6" i="16" a="1"/>
  <c r="AD6" i="16" s="1"/>
  <c r="AD7" i="16" a="1"/>
  <c r="AD7" i="16" s="1"/>
  <c r="AD8" i="16" a="1"/>
  <c r="AD8" i="16"/>
  <c r="AD9" i="16" a="1"/>
  <c r="AD9" i="16" s="1"/>
  <c r="AD10" i="16" a="1"/>
  <c r="AD10" i="16" s="1"/>
  <c r="AD11" i="16" a="1"/>
  <c r="AD11" i="16" s="1"/>
  <c r="AD12" i="16" a="1"/>
  <c r="AD12" i="16" s="1"/>
  <c r="AD13" i="16" a="1"/>
  <c r="AD13" i="16" s="1"/>
  <c r="AD14" i="16" a="1"/>
  <c r="AD14" i="16" s="1"/>
  <c r="AD15" i="16" a="1"/>
  <c r="AD15" i="16" s="1"/>
  <c r="AD16" i="16" a="1"/>
  <c r="AD16" i="16" s="1"/>
  <c r="AD17" i="16" a="1"/>
  <c r="AD1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24" i="16" a="1"/>
  <c r="AD24" i="16" s="1"/>
  <c r="AD25" i="16" a="1"/>
  <c r="AD25" i="16" s="1"/>
  <c r="AD26" i="16" a="1"/>
  <c r="AD26" i="16" s="1"/>
  <c r="AD27" i="16" a="1"/>
  <c r="AD27" i="16" s="1"/>
  <c r="AD28" i="16" a="1"/>
  <c r="AD28" i="16" s="1"/>
  <c r="AD29" i="16" a="1"/>
  <c r="AD29" i="16" s="1"/>
  <c r="AD30" i="16" a="1"/>
  <c r="AD30" i="16" s="1"/>
  <c r="AD31" i="16" a="1"/>
  <c r="AD31" i="16" s="1"/>
  <c r="AD32" i="16" a="1"/>
  <c r="AD32" i="16" s="1"/>
  <c r="AD33" i="16" a="1"/>
  <c r="AD33" i="16" s="1"/>
  <c r="AD34" i="16" a="1"/>
  <c r="AD34" i="16" s="1"/>
  <c r="AD35" i="16" a="1"/>
  <c r="AD35" i="16" s="1"/>
  <c r="AD36" i="16" a="1"/>
  <c r="AD36" i="16" s="1"/>
  <c r="AD37" i="16" a="1"/>
  <c r="AD37" i="16" s="1"/>
  <c r="AD3" i="16" a="1"/>
  <c r="AD3" i="16" s="1"/>
  <c r="AE4" i="16" a="1"/>
  <c r="AE4" i="16" s="1"/>
  <c r="AE5" i="16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C27" i="16" l="1"/>
  <c r="Y27" i="16"/>
  <c r="AC7" i="16"/>
  <c r="Y7" i="16"/>
  <c r="Y25" i="16"/>
  <c r="AC25" i="16"/>
  <c r="AC6" i="16"/>
  <c r="Y6" i="16"/>
  <c r="Y5" i="16"/>
  <c r="AC5" i="16"/>
  <c r="AC23" i="16"/>
  <c r="Y23" i="16"/>
  <c r="Y4" i="16"/>
  <c r="AC4" i="16"/>
  <c r="Y24" i="16"/>
  <c r="AC24" i="16"/>
  <c r="AC17" i="16"/>
  <c r="Y17" i="16"/>
  <c r="Y13" i="16"/>
  <c r="AC13" i="16"/>
  <c r="Y31" i="16"/>
  <c r="AC31" i="16"/>
  <c r="Y11" i="16"/>
  <c r="AC11" i="16"/>
  <c r="AC30" i="16"/>
  <c r="Y30" i="16"/>
  <c r="AC29" i="16"/>
  <c r="Y29" i="16"/>
  <c r="AC9" i="16"/>
  <c r="Y9" i="16"/>
  <c r="AC28" i="16"/>
  <c r="Y28" i="16"/>
  <c r="AC8" i="16"/>
  <c r="Y8" i="16"/>
  <c r="AC26" i="16"/>
  <c r="Y26" i="16"/>
  <c r="AC22" i="16"/>
  <c r="Y22" i="16"/>
  <c r="Y21" i="16"/>
  <c r="AC21" i="16"/>
  <c r="AC20" i="16"/>
  <c r="Y20" i="16"/>
  <c r="Y19" i="16"/>
  <c r="AC19" i="16"/>
  <c r="AC3" i="16"/>
  <c r="Y3" i="16"/>
  <c r="AC18" i="16"/>
  <c r="Y18" i="16"/>
  <c r="AC37" i="16"/>
  <c r="Y37" i="16"/>
  <c r="AC36" i="16"/>
  <c r="Y36" i="16"/>
  <c r="AC16" i="16"/>
  <c r="Y16" i="16"/>
  <c r="Y33" i="16"/>
  <c r="AC33" i="16"/>
  <c r="Y32" i="16"/>
  <c r="AC32" i="16"/>
  <c r="Y12" i="16"/>
  <c r="AC12" i="16"/>
  <c r="AC10" i="16"/>
  <c r="Y10" i="16"/>
  <c r="Y35" i="16"/>
  <c r="AC35" i="16"/>
  <c r="Y15" i="16"/>
  <c r="AC15" i="16"/>
  <c r="Y34" i="16"/>
  <c r="AC34" i="16"/>
  <c r="Y14" i="16"/>
  <c r="AC14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C19" i="16" l="1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27" i="16" a="1"/>
  <c r="F27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F21" i="16" a="1"/>
  <c r="F21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W26" i="16" s="1"/>
  <c r="V7" i="16" a="1"/>
  <c r="V7" i="16" s="1"/>
  <c r="W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W33" i="16" s="1"/>
  <c r="V14" i="16" a="1"/>
  <c r="V14" i="16" s="1"/>
  <c r="W14" i="16" s="1"/>
  <c r="V34" i="16" a="1"/>
  <c r="V34" i="16" s="1"/>
  <c r="W34" i="16" s="1"/>
  <c r="V15" i="16" a="1"/>
  <c r="V15" i="16" s="1"/>
  <c r="V35" i="16" a="1"/>
  <c r="V35" i="16" s="1"/>
  <c r="V16" i="16" a="1"/>
  <c r="V16" i="16" s="1"/>
  <c r="W16" i="16" s="1"/>
  <c r="V36" i="16" a="1"/>
  <c r="V36" i="16" s="1"/>
  <c r="W36" i="16" s="1"/>
  <c r="V17" i="16" a="1"/>
  <c r="V17" i="16" s="1"/>
  <c r="V37" i="16" a="1"/>
  <c r="V37" i="16" s="1"/>
  <c r="W37" i="16" s="1"/>
  <c r="V18" i="16" a="1"/>
  <c r="V18" i="16" s="1"/>
  <c r="W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W22" i="16" s="1"/>
  <c r="V23" i="16" a="1"/>
  <c r="V23" i="16" s="1"/>
  <c r="W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14" i="16" a="1"/>
  <c r="L30" i="16" a="1"/>
  <c r="L33" i="16" a="1"/>
  <c r="L13" i="16" a="1"/>
  <c r="L25" i="16" a="1"/>
  <c r="L5" i="16" a="1"/>
  <c r="L23" i="16" a="1"/>
  <c r="R36" i="16" a="1"/>
  <c r="R12" i="16" a="1"/>
  <c r="R33" i="16" a="1"/>
  <c r="L22" i="16" a="1"/>
  <c r="R24" i="16" a="1"/>
  <c r="R30" i="16" a="1"/>
  <c r="L24" i="16" a="1"/>
  <c r="L19" i="16" a="1"/>
  <c r="L18" i="16" a="1"/>
  <c r="R8" i="16" a="1"/>
  <c r="L8" i="16" a="1"/>
  <c r="R35" i="16" a="1"/>
  <c r="L15" i="16" a="1"/>
  <c r="R32" i="16" a="1"/>
  <c r="L34" i="16" a="1"/>
  <c r="L17" i="16" a="1"/>
  <c r="R3" i="16" a="1"/>
  <c r="L6" i="16" a="1"/>
  <c r="R16" i="16" a="1"/>
  <c r="L37" i="16" a="1"/>
  <c r="L7" i="16" a="1"/>
  <c r="L3" i="16" a="1"/>
  <c r="L36" i="16" a="1"/>
  <c r="L4" i="16" a="1"/>
  <c r="R26" i="16" a="1"/>
  <c r="L28" i="16" a="1"/>
  <c r="L12" i="16" a="1"/>
  <c r="L14" i="16" a="1"/>
  <c r="L27" i="16" a="1"/>
  <c r="R27" i="16" a="1"/>
  <c r="R15" i="16" a="1"/>
  <c r="R28" i="16" a="1"/>
  <c r="L31" i="16" a="1"/>
  <c r="R11" i="16" a="1"/>
  <c r="R20" i="16" a="1"/>
  <c r="R4" i="16" a="1"/>
  <c r="R5" i="16" a="1"/>
  <c r="R19" i="16" a="1"/>
  <c r="L10" i="16" a="1"/>
  <c r="R10" i="16" a="1"/>
  <c r="R9" i="16" a="1"/>
  <c r="L26" i="16" a="1"/>
  <c r="R29" i="16" a="1"/>
  <c r="L35" i="16" a="1"/>
  <c r="R17" i="16" a="1"/>
  <c r="L9" i="16" a="1"/>
  <c r="R13" i="16" a="1"/>
  <c r="L16" i="16" a="1"/>
  <c r="R21" i="16" a="1"/>
  <c r="R6" i="16" a="1"/>
  <c r="L11" i="16" a="1"/>
  <c r="L21" i="16" a="1"/>
  <c r="R34" i="16" a="1"/>
  <c r="R18" i="16" a="1"/>
  <c r="L29" i="16" a="1"/>
  <c r="R37" i="16" a="1"/>
  <c r="L20" i="16" a="1"/>
  <c r="R31" i="16" a="1"/>
  <c r="R23" i="16" a="1"/>
  <c r="R7" i="16" a="1"/>
  <c r="R22" i="16" a="1"/>
  <c r="R25" i="16" a="1"/>
  <c r="L32" i="16" a="1"/>
  <c r="AJ32" i="16" l="1"/>
  <c r="AK32" i="16" s="1"/>
  <c r="AJ16" i="16"/>
  <c r="AK16" i="16" s="1"/>
  <c r="AH16" i="16"/>
  <c r="AJ9" i="16"/>
  <c r="AG17" i="16"/>
  <c r="AI17" i="16"/>
  <c r="AJ17" i="16"/>
  <c r="AK17" i="16"/>
  <c r="AH17" i="16"/>
  <c r="AJ20" i="16"/>
  <c r="AH20" i="16"/>
  <c r="AJ29" i="16"/>
  <c r="AK29" i="16" s="1"/>
  <c r="AJ6" i="16"/>
  <c r="AJ26" i="16"/>
  <c r="AH26" i="16"/>
  <c r="AJ22" i="16"/>
  <c r="AJ25" i="16"/>
  <c r="AJ18" i="16"/>
  <c r="AK18" i="16" s="1"/>
  <c r="AH18" i="16"/>
  <c r="AJ5" i="16"/>
  <c r="AK5" i="16" s="1"/>
  <c r="AJ15" i="16"/>
  <c r="AJ7" i="16"/>
  <c r="AK7" i="16" s="1"/>
  <c r="AH7" i="16"/>
  <c r="AJ13" i="16"/>
  <c r="AJ27" i="16"/>
  <c r="AK27" i="16" s="1"/>
  <c r="AJ10" i="16"/>
  <c r="AJ33" i="16"/>
  <c r="AH33" i="16"/>
  <c r="AJ30" i="16"/>
  <c r="AJ36" i="16"/>
  <c r="AH36" i="16"/>
  <c r="AK36" i="16" s="1"/>
  <c r="AJ8" i="16"/>
  <c r="AJ4" i="16"/>
  <c r="AK4" i="16" s="1"/>
  <c r="AJ28" i="16"/>
  <c r="AJ11" i="16"/>
  <c r="AJ19" i="16"/>
  <c r="AK19" i="16"/>
  <c r="AJ21" i="16"/>
  <c r="AK21" i="16" s="1"/>
  <c r="AJ14" i="16"/>
  <c r="AJ24" i="16"/>
  <c r="AK24" i="16" s="1"/>
  <c r="AJ31" i="16"/>
  <c r="AJ37" i="16"/>
  <c r="AK37" i="16" s="1"/>
  <c r="AJ23" i="16"/>
  <c r="AK23" i="16"/>
  <c r="AJ34" i="16"/>
  <c r="AJ35" i="16"/>
  <c r="AK35" i="16" s="1"/>
  <c r="AJ12" i="16"/>
  <c r="AK12" i="16" s="1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AI20" i="16" s="1"/>
  <c r="J20" i="16"/>
  <c r="J21" i="16"/>
  <c r="G21" i="16"/>
  <c r="G5" i="16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G14" i="16"/>
  <c r="AI14" i="16" s="1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33" i="16" a="1"/>
  <c r="M14" i="16" a="1"/>
  <c r="S13" i="16" a="1"/>
  <c r="S6" i="16" a="1"/>
  <c r="S34" i="16" a="1"/>
  <c r="M28" i="16" a="1"/>
  <c r="M24" i="16" a="1"/>
  <c r="M29" i="16" a="1"/>
  <c r="S16" i="16" a="1"/>
  <c r="M22" i="16" a="1"/>
  <c r="S10" i="16" a="1"/>
  <c r="M30" i="16" a="1"/>
  <c r="S9" i="16" a="1"/>
  <c r="M12" i="16" a="1"/>
  <c r="M6" i="16" a="1"/>
  <c r="M25" i="16" a="1"/>
  <c r="S31" i="16" a="1"/>
  <c r="M20" i="16" a="1"/>
  <c r="M4" i="16" a="1"/>
  <c r="M5" i="16" a="1"/>
  <c r="M17" i="16" a="1"/>
  <c r="S23" i="16" a="1"/>
  <c r="S24" i="16" a="1"/>
  <c r="M34" i="16" a="1"/>
  <c r="S28" i="16" a="1"/>
  <c r="S8" i="16" a="1"/>
  <c r="S17" i="16" a="1"/>
  <c r="S11" i="16" a="1"/>
  <c r="M8" i="16" a="1"/>
  <c r="S35" i="16" a="1"/>
  <c r="M23" i="16" a="1"/>
  <c r="M37" i="16" a="1"/>
  <c r="M19" i="16" a="1"/>
  <c r="S18" i="16" a="1"/>
  <c r="M26" i="16" a="1"/>
  <c r="M7" i="16" a="1"/>
  <c r="S12" i="16" a="1"/>
  <c r="S15" i="16" a="1"/>
  <c r="M3" i="16" a="1"/>
  <c r="M27" i="16" a="1"/>
  <c r="M31" i="16" a="1"/>
  <c r="M35" i="16" a="1"/>
  <c r="S27" i="16" a="1"/>
  <c r="S14" i="16" a="1"/>
  <c r="S26" i="16" a="1"/>
  <c r="M10" i="16" a="1"/>
  <c r="M11" i="16" a="1"/>
  <c r="S22" i="16" a="1"/>
  <c r="M18" i="16" a="1"/>
  <c r="S20" i="16" a="1"/>
  <c r="M9" i="16" a="1"/>
  <c r="S3" i="16" a="1"/>
  <c r="S29" i="16" a="1"/>
  <c r="S19" i="16" a="1"/>
  <c r="S4" i="16" a="1"/>
  <c r="S7" i="16" a="1"/>
  <c r="M16" i="16" a="1"/>
  <c r="M21" i="16" a="1"/>
  <c r="M15" i="16" a="1"/>
  <c r="M33" i="16" a="1"/>
  <c r="M32" i="16" a="1"/>
  <c r="M13" i="16" a="1"/>
  <c r="S30" i="16" a="1"/>
  <c r="S32" i="16" a="1"/>
  <c r="S5" i="16" a="1"/>
  <c r="M36" i="16" a="1"/>
  <c r="S37" i="16" a="1"/>
  <c r="S25" i="16" a="1"/>
  <c r="S36" i="16" a="1"/>
  <c r="S21" i="16" a="1"/>
  <c r="AI24" i="16" l="1"/>
  <c r="AI10" i="16"/>
  <c r="AI35" i="16"/>
  <c r="AI9" i="16"/>
  <c r="AI27" i="16"/>
  <c r="AI18" i="16"/>
  <c r="AI8" i="16"/>
  <c r="AI13" i="16"/>
  <c r="AI21" i="16"/>
  <c r="AI25" i="16"/>
  <c r="AI28" i="16"/>
  <c r="AK26" i="16"/>
  <c r="AK33" i="16"/>
  <c r="AK20" i="16"/>
  <c r="AI4" i="16"/>
  <c r="AI3" i="16"/>
  <c r="AI5" i="16"/>
  <c r="AI26" i="16"/>
  <c r="AI6" i="16"/>
  <c r="AI31" i="16"/>
  <c r="AI36" i="16"/>
  <c r="AI16" i="16"/>
  <c r="AI15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AH6" i="16" s="1"/>
  <c r="AK6" i="16" s="1"/>
  <c r="S12" i="16"/>
  <c r="S18" i="16"/>
  <c r="S10" i="16"/>
  <c r="S23" i="16"/>
  <c r="S26" i="16"/>
  <c r="S4" i="16"/>
  <c r="S9" i="16"/>
  <c r="S34" i="16"/>
  <c r="AT31" i="16"/>
  <c r="AT30" i="16"/>
  <c r="AT20" i="16"/>
  <c r="N28" i="16" a="1"/>
  <c r="N18" i="16" a="1"/>
  <c r="N8" i="16" a="1"/>
  <c r="N14" i="16" a="1"/>
  <c r="N27" i="16" a="1"/>
  <c r="N16" i="16" a="1"/>
  <c r="N32" i="16" a="1"/>
  <c r="N4" i="16" a="1"/>
  <c r="N17" i="16" a="1"/>
  <c r="N34" i="16" a="1"/>
  <c r="N25" i="16" a="1"/>
  <c r="N11" i="16" a="1"/>
  <c r="N10" i="16" a="1"/>
  <c r="N3" i="16" a="1"/>
  <c r="N24" i="16" a="1"/>
  <c r="N30" i="16" a="1"/>
  <c r="N29" i="16" a="1"/>
  <c r="N19" i="16" a="1"/>
  <c r="N9" i="16" a="1"/>
  <c r="N26" i="16" a="1"/>
  <c r="N36" i="16" a="1"/>
  <c r="N20" i="16" a="1"/>
  <c r="N23" i="16" a="1"/>
  <c r="N13" i="16" a="1"/>
  <c r="N6" i="16" a="1"/>
  <c r="N22" i="16" a="1"/>
  <c r="N21" i="16" a="1"/>
  <c r="N12" i="16" a="1"/>
  <c r="N31" i="16" a="1"/>
  <c r="N5" i="16" a="1"/>
  <c r="N37" i="16" a="1"/>
  <c r="N33" i="16" a="1"/>
  <c r="N35" i="16" a="1"/>
  <c r="N15" i="16" a="1"/>
  <c r="N7" i="16" a="1"/>
  <c r="AT25" i="16" l="1"/>
  <c r="AS23" i="16"/>
  <c r="AT28" i="16"/>
  <c r="AS31" i="16"/>
  <c r="AS32" i="16"/>
  <c r="AS18" i="16"/>
  <c r="AT26" i="16"/>
  <c r="AS26" i="16"/>
  <c r="AT34" i="16"/>
  <c r="AS34" i="16"/>
  <c r="AT27" i="16"/>
  <c r="AS27" i="16"/>
  <c r="AT36" i="16"/>
  <c r="AS20" i="16"/>
  <c r="AS30" i="16"/>
  <c r="AT37" i="16"/>
  <c r="AS37" i="16"/>
  <c r="AS29" i="16"/>
  <c r="AT22" i="16"/>
  <c r="AS22" i="16"/>
  <c r="AS19" i="16"/>
  <c r="AT33" i="16"/>
  <c r="AS33" i="16"/>
  <c r="AS35" i="16"/>
  <c r="AT35" i="16"/>
  <c r="AH29" i="16"/>
  <c r="AH23" i="16"/>
  <c r="AH24" i="16"/>
  <c r="AH10" i="16"/>
  <c r="AK10" i="16" s="1"/>
  <c r="AH13" i="16"/>
  <c r="AK13" i="16" s="1"/>
  <c r="AH11" i="16"/>
  <c r="AK11" i="16" s="1"/>
  <c r="AH12" i="16"/>
  <c r="AH37" i="16"/>
  <c r="AH15" i="16"/>
  <c r="AK15" i="16" s="1"/>
  <c r="AH22" i="16"/>
  <c r="AK22" i="16" s="1"/>
  <c r="AH27" i="16"/>
  <c r="AH19" i="16"/>
  <c r="AH32" i="16"/>
  <c r="AH31" i="16"/>
  <c r="AK31" i="16" s="1"/>
  <c r="AH28" i="16"/>
  <c r="AK28" i="16" s="1"/>
  <c r="AH8" i="16"/>
  <c r="AK8" i="16" s="1"/>
  <c r="AH25" i="16"/>
  <c r="AK25" i="16" s="1"/>
  <c r="AH3" i="16"/>
  <c r="AK3" i="16" s="1"/>
  <c r="AH5" i="16"/>
  <c r="AH21" i="16"/>
  <c r="AH35" i="16"/>
  <c r="AH14" i="16"/>
  <c r="AK14" i="16" s="1"/>
  <c r="AH34" i="16"/>
  <c r="AK34" i="16" s="1"/>
  <c r="AH9" i="16"/>
  <c r="AK9" i="16" s="1"/>
  <c r="AH4" i="16"/>
  <c r="AH30" i="16"/>
  <c r="AK30" i="16" s="1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<sst xmlns="http://schemas.openxmlformats.org/spreadsheetml/2006/main" count="699" uniqueCount="389">
  <si>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</si>
  <si>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</si>
  <si>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</si>
  <si>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</si>
  <si>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</si>
  <si>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</si>
  <si>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</si>
  <si>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</si>
  <si>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</si>
  <si>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</si>
  <si>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</si>
  <si>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</si>
  <si>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</si>
  <si>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</si>
  <si>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</si>
  <si>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</si>
  <si>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</si>
  <si>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</si>
  <si>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</si>
  <si>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</si>
  <si>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</si>
  <si>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</si>
  <si>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</si>
  <si>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</si>
  <si>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</si>
  <si>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</si>
  <si>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</si>
  <si>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</si>
  <si>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</si>
  <si>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</si>
  <si>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</si>
  <si>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</si>
  <si>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</si>
  <si>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</si>
  <si>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</si>
  <si>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</si>
  <si>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</si>
  <si>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</si>
  <si>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</si>
  <si>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</si>
  <si>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</si>
  <si>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</si>
  <si>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</si>
  <si>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</si>
  <si>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</si>
  <si>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</si>
  <si>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</si>
  <si>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</si>
  <si>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</si>
  <si>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</si>
  <si>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</si>
  <si>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</si>
  <si>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</si>
  <si>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</si>
  <si>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</si>
  <si>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</si>
  <si>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</si>
  <si>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</si>
  <si>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</si>
  <si>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</si>
  <si>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</si>
  <si>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</si>
  <si>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</si>
  <si>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</si>
  <si>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</si>
  <si>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</si>
  <si>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</si>
  <si>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</si>
  <si>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</si>
  <si>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</si>
  <si>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</si>
  <si>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</si>
  <si>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</si>
  <si>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</si>
  <si>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</si>
  <si>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</si>
  <si>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</si>
  <si>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</si>
  <si>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</si>
  <si>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</si>
  <si>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</si>
  <si>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</si>
  <si>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</si>
  <si>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</si>
  <si>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</si>
  <si>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</si>
  <si>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</si>
  <si>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</si>
  <si>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</si>
  <si>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</si>
  <si>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</si>
  <si>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</si>
  <si>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</si>
  <si>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</si>
  <si>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</si>
  <si>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</si>
  <si>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</si>
  <si>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</si>
  <si>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</si>
  <si>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</si>
  <si>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</si>
  <si>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</si>
  <si>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</si>
  <si>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</si>
  <si>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</si>
  <si>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</si>
  <si>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</si>
  <si>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</si>
  <si>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</si>
  <si>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</si>
  <si>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</si>
  <si>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</si>
  <si>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</si>
  <si>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</si>
  <si>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</si>
  <si>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</si>
  <si>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</si>
  <si>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</si>
  <si>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</si>
  <si>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</si>
  <si>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</si>
  <si>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</si>
  <si>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</si>
  <si>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</si>
  <si>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</si>
  <si>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</si>
  <si>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</si>
  <si>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</si>
  <si>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</si>
  <si>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</si>
  <si>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</si>
  <si>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</si>
  <si>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</si>
  <si>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</si>
  <si>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</si>
  <si>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</si>
  <si>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</si>
  <si>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</si>
  <si>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</si>
  <si>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</si>
  <si>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</si>
  <si>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</si>
  <si>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</si>
  <si>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</si>
  <si>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</si>
  <si>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</si>
  <si>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</si>
  <si>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</si>
  <si>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</si>
  <si>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</si>
  <si>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</si>
  <si>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</si>
  <si>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</si>
  <si>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</si>
  <si>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</si>
  <si>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</si>
  <si>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</si>
  <si>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</si>
  <si>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</si>
  <si>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</si>
  <si>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</si>
  <si>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</si>
  <si>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</si>
  <si>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</si>
  <si>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N0</t>
  </si>
  <si>
    <t>N1</t>
  </si>
  <si>
    <t>N1a</t>
  </si>
  <si>
    <t>N1b</t>
  </si>
  <si>
    <t>M0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</si>
  <si>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</si>
  <si>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</si>
  <si>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</si>
  <si>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</si>
  <si>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</si>
  <si>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</si>
  <si>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</si>
  <si>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</si>
  <si>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infiltrative follicular subtype</t>
  </si>
  <si>
    <t>Present</t>
  </si>
  <si>
    <t>Nontoxic uninodular goitre</t>
  </si>
  <si>
    <t>Left central compartment</t>
  </si>
  <si>
    <t>11g</t>
  </si>
  <si>
    <t>2 x 1.5 x 1.5 cm</t>
  </si>
  <si>
    <t>2cm</t>
  </si>
  <si>
    <t>classic subtype</t>
  </si>
  <si>
    <t>Minimally invasive follicular carcinoma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</si>
  <si>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</si>
  <si>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</si>
  <si>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</si>
  <si>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</si>
  <si>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</si>
  <si>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</si>
  <si>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</si>
  <si>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</si>
  <si>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</si>
  <si>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</si>
  <si>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</si>
  <si>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</si>
  <si>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</si>
  <si>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</si>
  <si>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</si>
  <si>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</si>
  <si>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</si>
  <si>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</si>
  <si>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</si>
  <si>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</si>
  <si>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</si>
  <si>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</si>
  <si>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</si>
  <si>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</si>
  <si>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</si>
  <si>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</si>
  <si>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</si>
  <si>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</si>
  <si>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</si>
  <si>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No</t>
  </si>
  <si>
    <t>papillary</t>
  </si>
  <si>
    <t>7 mm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</si>
  <si>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</si>
  <si>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</si>
  <si>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pT2</t>
  </si>
  <si>
    <t>22/03/2024</t>
  </si>
  <si>
    <t>pT1a</t>
  </si>
  <si>
    <t>pN1a</t>
  </si>
  <si>
    <t>30/04/2024</t>
  </si>
  <si>
    <t>pT3b</t>
  </si>
  <si>
    <t>31/05/2024</t>
  </si>
  <si>
    <t>24/05/2024</t>
  </si>
  <si>
    <t>pT3a</t>
  </si>
  <si>
    <t>29/05/2024</t>
  </si>
  <si>
    <t>pT4a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</si>
  <si>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</si>
  <si>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</si>
  <si>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</si>
  <si>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</si>
  <si>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</si>
  <si>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</si>
  <si>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</si>
  <si>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</si>
  <si>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</si>
  <si>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</si>
  <si>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</si>
  <si>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</si>
  <si>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</si>
  <si>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</si>
  <si>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</si>
  <si>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</si>
  <si>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</si>
  <si>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</si>
  <si>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</si>
  <si>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</si>
  <si>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</si>
  <si>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</si>
  <si>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</si>
  <si>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</si>
  <si>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</si>
  <si>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</si>
  <si>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</si>
  <si>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central compartment LNs bilaterally</t>
  </si>
  <si>
    <t>Focal (&lt; 4 vessels)</t>
  </si>
  <si>
    <t>Suspicious foci</t>
  </si>
  <si>
    <t>Right level III</t>
  </si>
  <si>
    <t>Present (focal)</t>
  </si>
  <si>
    <t>follicular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</si>
  <si>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</si>
  <si>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</si>
  <si>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</si>
  <si>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</si>
  <si>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</si>
  <si>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</si>
  <si>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</si>
  <si>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</si>
  <si>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Anterior surface : Focally involved by carcinoma (Block 1)</t>
  </si>
  <si>
    <t>8 mm &amp; 2 mm</t>
  </si>
  <si>
    <t>Uninvolved by carcinoma</t>
  </si>
  <si>
    <t>fatty soft tissue at isthmus</t>
  </si>
  <si>
    <t>29/04/2024</t>
  </si>
  <si>
    <t>oncocytic classic subtype</t>
  </si>
  <si>
    <t>17/05/2024</t>
  </si>
  <si>
    <t>Anterior surface: &lt; 0.1 mm from carcinoma (block 3)</t>
  </si>
  <si>
    <t>follicular neoplasm</t>
  </si>
  <si>
    <t>encapsulated classic subtype</t>
  </si>
  <si>
    <t>Invading only strap muscles</t>
  </si>
  <si>
    <t>Clear</t>
  </si>
  <si>
    <t>14/06/2024</t>
  </si>
  <si>
    <t>Right central neck</t>
  </si>
  <si>
    <t>19g</t>
  </si>
  <si>
    <t>9g</t>
  </si>
  <si>
    <t>Present (minimal)</t>
  </si>
  <si>
    <t>Multiple</t>
  </si>
  <si>
    <t>19/01/2024</t>
  </si>
  <si>
    <t>21/06/2024</t>
  </si>
  <si>
    <t>Cancer</t>
  </si>
  <si>
    <t>Isthmus</t>
  </si>
  <si>
    <t>27/12/2023</t>
  </si>
  <si>
    <t>Inferior, Lateral, Superior, Posterior</t>
  </si>
  <si>
    <t>tall cell variant</t>
  </si>
  <si>
    <t>Invading subcutaneous soft tissues, larynx, trachea, esophagus or recurrent laryngeal nerve</t>
  </si>
  <si>
    <t>Margin</t>
  </si>
  <si>
    <t>8g, 46g</t>
  </si>
  <si>
    <t>Microscopic invasive of the surrounding fat at the 2 mm tumor nodule. No gross invasion was detected. No involvement of skeletal muscle bundles is detected.</t>
  </si>
  <si>
    <t>7g</t>
  </si>
  <si>
    <t>Touched posterior and lateral margins and involvement of extrathyroid soft tissue</t>
  </si>
  <si>
    <t>Right thyroid 14g, left thyroid 9g</t>
  </si>
  <si>
    <t>Invading soft tissue and strap muscles</t>
  </si>
  <si>
    <t>Anterior margin: Involved by tumour, Posterior margin: Involved by tumour, Lateral margin: Less than 0.1 mm</t>
  </si>
  <si>
    <t>No vascular permeation is identified.</t>
  </si>
  <si>
    <t>tongues of mushroom-type complete capsular invasion to adjacent thyroid parenchyma are found.</t>
  </si>
  <si>
    <t>The tumour focally involves the anterior margins (block 4).</t>
  </si>
  <si>
    <t>4 mm</t>
  </si>
  <si>
    <t>anterior surface</t>
  </si>
  <si>
    <t>15g</t>
  </si>
  <si>
    <t>left central compartment LN</t>
  </si>
  <si>
    <t>27 x 22 x 17 mm</t>
  </si>
  <si>
    <t>27g</t>
  </si>
  <si>
    <t>16 mm</t>
  </si>
  <si>
    <t>Anterior margin: Involved by invasive carcinoma</t>
  </si>
  <si>
    <t>Focal penetration through the thin fibrous capsule</t>
  </si>
  <si>
    <t>40g.</t>
  </si>
  <si>
    <t>pN not assigned</t>
  </si>
  <si>
    <t>left lateral neck lymph nodes</t>
  </si>
  <si>
    <t>4 cm</t>
  </si>
  <si>
    <t>6.3 cm</t>
  </si>
  <si>
    <t>Left side, level II-VB</t>
  </si>
  <si>
    <t>whole left lobe and isthmus</t>
  </si>
  <si>
    <t>Papillary-like nuclear features</t>
  </si>
  <si>
    <t>25 x 15 x 15 mm</t>
  </si>
  <si>
    <t>BRAF, KRAS or NRAS hot spot mutation - Negative</t>
  </si>
  <si>
    <t>36 x 32 x 26 mm</t>
  </si>
  <si>
    <t>24g</t>
  </si>
  <si>
    <t>Gross extrathyroidal extension with invasion to overlying strap muscles</t>
  </si>
  <si>
    <t>8 mm</t>
  </si>
  <si>
    <t>The carcinoma reaches the anterior and anterolateral capsule without breaching the capsule.</t>
  </si>
  <si>
    <t>level VI</t>
  </si>
  <si>
    <t>12g</t>
  </si>
  <si>
    <t>Gross extrathyroidal extension with involvement of right cricothyroid and inferior constrictor muscle</t>
  </si>
  <si>
    <t>Uninvolved by carcinoma, closest 3mm from anterior margin.</t>
  </si>
  <si>
    <t>isthmic side resection end</t>
  </si>
  <si>
    <t xml:space="preserve"> </t>
  </si>
  <si>
    <t>1.5 cm</t>
  </si>
  <si>
    <t>Lymphovascular permeation is present.</t>
  </si>
  <si>
    <t>present</t>
  </si>
  <si>
    <t>&lt;1 mm</t>
  </si>
  <si>
    <t>1.2 cm</t>
  </si>
  <si>
    <t>Central neck, Right level 2, 3, 4</t>
  </si>
  <si>
    <t>9mm</t>
  </si>
  <si>
    <t>Classic</t>
  </si>
  <si>
    <t>5cm</t>
  </si>
  <si>
    <t>Right lateral neck level II,III,IV</t>
  </si>
  <si>
    <t>Classic (usual, conventional)</t>
  </si>
  <si>
    <t>Microscopic extrathyroidal extension to skeletal muscle anterior to the thyroid gland is present</t>
  </si>
  <si>
    <t>pN1</t>
  </si>
  <si>
    <t>2.2mm</t>
  </si>
  <si>
    <t>2.2 cm</t>
  </si>
  <si>
    <t>Hurthle cell</t>
  </si>
  <si>
    <t>isthmus</t>
  </si>
  <si>
    <t>0.5 cm</t>
  </si>
  <si>
    <t>Left central compartment LYMPH NODE, Left level 2, 3, 4 cervical LYMPH NODE</t>
  </si>
  <si>
    <t>12 mm</t>
  </si>
  <si>
    <t>no ETE</t>
  </si>
  <si>
    <t>4.5 x 3 x 2cm</t>
  </si>
  <si>
    <t>It has invaded beyond the capsule into the surrounding striated muscle.</t>
  </si>
  <si>
    <t>Anterior and posterior margins focally involved.</t>
  </si>
  <si>
    <t>rich vascular anastomosis identified</t>
  </si>
  <si>
    <t>Gross extrathyroidal extension to overlying strap muscle, invasion to carotid sheath and wrapped around RLN at lower pole. Posteriorly it invaded to muscular layer of esophagus and prevertebral fascia</t>
  </si>
  <si>
    <t>6 cm superoinferiorly, 3.2 cm transversely and 2.5 cm anteroposteriorly</t>
  </si>
  <si>
    <t>Extensive</t>
  </si>
  <si>
    <t>= or &gt; 4 vessels</t>
  </si>
  <si>
    <t>Focal</t>
  </si>
  <si>
    <t>Focally into adjacent fibroadipose tissue</t>
  </si>
  <si>
    <t>28g</t>
  </si>
  <si>
    <t>18/11/2021</t>
  </si>
  <si>
    <t>Right thyroid 16g, Left thyroid remnant 1g.</t>
  </si>
  <si>
    <t>= or &gt;4 vessels</t>
  </si>
  <si>
    <t>Involved</t>
  </si>
  <si>
    <t>5.5 cm</t>
  </si>
  <si>
    <t>2.5 cm</t>
  </si>
  <si>
    <t>Inferior margin involved</t>
  </si>
  <si>
    <t>left lateral neck, left central compartment, level II,III,IV</t>
  </si>
  <si>
    <t>2</t>
  </si>
  <si>
    <t>IVA</t>
  </si>
  <si>
    <t>IVB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</si>
  <si>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</si>
  <si>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</si>
  <si>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</si>
  <si>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</si>
  <si>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</si>
  <si>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ETE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</si>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</sst>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0" fontId="1" fillId="0" borderId="0" xfId="46"/>
    <xf numFmtId="15" fontId="1" fillId="0" borderId="0" xfId="46" applyNumberFormat="1"/>
    <xf numFmtId="14" fontId="1" fillId="0" borderId="0" xfId="46" applyNumberFormat="1"/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0" fillId="0" borderId="3" xfId="0" applyBorder="1"/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activeCell="E24" sqref="E24"/>
      <selection pane="topRight" activeCell="E24" sqref="E24"/>
      <selection pane="bottomLeft" activeCell="E24" sqref="E24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1.33203125" customWidth="1"/>
    <col min="5" max="5" width="9.6640625" customWidth="1"/>
    <col min="6" max="6" width="10.796875" style="17"/>
    <col min="8" max="8" width="12.33203125" customWidth="1"/>
    <col min="9" max="9" width="11.796875" style="17" customWidth="1"/>
    <col min="10" max="10" width="12.33203125" style="17" customWidth="1"/>
    <col min="11" max="11" width="12.929687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1.863281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2.53125" customWidth="1"/>
    <col min="39" max="44" width="10.796875" customWidth="1"/>
    <col min="45" max="47" width="10.6640625" customWidth="1"/>
  </cols>
  <sheetData>
    <row r="1" spans="1:47" s="4" customFormat="1">
      <c r="A1" s="45" t="s">
        <v>384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19"/>
      <c r="AG1" s="46" t="s">
        <v>388</v>
      </c>
      <c r="AH1" s="47"/>
      <c r="AI1" s="47"/>
      <c r="AJ1" s="47"/>
      <c r="AK1" s="47"/>
      <c r="AL1" s="46" t="s">
        <v>210</v>
      </c>
      <c r="AM1" s="47"/>
      <c r="AN1" s="47"/>
      <c r="AO1" s="47"/>
      <c r="AP1" s="47"/>
      <c r="AQ1" s="46" t="s">
        <v>211</v>
      </c>
      <c r="AR1" s="47"/>
      <c r="AS1" s="47"/>
      <c r="AT1" s="47"/>
      <c r="AU1" s="48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173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382</v>
      </c>
      <c r="N2" s="44" t="s">
        <v>383</v>
      </c>
      <c r="O2" s="5" t="s">
        <v>13</v>
      </c>
      <c r="P2" s="5" t="s">
        <v>14</v>
      </c>
      <c r="Q2" s="5" t="s">
        <v>15</v>
      </c>
      <c r="R2" s="6" t="s">
        <v>385</v>
      </c>
      <c r="S2" s="44" t="s">
        <v>386</v>
      </c>
      <c r="T2" s="5" t="s">
        <v>16</v>
      </c>
      <c r="U2" s="5" t="s">
        <v>17</v>
      </c>
      <c r="V2" s="5" t="s">
        <v>18</v>
      </c>
      <c r="W2" s="6" t="s">
        <v>219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387</v>
      </c>
      <c r="AE2" s="5" t="s">
        <v>298</v>
      </c>
      <c r="AF2" s="7"/>
      <c r="AG2" s="25" t="s">
        <v>150</v>
      </c>
      <c r="AH2" s="8" t="s">
        <v>151</v>
      </c>
      <c r="AI2" s="8" t="s">
        <v>152</v>
      </c>
      <c r="AJ2" s="8" t="s">
        <v>153</v>
      </c>
      <c r="AK2" s="8" t="s">
        <v>154</v>
      </c>
      <c r="AL2" s="9" t="s">
        <v>150</v>
      </c>
      <c r="AM2" s="8" t="s">
        <v>151</v>
      </c>
      <c r="AN2" s="8" t="s">
        <v>152</v>
      </c>
      <c r="AO2" s="8" t="s">
        <v>153</v>
      </c>
      <c r="AP2" s="8" t="s">
        <v>154</v>
      </c>
      <c r="AQ2" s="9" t="s">
        <v>150</v>
      </c>
      <c r="AR2" s="8" t="s">
        <v>151</v>
      </c>
      <c r="AS2" s="8" t="s">
        <v>152</v>
      </c>
      <c r="AT2" s="8" t="s">
        <v>153</v>
      </c>
      <c r="AU2" s="27" t="s">
        <v>154</v>
      </c>
    </row>
    <row r="3" spans="1:47">
      <c r="A3" s="13">
        <v>1</v>
      </c>
      <c r="B3" s="16">
        <f>_xlfn.MAXIFS('Model output'!B:B,'Model output'!Z:Z,'Classification result'!$A3)</f>
        <v>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/>
      </c>
      <c r="H3" s="37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/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>IF(OR(ISNUMBER(SEARCH("soft tissue", AD3)), ISNUMBER(SEARCH("adipose tissue",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40" t="str">
        <f t="shared" ref="AG3:AG37" si="1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8" t="str">
        <f t="shared" ref="AH3:AH5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8">
        <f>IF(OR(ISNUMBER(SEARCH("non-invasive follicular",O3)),ISNUMBER(SEARCH("papillary-like nuclear features",O3)),ISNUMBER(SEARCH("non-invasive follicular",P3)),ISNUMBER(SEARCH("papillary-like nuclear features",P3))),"NIFTP",IF(AND(K3&gt;0,G3="positive",H3="central"),"1a",IF(AND(K3&gt;0,G3="positive",H3="lateral"),"1b",IF(AND(K3=0,J3=0),"x",0))))</f>
        <v>0</v>
      </c>
      <c r="AJ3" s="38">
        <f>IF(OR(ISNUMBER(SEARCH("non-invasive follicular",O3)),ISNUMBER(SEARCH("papillary-like nuclear features",O3)),ISNUMBER(SEARCH("non-invasive follicular",P3)),ISNUMBER(SEARCH("papillary-like nuclear features",P3))),"NIFTP",IF(I3="unknown","x",IF(I3="negative",0,1)))</f>
        <v>0</v>
      </c>
      <c r="AK3" s="38" t="str">
        <f t="shared" ref="AK3:AK37" si="3">IF(OR(ISNUMBER(SEARCH("non-invasive follicular",O3)),ISNUMBER(SEARCH("papillary-like nuclear features",O3)),ISNUMBER(SEARCH("non-invasive follicular",P3)),ISNUMBER(SEARCH("papillary-like nuclear features",P3)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10" t="s">
        <v>172</v>
      </c>
      <c r="AM3" s="26" t="s">
        <v>203</v>
      </c>
      <c r="AN3" s="26" t="s">
        <v>204</v>
      </c>
      <c r="AO3" s="26">
        <v>0</v>
      </c>
      <c r="AP3" s="26" t="s">
        <v>31</v>
      </c>
      <c r="AQ3" s="10">
        <f t="shared" ref="AQ3:AQ37" si="4">IF(AL3=AG3,1,0)</f>
        <v>1</v>
      </c>
      <c r="AR3" s="26">
        <f t="shared" ref="AR3:AR37" si="5">IF(AM3=AH3,1,0)</f>
        <v>1</v>
      </c>
      <c r="AS3" s="26">
        <f>IF(AI3=AN3,1,IF(OR(AND(AN3="x",AI3=0),AND(AI3="x",AN3=0)),1,0))</f>
        <v>1</v>
      </c>
      <c r="AT3" s="26">
        <f>IF(AO3=AJ3,1,0)</f>
        <v>1</v>
      </c>
      <c r="AU3" s="28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0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6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ref="Y4:Y37" si="7">IF(OR(ISNUMBER(SEARCH("soft tissue", AD4)), ISNUMBER(SEARCH("adipose tissue", AD4)), 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7" t="str">
        <f t="shared" ref="AC4:AC37" si="8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/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1" t="str">
        <f t="shared" si="1"/>
        <v>low</v>
      </c>
      <c r="AH4" s="38" t="str">
        <f t="shared" si="2"/>
        <v>2</v>
      </c>
      <c r="AI4" s="38" t="str">
        <f t="shared" ref="AI4:AI37" si="9">IF(OR(ISNUMBER(SEARCH("non-invasive follicular",O4)),ISNUMBER(SEARCH("papillary-like nuclear features",O4)),ISNUMBER(SEARCH("non-invasive follicular",P4)),ISNUMBER(SEARCH("papillary-like nuclear features",P4))),"NIFTP",IF(AND(K4&gt;0,G4="positive",H4="central"),"1a",IF(AND(K4&gt;0,G4="positive",H4="lateral"),"1b",IF(AND(K4=0,J4=0),"x",0))))</f>
        <v>x</v>
      </c>
      <c r="AJ4" s="38">
        <f t="shared" ref="AJ4:AJ37" si="10">IF(OR(ISNUMBER(SEARCH("non-invasive follicular",O4)),ISNUMBER(SEARCH("papillary-like nuclear features",O4)),ISNUMBER(SEARCH("non-invasive follicular",P4)),ISNUMBER(SEARCH("papillary-like nuclear features",P4))),"NIFTP",IF(I4="unknown","x",IF(I4="negative",0,1)))</f>
        <v>0</v>
      </c>
      <c r="AK4" s="38" t="str">
        <f t="shared" si="3"/>
        <v>I</v>
      </c>
      <c r="AL4" s="10" t="s">
        <v>172</v>
      </c>
      <c r="AM4" s="26" t="s">
        <v>379</v>
      </c>
      <c r="AN4" s="26" t="s">
        <v>204</v>
      </c>
      <c r="AO4" s="26">
        <v>0</v>
      </c>
      <c r="AP4" s="26" t="s">
        <v>31</v>
      </c>
      <c r="AQ4" s="10">
        <f t="shared" si="4"/>
        <v>1</v>
      </c>
      <c r="AR4" s="26">
        <f t="shared" si="5"/>
        <v>1</v>
      </c>
      <c r="AS4" s="26">
        <f t="shared" ref="AS4:AS37" si="11">IF(AI4=AN4,1,IF(OR(AND(AN4="x",AI4=0),AND(AI4="x",AN4=0)),1,0))</f>
        <v>1</v>
      </c>
      <c r="AT4" s="26">
        <f t="shared" ref="AT4:AU37" si="12">IF(AO4=AJ4,1,0)</f>
        <v>1</v>
      </c>
      <c r="AU4" s="28">
        <f t="shared" si="12"/>
        <v>1</v>
      </c>
    </row>
    <row r="5" spans="1:47">
      <c r="A5" s="13">
        <v>3</v>
      </c>
      <c r="B5" s="16">
        <f>_xlfn.MAXIFS('Model output'!B:B,'Model output'!Z:Z,'Classification result'!$A5)</f>
        <v>0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6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7"/>
        <v>positive</v>
      </c>
      <c r="AC5" s="17" t="str">
        <f t="shared" si="8"/>
        <v>negative</v>
      </c>
      <c r="AD5" t="str" cm="1">
        <f t="array" ref="AD5">_xlfn.TEXTJOIN("; ",TRUE,_xlfn._xlws.FILTER('Model output'!S:S,'Model output'!Z:Z=A5))</f>
        <v>Microscopic invasive of the surrounding fat at the 2 mm tumor nodule. No gross invasion was detected. No involvement of skeletal muscle bundles is detected.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1" t="str">
        <f t="shared" si="1"/>
        <v>intermediate</v>
      </c>
      <c r="AH5" s="38" t="str">
        <f t="shared" si="2"/>
        <v>1a</v>
      </c>
      <c r="AI5" s="38" t="str">
        <f t="shared" si="9"/>
        <v>1a</v>
      </c>
      <c r="AJ5" s="38">
        <f t="shared" si="10"/>
        <v>0</v>
      </c>
      <c r="AK5" s="38" t="str">
        <f t="shared" si="3"/>
        <v>I</v>
      </c>
      <c r="AL5" s="10" t="s">
        <v>170</v>
      </c>
      <c r="AM5" s="26" t="s">
        <v>205</v>
      </c>
      <c r="AN5" s="26" t="s">
        <v>205</v>
      </c>
      <c r="AO5" s="26">
        <v>0</v>
      </c>
      <c r="AP5" s="26" t="s">
        <v>31</v>
      </c>
      <c r="AQ5" s="10">
        <f t="shared" si="4"/>
        <v>1</v>
      </c>
      <c r="AR5" s="26">
        <f t="shared" si="5"/>
        <v>1</v>
      </c>
      <c r="AS5" s="26">
        <f t="shared" si="11"/>
        <v>1</v>
      </c>
      <c r="AT5" s="26">
        <f t="shared" si="12"/>
        <v>1</v>
      </c>
      <c r="AU5" s="28">
        <f t="shared" si="12"/>
        <v>1</v>
      </c>
    </row>
    <row r="6" spans="1:47">
      <c r="A6" s="13">
        <v>4</v>
      </c>
      <c r="B6" s="16">
        <f>_xlfn.MAXIFS('Model output'!B:B,'Model output'!Z:Z,'Classification result'!$A6)</f>
        <v>0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6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7"/>
        <v>positive</v>
      </c>
      <c r="AC6" s="17" t="str">
        <f t="shared" si="8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1" t="str">
        <f t="shared" si="1"/>
        <v>intermediate</v>
      </c>
      <c r="AH6" s="38" t="str">
        <f t="shared" ref="AH6:AH13" si="13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38" t="str">
        <f t="shared" si="9"/>
        <v>1a</v>
      </c>
      <c r="AJ6" s="38">
        <f t="shared" si="10"/>
        <v>0</v>
      </c>
      <c r="AK6" s="38" t="str">
        <f t="shared" si="3"/>
        <v>II</v>
      </c>
      <c r="AL6" s="10" t="s">
        <v>170</v>
      </c>
      <c r="AM6" s="38" t="s">
        <v>203</v>
      </c>
      <c r="AN6" s="26" t="s">
        <v>205</v>
      </c>
      <c r="AO6" s="26">
        <v>0</v>
      </c>
      <c r="AP6" s="26" t="s">
        <v>44</v>
      </c>
      <c r="AQ6" s="10">
        <f t="shared" si="4"/>
        <v>1</v>
      </c>
      <c r="AR6" s="26">
        <f t="shared" si="5"/>
        <v>1</v>
      </c>
      <c r="AS6" s="26">
        <f t="shared" si="11"/>
        <v>1</v>
      </c>
      <c r="AT6" s="26">
        <f t="shared" si="12"/>
        <v>1</v>
      </c>
      <c r="AU6" s="28">
        <f t="shared" si="12"/>
        <v>1</v>
      </c>
    </row>
    <row r="7" spans="1:47">
      <c r="A7" s="13">
        <v>5</v>
      </c>
      <c r="B7" s="16">
        <f>_xlfn.MAXIFS('Model output'!B:B,'Model output'!Z:Z,'Classification result'!$A7)</f>
        <v>0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6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7"/>
        <v>positive</v>
      </c>
      <c r="AC7" s="17" t="str">
        <f t="shared" si="8"/>
        <v>positive</v>
      </c>
      <c r="AD7" t="str" cm="1">
        <f t="array" ref="AD7">_xlfn.TEXTJOIN("; ",TRUE,_xlfn._xlws.FILTER('Model output'!S:S,'Model output'!Z:Z=A7))</f>
        <v>Invading soft tissue and strap muscles; Yes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1" t="str">
        <f t="shared" si="1"/>
        <v>high</v>
      </c>
      <c r="AH7" s="38" t="str">
        <f t="shared" si="13"/>
        <v>4a</v>
      </c>
      <c r="AI7" s="38" t="str">
        <f t="shared" si="9"/>
        <v>1a</v>
      </c>
      <c r="AJ7" s="38">
        <f t="shared" si="10"/>
        <v>0</v>
      </c>
      <c r="AK7" s="38" t="str">
        <f t="shared" si="3"/>
        <v>I</v>
      </c>
      <c r="AL7" s="10" t="s">
        <v>171</v>
      </c>
      <c r="AM7" s="26" t="s">
        <v>206</v>
      </c>
      <c r="AN7" s="26" t="s">
        <v>205</v>
      </c>
      <c r="AO7" s="26">
        <v>0</v>
      </c>
      <c r="AP7" s="26" t="s">
        <v>31</v>
      </c>
      <c r="AQ7" s="10">
        <f t="shared" si="4"/>
        <v>1</v>
      </c>
      <c r="AR7" s="26">
        <f t="shared" si="5"/>
        <v>0</v>
      </c>
      <c r="AS7" s="26">
        <f t="shared" si="11"/>
        <v>1</v>
      </c>
      <c r="AT7" s="26">
        <f t="shared" si="12"/>
        <v>1</v>
      </c>
      <c r="AU7" s="28">
        <f t="shared" si="12"/>
        <v>1</v>
      </c>
    </row>
    <row r="8" spans="1:47">
      <c r="A8" s="13">
        <v>6</v>
      </c>
      <c r="B8" s="16">
        <f>_xlfn.MAXIFS('Model output'!B:B,'Model output'!Z:Z,'Classification result'!$A8)</f>
        <v>45416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6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7"/>
        <v>negative</v>
      </c>
      <c r="AC8" s="17" t="str">
        <f t="shared" si="8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1" t="str">
        <f t="shared" si="1"/>
        <v>low</v>
      </c>
      <c r="AH8" s="38" t="str">
        <f t="shared" si="13"/>
        <v>1b</v>
      </c>
      <c r="AI8" s="38" t="str">
        <f t="shared" si="9"/>
        <v>x</v>
      </c>
      <c r="AJ8" s="38">
        <f t="shared" si="10"/>
        <v>0</v>
      </c>
      <c r="AK8" s="38" t="str">
        <f t="shared" si="3"/>
        <v>I</v>
      </c>
      <c r="AL8" s="10" t="s">
        <v>172</v>
      </c>
      <c r="AM8" s="38" t="s">
        <v>204</v>
      </c>
      <c r="AN8" s="26" t="s">
        <v>204</v>
      </c>
      <c r="AO8" s="26">
        <v>0</v>
      </c>
      <c r="AP8" s="26" t="s">
        <v>31</v>
      </c>
      <c r="AQ8" s="10">
        <f t="shared" si="4"/>
        <v>1</v>
      </c>
      <c r="AR8" s="26">
        <f t="shared" si="5"/>
        <v>0</v>
      </c>
      <c r="AS8" s="26">
        <f t="shared" si="11"/>
        <v>1</v>
      </c>
      <c r="AT8" s="26">
        <f t="shared" si="12"/>
        <v>1</v>
      </c>
      <c r="AU8" s="28">
        <f t="shared" si="12"/>
        <v>1</v>
      </c>
    </row>
    <row r="9" spans="1:47">
      <c r="A9" s="13">
        <v>7</v>
      </c>
      <c r="B9" s="16">
        <f>_xlfn.MAXIFS('Model output'!B:B,'Model output'!Z:Z,'Classification result'!$A9)</f>
        <v>0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6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7"/>
        <v>negative</v>
      </c>
      <c r="AC9" s="17" t="str">
        <f t="shared" si="8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1" t="str">
        <f t="shared" si="1"/>
        <v>low</v>
      </c>
      <c r="AH9" s="38" t="str">
        <f t="shared" si="13"/>
        <v>1a</v>
      </c>
      <c r="AI9" s="38">
        <f t="shared" si="9"/>
        <v>0</v>
      </c>
      <c r="AJ9" s="38">
        <f t="shared" si="10"/>
        <v>0</v>
      </c>
      <c r="AK9" s="38" t="str">
        <f t="shared" si="3"/>
        <v>I</v>
      </c>
      <c r="AL9" s="10" t="s">
        <v>172</v>
      </c>
      <c r="AM9" s="26" t="s">
        <v>205</v>
      </c>
      <c r="AN9" s="26" t="s">
        <v>204</v>
      </c>
      <c r="AO9" s="26">
        <v>0</v>
      </c>
      <c r="AP9" s="26" t="s">
        <v>31</v>
      </c>
      <c r="AQ9" s="10">
        <f t="shared" si="4"/>
        <v>1</v>
      </c>
      <c r="AR9" s="26">
        <f t="shared" si="5"/>
        <v>1</v>
      </c>
      <c r="AS9" s="26">
        <f t="shared" si="11"/>
        <v>1</v>
      </c>
      <c r="AT9" s="26">
        <f t="shared" si="12"/>
        <v>1</v>
      </c>
      <c r="AU9" s="28">
        <f t="shared" si="12"/>
        <v>1</v>
      </c>
    </row>
    <row r="10" spans="1:47">
      <c r="A10" s="13">
        <v>8</v>
      </c>
      <c r="B10" s="16">
        <f>_xlfn.MAXIFS('Model output'!B:B,'Model output'!Z:Z,'Classification result'!$A10)</f>
        <v>0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6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7"/>
        <v>negative</v>
      </c>
      <c r="AC10" s="17" t="str">
        <f t="shared" si="8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1" t="str">
        <f t="shared" si="1"/>
        <v>low</v>
      </c>
      <c r="AH10" s="38" t="str">
        <f t="shared" si="13"/>
        <v>1b</v>
      </c>
      <c r="AI10" s="38" t="str">
        <f t="shared" si="9"/>
        <v>x</v>
      </c>
      <c r="AJ10" s="38">
        <f t="shared" si="10"/>
        <v>0</v>
      </c>
      <c r="AK10" s="38" t="str">
        <f t="shared" si="3"/>
        <v>I</v>
      </c>
      <c r="AL10" s="10" t="s">
        <v>172</v>
      </c>
      <c r="AM10" s="26" t="s">
        <v>203</v>
      </c>
      <c r="AN10" s="26" t="s">
        <v>204</v>
      </c>
      <c r="AO10" s="26">
        <v>0</v>
      </c>
      <c r="AP10" s="26" t="s">
        <v>31</v>
      </c>
      <c r="AQ10" s="10">
        <f t="shared" si="4"/>
        <v>1</v>
      </c>
      <c r="AR10" s="26">
        <f t="shared" si="5"/>
        <v>1</v>
      </c>
      <c r="AS10" s="26">
        <f t="shared" si="11"/>
        <v>1</v>
      </c>
      <c r="AT10" s="26">
        <f t="shared" si="12"/>
        <v>1</v>
      </c>
      <c r="AU10" s="28">
        <f t="shared" si="12"/>
        <v>1</v>
      </c>
    </row>
    <row r="11" spans="1:47">
      <c r="A11" s="13">
        <v>9</v>
      </c>
      <c r="B11" s="16">
        <f>_xlfn.MAXIFS('Model output'!B:B,'Model output'!Z:Z,'Classification result'!$A11)</f>
        <v>45537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6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7"/>
        <v>negative</v>
      </c>
      <c r="AC11" s="17" t="str">
        <f t="shared" si="8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1" t="str">
        <f t="shared" si="1"/>
        <v>low</v>
      </c>
      <c r="AH11" s="38" t="str">
        <f t="shared" si="13"/>
        <v>2</v>
      </c>
      <c r="AI11" s="38" t="str">
        <f t="shared" si="9"/>
        <v>1a</v>
      </c>
      <c r="AJ11" s="38">
        <f t="shared" si="10"/>
        <v>0</v>
      </c>
      <c r="AK11" s="38" t="str">
        <f t="shared" si="3"/>
        <v>II</v>
      </c>
      <c r="AL11" s="10" t="s">
        <v>170</v>
      </c>
      <c r="AM11" s="26" t="s">
        <v>379</v>
      </c>
      <c r="AN11" s="26" t="s">
        <v>205</v>
      </c>
      <c r="AO11" s="26">
        <v>0</v>
      </c>
      <c r="AP11" s="26" t="s">
        <v>44</v>
      </c>
      <c r="AQ11" s="10">
        <f t="shared" si="4"/>
        <v>0</v>
      </c>
      <c r="AR11" s="26">
        <f t="shared" si="5"/>
        <v>1</v>
      </c>
      <c r="AS11" s="26">
        <f t="shared" si="11"/>
        <v>1</v>
      </c>
      <c r="AT11" s="26">
        <f t="shared" si="12"/>
        <v>1</v>
      </c>
      <c r="AU11" s="28">
        <f t="shared" si="12"/>
        <v>1</v>
      </c>
    </row>
    <row r="12" spans="1:47">
      <c r="A12" s="13">
        <v>10</v>
      </c>
      <c r="B12" s="16">
        <f>_xlfn.MAXIFS('Model output'!B:B,'Model output'!Z:Z,'Classification result'!$A12)</f>
        <v>0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 subtype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6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7"/>
        <v>negative</v>
      </c>
      <c r="AC12" s="17" t="str">
        <f t="shared" si="8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1" t="str">
        <f t="shared" si="1"/>
        <v>low</v>
      </c>
      <c r="AH12" s="38" t="str">
        <f t="shared" si="13"/>
        <v>1b</v>
      </c>
      <c r="AI12" s="38" t="str">
        <f t="shared" si="9"/>
        <v>1a</v>
      </c>
      <c r="AJ12" s="38">
        <f t="shared" si="10"/>
        <v>0</v>
      </c>
      <c r="AK12" s="38" t="str">
        <f t="shared" si="3"/>
        <v>I</v>
      </c>
      <c r="AL12" s="10" t="s">
        <v>172</v>
      </c>
      <c r="AM12" s="26" t="s">
        <v>203</v>
      </c>
      <c r="AN12" s="26" t="s">
        <v>205</v>
      </c>
      <c r="AO12" s="26">
        <v>0</v>
      </c>
      <c r="AP12" s="26" t="s">
        <v>31</v>
      </c>
      <c r="AQ12" s="10">
        <f t="shared" si="4"/>
        <v>1</v>
      </c>
      <c r="AR12" s="26">
        <f t="shared" si="5"/>
        <v>1</v>
      </c>
      <c r="AS12" s="26">
        <f t="shared" si="11"/>
        <v>1</v>
      </c>
      <c r="AT12" s="26">
        <f t="shared" si="12"/>
        <v>1</v>
      </c>
      <c r="AU12" s="28">
        <f t="shared" si="12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6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7"/>
        <v>negative</v>
      </c>
      <c r="AC13" s="17" t="str">
        <f t="shared" si="8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1" t="str">
        <f t="shared" si="1"/>
        <v>low</v>
      </c>
      <c r="AH13" s="38" t="str">
        <f t="shared" si="13"/>
        <v>3a</v>
      </c>
      <c r="AI13" s="38" t="str">
        <f t="shared" si="9"/>
        <v>x</v>
      </c>
      <c r="AJ13" s="38">
        <f t="shared" si="10"/>
        <v>0</v>
      </c>
      <c r="AK13" s="38" t="str">
        <f t="shared" si="3"/>
        <v>II</v>
      </c>
      <c r="AL13" s="10" t="s">
        <v>172</v>
      </c>
      <c r="AM13" s="26" t="s">
        <v>207</v>
      </c>
      <c r="AN13" s="26" t="s">
        <v>204</v>
      </c>
      <c r="AO13" s="26">
        <v>0</v>
      </c>
      <c r="AP13" s="26" t="s">
        <v>44</v>
      </c>
      <c r="AQ13" s="10">
        <f t="shared" si="4"/>
        <v>1</v>
      </c>
      <c r="AR13" s="26">
        <f t="shared" si="5"/>
        <v>1</v>
      </c>
      <c r="AS13" s="26">
        <f t="shared" si="11"/>
        <v>1</v>
      </c>
      <c r="AT13" s="26">
        <f t="shared" si="12"/>
        <v>1</v>
      </c>
      <c r="AU13" s="28">
        <f t="shared" si="12"/>
        <v>1</v>
      </c>
    </row>
    <row r="14" spans="1:47">
      <c r="A14" s="13">
        <v>12</v>
      </c>
      <c r="B14" s="16">
        <f>_xlfn.MAXIFS('Model output'!B:B,'Model output'!Z:Z,'Classification result'!$A14)</f>
        <v>45356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 xml:space="preserve"> not assigned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6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7"/>
        <v>negative</v>
      </c>
      <c r="AC14" s="17" t="str">
        <f t="shared" si="8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1" t="str">
        <f t="shared" si="1"/>
        <v>low</v>
      </c>
      <c r="AH14" s="38" t="str">
        <f t="shared" ref="AH14:AH26" si="14">IF(OR(ISNUMBER(SEARCH("non-invasive follicular",O14)),ISNUMBER(SEARCH("papillary-like nuclear features",O14)),ISNUMBER(SEARCH("non-invasive follicular",P14)),ISNUMBER(SEARCH("papillary-like nuclear features",P14))),"NIFTP", IF(OR(D14="4b",AND(AC14="positive",OR(ISNUMBER(SEARCH("prevertebral",AD14)),ISNUMBER(SEARCH("fascia",AD14)),ISNUMBER(SEARCH("carotid artery",AD14)),ISNUMBER(SEARCH("mediastinal",AD14))))),"4b",IF(OR(D14="4a",AND(AC14="positive",OR(ISNUMBER(SEARCH("soft tissue",AD14)),ISNUMBER(SEARCH("larynx",AD14)),ISNUMBER(SEARCH("trachea",AD14)),ISNUMBER(SEARCH("esophagus",AD14)),ISNUMBER(SEARCH("recurrent laryngeal nerve",AD14)),ISNUMBER(SEARCH("RLN",AD14))))),"4a", IF(OR(D14="3b", AC14="positive",ISNUMBER(SEARCH("strap",AD14)),ISNUMBER(SEARCH("sternothyroid",AD14)),ISNUMBER(SEARCH("sternohyoid",AD14)),ISNUMBER(SEARCH("thyrohyoid",AD14)),ISNUMBER(SEARCH("omohyoid",AD14))),"3b",IF(OR(D14="3a", AND(S14&lt;&gt;"",S14&gt;4)),"3a",IF(AND(S14&lt;&gt;"", S14&lt;=4,S14&gt;2),"2",IF(AND(S14&lt;&gt;"",S14&lt;=2,S14&gt;1),"1b",IF(AND(S14&lt;&gt;"",S14&lt;=1),"1a","1a"))))))))</f>
        <v>3a</v>
      </c>
      <c r="AI14" s="38" t="str">
        <f t="shared" si="9"/>
        <v>x</v>
      </c>
      <c r="AJ14" s="38">
        <f t="shared" si="10"/>
        <v>0</v>
      </c>
      <c r="AK14" s="38" t="str">
        <f t="shared" si="3"/>
        <v>II</v>
      </c>
      <c r="AL14" s="10" t="s">
        <v>170</v>
      </c>
      <c r="AM14" s="26" t="s">
        <v>207</v>
      </c>
      <c r="AN14" s="26" t="s">
        <v>204</v>
      </c>
      <c r="AO14" s="26">
        <v>0</v>
      </c>
      <c r="AP14" s="26" t="s">
        <v>44</v>
      </c>
      <c r="AQ14" s="10">
        <f t="shared" si="4"/>
        <v>0</v>
      </c>
      <c r="AR14" s="26">
        <f t="shared" si="5"/>
        <v>1</v>
      </c>
      <c r="AS14" s="26">
        <f t="shared" si="11"/>
        <v>1</v>
      </c>
      <c r="AT14" s="26">
        <f t="shared" si="12"/>
        <v>1</v>
      </c>
      <c r="AU14" s="28">
        <f t="shared" si="12"/>
        <v>1</v>
      </c>
    </row>
    <row r="15" spans="1:47">
      <c r="A15" s="13">
        <v>13</v>
      </c>
      <c r="B15" s="16">
        <f>_xlfn.MAXIFS('Model output'!B:B,'Model output'!Z:Z,'Classification result'!$A15)</f>
        <v>45509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4cm;4cm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>4cm;4cm</v>
      </c>
      <c r="N15" cm="1">
        <f t="array" ref="N15">IF(MaxSize((SplitDimensions(M15)))=0, "", MaxSize((SplitDimensions(M15))))</f>
        <v>4</v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6.3cm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6.3cm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6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7" t="str">
        <f t="shared" si="7"/>
        <v>positive</v>
      </c>
      <c r="AC15" s="17" t="str">
        <f t="shared" si="8"/>
        <v>negative</v>
      </c>
      <c r="AD15" t="str" cm="1">
        <f t="array" ref="AD15">_xlfn.TEXTJOIN("; ",TRUE,_xlfn._xlws.FILTER('Model output'!S:S,'Model output'!Z:Z=A15))</f>
        <v>Yes; Yes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1" t="str">
        <f t="shared" si="1"/>
        <v>high</v>
      </c>
      <c r="AH15" s="38" t="str">
        <f t="shared" si="14"/>
        <v>3a</v>
      </c>
      <c r="AI15" s="38" t="str">
        <f t="shared" si="9"/>
        <v>1b</v>
      </c>
      <c r="AJ15" s="38">
        <f t="shared" si="10"/>
        <v>0</v>
      </c>
      <c r="AK15" s="38" t="str">
        <f t="shared" si="3"/>
        <v>II</v>
      </c>
      <c r="AL15" s="10" t="s">
        <v>171</v>
      </c>
      <c r="AM15" s="26" t="s">
        <v>208</v>
      </c>
      <c r="AN15" s="26" t="s">
        <v>203</v>
      </c>
      <c r="AO15" s="26">
        <v>0</v>
      </c>
      <c r="AP15" s="26" t="s">
        <v>69</v>
      </c>
      <c r="AQ15" s="10">
        <f t="shared" si="4"/>
        <v>1</v>
      </c>
      <c r="AR15" s="26">
        <f t="shared" si="5"/>
        <v>0</v>
      </c>
      <c r="AS15" s="26">
        <f t="shared" si="11"/>
        <v>1</v>
      </c>
      <c r="AT15" s="26">
        <f t="shared" si="12"/>
        <v>1</v>
      </c>
      <c r="AU15" s="28">
        <f t="shared" si="12"/>
        <v>0</v>
      </c>
    </row>
    <row r="16" spans="1:47">
      <c r="A16" s="13">
        <v>14</v>
      </c>
      <c r="B16" s="16">
        <f>_xlfn.MAXIFS('Model output'!B:B,'Model output'!Z:Z,'Classification result'!$A16)</f>
        <v>45630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/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/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6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7"/>
        <v>positive</v>
      </c>
      <c r="AC16" s="17" t="str">
        <f t="shared" si="8"/>
        <v>negative</v>
      </c>
      <c r="AD16" t="str" cm="1">
        <f t="array" ref="AD16">_xlfn.TEXTJOIN("; ",TRUE,_xlfn._xlws.FILTER('Model output'!S:S,'Model output'!Z:Z=A16))</f>
        <v>TRUE; Yes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1" t="str">
        <f t="shared" si="1"/>
        <v>intermediate</v>
      </c>
      <c r="AH16" s="38" t="str">
        <f t="shared" si="14"/>
        <v>3b</v>
      </c>
      <c r="AI16" s="38" t="str">
        <f t="shared" si="9"/>
        <v>x</v>
      </c>
      <c r="AJ16" s="38">
        <f t="shared" si="10"/>
        <v>0</v>
      </c>
      <c r="AK16" s="38" t="str">
        <f t="shared" si="3"/>
        <v>I</v>
      </c>
      <c r="AL16" s="10" t="s">
        <v>171</v>
      </c>
      <c r="AM16" s="26" t="s">
        <v>206</v>
      </c>
      <c r="AN16" s="26" t="s">
        <v>204</v>
      </c>
      <c r="AO16" s="26">
        <v>0</v>
      </c>
      <c r="AP16" s="26" t="s">
        <v>31</v>
      </c>
      <c r="AQ16" s="10">
        <f t="shared" si="4"/>
        <v>0</v>
      </c>
      <c r="AR16" s="26">
        <f t="shared" si="5"/>
        <v>1</v>
      </c>
      <c r="AS16" s="26">
        <f t="shared" si="11"/>
        <v>1</v>
      </c>
      <c r="AT16" s="26">
        <f t="shared" si="12"/>
        <v>1</v>
      </c>
      <c r="AU16" s="28">
        <f t="shared" si="12"/>
        <v>1</v>
      </c>
    </row>
    <row r="17" spans="1:47">
      <c r="A17" s="13">
        <v>15</v>
      </c>
      <c r="B17" s="16">
        <f>_xlfn.MAXIFS('Model output'!B:B,'Model output'!Z:Z,'Classification result'!$A17)</f>
        <v>0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6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7"/>
        <v>negative</v>
      </c>
      <c r="AC17" s="17" t="str">
        <f t="shared" si="8"/>
        <v>negative</v>
      </c>
      <c r="AD17" t="str" cm="1">
        <f t="array" ref="AD17">_xlfn.TEXTJOIN("; ",TRUE,_xlfn._xlws.FILTER('Model output'!S:S,'Model output'!Z:Z=A17))</f>
        <v/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1" t="str">
        <f t="shared" si="1"/>
        <v>NIFTP</v>
      </c>
      <c r="AH17" s="38" t="str">
        <f t="shared" si="14"/>
        <v>NIFTP</v>
      </c>
      <c r="AI17" s="38" t="str">
        <f t="shared" si="9"/>
        <v>NIFTP</v>
      </c>
      <c r="AJ17" s="38" t="str">
        <f t="shared" si="10"/>
        <v>NIFTP</v>
      </c>
      <c r="AK17" s="38" t="str">
        <f t="shared" si="3"/>
        <v>NIFTP</v>
      </c>
      <c r="AL17" s="10" t="s">
        <v>76</v>
      </c>
      <c r="AM17" s="26" t="s">
        <v>76</v>
      </c>
      <c r="AN17" s="26" t="s">
        <v>76</v>
      </c>
      <c r="AO17" s="26" t="s">
        <v>76</v>
      </c>
      <c r="AP17" s="26" t="s">
        <v>76</v>
      </c>
      <c r="AQ17" s="10">
        <f t="shared" si="4"/>
        <v>1</v>
      </c>
      <c r="AR17" s="26">
        <f t="shared" si="5"/>
        <v>1</v>
      </c>
      <c r="AS17" s="26">
        <f t="shared" si="11"/>
        <v>1</v>
      </c>
      <c r="AT17" s="26">
        <f t="shared" si="12"/>
        <v>1</v>
      </c>
      <c r="AU17" s="28">
        <f t="shared" si="12"/>
        <v>1</v>
      </c>
    </row>
    <row r="18" spans="1:47">
      <c r="A18" s="13">
        <v>16</v>
      </c>
      <c r="B18" s="16">
        <f>_xlfn.MAXIFS('Model output'!B:B,'Model output'!Z:Z,'Classification result'!$A18)</f>
        <v>45537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6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7"/>
        <v>positive</v>
      </c>
      <c r="AC18" s="17" t="str">
        <f t="shared" si="8"/>
        <v>positive</v>
      </c>
      <c r="AD18" t="str" cm="1">
        <f t="array" ref="AD18">_xlfn.TEXTJOIN("; ",TRUE,_xlfn._xlws.FILTER('Model output'!S:S,'Model output'!Z:Z=A18))</f>
        <v>FALSE; Gross extrathyroidal extension with invasion to overlying strap muscles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1" t="str">
        <f t="shared" si="1"/>
        <v>high</v>
      </c>
      <c r="AH18" s="38" t="str">
        <f t="shared" si="14"/>
        <v>3b</v>
      </c>
      <c r="AI18" s="38">
        <f t="shared" si="9"/>
        <v>0</v>
      </c>
      <c r="AJ18" s="38">
        <f t="shared" si="10"/>
        <v>0</v>
      </c>
      <c r="AK18" s="38" t="str">
        <f t="shared" si="3"/>
        <v>I</v>
      </c>
      <c r="AL18" s="10" t="s">
        <v>170</v>
      </c>
      <c r="AM18" s="26" t="s">
        <v>379</v>
      </c>
      <c r="AN18" s="26">
        <v>0</v>
      </c>
      <c r="AO18" s="26">
        <v>0</v>
      </c>
      <c r="AP18" s="26" t="s">
        <v>31</v>
      </c>
      <c r="AQ18" s="10">
        <f t="shared" si="4"/>
        <v>0</v>
      </c>
      <c r="AR18" s="26">
        <f t="shared" si="5"/>
        <v>0</v>
      </c>
      <c r="AS18" s="26">
        <f t="shared" si="11"/>
        <v>1</v>
      </c>
      <c r="AT18" s="26">
        <f t="shared" si="12"/>
        <v>1</v>
      </c>
      <c r="AU18" s="28">
        <f t="shared" si="12"/>
        <v>1</v>
      </c>
    </row>
    <row r="19" spans="1:47">
      <c r="A19" s="13">
        <v>17</v>
      </c>
      <c r="B19" s="16">
        <f>_xlfn.MAXIFS('Model output'!B:B,'Model output'!Z:Z,'Classification result'!$A19)</f>
        <v>0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6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7"/>
        <v>negative</v>
      </c>
      <c r="AC19" s="17" t="str">
        <f t="shared" si="8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1" t="str">
        <f t="shared" si="1"/>
        <v>intermediate</v>
      </c>
      <c r="AH19" s="38" t="str">
        <f t="shared" si="14"/>
        <v>1b</v>
      </c>
      <c r="AI19" s="38" t="str">
        <f t="shared" si="9"/>
        <v>1b</v>
      </c>
      <c r="AJ19" s="38">
        <f t="shared" si="10"/>
        <v>0</v>
      </c>
      <c r="AK19" s="38" t="str">
        <f t="shared" si="3"/>
        <v>I</v>
      </c>
      <c r="AL19" s="10" t="s">
        <v>170</v>
      </c>
      <c r="AM19" s="26" t="s">
        <v>203</v>
      </c>
      <c r="AN19" s="26" t="s">
        <v>203</v>
      </c>
      <c r="AO19" s="26">
        <v>0</v>
      </c>
      <c r="AP19" s="26" t="s">
        <v>31</v>
      </c>
      <c r="AQ19" s="10">
        <f t="shared" si="4"/>
        <v>1</v>
      </c>
      <c r="AR19" s="26">
        <f t="shared" si="5"/>
        <v>1</v>
      </c>
      <c r="AS19" s="26">
        <f t="shared" si="11"/>
        <v>1</v>
      </c>
      <c r="AT19" s="26">
        <f t="shared" si="12"/>
        <v>1</v>
      </c>
      <c r="AU19" s="28">
        <f t="shared" si="12"/>
        <v>1</v>
      </c>
    </row>
    <row r="20" spans="1:47">
      <c r="A20" s="13">
        <v>18</v>
      </c>
      <c r="B20" s="16">
        <f>_xlfn.MAXIFS('Model output'!B:B,'Model output'!Z:Z,'Classification result'!$A20)</f>
        <v>45385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>12g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6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7"/>
        <v>positive</v>
      </c>
      <c r="AC20" s="17" t="str">
        <f t="shared" si="8"/>
        <v>positive</v>
      </c>
      <c r="AD20" t="str" cm="1">
        <f t="array" ref="AD20">_xlfn.TEXTJOIN("; ",TRUE,_xlfn._xlws.FILTER('Model output'!S:S,'Model output'!Z:Z=A20))</f>
        <v>Invading only strap muscles; Gross extrathyroidal extension with involvement of right cricothyroid and inferior constrictor muscle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1" t="str">
        <f t="shared" si="1"/>
        <v>high</v>
      </c>
      <c r="AH20" s="38" t="str">
        <f t="shared" si="14"/>
        <v>4a</v>
      </c>
      <c r="AI20" s="38" t="str">
        <f t="shared" si="9"/>
        <v>1a</v>
      </c>
      <c r="AJ20" s="38">
        <f t="shared" si="10"/>
        <v>0</v>
      </c>
      <c r="AK20" s="38" t="str">
        <f t="shared" si="3"/>
        <v>III</v>
      </c>
      <c r="AL20" s="10" t="s">
        <v>171</v>
      </c>
      <c r="AM20" s="26" t="s">
        <v>208</v>
      </c>
      <c r="AN20" s="26" t="s">
        <v>205</v>
      </c>
      <c r="AO20" s="26">
        <v>0</v>
      </c>
      <c r="AP20" s="26" t="s">
        <v>69</v>
      </c>
      <c r="AQ20" s="10">
        <f t="shared" si="4"/>
        <v>1</v>
      </c>
      <c r="AR20" s="26">
        <f t="shared" si="5"/>
        <v>1</v>
      </c>
      <c r="AS20" s="26">
        <f t="shared" si="11"/>
        <v>1</v>
      </c>
      <c r="AT20" s="26">
        <f t="shared" si="12"/>
        <v>1</v>
      </c>
      <c r="AU20" s="28">
        <f t="shared" si="12"/>
        <v>1</v>
      </c>
    </row>
    <row r="21" spans="1:47">
      <c r="A21" s="13">
        <v>19</v>
      </c>
      <c r="B21" s="16">
        <f>_xlfn.MAXIFS('Model output'!B:B,'Model output'!Z:Z,'Classification result'!$A21)</f>
        <v>0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6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7"/>
        <v>negative</v>
      </c>
      <c r="AC21" s="17" t="str">
        <f t="shared" si="8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1" t="str">
        <f t="shared" si="1"/>
        <v>low</v>
      </c>
      <c r="AH21" s="38" t="str">
        <f t="shared" si="14"/>
        <v>1a</v>
      </c>
      <c r="AI21" s="38">
        <f t="shared" si="9"/>
        <v>0</v>
      </c>
      <c r="AJ21" s="38">
        <f t="shared" si="10"/>
        <v>0</v>
      </c>
      <c r="AK21" s="38" t="str">
        <f t="shared" si="3"/>
        <v>I</v>
      </c>
      <c r="AL21" s="10" t="s">
        <v>172</v>
      </c>
      <c r="AM21" s="26" t="s">
        <v>205</v>
      </c>
      <c r="AN21" s="26">
        <v>0</v>
      </c>
      <c r="AO21" s="26">
        <v>0</v>
      </c>
      <c r="AP21" s="26" t="s">
        <v>31</v>
      </c>
      <c r="AQ21" s="10">
        <f t="shared" si="4"/>
        <v>1</v>
      </c>
      <c r="AR21" s="26">
        <f t="shared" si="5"/>
        <v>1</v>
      </c>
      <c r="AS21" s="26">
        <f t="shared" si="11"/>
        <v>1</v>
      </c>
      <c r="AT21" s="26">
        <f t="shared" si="12"/>
        <v>1</v>
      </c>
      <c r="AU21" s="28">
        <f t="shared" si="12"/>
        <v>1</v>
      </c>
    </row>
    <row r="22" spans="1:47">
      <c r="A22" s="13">
        <v>20</v>
      </c>
      <c r="B22" s="16">
        <f>_xlfn.MAXIFS('Model output'!B:B,'Model output'!Z:Z,'Classification result'!$A22)</f>
        <v>0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1.5cm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1.5cm</v>
      </c>
      <c r="S22" cm="1">
        <f t="array" ref="S22">IF(MaxSize((SplitDimensions(R22)))=0, "", MaxSize((SplitDimensions(R22))))</f>
        <v>1.5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6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7"/>
        <v>positive</v>
      </c>
      <c r="AC22" s="17" t="str">
        <f t="shared" si="8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1" t="str">
        <f t="shared" si="1"/>
        <v>intermediate</v>
      </c>
      <c r="AH22" s="38" t="str">
        <f t="shared" si="14"/>
        <v>1b</v>
      </c>
      <c r="AI22" s="38" t="str">
        <f t="shared" si="9"/>
        <v>1a</v>
      </c>
      <c r="AJ22" s="38">
        <f t="shared" si="10"/>
        <v>0</v>
      </c>
      <c r="AK22" s="38" t="str">
        <f t="shared" si="3"/>
        <v>II</v>
      </c>
      <c r="AL22" s="10" t="s">
        <v>170</v>
      </c>
      <c r="AM22" s="26" t="s">
        <v>203</v>
      </c>
      <c r="AN22" s="26" t="s">
        <v>205</v>
      </c>
      <c r="AO22" s="26">
        <v>0</v>
      </c>
      <c r="AP22" s="26" t="s">
        <v>44</v>
      </c>
      <c r="AQ22" s="10">
        <f t="shared" si="4"/>
        <v>1</v>
      </c>
      <c r="AR22" s="26">
        <f t="shared" si="5"/>
        <v>1</v>
      </c>
      <c r="AS22" s="26">
        <f t="shared" si="11"/>
        <v>1</v>
      </c>
      <c r="AT22" s="26">
        <f t="shared" si="12"/>
        <v>1</v>
      </c>
      <c r="AU22" s="28">
        <f t="shared" si="12"/>
        <v>1</v>
      </c>
    </row>
    <row r="23" spans="1:47">
      <c r="A23" s="13">
        <v>21</v>
      </c>
      <c r="B23" s="16">
        <f>_xlfn.MAXIFS('Model output'!B:B,'Model output'!Z:Z,'Classification result'!$A23)</f>
        <v>45413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6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7"/>
        <v>positive</v>
      </c>
      <c r="AC23" s="17" t="str">
        <f t="shared" si="8"/>
        <v>negative</v>
      </c>
      <c r="AD23" t="str" cm="1">
        <f t="array" ref="AD23">_xlfn.TEXTJOIN("; ",TRUE,_xlfn._xlws.FILTER('Model output'!S:S,'Model output'!Z:Z=A23))</f>
        <v>Yes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1" t="str">
        <f t="shared" si="1"/>
        <v>intermediate</v>
      </c>
      <c r="AH23" s="38" t="str">
        <f t="shared" si="14"/>
        <v>1b</v>
      </c>
      <c r="AI23" s="38" t="str">
        <f t="shared" si="9"/>
        <v>1a</v>
      </c>
      <c r="AJ23" s="38">
        <f t="shared" si="10"/>
        <v>0</v>
      </c>
      <c r="AK23" s="38" t="str">
        <f t="shared" si="3"/>
        <v>I</v>
      </c>
      <c r="AL23" s="10" t="s">
        <v>170</v>
      </c>
      <c r="AM23" s="26" t="s">
        <v>203</v>
      </c>
      <c r="AN23" s="26" t="s">
        <v>205</v>
      </c>
      <c r="AO23" s="26">
        <v>0</v>
      </c>
      <c r="AP23" s="26" t="s">
        <v>31</v>
      </c>
      <c r="AQ23" s="10">
        <f t="shared" si="4"/>
        <v>1</v>
      </c>
      <c r="AR23" s="26">
        <f t="shared" si="5"/>
        <v>1</v>
      </c>
      <c r="AS23" s="26">
        <f t="shared" si="11"/>
        <v>1</v>
      </c>
      <c r="AT23" s="26">
        <f t="shared" si="12"/>
        <v>1</v>
      </c>
      <c r="AU23" s="28">
        <f t="shared" si="12"/>
        <v>1</v>
      </c>
    </row>
    <row r="24" spans="1:47">
      <c r="A24" s="13">
        <v>22</v>
      </c>
      <c r="B24" s="16">
        <f>_xlfn.MAXIFS('Model output'!B:B,'Model output'!Z:Z,'Classification result'!$A24)</f>
        <v>45505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0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6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si="7"/>
        <v>negative</v>
      </c>
      <c r="AC24" s="17" t="str">
        <f t="shared" si="8"/>
        <v>negative</v>
      </c>
      <c r="AD24" t="str" cm="1">
        <f t="array" ref="AD24">_xlfn.TEXTJOIN("; ",TRUE,_xlfn._xlws.FILTER('Model output'!S:S,'Model output'!Z:Z=A24))</f>
        <v/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1" t="str">
        <f t="shared" si="1"/>
        <v>low</v>
      </c>
      <c r="AH24" s="38" t="str">
        <f t="shared" si="14"/>
        <v>1a</v>
      </c>
      <c r="AI24" s="38">
        <f t="shared" si="9"/>
        <v>0</v>
      </c>
      <c r="AJ24" s="38">
        <f t="shared" si="10"/>
        <v>0</v>
      </c>
      <c r="AK24" s="38" t="str">
        <f t="shared" si="3"/>
        <v>I</v>
      </c>
      <c r="AL24" s="10" t="s">
        <v>172</v>
      </c>
      <c r="AM24" s="26" t="s">
        <v>205</v>
      </c>
      <c r="AN24" s="26">
        <v>0</v>
      </c>
      <c r="AO24" s="26">
        <v>0</v>
      </c>
      <c r="AP24" s="26" t="s">
        <v>31</v>
      </c>
      <c r="AQ24" s="10">
        <f t="shared" si="4"/>
        <v>1</v>
      </c>
      <c r="AR24" s="26">
        <f t="shared" si="5"/>
        <v>1</v>
      </c>
      <c r="AS24" s="26">
        <f t="shared" si="11"/>
        <v>1</v>
      </c>
      <c r="AT24" s="26">
        <f t="shared" si="12"/>
        <v>1</v>
      </c>
      <c r="AU24" s="28">
        <f t="shared" si="12"/>
        <v>1</v>
      </c>
    </row>
    <row r="25" spans="1:47">
      <c r="A25" s="13">
        <v>23</v>
      </c>
      <c r="B25" s="16">
        <f>_xlfn.MAXIFS('Model output'!B:B,'Model output'!Z:Z,'Classification result'!$A25)</f>
        <v>45413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6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7"/>
        <v>positive</v>
      </c>
      <c r="AC25" s="17" t="str">
        <f t="shared" si="8"/>
        <v>negative</v>
      </c>
      <c r="AD25" t="str" cm="1">
        <f t="array" ref="AD25">_xlfn.TEXTJOIN("; ",TRUE,_xlfn._xlws.FILTER('Model output'!S:S,'Model output'!Z:Z=A25))</f>
        <v>Yes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1" t="str">
        <f t="shared" si="1"/>
        <v>intermediate</v>
      </c>
      <c r="AH25" s="38" t="str">
        <f t="shared" si="14"/>
        <v>1b</v>
      </c>
      <c r="AI25" s="38">
        <f t="shared" si="9"/>
        <v>0</v>
      </c>
      <c r="AJ25" s="38">
        <f t="shared" si="10"/>
        <v>0</v>
      </c>
      <c r="AK25" s="38" t="str">
        <f t="shared" si="3"/>
        <v>I</v>
      </c>
      <c r="AL25" s="10" t="s">
        <v>170</v>
      </c>
      <c r="AM25" s="26" t="s">
        <v>203</v>
      </c>
      <c r="AN25" s="26">
        <v>0</v>
      </c>
      <c r="AO25" s="26">
        <v>0</v>
      </c>
      <c r="AP25" s="26" t="s">
        <v>31</v>
      </c>
      <c r="AQ25" s="10">
        <f t="shared" si="4"/>
        <v>1</v>
      </c>
      <c r="AR25" s="26">
        <f t="shared" si="5"/>
        <v>1</v>
      </c>
      <c r="AS25" s="26">
        <f t="shared" si="11"/>
        <v>1</v>
      </c>
      <c r="AT25" s="26">
        <f t="shared" si="12"/>
        <v>1</v>
      </c>
      <c r="AU25" s="28">
        <f t="shared" si="12"/>
        <v>1</v>
      </c>
    </row>
    <row r="26" spans="1:47">
      <c r="A26" s="13">
        <v>24</v>
      </c>
      <c r="B26" s="16">
        <f>_xlfn.MAXIFS('Model output'!B:B,'Model output'!Z:Z,'Classification result'!$A26)</f>
        <v>45566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6"/>
        <v>minimal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7"/>
        <v>positive</v>
      </c>
      <c r="AC26" s="17" t="str">
        <f t="shared" si="8"/>
        <v>negative</v>
      </c>
      <c r="AD26" t="str" cm="1">
        <f t="array" ref="AD26">_xlfn.TEXTJOIN("; ",TRUE,_xlfn._xlws.FILTER('Model output'!S:S,'Model output'!Z:Z=A26))</f>
        <v>Present (minimal)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1" t="str">
        <f t="shared" si="1"/>
        <v>intermediate</v>
      </c>
      <c r="AH26" s="38" t="str">
        <f t="shared" si="14"/>
        <v>4a</v>
      </c>
      <c r="AI26" s="38" t="str">
        <f t="shared" si="9"/>
        <v>1b</v>
      </c>
      <c r="AJ26" s="38">
        <f t="shared" si="10"/>
        <v>0</v>
      </c>
      <c r="AK26" s="38" t="str">
        <f t="shared" si="3"/>
        <v>III</v>
      </c>
      <c r="AL26" s="10" t="s">
        <v>171</v>
      </c>
      <c r="AM26" s="26" t="s">
        <v>208</v>
      </c>
      <c r="AN26" s="26" t="s">
        <v>203</v>
      </c>
      <c r="AO26" s="26">
        <v>0</v>
      </c>
      <c r="AP26" s="26" t="s">
        <v>69</v>
      </c>
      <c r="AQ26" s="10">
        <f t="shared" si="4"/>
        <v>0</v>
      </c>
      <c r="AR26" s="26">
        <f t="shared" si="5"/>
        <v>1</v>
      </c>
      <c r="AS26" s="26">
        <f t="shared" si="11"/>
        <v>1</v>
      </c>
      <c r="AT26" s="26">
        <f t="shared" si="12"/>
        <v>1</v>
      </c>
      <c r="AU26" s="28">
        <f t="shared" si="12"/>
        <v>1</v>
      </c>
    </row>
    <row r="27" spans="1:47">
      <c r="A27" s="13">
        <v>25</v>
      </c>
      <c r="B27" s="16">
        <f>_xlfn.MAXIFS('Model output'!B:B,'Model output'!Z:Z,'Classification result'!$A27)</f>
        <v>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6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7"/>
        <v>negative</v>
      </c>
      <c r="AC27" s="17" t="str">
        <f t="shared" si="8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1" t="str">
        <f t="shared" si="1"/>
        <v>low</v>
      </c>
      <c r="AH27" s="38" t="str">
        <f t="shared" ref="AH27:AH32" si="15">IF(OR(ISNUMBER(SEARCH("non-invasive follicular",O27)),ISNUMBER(SEARCH("papillary-like nuclear features",O27)),ISNUMBER(SEARCH("non-invasive follicular",P27)),ISNUMBER(SEARCH("papillary-like nuclear features",P27))),"NIFTP", IF(OR(D27="4b",AND(AC27="positive",OR(ISNUMBER(SEARCH("prevertebral",AD27)),ISNUMBER(SEARCH("fascia",AD27)),ISNUMBER(SEARCH("carotid artery",AD27)),ISNUMBER(SEARCH("mediastinal",AD27))))),"4b",IF(OR(D27="4a",AND(AC27="positive",OR(ISNUMBER(SEARCH("soft tissue",AD27)),ISNUMBER(SEARCH("larynx",AD27)),ISNUMBER(SEARCH("trachea",AD27)),ISNUMBER(SEARCH("esophagus",AD27)),ISNUMBER(SEARCH("recurrent laryngeal nerve",AD27)),ISNUMBER(SEARCH("RLN",AD27))))),"4a", IF(OR(D27="3b", AC27="positive",ISNUMBER(SEARCH("strap",AD27)),ISNUMBER(SEARCH("sternothyroid",AD27)),ISNUMBER(SEARCH("sternohyoid",AD27)),ISNUMBER(SEARCH("thyrohyoid",AD27)),ISNUMBER(SEARCH("omohyoid",AD27))),"3b",IF(OR(D27="3a", AND(S27&lt;&gt;"",S27&gt;4)),"3a",IF(AND(S27&lt;&gt;"", S27&lt;=4,S27&gt;2),"2",IF(AND(S27&lt;&gt;"",S27&lt;=2,S27&gt;1),"1b",IF(AND(S27&lt;&gt;"",S27&lt;=1),"1a","1a"))))))))</f>
        <v>1b</v>
      </c>
      <c r="AI27" s="38" t="str">
        <f t="shared" si="9"/>
        <v>x</v>
      </c>
      <c r="AJ27" s="38">
        <f t="shared" si="10"/>
        <v>0</v>
      </c>
      <c r="AK27" s="38" t="str">
        <f t="shared" si="3"/>
        <v>I</v>
      </c>
      <c r="AL27" s="10" t="s">
        <v>172</v>
      </c>
      <c r="AM27" s="26" t="s">
        <v>203</v>
      </c>
      <c r="AN27" s="26" t="s">
        <v>204</v>
      </c>
      <c r="AO27" s="26">
        <v>0</v>
      </c>
      <c r="AP27" s="26" t="s">
        <v>31</v>
      </c>
      <c r="AQ27" s="10">
        <f t="shared" si="4"/>
        <v>1</v>
      </c>
      <c r="AR27" s="26">
        <f t="shared" si="5"/>
        <v>1</v>
      </c>
      <c r="AS27" s="26">
        <f t="shared" si="11"/>
        <v>1</v>
      </c>
      <c r="AT27" s="26">
        <f t="shared" si="12"/>
        <v>1</v>
      </c>
      <c r="AU27" s="28">
        <f t="shared" si="12"/>
        <v>1</v>
      </c>
    </row>
    <row r="28" spans="1:47">
      <c r="A28" s="13">
        <v>26</v>
      </c>
      <c r="B28" s="16">
        <f>_xlfn.MAXIFS('Model output'!B:B,'Model output'!Z:Z,'Classification result'!$A28)</f>
        <v>0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/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/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6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7"/>
        <v>positive</v>
      </c>
      <c r="AC28" s="17" t="str">
        <f t="shared" si="8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Yes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1" t="str">
        <f t="shared" si="1"/>
        <v>intermediate</v>
      </c>
      <c r="AH28" s="38" t="str">
        <f t="shared" si="15"/>
        <v>1b</v>
      </c>
      <c r="AI28" s="38">
        <f t="shared" si="9"/>
        <v>0</v>
      </c>
      <c r="AJ28" s="38">
        <f t="shared" si="10"/>
        <v>0</v>
      </c>
      <c r="AK28" s="38" t="str">
        <f t="shared" si="3"/>
        <v>I</v>
      </c>
      <c r="AL28" s="10" t="s">
        <v>171</v>
      </c>
      <c r="AM28" s="26" t="s">
        <v>206</v>
      </c>
      <c r="AN28" s="26" t="s">
        <v>204</v>
      </c>
      <c r="AO28" s="26">
        <v>0</v>
      </c>
      <c r="AP28" s="26" t="s">
        <v>44</v>
      </c>
      <c r="AQ28" s="10">
        <f t="shared" si="4"/>
        <v>0</v>
      </c>
      <c r="AR28" s="26">
        <f t="shared" si="5"/>
        <v>0</v>
      </c>
      <c r="AS28" s="26">
        <f t="shared" si="11"/>
        <v>1</v>
      </c>
      <c r="AT28" s="26">
        <f t="shared" si="12"/>
        <v>1</v>
      </c>
      <c r="AU28" s="28">
        <f t="shared" si="12"/>
        <v>0</v>
      </c>
    </row>
    <row r="29" spans="1:47">
      <c r="A29" s="13">
        <v>27</v>
      </c>
      <c r="B29" s="16">
        <f>_xlfn.MAXIFS('Model output'!B:B,'Model output'!Z:Z,'Classification result'!$A29)</f>
        <v>0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2.2cm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2.2cm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6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7"/>
        <v>negative</v>
      </c>
      <c r="AC29" s="17" t="str">
        <f t="shared" si="8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1" t="str">
        <f t="shared" si="1"/>
        <v>low</v>
      </c>
      <c r="AH29" s="38" t="str">
        <f t="shared" si="15"/>
        <v>2</v>
      </c>
      <c r="AI29" s="38" t="str">
        <f t="shared" si="9"/>
        <v>1a</v>
      </c>
      <c r="AJ29" s="38">
        <f t="shared" si="10"/>
        <v>0</v>
      </c>
      <c r="AK29" s="38" t="str">
        <f t="shared" si="3"/>
        <v>I</v>
      </c>
      <c r="AL29" s="10" t="s">
        <v>172</v>
      </c>
      <c r="AM29" s="26" t="s">
        <v>205</v>
      </c>
      <c r="AN29" s="26" t="s">
        <v>205</v>
      </c>
      <c r="AO29" s="26">
        <v>0</v>
      </c>
      <c r="AP29" s="26" t="s">
        <v>31</v>
      </c>
      <c r="AQ29" s="10">
        <f t="shared" si="4"/>
        <v>1</v>
      </c>
      <c r="AR29" s="26">
        <f t="shared" si="5"/>
        <v>0</v>
      </c>
      <c r="AS29" s="26">
        <f t="shared" si="11"/>
        <v>1</v>
      </c>
      <c r="AT29" s="26">
        <f t="shared" si="12"/>
        <v>1</v>
      </c>
      <c r="AU29" s="28">
        <f t="shared" si="12"/>
        <v>1</v>
      </c>
    </row>
    <row r="30" spans="1:47">
      <c r="A30" s="13">
        <v>28</v>
      </c>
      <c r="B30" s="16">
        <f>_xlfn.MAXIFS('Model output'!B:B,'Model output'!Z:Z,'Classification result'!$A30)</f>
        <v>0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6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7"/>
        <v>negative</v>
      </c>
      <c r="AC30" s="17" t="str">
        <f t="shared" si="8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1" t="str">
        <f t="shared" si="1"/>
        <v>low</v>
      </c>
      <c r="AH30" s="38" t="str">
        <f t="shared" si="15"/>
        <v>1a</v>
      </c>
      <c r="AI30" s="38" t="str">
        <f t="shared" si="9"/>
        <v>1a</v>
      </c>
      <c r="AJ30" s="38">
        <f t="shared" si="10"/>
        <v>0</v>
      </c>
      <c r="AK30" s="38" t="str">
        <f t="shared" si="3"/>
        <v>II</v>
      </c>
      <c r="AL30" s="10" t="s">
        <v>172</v>
      </c>
      <c r="AM30" s="26" t="s">
        <v>205</v>
      </c>
      <c r="AN30" s="26" t="s">
        <v>205</v>
      </c>
      <c r="AO30" s="26">
        <v>0</v>
      </c>
      <c r="AP30" s="26" t="s">
        <v>44</v>
      </c>
      <c r="AQ30" s="10">
        <f t="shared" si="4"/>
        <v>1</v>
      </c>
      <c r="AR30" s="26">
        <f t="shared" si="5"/>
        <v>1</v>
      </c>
      <c r="AS30" s="26">
        <f t="shared" si="11"/>
        <v>1</v>
      </c>
      <c r="AT30" s="26">
        <f t="shared" si="12"/>
        <v>1</v>
      </c>
      <c r="AU30" s="28">
        <f t="shared" si="12"/>
        <v>1</v>
      </c>
    </row>
    <row r="31" spans="1:47">
      <c r="A31" s="13">
        <v>29</v>
      </c>
      <c r="B31" s="16">
        <f>_xlfn.MAXIFS('Model output'!B:B,'Model output'!Z:Z,'Classification result'!$A31)</f>
        <v>45242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5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6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7"/>
        <v>negative</v>
      </c>
      <c r="AC31" s="17" t="str">
        <f t="shared" si="8"/>
        <v>negative</v>
      </c>
      <c r="AD31" t="str" cm="1">
        <f t="array" ref="AD31">_xlfn.TEXTJOIN("; ",TRUE,_xlfn._xlws.FILTER('Model output'!S:S,'Model output'!Z:Z=A31))</f>
        <v>Not identified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1" t="str">
        <f t="shared" si="1"/>
        <v>low</v>
      </c>
      <c r="AH31" s="38" t="str">
        <f t="shared" si="15"/>
        <v>1a</v>
      </c>
      <c r="AI31" s="38">
        <f t="shared" si="9"/>
        <v>0</v>
      </c>
      <c r="AJ31" s="38">
        <f t="shared" si="10"/>
        <v>0</v>
      </c>
      <c r="AK31" s="38" t="str">
        <f t="shared" si="3"/>
        <v>I</v>
      </c>
      <c r="AL31" s="10" t="s">
        <v>172</v>
      </c>
      <c r="AM31" s="26" t="s">
        <v>205</v>
      </c>
      <c r="AN31" s="26" t="s">
        <v>204</v>
      </c>
      <c r="AO31" s="26">
        <v>0</v>
      </c>
      <c r="AP31" s="26" t="s">
        <v>31</v>
      </c>
      <c r="AQ31" s="10">
        <f t="shared" si="4"/>
        <v>1</v>
      </c>
      <c r="AR31" s="26">
        <f t="shared" si="5"/>
        <v>1</v>
      </c>
      <c r="AS31" s="26">
        <f t="shared" si="11"/>
        <v>1</v>
      </c>
      <c r="AT31" s="26">
        <f t="shared" si="12"/>
        <v>1</v>
      </c>
      <c r="AU31" s="28">
        <f t="shared" si="12"/>
        <v>1</v>
      </c>
    </row>
    <row r="32" spans="1:47">
      <c r="A32" s="13">
        <v>30</v>
      </c>
      <c r="B32" s="16">
        <f>_xlfn.MAXIFS('Model output'!B:B,'Model output'!Z:Z,'Classification result'!$A32)</f>
        <v>0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6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7"/>
        <v>negative</v>
      </c>
      <c r="AC32" s="17" t="str">
        <f t="shared" si="8"/>
        <v>negative</v>
      </c>
      <c r="AD32" t="str" cm="1">
        <f t="array" ref="AD32">_xlfn.TEXTJOIN("; ",TRUE,_xlfn._xlws.FILTER('Model output'!S:S,'Model output'!Z:Z=A32))</f>
        <v>no ETE</v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1" t="str">
        <f t="shared" si="1"/>
        <v>intermediate</v>
      </c>
      <c r="AH32" s="38" t="str">
        <f t="shared" si="15"/>
        <v>1b</v>
      </c>
      <c r="AI32" s="38" t="str">
        <f t="shared" si="9"/>
        <v>1b</v>
      </c>
      <c r="AJ32" s="38">
        <f t="shared" si="10"/>
        <v>0</v>
      </c>
      <c r="AK32" s="38" t="str">
        <f t="shared" si="3"/>
        <v>I</v>
      </c>
      <c r="AL32" s="10" t="s">
        <v>170</v>
      </c>
      <c r="AM32" s="26" t="s">
        <v>203</v>
      </c>
      <c r="AN32" s="26" t="s">
        <v>203</v>
      </c>
      <c r="AO32" s="26">
        <v>0</v>
      </c>
      <c r="AP32" s="26" t="s">
        <v>31</v>
      </c>
      <c r="AQ32" s="10">
        <f t="shared" si="4"/>
        <v>1</v>
      </c>
      <c r="AR32" s="26">
        <f t="shared" si="5"/>
        <v>1</v>
      </c>
      <c r="AS32" s="26">
        <f t="shared" si="11"/>
        <v>1</v>
      </c>
      <c r="AT32" s="26">
        <f t="shared" si="12"/>
        <v>1</v>
      </c>
      <c r="AU32" s="28">
        <f t="shared" si="12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6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7"/>
        <v>negative</v>
      </c>
      <c r="AC33" s="17" t="str">
        <f t="shared" si="8"/>
        <v>positive</v>
      </c>
      <c r="AD33" t="str" cm="1">
        <f t="array" ref="AD33">_xlfn.TEXTJOIN("; ",TRUE,_xlfn._xlws.FILTER('Model output'!S:S,'Model output'!Z:Z=A33))</f>
        <v>Gross extrathyroidal extension to overlying strap muscle, invasion to carotid sheath and wrapped around RLN at lower pole. Posteriorly it invaded to muscular layer of esophagus and prevertebral fascia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1" t="str">
        <f t="shared" si="1"/>
        <v>high</v>
      </c>
      <c r="AH33" s="38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4b</v>
      </c>
      <c r="AI33" s="38" t="str">
        <f t="shared" si="9"/>
        <v>1a</v>
      </c>
      <c r="AJ33" s="38">
        <f t="shared" si="10"/>
        <v>0</v>
      </c>
      <c r="AK33" s="38" t="str">
        <f t="shared" si="3"/>
        <v>IVA</v>
      </c>
      <c r="AL33" s="10" t="s">
        <v>171</v>
      </c>
      <c r="AM33" s="26" t="s">
        <v>209</v>
      </c>
      <c r="AN33" s="26" t="s">
        <v>205</v>
      </c>
      <c r="AO33" s="26">
        <v>0</v>
      </c>
      <c r="AP33" s="26" t="s">
        <v>380</v>
      </c>
      <c r="AQ33" s="10">
        <f t="shared" si="4"/>
        <v>1</v>
      </c>
      <c r="AR33" s="26">
        <f t="shared" si="5"/>
        <v>1</v>
      </c>
      <c r="AS33" s="26">
        <f t="shared" si="11"/>
        <v>1</v>
      </c>
      <c r="AT33" s="26">
        <f t="shared" si="12"/>
        <v>1</v>
      </c>
      <c r="AU33" s="28">
        <f t="shared" si="12"/>
        <v>1</v>
      </c>
    </row>
    <row r="34" spans="1:48">
      <c r="A34" s="13">
        <v>32</v>
      </c>
      <c r="B34" s="16">
        <f>_xlfn.MAXIFS('Model output'!B:B,'Model output'!Z:Z,'Classification result'!$A34)</f>
        <v>44837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3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= or &gt; 4 vessels</v>
      </c>
      <c r="W34" t="str">
        <f t="shared" si="6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7"/>
        <v>positive</v>
      </c>
      <c r="AC34" s="17" t="str">
        <f t="shared" si="8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1" t="str">
        <f t="shared" si="1"/>
        <v>high</v>
      </c>
      <c r="AH34" s="38" t="str">
        <f t="shared" ref="AH34:AH37" si="16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38" t="str">
        <f t="shared" si="9"/>
        <v>1a</v>
      </c>
      <c r="AJ34" s="38">
        <f t="shared" si="10"/>
        <v>0</v>
      </c>
      <c r="AK34" s="38" t="str">
        <f t="shared" si="3"/>
        <v>II</v>
      </c>
      <c r="AL34" s="10" t="s">
        <v>171</v>
      </c>
      <c r="AM34" s="26" t="s">
        <v>207</v>
      </c>
      <c r="AN34" s="26">
        <v>0</v>
      </c>
      <c r="AO34" s="26">
        <v>0</v>
      </c>
      <c r="AP34" s="26" t="s">
        <v>44</v>
      </c>
      <c r="AQ34" s="10">
        <f t="shared" si="4"/>
        <v>1</v>
      </c>
      <c r="AR34" s="26">
        <f t="shared" si="5"/>
        <v>0</v>
      </c>
      <c r="AS34" s="26">
        <f t="shared" si="11"/>
        <v>0</v>
      </c>
      <c r="AT34" s="26">
        <f t="shared" si="12"/>
        <v>1</v>
      </c>
      <c r="AU34" s="28">
        <f t="shared" si="12"/>
        <v>1</v>
      </c>
    </row>
    <row r="35" spans="1:48">
      <c r="A35" s="13">
        <v>33</v>
      </c>
      <c r="B35" s="16">
        <f>_xlfn.MAXIFS('Model output'!B:B,'Model output'!Z:Z,'Classification result'!$A35)</f>
        <v>44517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6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7"/>
        <v>negative</v>
      </c>
      <c r="AC35" s="17" t="str">
        <f t="shared" si="8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1" t="str">
        <f t="shared" si="1"/>
        <v>high</v>
      </c>
      <c r="AH35" s="38" t="str">
        <f t="shared" si="16"/>
        <v>1a</v>
      </c>
      <c r="AI35" s="38" t="str">
        <f t="shared" si="9"/>
        <v>x</v>
      </c>
      <c r="AJ35" s="38">
        <f t="shared" si="10"/>
        <v>1</v>
      </c>
      <c r="AK35" s="38" t="str">
        <f t="shared" si="3"/>
        <v>II</v>
      </c>
      <c r="AL35" s="10" t="s">
        <v>171</v>
      </c>
      <c r="AM35" s="26" t="s">
        <v>205</v>
      </c>
      <c r="AN35" s="26" t="s">
        <v>204</v>
      </c>
      <c r="AO35" s="26">
        <v>1</v>
      </c>
      <c r="AP35" s="26" t="s">
        <v>44</v>
      </c>
      <c r="AQ35" s="10">
        <f t="shared" si="4"/>
        <v>1</v>
      </c>
      <c r="AR35" s="26">
        <f t="shared" si="5"/>
        <v>1</v>
      </c>
      <c r="AS35" s="26">
        <f t="shared" si="11"/>
        <v>1</v>
      </c>
      <c r="AT35" s="26">
        <f t="shared" si="12"/>
        <v>1</v>
      </c>
      <c r="AU35" s="28">
        <f t="shared" si="12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= or &gt;4 vessels</v>
      </c>
      <c r="W36" t="str">
        <f t="shared" si="6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7" t="str">
        <f t="shared" si="7"/>
        <v>positive</v>
      </c>
      <c r="AC36" s="17" t="str">
        <f t="shared" si="8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Yes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1" t="str">
        <f t="shared" si="1"/>
        <v>high</v>
      </c>
      <c r="AH36" s="38" t="str">
        <f t="shared" si="16"/>
        <v>4a</v>
      </c>
      <c r="AI36" s="38">
        <f t="shared" si="9"/>
        <v>0</v>
      </c>
      <c r="AJ36" s="38">
        <f t="shared" si="10"/>
        <v>0</v>
      </c>
      <c r="AK36" s="38" t="str">
        <f t="shared" si="3"/>
        <v>III</v>
      </c>
      <c r="AL36" s="10" t="s">
        <v>171</v>
      </c>
      <c r="AM36" s="26" t="s">
        <v>208</v>
      </c>
      <c r="AN36" s="26">
        <v>0</v>
      </c>
      <c r="AO36" s="26">
        <v>0</v>
      </c>
      <c r="AP36" s="26" t="s">
        <v>69</v>
      </c>
      <c r="AQ36" s="10">
        <f t="shared" si="4"/>
        <v>1</v>
      </c>
      <c r="AR36" s="26">
        <f t="shared" si="5"/>
        <v>1</v>
      </c>
      <c r="AS36" s="26">
        <f t="shared" si="11"/>
        <v>1</v>
      </c>
      <c r="AT36" s="26">
        <f t="shared" si="12"/>
        <v>1</v>
      </c>
      <c r="AU36" s="28">
        <f t="shared" si="12"/>
        <v>1</v>
      </c>
    </row>
    <row r="37" spans="1:48">
      <c r="A37" s="29">
        <v>35</v>
      </c>
      <c r="B37" s="30">
        <f>_xlfn.MAXIFS('Model output'!B:B,'Model output'!Z:Z,'Classification result'!$A37)</f>
        <v>44508</v>
      </c>
      <c r="C37" s="31">
        <f>_xlfn.MAXIFS('Model output'!C:C,'Model output'!Z:Z,'Classification result'!$A37)</f>
        <v>62</v>
      </c>
      <c r="D37" s="31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3</v>
      </c>
      <c r="E37" s="31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</v>
      </c>
      <c r="F37" s="31" cm="1">
        <f t="array" ref="F37">IF(AND(SUBSTITUTE(_xlfn.TEXTJOIN("/", TRUE, _xlfn._xlws.FILTER('Model output'!F:F, 'Model output'!Z:Z=A37)),"M", "")="", I37="negative"),0,IF(I37="positive",1,0))</f>
        <v>1</v>
      </c>
      <c r="G37" s="32" t="str">
        <f t="shared" si="0"/>
        <v>positive</v>
      </c>
      <c r="H37" s="32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1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1">
        <f>IF(IFERROR(INDEX('Model output'!I:I, MATCH(A37, 'Model output'!Z:Z, 0)), "") &lt; K37, "", IFERROR(INDEX('Model output'!I:I, MATCH(A37, 'Model output'!Z:Z, 0)), ""))</f>
        <v>35</v>
      </c>
      <c r="K37" s="31">
        <f>IFERROR(INDEX('Model output'!J:J, MATCH(A37, 'Model output'!Z:Z, 0)), "")</f>
        <v>7</v>
      </c>
      <c r="L37" s="33" t="str" cm="1">
        <f t="array" ref="L37">ReplaceTo(ReplaceAnd(SUBSTITUTE(SUBSTITUTE(_xlfn.TEXTJOIN("; ", TRUE, _xlfn._xlws.FILTER('Model output'!K:K, 'Model output'!Z:Z=A37)), " ", ""), ",", ";")))</f>
        <v>5.5cm</v>
      </c>
      <c r="M37" s="32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5.5cm</v>
      </c>
      <c r="N37" s="32" cm="1">
        <f t="array" ref="N37">IF(MaxSize((SplitDimensions(M37)))=0, "", MaxSize((SplitDimensions(M37))))</f>
        <v>5.5</v>
      </c>
      <c r="O37" s="32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2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2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2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2" cm="1">
        <f t="array" ref="S37">IF(MaxSize((SplitDimensions(R37)))=0, "", MaxSize((SplitDimensions(R37))))</f>
        <v>2.5</v>
      </c>
      <c r="T37" s="31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1"/>
      <c r="V37" s="32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2" t="str">
        <f t="shared" si="6"/>
        <v>minimal</v>
      </c>
      <c r="X37" s="32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1" t="str">
        <f t="shared" si="7"/>
        <v>positive</v>
      </c>
      <c r="Z37" s="31"/>
      <c r="AA37" s="31"/>
      <c r="AB37" s="31"/>
      <c r="AC37" s="31" t="str">
        <f t="shared" si="8"/>
        <v>negative</v>
      </c>
      <c r="AD37" s="32" t="str" cm="1">
        <f t="array" ref="AD37">_xlfn.TEXTJOIN("; ",TRUE,_xlfn._xlws.FILTER('Model output'!S:S,'Model output'!Z:Z=A37))</f>
        <v>Yes</v>
      </c>
      <c r="AE37" s="31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1"/>
      <c r="AG37" s="42" t="str">
        <f t="shared" si="1"/>
        <v>high</v>
      </c>
      <c r="AH37" s="39" t="str">
        <f t="shared" si="16"/>
        <v>2</v>
      </c>
      <c r="AI37" s="39" t="str">
        <f t="shared" si="9"/>
        <v>1b</v>
      </c>
      <c r="AJ37" s="39">
        <f t="shared" si="10"/>
        <v>1</v>
      </c>
      <c r="AK37" s="43" t="str">
        <f t="shared" si="3"/>
        <v>IVB</v>
      </c>
      <c r="AL37" s="34" t="s">
        <v>171</v>
      </c>
      <c r="AM37" s="39" t="s">
        <v>379</v>
      </c>
      <c r="AN37" s="35" t="s">
        <v>203</v>
      </c>
      <c r="AO37" s="35">
        <v>1</v>
      </c>
      <c r="AP37" s="35" t="s">
        <v>381</v>
      </c>
      <c r="AQ37" s="34">
        <f t="shared" si="4"/>
        <v>1</v>
      </c>
      <c r="AR37" s="35">
        <f t="shared" si="5"/>
        <v>1</v>
      </c>
      <c r="AS37" s="35">
        <f t="shared" si="11"/>
        <v>1</v>
      </c>
      <c r="AT37" s="35">
        <f t="shared" si="12"/>
        <v>1</v>
      </c>
      <c r="AU37" s="36">
        <f t="shared" si="12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activeCell="G18" sqref="G18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233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243</v>
      </c>
      <c r="L1" t="s">
        <v>244</v>
      </c>
      <c r="M1" t="s">
        <v>245</v>
      </c>
      <c r="N1" t="s">
        <v>246</v>
      </c>
      <c r="O1" t="s">
        <v>247</v>
      </c>
      <c r="P1" t="s">
        <v>248</v>
      </c>
      <c r="Q1" t="s">
        <v>249</v>
      </c>
      <c r="R1" t="s">
        <v>250</v>
      </c>
      <c r="S1" t="s">
        <v>267</v>
      </c>
      <c r="T1" t="s">
        <v>251</v>
      </c>
      <c r="U1" t="s">
        <v>252</v>
      </c>
      <c r="V1" t="s">
        <v>253</v>
      </c>
      <c r="W1" t="s">
        <v>254</v>
      </c>
      <c r="X1" t="s">
        <v>255</v>
      </c>
      <c r="Z1" s="14" t="s">
        <v>266</v>
      </c>
    </row>
    <row r="2" spans="1:26">
      <c r="A2" t="s">
        <v>30</v>
      </c>
      <c r="B2" s="22" t="s">
        <v>268</v>
      </c>
      <c r="C2" s="22"/>
      <c r="D2" s="22" t="s">
        <v>160</v>
      </c>
      <c r="E2" s="22"/>
      <c r="F2" s="22"/>
      <c r="G2" s="22"/>
      <c r="H2" s="22"/>
      <c r="I2" s="22">
        <v>1</v>
      </c>
      <c r="J2" s="22">
        <v>0</v>
      </c>
      <c r="K2" s="22"/>
      <c r="L2" s="22" t="s">
        <v>32</v>
      </c>
      <c r="M2" s="22" t="s">
        <v>33</v>
      </c>
      <c r="N2" s="22" t="s">
        <v>212</v>
      </c>
      <c r="O2" s="22">
        <v>1</v>
      </c>
      <c r="P2" s="22"/>
      <c r="Q2" s="22"/>
      <c r="R2" s="22"/>
      <c r="S2" s="22"/>
      <c r="T2" s="22"/>
      <c r="U2" s="22"/>
      <c r="V2" s="22"/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35</v>
      </c>
      <c r="B3" s="22"/>
      <c r="C3" s="22">
        <v>67</v>
      </c>
      <c r="D3" s="22"/>
      <c r="E3" s="22"/>
      <c r="F3" s="22"/>
      <c r="G3" s="22"/>
      <c r="H3" s="22"/>
      <c r="I3" s="22">
        <v>1</v>
      </c>
      <c r="J3" s="22">
        <v>1</v>
      </c>
      <c r="K3" s="22"/>
      <c r="L3" s="22" t="s">
        <v>36</v>
      </c>
      <c r="M3" s="22"/>
      <c r="N3" s="22" t="s">
        <v>299</v>
      </c>
      <c r="O3" s="22">
        <v>2</v>
      </c>
      <c r="P3" s="22"/>
      <c r="Q3" s="22"/>
      <c r="R3" s="22"/>
      <c r="S3" s="22"/>
      <c r="T3" s="22"/>
      <c r="U3" s="22"/>
      <c r="V3" s="22"/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37</v>
      </c>
      <c r="B4" s="22" t="s">
        <v>271</v>
      </c>
      <c r="C4" s="22">
        <v>39</v>
      </c>
      <c r="D4" s="22" t="s">
        <v>220</v>
      </c>
      <c r="E4" s="22"/>
      <c r="F4" s="22"/>
      <c r="G4" s="22"/>
      <c r="H4" s="22"/>
      <c r="I4" s="22"/>
      <c r="J4" s="22"/>
      <c r="K4" s="22"/>
      <c r="L4" s="22" t="s">
        <v>174</v>
      </c>
      <c r="M4" s="22" t="s">
        <v>184</v>
      </c>
      <c r="N4" s="22" t="s">
        <v>38</v>
      </c>
      <c r="O4" s="22"/>
      <c r="P4" s="22"/>
      <c r="Q4" s="22"/>
      <c r="R4" s="22"/>
      <c r="S4" s="22"/>
      <c r="T4" s="22"/>
      <c r="U4" s="22"/>
      <c r="V4" s="22" t="s">
        <v>272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39</v>
      </c>
      <c r="B5" s="22"/>
      <c r="C5" s="22">
        <v>39</v>
      </c>
      <c r="D5" s="22"/>
      <c r="E5" s="22"/>
      <c r="F5" s="22"/>
      <c r="G5" s="22"/>
      <c r="H5" s="22"/>
      <c r="I5" s="22">
        <v>0</v>
      </c>
      <c r="J5" s="22">
        <v>0</v>
      </c>
      <c r="K5" s="22"/>
      <c r="L5" s="22" t="s">
        <v>216</v>
      </c>
      <c r="M5" s="22"/>
      <c r="N5" s="22"/>
      <c r="O5" s="22">
        <v>1</v>
      </c>
      <c r="P5" s="22"/>
      <c r="Q5" s="22"/>
      <c r="R5" s="22"/>
      <c r="S5" s="22"/>
      <c r="T5" s="22"/>
      <c r="U5" s="22"/>
      <c r="V5" s="22"/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40</v>
      </c>
      <c r="B6" s="22" t="s">
        <v>221</v>
      </c>
      <c r="C6" s="22"/>
      <c r="D6" s="22" t="s">
        <v>159</v>
      </c>
      <c r="E6" s="22" t="s">
        <v>166</v>
      </c>
      <c r="F6" s="22"/>
      <c r="G6" s="22"/>
      <c r="H6" s="22"/>
      <c r="I6" s="22">
        <v>5</v>
      </c>
      <c r="J6" s="22">
        <v>1</v>
      </c>
      <c r="K6" s="22" t="s">
        <v>41</v>
      </c>
      <c r="L6" s="22" t="s">
        <v>174</v>
      </c>
      <c r="M6" s="22" t="s">
        <v>177</v>
      </c>
      <c r="N6" s="22" t="s">
        <v>273</v>
      </c>
      <c r="O6" s="22"/>
      <c r="P6" s="22"/>
      <c r="Q6" s="22"/>
      <c r="R6" s="22"/>
      <c r="S6" s="22" t="s">
        <v>300</v>
      </c>
      <c r="T6" s="22"/>
      <c r="U6" s="22"/>
      <c r="V6" s="22"/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42</v>
      </c>
      <c r="B7" s="22"/>
      <c r="C7" s="22">
        <v>52</v>
      </c>
      <c r="D7" s="22"/>
      <c r="E7" s="22"/>
      <c r="F7" s="22"/>
      <c r="G7" s="22"/>
      <c r="H7" s="22"/>
      <c r="I7" s="22">
        <v>0</v>
      </c>
      <c r="J7" s="22">
        <v>0</v>
      </c>
      <c r="K7" s="22"/>
      <c r="L7" s="22" t="s">
        <v>179</v>
      </c>
      <c r="M7" s="22"/>
      <c r="N7" s="22" t="s">
        <v>301</v>
      </c>
      <c r="O7" s="22">
        <v>1</v>
      </c>
      <c r="P7" s="22"/>
      <c r="Q7" s="22"/>
      <c r="R7" s="22"/>
      <c r="S7" s="22"/>
      <c r="T7" s="22"/>
      <c r="U7" s="22"/>
      <c r="V7" s="22"/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43</v>
      </c>
      <c r="B8" s="22" t="s">
        <v>224</v>
      </c>
      <c r="C8" s="22"/>
      <c r="D8" s="22" t="s">
        <v>158</v>
      </c>
      <c r="E8" s="22" t="s">
        <v>166</v>
      </c>
      <c r="F8" s="22"/>
      <c r="G8" s="22"/>
      <c r="H8" s="22"/>
      <c r="I8" s="22">
        <v>6</v>
      </c>
      <c r="J8" s="22">
        <v>3</v>
      </c>
      <c r="K8" s="22" t="s">
        <v>45</v>
      </c>
      <c r="L8" s="22" t="s">
        <v>174</v>
      </c>
      <c r="M8" s="22" t="s">
        <v>184</v>
      </c>
      <c r="N8" s="22" t="s">
        <v>46</v>
      </c>
      <c r="O8" s="22"/>
      <c r="P8" s="22"/>
      <c r="Q8" s="22"/>
      <c r="R8" s="22"/>
      <c r="S8" s="22" t="s">
        <v>275</v>
      </c>
      <c r="T8" s="22"/>
      <c r="U8" s="22"/>
      <c r="V8" s="22" t="s">
        <v>302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47</v>
      </c>
      <c r="B9" s="22"/>
      <c r="C9" s="22">
        <v>61</v>
      </c>
      <c r="D9" s="22"/>
      <c r="E9" s="22"/>
      <c r="F9" s="22"/>
      <c r="G9" s="22" t="s">
        <v>256</v>
      </c>
      <c r="H9" s="22"/>
      <c r="I9" s="22">
        <v>1</v>
      </c>
      <c r="J9" s="22">
        <v>1</v>
      </c>
      <c r="K9" s="22"/>
      <c r="L9" s="22" t="s">
        <v>36</v>
      </c>
      <c r="M9" s="22"/>
      <c r="N9" s="22" t="s">
        <v>303</v>
      </c>
      <c r="O9" s="22">
        <v>2</v>
      </c>
      <c r="P9" s="22"/>
      <c r="Q9" s="22"/>
      <c r="R9" s="22"/>
      <c r="S9" s="22"/>
      <c r="T9" s="22"/>
      <c r="U9" s="22"/>
      <c r="V9" s="22"/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48</v>
      </c>
      <c r="B10" s="22" t="s">
        <v>276</v>
      </c>
      <c r="C10" s="22"/>
      <c r="D10" s="22" t="s">
        <v>163</v>
      </c>
      <c r="E10" s="22" t="s">
        <v>166</v>
      </c>
      <c r="F10" s="22"/>
      <c r="G10" s="22"/>
      <c r="H10" s="22"/>
      <c r="I10" s="22">
        <v>5</v>
      </c>
      <c r="J10" s="22">
        <v>1</v>
      </c>
      <c r="K10" s="22" t="s">
        <v>49</v>
      </c>
      <c r="L10" s="22" t="s">
        <v>174</v>
      </c>
      <c r="M10" s="22" t="s">
        <v>277</v>
      </c>
      <c r="N10" s="22" t="s">
        <v>214</v>
      </c>
      <c r="O10" s="22">
        <v>2</v>
      </c>
      <c r="P10" s="22" t="s">
        <v>257</v>
      </c>
      <c r="Q10" s="22"/>
      <c r="R10" s="22"/>
      <c r="S10" s="22" t="s">
        <v>304</v>
      </c>
      <c r="T10" s="22"/>
      <c r="U10" s="22"/>
      <c r="V10" s="22" t="s">
        <v>305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50</v>
      </c>
      <c r="B11" s="22" t="s">
        <v>276</v>
      </c>
      <c r="C11" s="22"/>
      <c r="D11" s="22"/>
      <c r="E11" s="22" t="s">
        <v>165</v>
      </c>
      <c r="F11" s="22"/>
      <c r="G11" s="22" t="s">
        <v>180</v>
      </c>
      <c r="H11" s="22"/>
      <c r="I11" s="22">
        <v>2</v>
      </c>
      <c r="J11" s="22">
        <v>1</v>
      </c>
      <c r="K11" s="22" t="s">
        <v>49</v>
      </c>
      <c r="L11" s="22" t="s">
        <v>216</v>
      </c>
      <c r="M11" s="22"/>
      <c r="N11" s="22"/>
      <c r="O11" s="22"/>
      <c r="P11" s="22"/>
      <c r="Q11" s="22"/>
      <c r="R11" s="22"/>
      <c r="S11" s="22"/>
      <c r="T11" s="22"/>
      <c r="U11" s="22"/>
      <c r="V11" s="22"/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51</v>
      </c>
      <c r="B12" s="22"/>
      <c r="C12" s="22">
        <v>34</v>
      </c>
      <c r="D12" s="22"/>
      <c r="E12" s="22"/>
      <c r="F12" s="22"/>
      <c r="G12" s="22"/>
      <c r="H12" s="22"/>
      <c r="I12" s="22">
        <v>1</v>
      </c>
      <c r="J12" s="22">
        <v>1</v>
      </c>
      <c r="K12" s="22"/>
      <c r="L12" s="22" t="s">
        <v>36</v>
      </c>
      <c r="M12" s="22"/>
      <c r="N12" s="22" t="s">
        <v>181</v>
      </c>
      <c r="O12" s="22">
        <v>1</v>
      </c>
      <c r="P12" s="22"/>
      <c r="Q12" s="22"/>
      <c r="R12" s="22"/>
      <c r="S12" s="22" t="s">
        <v>34</v>
      </c>
      <c r="T12" s="22"/>
      <c r="U12" s="22"/>
      <c r="V12" s="22"/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52</v>
      </c>
      <c r="B13" s="24">
        <v>45416</v>
      </c>
      <c r="C13" s="22">
        <v>66</v>
      </c>
      <c r="D13" s="22"/>
      <c r="E13" s="22"/>
      <c r="F13" s="22"/>
      <c r="G13" s="22"/>
      <c r="H13" s="22"/>
      <c r="I13" s="22">
        <v>0</v>
      </c>
      <c r="J13" s="22">
        <v>0</v>
      </c>
      <c r="K13" s="22"/>
      <c r="L13" s="22" t="s">
        <v>116</v>
      </c>
      <c r="M13" s="22" t="s">
        <v>64</v>
      </c>
      <c r="N13" s="22" t="s">
        <v>182</v>
      </c>
      <c r="O13" s="22">
        <v>1</v>
      </c>
      <c r="P13" s="22" t="s">
        <v>306</v>
      </c>
      <c r="Q13" s="22"/>
      <c r="R13" s="22" t="s">
        <v>307</v>
      </c>
      <c r="S13" s="22"/>
      <c r="T13" s="22"/>
      <c r="U13" s="22"/>
      <c r="V13" s="22" t="s">
        <v>308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53</v>
      </c>
      <c r="B14" s="22"/>
      <c r="C14" s="22">
        <v>66</v>
      </c>
      <c r="D14" s="22"/>
      <c r="E14" s="22"/>
      <c r="F14" s="22"/>
      <c r="G14" s="22"/>
      <c r="H14" s="22"/>
      <c r="I14" s="22">
        <v>1</v>
      </c>
      <c r="J14" s="22">
        <v>0</v>
      </c>
      <c r="K14" s="22"/>
      <c r="L14" s="22" t="s">
        <v>179</v>
      </c>
      <c r="M14" s="22"/>
      <c r="N14" s="22" t="s">
        <v>183</v>
      </c>
      <c r="O14" s="22">
        <v>1</v>
      </c>
      <c r="P14" s="22"/>
      <c r="Q14" s="22"/>
      <c r="R14" s="22"/>
      <c r="S14" s="22"/>
      <c r="T14" s="22"/>
      <c r="U14" s="22"/>
      <c r="V14" s="22"/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54</v>
      </c>
      <c r="B15" s="22" t="s">
        <v>278</v>
      </c>
      <c r="C15" s="22">
        <v>67</v>
      </c>
      <c r="D15" s="22" t="s">
        <v>159</v>
      </c>
      <c r="E15" s="22"/>
      <c r="F15" s="22"/>
      <c r="G15" s="22"/>
      <c r="H15" s="22"/>
      <c r="I15" s="22">
        <v>1</v>
      </c>
      <c r="J15" s="22">
        <v>0</v>
      </c>
      <c r="K15" s="22"/>
      <c r="L15" s="22" t="s">
        <v>174</v>
      </c>
      <c r="M15" s="22" t="s">
        <v>177</v>
      </c>
      <c r="N15" s="22" t="s">
        <v>309</v>
      </c>
      <c r="O15" s="22">
        <v>2</v>
      </c>
      <c r="P15" s="22"/>
      <c r="Q15" s="22"/>
      <c r="R15" s="22"/>
      <c r="S15" s="22"/>
      <c r="T15" s="22"/>
      <c r="U15" s="22"/>
      <c r="V15" s="22" t="s">
        <v>310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55</v>
      </c>
      <c r="B16" s="22"/>
      <c r="C16" s="22">
        <v>67</v>
      </c>
      <c r="D16" s="22"/>
      <c r="E16" s="22"/>
      <c r="F16" s="22"/>
      <c r="G16" s="22"/>
      <c r="H16" s="22"/>
      <c r="I16" s="22">
        <v>0</v>
      </c>
      <c r="J16" s="22">
        <v>0</v>
      </c>
      <c r="K16" s="22"/>
      <c r="L16" s="22"/>
      <c r="M16" s="22"/>
      <c r="N16" s="22" t="s">
        <v>311</v>
      </c>
      <c r="O16" s="22">
        <v>2</v>
      </c>
      <c r="P16" s="22"/>
      <c r="Q16" s="22"/>
      <c r="R16" s="22"/>
      <c r="S16" s="22"/>
      <c r="T16" s="22"/>
      <c r="U16" s="22"/>
      <c r="V16" s="22"/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B17" s="22" t="s">
        <v>226</v>
      </c>
      <c r="C17" s="22">
        <v>78</v>
      </c>
      <c r="D17" s="22" t="s">
        <v>160</v>
      </c>
      <c r="E17" s="22"/>
      <c r="F17" s="22"/>
      <c r="G17" s="22"/>
      <c r="H17" s="22"/>
      <c r="I17" s="22"/>
      <c r="J17" s="22"/>
      <c r="K17" s="22"/>
      <c r="L17" s="22" t="s">
        <v>174</v>
      </c>
      <c r="M17" s="22" t="s">
        <v>184</v>
      </c>
      <c r="N17" s="22" t="s">
        <v>57</v>
      </c>
      <c r="O17" s="22"/>
      <c r="P17" s="22"/>
      <c r="Q17" s="22"/>
      <c r="R17" s="22"/>
      <c r="S17" s="22"/>
      <c r="T17" s="22"/>
      <c r="U17" s="22"/>
      <c r="V17" s="22" t="s">
        <v>279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B18" s="22"/>
      <c r="C18" s="22">
        <v>78</v>
      </c>
      <c r="D18" s="22"/>
      <c r="E18" s="22"/>
      <c r="F18" s="22"/>
      <c r="G18" s="22"/>
      <c r="H18" s="22"/>
      <c r="I18" s="22">
        <v>0</v>
      </c>
      <c r="J18" s="22">
        <v>0</v>
      </c>
      <c r="K18" s="22"/>
      <c r="L18" s="22"/>
      <c r="M18" s="22"/>
      <c r="N18" s="22" t="s">
        <v>100</v>
      </c>
      <c r="O18" s="22">
        <v>1</v>
      </c>
      <c r="P18" s="22"/>
      <c r="Q18" s="22"/>
      <c r="R18" s="22"/>
      <c r="S18" s="22"/>
      <c r="T18" s="22"/>
      <c r="U18" s="22"/>
      <c r="V18" s="22"/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B19" s="24">
        <v>45537</v>
      </c>
      <c r="C19" s="22"/>
      <c r="D19" s="22" t="s">
        <v>161</v>
      </c>
      <c r="E19" s="22" t="s">
        <v>165</v>
      </c>
      <c r="F19" s="22"/>
      <c r="G19" s="22" t="s">
        <v>312</v>
      </c>
      <c r="H19" s="22"/>
      <c r="I19" s="22">
        <v>8</v>
      </c>
      <c r="J19" s="22">
        <v>4</v>
      </c>
      <c r="K19" s="22"/>
      <c r="L19" s="22" t="s">
        <v>32</v>
      </c>
      <c r="M19" s="22" t="s">
        <v>213</v>
      </c>
      <c r="N19" s="22" t="s">
        <v>313</v>
      </c>
      <c r="O19" s="22">
        <v>3</v>
      </c>
      <c r="P19" s="22"/>
      <c r="Q19" s="22"/>
      <c r="R19" s="22" t="s">
        <v>34</v>
      </c>
      <c r="S19" s="22"/>
      <c r="T19" s="22"/>
      <c r="U19" s="22"/>
      <c r="V19" s="22"/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B20" s="22"/>
      <c r="C20" s="22">
        <v>55</v>
      </c>
      <c r="D20" s="22"/>
      <c r="E20" s="22"/>
      <c r="F20" s="22"/>
      <c r="G20" s="22" t="s">
        <v>258</v>
      </c>
      <c r="H20" s="22"/>
      <c r="I20" s="22">
        <v>10</v>
      </c>
      <c r="J20" s="22">
        <v>2</v>
      </c>
      <c r="K20" s="22" t="s">
        <v>111</v>
      </c>
      <c r="L20" s="22" t="s">
        <v>36</v>
      </c>
      <c r="M20" s="22"/>
      <c r="N20" s="22" t="s">
        <v>314</v>
      </c>
      <c r="O20" s="22">
        <v>2</v>
      </c>
      <c r="P20" s="22"/>
      <c r="Q20" s="22"/>
      <c r="R20" s="22"/>
      <c r="S20" s="22"/>
      <c r="T20" s="22"/>
      <c r="U20" s="22"/>
      <c r="V20" s="22"/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B21" s="22" t="s">
        <v>227</v>
      </c>
      <c r="C21" s="22">
        <v>24</v>
      </c>
      <c r="D21" s="22" t="s">
        <v>160</v>
      </c>
      <c r="E21" s="22" t="s">
        <v>165</v>
      </c>
      <c r="F21" s="22"/>
      <c r="G21" s="22"/>
      <c r="H21" s="22"/>
      <c r="I21" s="22">
        <v>1</v>
      </c>
      <c r="J21" s="22">
        <v>1</v>
      </c>
      <c r="K21" s="22"/>
      <c r="L21" s="22" t="s">
        <v>174</v>
      </c>
      <c r="M21" s="22" t="s">
        <v>184</v>
      </c>
      <c r="N21" s="22" t="s">
        <v>315</v>
      </c>
      <c r="O21" s="22">
        <v>1</v>
      </c>
      <c r="P21" s="22"/>
      <c r="Q21" s="22"/>
      <c r="R21" s="22"/>
      <c r="S21" s="22"/>
      <c r="T21" s="22"/>
      <c r="U21" s="22"/>
      <c r="V21" s="22" t="s">
        <v>316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B22" s="22"/>
      <c r="C22" s="22">
        <v>24</v>
      </c>
      <c r="D22" s="22"/>
      <c r="E22" s="22"/>
      <c r="F22" s="22"/>
      <c r="G22" s="22"/>
      <c r="H22" s="22"/>
      <c r="I22" s="22">
        <v>0</v>
      </c>
      <c r="J22" s="22">
        <v>0</v>
      </c>
      <c r="K22" s="22"/>
      <c r="L22" s="22" t="s">
        <v>36</v>
      </c>
      <c r="M22" s="22"/>
      <c r="N22" s="22" t="s">
        <v>176</v>
      </c>
      <c r="O22" s="22">
        <v>1</v>
      </c>
      <c r="P22" s="22"/>
      <c r="Q22" s="22"/>
      <c r="R22" s="22"/>
      <c r="S22" s="22"/>
      <c r="T22" s="22"/>
      <c r="U22" s="22"/>
      <c r="V22" s="22"/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B23" s="22" t="s">
        <v>226</v>
      </c>
      <c r="C23" s="22">
        <v>70</v>
      </c>
      <c r="D23" s="22" t="s">
        <v>228</v>
      </c>
      <c r="E23" s="22"/>
      <c r="F23" s="22"/>
      <c r="G23" s="22"/>
      <c r="H23" s="22"/>
      <c r="I23" s="22"/>
      <c r="J23" s="22"/>
      <c r="K23" s="22"/>
      <c r="L23" s="22" t="s">
        <v>185</v>
      </c>
      <c r="M23" s="22"/>
      <c r="N23" s="22" t="s">
        <v>186</v>
      </c>
      <c r="O23" s="22">
        <v>2</v>
      </c>
      <c r="P23" s="22" t="s">
        <v>175</v>
      </c>
      <c r="Q23" s="22"/>
      <c r="R23" s="22" t="s">
        <v>317</v>
      </c>
      <c r="S23" s="22" t="s">
        <v>175</v>
      </c>
      <c r="T23" s="22"/>
      <c r="U23" s="22"/>
      <c r="V23" s="22" t="s">
        <v>274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65</v>
      </c>
      <c r="B24" s="23">
        <v>45443</v>
      </c>
      <c r="C24" s="22">
        <v>70</v>
      </c>
      <c r="D24" s="22"/>
      <c r="E24" s="22"/>
      <c r="F24" s="22"/>
      <c r="G24" s="22"/>
      <c r="H24" s="22"/>
      <c r="I24" s="22"/>
      <c r="J24" s="22"/>
      <c r="K24" s="22"/>
      <c r="L24" s="22" t="s">
        <v>179</v>
      </c>
      <c r="M24" s="22"/>
      <c r="N24" s="22" t="s">
        <v>318</v>
      </c>
      <c r="O24" s="22"/>
      <c r="P24" s="22"/>
      <c r="Q24" s="22"/>
      <c r="R24" s="22"/>
      <c r="S24" s="22"/>
      <c r="T24" s="22"/>
      <c r="U24" s="22"/>
      <c r="V24" s="22"/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66</v>
      </c>
      <c r="B25" s="24">
        <v>45356</v>
      </c>
      <c r="C25" s="22">
        <v>67</v>
      </c>
      <c r="D25" s="22" t="s">
        <v>156</v>
      </c>
      <c r="E25" s="22" t="s">
        <v>319</v>
      </c>
      <c r="F25" s="22"/>
      <c r="G25" s="22"/>
      <c r="H25" s="22"/>
      <c r="I25" s="22">
        <v>0</v>
      </c>
      <c r="J25" s="22">
        <v>0</v>
      </c>
      <c r="K25" s="22"/>
      <c r="L25" s="22" t="s">
        <v>185</v>
      </c>
      <c r="M25" s="22"/>
      <c r="N25" s="22" t="s">
        <v>186</v>
      </c>
      <c r="O25" s="22">
        <v>2</v>
      </c>
      <c r="P25" s="22" t="s">
        <v>259</v>
      </c>
      <c r="Q25" s="22"/>
      <c r="R25" s="22" t="s">
        <v>257</v>
      </c>
      <c r="S25" s="22"/>
      <c r="T25" s="22"/>
      <c r="U25" s="22"/>
      <c r="V25" s="22"/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67</v>
      </c>
      <c r="B26" s="22"/>
      <c r="C26" s="22">
        <v>67</v>
      </c>
      <c r="D26" s="22"/>
      <c r="E26" s="22"/>
      <c r="F26" s="22"/>
      <c r="G26" s="22"/>
      <c r="H26" s="22"/>
      <c r="I26" s="22">
        <v>0</v>
      </c>
      <c r="J26" s="22">
        <v>0</v>
      </c>
      <c r="K26" s="22"/>
      <c r="L26" s="22" t="s">
        <v>280</v>
      </c>
      <c r="M26" s="22"/>
      <c r="N26" s="22" t="s">
        <v>187</v>
      </c>
      <c r="O26" s="22">
        <v>2</v>
      </c>
      <c r="P26" s="22"/>
      <c r="Q26" s="22"/>
      <c r="R26" s="22"/>
      <c r="S26" s="22"/>
      <c r="T26" s="22"/>
      <c r="U26" s="22"/>
      <c r="V26" s="22"/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68</v>
      </c>
      <c r="B27" s="24">
        <v>45509</v>
      </c>
      <c r="C27" s="22">
        <v>66</v>
      </c>
      <c r="D27" s="22" t="s">
        <v>162</v>
      </c>
      <c r="E27" s="22" t="s">
        <v>167</v>
      </c>
      <c r="F27" s="22"/>
      <c r="G27" s="22" t="s">
        <v>320</v>
      </c>
      <c r="H27" s="22"/>
      <c r="I27" s="22">
        <v>19</v>
      </c>
      <c r="J27" s="22">
        <v>2</v>
      </c>
      <c r="K27" s="22" t="s">
        <v>321</v>
      </c>
      <c r="L27" s="22" t="s">
        <v>32</v>
      </c>
      <c r="M27" s="22" t="s">
        <v>213</v>
      </c>
      <c r="N27" s="22" t="s">
        <v>322</v>
      </c>
      <c r="O27" s="22">
        <v>1</v>
      </c>
      <c r="P27" s="22"/>
      <c r="Q27" s="22"/>
      <c r="R27" s="22"/>
      <c r="S27" s="22" t="s">
        <v>34</v>
      </c>
      <c r="T27" s="22"/>
      <c r="U27" s="22"/>
      <c r="V27" s="22"/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71</v>
      </c>
      <c r="B28" s="22"/>
      <c r="C28" s="22">
        <v>66</v>
      </c>
      <c r="D28" s="22"/>
      <c r="E28" s="22" t="s">
        <v>165</v>
      </c>
      <c r="F28" s="22"/>
      <c r="G28" s="22" t="s">
        <v>323</v>
      </c>
      <c r="H28" s="22"/>
      <c r="I28" s="22">
        <v>4</v>
      </c>
      <c r="J28" s="22">
        <v>1</v>
      </c>
      <c r="K28" s="22" t="s">
        <v>188</v>
      </c>
      <c r="L28" s="22" t="s">
        <v>292</v>
      </c>
      <c r="M28" s="22"/>
      <c r="N28" s="22" t="s">
        <v>324</v>
      </c>
      <c r="O28" s="22">
        <v>1</v>
      </c>
      <c r="P28" s="22"/>
      <c r="Q28" s="22"/>
      <c r="R28" s="22"/>
      <c r="S28" s="22" t="s">
        <v>34</v>
      </c>
      <c r="T28" s="22"/>
      <c r="U28" s="22"/>
      <c r="V28" s="22"/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72</v>
      </c>
      <c r="B29" s="24">
        <v>45630</v>
      </c>
      <c r="C29" s="22">
        <v>51</v>
      </c>
      <c r="D29" s="22" t="s">
        <v>225</v>
      </c>
      <c r="E29" s="22"/>
      <c r="F29" s="22"/>
      <c r="G29" s="22"/>
      <c r="H29" s="22"/>
      <c r="I29" s="22">
        <v>0</v>
      </c>
      <c r="J29" s="22">
        <v>0</v>
      </c>
      <c r="K29" s="22"/>
      <c r="L29" s="22" t="s">
        <v>174</v>
      </c>
      <c r="M29" s="22" t="s">
        <v>281</v>
      </c>
      <c r="N29" s="22" t="s">
        <v>73</v>
      </c>
      <c r="O29" s="22">
        <v>1</v>
      </c>
      <c r="P29" s="22" t="s">
        <v>259</v>
      </c>
      <c r="Q29" s="22"/>
      <c r="R29" s="22" t="b">
        <v>1</v>
      </c>
      <c r="S29" s="22" t="b">
        <v>1</v>
      </c>
      <c r="T29" s="22"/>
      <c r="U29" s="22"/>
      <c r="V29" s="22"/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74</v>
      </c>
      <c r="B30" s="22"/>
      <c r="C30" s="22">
        <v>51</v>
      </c>
      <c r="D30" s="22"/>
      <c r="E30" s="22"/>
      <c r="F30" s="22"/>
      <c r="G30" s="22"/>
      <c r="H30" s="22"/>
      <c r="I30" s="22">
        <v>0</v>
      </c>
      <c r="J30" s="22">
        <v>0</v>
      </c>
      <c r="K30" s="22"/>
      <c r="L30" s="22" t="s">
        <v>36</v>
      </c>
      <c r="M30" s="22"/>
      <c r="N30" s="22"/>
      <c r="O30" s="22">
        <v>1</v>
      </c>
      <c r="P30" s="22"/>
      <c r="Q30" s="22"/>
      <c r="R30" s="22"/>
      <c r="S30" s="22" t="s">
        <v>34</v>
      </c>
      <c r="T30" s="22"/>
      <c r="U30" s="22"/>
      <c r="V30" s="22"/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75</v>
      </c>
      <c r="B31" s="22" t="s">
        <v>229</v>
      </c>
      <c r="C31" s="22">
        <v>64</v>
      </c>
      <c r="D31" s="22"/>
      <c r="E31" s="22"/>
      <c r="F31" s="22"/>
      <c r="G31" s="22"/>
      <c r="H31" s="22"/>
      <c r="I31" s="22">
        <v>0</v>
      </c>
      <c r="J31" s="22">
        <v>0</v>
      </c>
      <c r="K31" s="22"/>
      <c r="L31" s="22" t="s">
        <v>116</v>
      </c>
      <c r="M31" s="22" t="s">
        <v>325</v>
      </c>
      <c r="N31" s="22" t="s">
        <v>326</v>
      </c>
      <c r="O31" s="22">
        <v>1</v>
      </c>
      <c r="P31" s="22" t="s">
        <v>215</v>
      </c>
      <c r="Q31" s="22"/>
      <c r="R31" s="22" t="s">
        <v>215</v>
      </c>
      <c r="S31" s="22"/>
      <c r="T31" s="22" t="s">
        <v>34</v>
      </c>
      <c r="U31" s="22" t="s">
        <v>327</v>
      </c>
      <c r="V31" s="22" t="s">
        <v>283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77</v>
      </c>
      <c r="B32" s="22"/>
      <c r="C32" s="22">
        <v>64</v>
      </c>
      <c r="D32" s="22"/>
      <c r="E32" s="22"/>
      <c r="F32" s="22"/>
      <c r="G32" s="22"/>
      <c r="H32" s="22"/>
      <c r="I32" s="22">
        <v>0</v>
      </c>
      <c r="J32" s="22">
        <v>0</v>
      </c>
      <c r="K32" s="22"/>
      <c r="L32" s="22" t="s">
        <v>36</v>
      </c>
      <c r="M32" s="22"/>
      <c r="N32" s="22"/>
      <c r="O32" s="22">
        <v>1</v>
      </c>
      <c r="P32" s="22"/>
      <c r="Q32" s="22"/>
      <c r="R32" s="22"/>
      <c r="S32" s="22"/>
      <c r="T32" s="22"/>
      <c r="U32" s="22"/>
      <c r="V32" s="22"/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78</v>
      </c>
      <c r="B33" s="24">
        <v>45537</v>
      </c>
      <c r="C33" s="22"/>
      <c r="D33" s="22" t="s">
        <v>161</v>
      </c>
      <c r="E33" s="22" t="s">
        <v>164</v>
      </c>
      <c r="F33" s="22"/>
      <c r="G33" s="22"/>
      <c r="H33" s="22"/>
      <c r="I33" s="22">
        <v>6</v>
      </c>
      <c r="J33" s="22">
        <v>0</v>
      </c>
      <c r="K33" s="22"/>
      <c r="L33" s="22" t="s">
        <v>32</v>
      </c>
      <c r="M33" s="22" t="s">
        <v>213</v>
      </c>
      <c r="N33" s="22" t="s">
        <v>328</v>
      </c>
      <c r="O33" s="22">
        <v>2</v>
      </c>
      <c r="P33" s="22" t="s">
        <v>260</v>
      </c>
      <c r="Q33" s="22"/>
      <c r="R33" s="22" t="b">
        <v>1</v>
      </c>
      <c r="S33" s="22" t="b">
        <v>0</v>
      </c>
      <c r="T33" s="22"/>
      <c r="U33" s="22"/>
      <c r="V33" s="22"/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79</v>
      </c>
      <c r="B34" s="22"/>
      <c r="C34" s="22">
        <v>43</v>
      </c>
      <c r="D34" s="22"/>
      <c r="E34" s="22"/>
      <c r="F34" s="22"/>
      <c r="G34" s="22" t="s">
        <v>256</v>
      </c>
      <c r="H34" s="22"/>
      <c r="I34" s="22">
        <v>1</v>
      </c>
      <c r="J34" s="22">
        <v>1</v>
      </c>
      <c r="K34" s="22"/>
      <c r="L34" s="22" t="s">
        <v>36</v>
      </c>
      <c r="M34" s="22"/>
      <c r="N34" s="22" t="s">
        <v>329</v>
      </c>
      <c r="O34" s="22">
        <v>1</v>
      </c>
      <c r="P34" s="22"/>
      <c r="Q34" s="22"/>
      <c r="R34" s="22"/>
      <c r="S34" s="22" t="s">
        <v>330</v>
      </c>
      <c r="T34" s="22"/>
      <c r="U34" s="22"/>
      <c r="V34" s="22"/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80</v>
      </c>
      <c r="B35" s="22" t="s">
        <v>284</v>
      </c>
      <c r="C35" s="22">
        <v>49</v>
      </c>
      <c r="D35" s="22" t="s">
        <v>160</v>
      </c>
      <c r="E35" s="22" t="s">
        <v>167</v>
      </c>
      <c r="F35" s="22"/>
      <c r="G35" s="22" t="s">
        <v>261</v>
      </c>
      <c r="H35" s="22"/>
      <c r="I35" s="22">
        <v>21</v>
      </c>
      <c r="J35" s="22">
        <v>5</v>
      </c>
      <c r="K35" s="22" t="s">
        <v>331</v>
      </c>
      <c r="L35" s="22" t="s">
        <v>174</v>
      </c>
      <c r="M35" s="22" t="s">
        <v>184</v>
      </c>
      <c r="N35" s="22" t="s">
        <v>70</v>
      </c>
      <c r="O35" s="22"/>
      <c r="P35" s="22"/>
      <c r="Q35" s="22"/>
      <c r="R35" s="22" t="s">
        <v>332</v>
      </c>
      <c r="S35" s="22"/>
      <c r="T35" s="22"/>
      <c r="U35" s="22"/>
      <c r="V35" s="22"/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82</v>
      </c>
      <c r="B36" s="22"/>
      <c r="C36" s="22">
        <v>49</v>
      </c>
      <c r="D36" s="22"/>
      <c r="E36" s="22"/>
      <c r="F36" s="22"/>
      <c r="G36" s="22"/>
      <c r="H36" s="22"/>
      <c r="I36" s="22">
        <v>2</v>
      </c>
      <c r="J36" s="22">
        <v>1</v>
      </c>
      <c r="K36" s="22"/>
      <c r="L36" s="22" t="s">
        <v>292</v>
      </c>
      <c r="M36" s="22"/>
      <c r="N36" s="22" t="s">
        <v>189</v>
      </c>
      <c r="O36" s="22">
        <v>1</v>
      </c>
      <c r="P36" s="22"/>
      <c r="Q36" s="22"/>
      <c r="R36" s="22"/>
      <c r="S36" s="22"/>
      <c r="T36" s="22"/>
      <c r="U36" s="22"/>
      <c r="V36" s="22"/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83</v>
      </c>
      <c r="B37" s="24">
        <v>45385</v>
      </c>
      <c r="C37" s="22"/>
      <c r="D37" s="22" t="s">
        <v>230</v>
      </c>
      <c r="E37" s="22" t="s">
        <v>223</v>
      </c>
      <c r="F37" s="22"/>
      <c r="G37" s="22" t="s">
        <v>333</v>
      </c>
      <c r="H37" s="22"/>
      <c r="I37" s="22">
        <v>4</v>
      </c>
      <c r="J37" s="22">
        <v>4</v>
      </c>
      <c r="K37" s="22"/>
      <c r="L37" s="22" t="s">
        <v>174</v>
      </c>
      <c r="M37" s="22" t="s">
        <v>184</v>
      </c>
      <c r="N37" s="22" t="s">
        <v>38</v>
      </c>
      <c r="O37" s="22">
        <v>1</v>
      </c>
      <c r="P37" s="22"/>
      <c r="Q37" s="22"/>
      <c r="R37" s="22"/>
      <c r="S37" s="22" t="s">
        <v>282</v>
      </c>
      <c r="T37" s="22"/>
      <c r="U37" s="22"/>
      <c r="V37" s="22"/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84</v>
      </c>
      <c r="B38" s="22"/>
      <c r="C38" s="22">
        <v>55</v>
      </c>
      <c r="D38" s="22"/>
      <c r="E38" s="22"/>
      <c r="F38" s="22"/>
      <c r="G38" s="22" t="s">
        <v>285</v>
      </c>
      <c r="H38" s="22"/>
      <c r="I38" s="22">
        <v>12</v>
      </c>
      <c r="J38" s="22">
        <v>1</v>
      </c>
      <c r="K38" s="22" t="s">
        <v>334</v>
      </c>
      <c r="L38" s="22" t="s">
        <v>36</v>
      </c>
      <c r="M38" s="22"/>
      <c r="N38" s="22" t="s">
        <v>334</v>
      </c>
      <c r="O38" s="22">
        <v>1</v>
      </c>
      <c r="P38" s="22"/>
      <c r="Q38" s="22"/>
      <c r="R38" s="22"/>
      <c r="S38" s="22" t="s">
        <v>335</v>
      </c>
      <c r="T38" s="22"/>
      <c r="U38" s="22"/>
      <c r="V38" s="22"/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85</v>
      </c>
      <c r="B39" s="22" t="s">
        <v>284</v>
      </c>
      <c r="C39" s="22">
        <v>23</v>
      </c>
      <c r="D39" s="22"/>
      <c r="E39" s="22"/>
      <c r="F39" s="22"/>
      <c r="G39" s="22"/>
      <c r="H39" s="22"/>
      <c r="I39" s="22">
        <v>1</v>
      </c>
      <c r="J39" s="22">
        <v>0</v>
      </c>
      <c r="K39" s="22"/>
      <c r="L39" s="22" t="s">
        <v>174</v>
      </c>
      <c r="M39" s="22" t="s">
        <v>184</v>
      </c>
      <c r="N39" s="22" t="s">
        <v>190</v>
      </c>
      <c r="O39" s="22">
        <v>1</v>
      </c>
      <c r="P39" s="22" t="s">
        <v>175</v>
      </c>
      <c r="Q39" s="22"/>
      <c r="R39" s="22"/>
      <c r="S39" s="22" t="s">
        <v>175</v>
      </c>
      <c r="T39" s="22"/>
      <c r="U39" s="22"/>
      <c r="V39" s="22" t="s">
        <v>336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86</v>
      </c>
      <c r="B40" s="22"/>
      <c r="C40" s="22">
        <v>23</v>
      </c>
      <c r="D40" s="22"/>
      <c r="E40" s="22"/>
      <c r="F40" s="22"/>
      <c r="G40" s="22"/>
      <c r="H40" s="22"/>
      <c r="I40" s="22">
        <v>0</v>
      </c>
      <c r="J40" s="22">
        <v>0</v>
      </c>
      <c r="K40" s="22"/>
      <c r="L40" s="22" t="s">
        <v>179</v>
      </c>
      <c r="M40" s="22"/>
      <c r="N40" s="22" t="s">
        <v>286</v>
      </c>
      <c r="O40" s="22">
        <v>1</v>
      </c>
      <c r="P40" s="22"/>
      <c r="Q40" s="22"/>
      <c r="R40" s="22"/>
      <c r="S40" s="22"/>
      <c r="T40" s="22"/>
      <c r="U40" s="22"/>
      <c r="V40" s="22"/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87</v>
      </c>
      <c r="B41" s="22" t="s">
        <v>221</v>
      </c>
      <c r="C41" s="22"/>
      <c r="D41" s="22" t="s">
        <v>158</v>
      </c>
      <c r="E41" s="22" t="s">
        <v>167</v>
      </c>
      <c r="F41" s="22"/>
      <c r="G41" s="22" t="s">
        <v>337</v>
      </c>
      <c r="H41" s="22"/>
      <c r="I41" s="22">
        <v>4</v>
      </c>
      <c r="J41" s="22">
        <v>3</v>
      </c>
      <c r="K41" s="22" t="s">
        <v>338</v>
      </c>
      <c r="L41" s="22" t="s">
        <v>216</v>
      </c>
      <c r="M41" s="22"/>
      <c r="N41" s="22" t="s">
        <v>339</v>
      </c>
      <c r="O41" s="22">
        <v>2</v>
      </c>
      <c r="P41" s="22" t="s">
        <v>340</v>
      </c>
      <c r="Q41" s="22"/>
      <c r="R41" s="22"/>
      <c r="S41" s="22" t="s">
        <v>341</v>
      </c>
      <c r="T41" s="22"/>
      <c r="U41" s="22"/>
      <c r="V41" s="22" t="s">
        <v>342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88</v>
      </c>
      <c r="B42" s="22"/>
      <c r="C42" s="22">
        <v>61</v>
      </c>
      <c r="D42" s="22"/>
      <c r="E42" s="22"/>
      <c r="F42" s="22"/>
      <c r="G42" s="22"/>
      <c r="H42" s="22"/>
      <c r="I42" s="22">
        <v>0</v>
      </c>
      <c r="J42" s="22">
        <v>0</v>
      </c>
      <c r="K42" s="22"/>
      <c r="L42" s="22" t="s">
        <v>292</v>
      </c>
      <c r="M42" s="22"/>
      <c r="N42" s="22" t="s">
        <v>287</v>
      </c>
      <c r="O42" s="22">
        <v>1</v>
      </c>
      <c r="P42" s="22"/>
      <c r="Q42" s="22"/>
      <c r="R42" s="22"/>
      <c r="S42" s="22"/>
      <c r="T42" s="22"/>
      <c r="U42" s="22"/>
      <c r="V42" s="22"/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89</v>
      </c>
      <c r="B43" s="24">
        <v>45413</v>
      </c>
      <c r="C43" s="22">
        <v>51</v>
      </c>
      <c r="D43" s="22" t="s">
        <v>161</v>
      </c>
      <c r="E43" s="22" t="s">
        <v>165</v>
      </c>
      <c r="F43" s="22"/>
      <c r="G43" s="22" t="s">
        <v>256</v>
      </c>
      <c r="H43" s="22"/>
      <c r="I43" s="22">
        <v>7</v>
      </c>
      <c r="J43" s="22">
        <v>4</v>
      </c>
      <c r="K43" s="22"/>
      <c r="L43" s="22" t="s">
        <v>32</v>
      </c>
      <c r="M43" s="22" t="s">
        <v>213</v>
      </c>
      <c r="N43" s="22" t="s">
        <v>90</v>
      </c>
      <c r="O43" s="22">
        <v>1</v>
      </c>
      <c r="P43" s="22" t="s">
        <v>34</v>
      </c>
      <c r="Q43" s="22"/>
      <c r="R43" s="22" t="s">
        <v>34</v>
      </c>
      <c r="S43" s="22" t="s">
        <v>34</v>
      </c>
      <c r="T43" s="22"/>
      <c r="U43" s="22"/>
      <c r="V43" s="22"/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91</v>
      </c>
      <c r="B44" s="22"/>
      <c r="C44" s="22">
        <v>51</v>
      </c>
      <c r="D44" s="22"/>
      <c r="E44" s="22"/>
      <c r="F44" s="22"/>
      <c r="G44" s="22"/>
      <c r="H44" s="22"/>
      <c r="I44" s="22">
        <v>1</v>
      </c>
      <c r="J44" s="22">
        <v>1</v>
      </c>
      <c r="K44" s="22"/>
      <c r="L44" s="22" t="s">
        <v>292</v>
      </c>
      <c r="M44" s="22"/>
      <c r="N44" s="22" t="s">
        <v>191</v>
      </c>
      <c r="O44" s="22">
        <v>1</v>
      </c>
      <c r="P44" s="22"/>
      <c r="Q44" s="22"/>
      <c r="R44" s="22"/>
      <c r="S44" s="22"/>
      <c r="T44" s="22"/>
      <c r="U44" s="22"/>
      <c r="V44" s="22"/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92</v>
      </c>
      <c r="B45" s="24">
        <v>45505</v>
      </c>
      <c r="C45" s="22">
        <v>50</v>
      </c>
      <c r="D45" s="22" t="s">
        <v>159</v>
      </c>
      <c r="E45" s="22" t="s">
        <v>164</v>
      </c>
      <c r="F45" s="22"/>
      <c r="G45" s="22"/>
      <c r="H45" s="22"/>
      <c r="I45" s="22">
        <v>1</v>
      </c>
      <c r="J45" s="22">
        <v>0</v>
      </c>
      <c r="K45" s="22"/>
      <c r="L45" s="22" t="s">
        <v>174</v>
      </c>
      <c r="M45" s="22" t="s">
        <v>184</v>
      </c>
      <c r="N45" s="22" t="s">
        <v>192</v>
      </c>
      <c r="O45" s="22">
        <v>1</v>
      </c>
      <c r="P45" s="22"/>
      <c r="Q45" s="22"/>
      <c r="R45" s="22"/>
      <c r="S45" s="22"/>
      <c r="T45" s="22"/>
      <c r="U45" s="22"/>
      <c r="V45" s="22"/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93</v>
      </c>
      <c r="B46" s="22"/>
      <c r="C46" s="22">
        <v>50</v>
      </c>
      <c r="D46" s="22" t="s">
        <v>158</v>
      </c>
      <c r="E46" s="22" t="s">
        <v>164</v>
      </c>
      <c r="F46" s="22" t="s">
        <v>168</v>
      </c>
      <c r="G46" s="22"/>
      <c r="H46" s="22"/>
      <c r="I46" s="22">
        <v>0</v>
      </c>
      <c r="J46" s="22">
        <v>0</v>
      </c>
      <c r="K46" s="22"/>
      <c r="L46" s="22" t="s">
        <v>36</v>
      </c>
      <c r="M46" s="22"/>
      <c r="N46" s="22" t="s">
        <v>193</v>
      </c>
      <c r="O46" s="22">
        <v>1</v>
      </c>
      <c r="P46" s="22"/>
      <c r="Q46" s="22"/>
      <c r="R46" s="22"/>
      <c r="S46" s="22"/>
      <c r="T46" s="22"/>
      <c r="U46" s="22"/>
      <c r="V46" s="22"/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94</v>
      </c>
      <c r="B47" s="24">
        <v>45413</v>
      </c>
      <c r="C47" s="22">
        <v>61</v>
      </c>
      <c r="D47" s="22"/>
      <c r="E47" s="22"/>
      <c r="F47" s="22"/>
      <c r="G47" s="22"/>
      <c r="H47" s="22"/>
      <c r="I47" s="22">
        <v>1</v>
      </c>
      <c r="J47" s="22">
        <v>0</v>
      </c>
      <c r="K47" s="22"/>
      <c r="L47" s="22" t="s">
        <v>174</v>
      </c>
      <c r="M47" s="22" t="s">
        <v>177</v>
      </c>
      <c r="N47" s="22" t="s">
        <v>343</v>
      </c>
      <c r="O47" s="22">
        <v>2</v>
      </c>
      <c r="P47" s="22" t="s">
        <v>215</v>
      </c>
      <c r="Q47" s="22"/>
      <c r="R47" s="22"/>
      <c r="S47" s="22" t="s">
        <v>34</v>
      </c>
      <c r="T47" s="22"/>
      <c r="U47" s="22"/>
      <c r="V47" s="22" t="s">
        <v>215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95</v>
      </c>
      <c r="B48" s="22"/>
      <c r="C48" s="22">
        <v>61</v>
      </c>
      <c r="D48" s="22"/>
      <c r="E48" s="22"/>
      <c r="F48" s="22"/>
      <c r="G48" s="22"/>
      <c r="H48" s="22"/>
      <c r="I48" s="22">
        <v>0</v>
      </c>
      <c r="J48" s="22">
        <v>0</v>
      </c>
      <c r="K48" s="22"/>
      <c r="L48" s="22" t="s">
        <v>280</v>
      </c>
      <c r="M48" s="22"/>
      <c r="N48" s="22" t="s">
        <v>194</v>
      </c>
      <c r="O48" s="22">
        <v>1</v>
      </c>
      <c r="P48" s="22"/>
      <c r="Q48" s="22"/>
      <c r="R48" s="22"/>
      <c r="S48" s="22"/>
      <c r="T48" s="22"/>
      <c r="U48" s="22"/>
      <c r="V48" s="22"/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96</v>
      </c>
      <c r="B49" s="24">
        <v>45566</v>
      </c>
      <c r="C49" s="22">
        <v>55</v>
      </c>
      <c r="D49" s="22" t="s">
        <v>157</v>
      </c>
      <c r="E49" s="22" t="s">
        <v>165</v>
      </c>
      <c r="F49" s="22"/>
      <c r="G49" s="22" t="s">
        <v>344</v>
      </c>
      <c r="H49" s="22"/>
      <c r="I49" s="22">
        <v>17</v>
      </c>
      <c r="J49" s="22">
        <v>9</v>
      </c>
      <c r="K49" s="22" t="s">
        <v>345</v>
      </c>
      <c r="L49" s="22" t="s">
        <v>32</v>
      </c>
      <c r="M49" s="22" t="s">
        <v>346</v>
      </c>
      <c r="N49" s="22" t="s">
        <v>347</v>
      </c>
      <c r="O49" s="22"/>
      <c r="P49" s="22" t="s">
        <v>178</v>
      </c>
      <c r="Q49" s="22"/>
      <c r="R49" s="22" t="s">
        <v>262</v>
      </c>
      <c r="S49" s="22" t="s">
        <v>288</v>
      </c>
      <c r="T49" s="22"/>
      <c r="U49" s="22"/>
      <c r="V49" s="22" t="s">
        <v>196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97</v>
      </c>
      <c r="B50" s="22"/>
      <c r="C50" s="22">
        <v>55</v>
      </c>
      <c r="D50" s="22"/>
      <c r="E50" s="22"/>
      <c r="F50" s="22"/>
      <c r="G50" s="22" t="s">
        <v>348</v>
      </c>
      <c r="H50" s="22"/>
      <c r="I50" s="22" t="s">
        <v>289</v>
      </c>
      <c r="J50" s="22" t="s">
        <v>289</v>
      </c>
      <c r="K50" s="22"/>
      <c r="L50" s="22" t="s">
        <v>292</v>
      </c>
      <c r="M50" s="22"/>
      <c r="N50" s="22" t="s">
        <v>169</v>
      </c>
      <c r="O50" s="22">
        <v>2</v>
      </c>
      <c r="P50" s="22" t="s">
        <v>34</v>
      </c>
      <c r="Q50" s="22"/>
      <c r="R50" s="22"/>
      <c r="S50" s="22"/>
      <c r="T50" s="22"/>
      <c r="U50" s="22"/>
      <c r="V50" s="22"/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98</v>
      </c>
      <c r="B51" s="22" t="s">
        <v>290</v>
      </c>
      <c r="C51" s="22">
        <v>42</v>
      </c>
      <c r="D51" s="22" t="s">
        <v>160</v>
      </c>
      <c r="E51" s="22"/>
      <c r="F51" s="22"/>
      <c r="G51" s="22"/>
      <c r="H51" s="22"/>
      <c r="I51" s="22"/>
      <c r="J51" s="22"/>
      <c r="K51" s="22"/>
      <c r="L51" s="22" t="s">
        <v>174</v>
      </c>
      <c r="M51" s="22" t="s">
        <v>349</v>
      </c>
      <c r="N51" s="22" t="s">
        <v>81</v>
      </c>
      <c r="O51" s="22">
        <v>1</v>
      </c>
      <c r="P51" s="22" t="s">
        <v>195</v>
      </c>
      <c r="Q51" s="22"/>
      <c r="R51" s="22" t="s">
        <v>195</v>
      </c>
      <c r="S51" s="22" t="s">
        <v>195</v>
      </c>
      <c r="T51" s="22"/>
      <c r="U51" s="22"/>
      <c r="V51" s="22"/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99</v>
      </c>
      <c r="B52" s="22"/>
      <c r="C52" s="22">
        <v>42</v>
      </c>
      <c r="D52" s="22" t="s">
        <v>158</v>
      </c>
      <c r="E52" s="22" t="s">
        <v>269</v>
      </c>
      <c r="F52" s="22" t="s">
        <v>270</v>
      </c>
      <c r="G52" s="22"/>
      <c r="H52" s="22"/>
      <c r="I52" s="22">
        <v>0</v>
      </c>
      <c r="J52" s="22">
        <v>0</v>
      </c>
      <c r="K52" s="22"/>
      <c r="L52" s="22" t="s">
        <v>216</v>
      </c>
      <c r="M52" s="22"/>
      <c r="N52" s="22" t="s">
        <v>100</v>
      </c>
      <c r="O52" s="22">
        <v>1</v>
      </c>
      <c r="P52" s="22"/>
      <c r="Q52" s="22"/>
      <c r="R52" s="22"/>
      <c r="S52" s="22"/>
      <c r="T52" s="22"/>
      <c r="U52" s="22"/>
      <c r="V52" s="22"/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101</v>
      </c>
      <c r="B53" s="22" t="s">
        <v>291</v>
      </c>
      <c r="C53" s="22">
        <v>73</v>
      </c>
      <c r="D53" s="22" t="s">
        <v>161</v>
      </c>
      <c r="E53" s="22"/>
      <c r="F53" s="22"/>
      <c r="G53" s="22"/>
      <c r="H53" s="22"/>
      <c r="I53" s="22">
        <v>1</v>
      </c>
      <c r="J53" s="22">
        <v>0</v>
      </c>
      <c r="K53" s="22"/>
      <c r="L53" s="22" t="s">
        <v>32</v>
      </c>
      <c r="M53" s="22" t="s">
        <v>213</v>
      </c>
      <c r="N53" s="22" t="s">
        <v>81</v>
      </c>
      <c r="O53" s="22">
        <v>1</v>
      </c>
      <c r="P53" s="22"/>
      <c r="Q53" s="22"/>
      <c r="R53" s="22"/>
      <c r="S53" s="22" t="s">
        <v>350</v>
      </c>
      <c r="T53" s="22"/>
      <c r="U53" s="22"/>
      <c r="V53" s="22"/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102</v>
      </c>
      <c r="B54" s="22"/>
      <c r="C54" s="22">
        <v>73</v>
      </c>
      <c r="D54" s="22"/>
      <c r="E54" s="22"/>
      <c r="F54" s="22"/>
      <c r="G54" s="22"/>
      <c r="H54" s="22"/>
      <c r="I54" s="22">
        <v>1</v>
      </c>
      <c r="J54" s="22">
        <v>0</v>
      </c>
      <c r="K54" s="22"/>
      <c r="L54" s="22" t="s">
        <v>292</v>
      </c>
      <c r="M54" s="22"/>
      <c r="N54" s="22" t="s">
        <v>100</v>
      </c>
      <c r="O54" s="22">
        <v>1</v>
      </c>
      <c r="P54" s="22"/>
      <c r="Q54" s="22"/>
      <c r="R54" s="22"/>
      <c r="S54" s="22" t="s">
        <v>34</v>
      </c>
      <c r="T54" s="22"/>
      <c r="U54" s="22"/>
      <c r="V54" s="22"/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103</v>
      </c>
      <c r="B55" s="22" t="s">
        <v>291</v>
      </c>
      <c r="C55" s="22"/>
      <c r="D55" s="22" t="s">
        <v>222</v>
      </c>
      <c r="E55" s="22" t="s">
        <v>351</v>
      </c>
      <c r="F55" s="22"/>
      <c r="G55" s="22" t="s">
        <v>293</v>
      </c>
      <c r="H55" s="22"/>
      <c r="I55" s="22">
        <v>2</v>
      </c>
      <c r="J55" s="22">
        <v>1</v>
      </c>
      <c r="K55" s="22" t="s">
        <v>352</v>
      </c>
      <c r="L55" s="22" t="s">
        <v>174</v>
      </c>
      <c r="M55" s="22"/>
      <c r="N55" s="22" t="s">
        <v>353</v>
      </c>
      <c r="O55" s="22">
        <v>3</v>
      </c>
      <c r="P55" s="22"/>
      <c r="Q55" s="22"/>
      <c r="R55" s="22"/>
      <c r="S55" s="22"/>
      <c r="T55" s="22"/>
      <c r="U55" s="22"/>
      <c r="V55" s="22"/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104</v>
      </c>
      <c r="B56" s="22"/>
      <c r="C56" s="22">
        <v>39</v>
      </c>
      <c r="D56" s="22"/>
      <c r="E56" s="22"/>
      <c r="F56" s="22"/>
      <c r="G56" s="22"/>
      <c r="H56" s="22"/>
      <c r="I56" s="22">
        <v>0</v>
      </c>
      <c r="J56" s="22">
        <v>0</v>
      </c>
      <c r="K56" s="22"/>
      <c r="L56" s="22" t="s">
        <v>354</v>
      </c>
      <c r="M56" s="22"/>
      <c r="N56" s="22" t="s">
        <v>183</v>
      </c>
      <c r="O56" s="22">
        <v>1</v>
      </c>
      <c r="P56" s="22"/>
      <c r="Q56" s="22"/>
      <c r="R56" s="22"/>
      <c r="S56" s="22"/>
      <c r="T56" s="22"/>
      <c r="U56" s="22"/>
      <c r="V56" s="22"/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105</v>
      </c>
      <c r="B57" s="22" t="s">
        <v>291</v>
      </c>
      <c r="C57" s="22">
        <v>57</v>
      </c>
      <c r="D57" s="22" t="s">
        <v>159</v>
      </c>
      <c r="E57" s="22" t="s">
        <v>166</v>
      </c>
      <c r="F57" s="22"/>
      <c r="G57" s="22" t="s">
        <v>355</v>
      </c>
      <c r="H57" s="22"/>
      <c r="I57" s="22">
        <v>5</v>
      </c>
      <c r="J57" s="22">
        <v>1</v>
      </c>
      <c r="K57" s="22" t="s">
        <v>106</v>
      </c>
      <c r="L57" s="22" t="s">
        <v>32</v>
      </c>
      <c r="M57" s="22"/>
      <c r="N57" s="22" t="s">
        <v>356</v>
      </c>
      <c r="O57" s="22">
        <v>2</v>
      </c>
      <c r="P57" s="22"/>
      <c r="Q57" s="22"/>
      <c r="R57" s="22"/>
      <c r="S57" s="22"/>
      <c r="T57" s="22"/>
      <c r="U57" s="22"/>
      <c r="V57" s="22"/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107</v>
      </c>
      <c r="B58" s="22"/>
      <c r="C58" s="22">
        <v>57</v>
      </c>
      <c r="D58" s="22"/>
      <c r="E58" s="22"/>
      <c r="F58" s="22"/>
      <c r="G58" s="22"/>
      <c r="H58" s="22"/>
      <c r="I58" s="22">
        <v>0</v>
      </c>
      <c r="J58" s="22">
        <v>0</v>
      </c>
      <c r="K58" s="22"/>
      <c r="L58" s="22" t="s">
        <v>292</v>
      </c>
      <c r="M58" s="22"/>
      <c r="N58" s="22" t="s">
        <v>191</v>
      </c>
      <c r="O58" s="22">
        <v>1</v>
      </c>
      <c r="P58" s="22"/>
      <c r="Q58" s="22"/>
      <c r="R58" s="22"/>
      <c r="S58" s="22"/>
      <c r="T58" s="22"/>
      <c r="U58" s="22"/>
      <c r="V58" s="22"/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108</v>
      </c>
      <c r="B59" s="24">
        <v>45242</v>
      </c>
      <c r="C59" s="22">
        <v>63</v>
      </c>
      <c r="D59" s="22" t="s">
        <v>159</v>
      </c>
      <c r="E59" s="22"/>
      <c r="F59" s="22"/>
      <c r="G59" s="22"/>
      <c r="H59" s="22"/>
      <c r="I59" s="22">
        <v>5</v>
      </c>
      <c r="J59" s="22">
        <v>0</v>
      </c>
      <c r="K59" s="22"/>
      <c r="L59" s="22" t="s">
        <v>174</v>
      </c>
      <c r="M59" s="22" t="s">
        <v>184</v>
      </c>
      <c r="N59" s="22" t="s">
        <v>217</v>
      </c>
      <c r="O59" s="22">
        <v>1</v>
      </c>
      <c r="P59" s="22" t="s">
        <v>175</v>
      </c>
      <c r="Q59" s="22"/>
      <c r="R59" s="22"/>
      <c r="S59" s="22" t="s">
        <v>175</v>
      </c>
      <c r="T59" s="22"/>
      <c r="U59" s="22"/>
      <c r="V59" s="22"/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109</v>
      </c>
      <c r="B60" s="22"/>
      <c r="C60" s="22">
        <v>63</v>
      </c>
      <c r="D60" s="22"/>
      <c r="E60" s="22"/>
      <c r="F60" s="22"/>
      <c r="G60" s="22"/>
      <c r="H60" s="22"/>
      <c r="I60" s="22">
        <v>0</v>
      </c>
      <c r="J60" s="22">
        <v>0</v>
      </c>
      <c r="K60" s="22"/>
      <c r="L60" s="22" t="s">
        <v>36</v>
      </c>
      <c r="M60" s="22"/>
      <c r="N60" s="22" t="s">
        <v>191</v>
      </c>
      <c r="O60" s="22">
        <v>1</v>
      </c>
      <c r="P60" s="22"/>
      <c r="Q60" s="22"/>
      <c r="R60" s="22"/>
      <c r="S60" s="22"/>
      <c r="T60" s="22"/>
      <c r="U60" s="22"/>
      <c r="V60" s="22"/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110</v>
      </c>
      <c r="B61" s="22" t="s">
        <v>294</v>
      </c>
      <c r="C61" s="22">
        <v>39</v>
      </c>
      <c r="D61" s="22" t="s">
        <v>160</v>
      </c>
      <c r="E61" s="22" t="s">
        <v>165</v>
      </c>
      <c r="F61" s="22"/>
      <c r="G61" s="22" t="s">
        <v>357</v>
      </c>
      <c r="H61" s="22"/>
      <c r="I61" s="22">
        <v>24</v>
      </c>
      <c r="J61" s="22">
        <v>3</v>
      </c>
      <c r="K61" s="22" t="s">
        <v>197</v>
      </c>
      <c r="L61" s="22" t="s">
        <v>174</v>
      </c>
      <c r="M61" s="22" t="s">
        <v>177</v>
      </c>
      <c r="N61" s="22" t="s">
        <v>358</v>
      </c>
      <c r="O61" s="22">
        <v>1</v>
      </c>
      <c r="P61" s="22"/>
      <c r="Q61" s="22"/>
      <c r="R61" s="22"/>
      <c r="S61" s="22"/>
      <c r="T61" s="22"/>
      <c r="U61" s="22"/>
      <c r="V61" s="22"/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112</v>
      </c>
      <c r="B62" s="22"/>
      <c r="C62" s="22">
        <v>39</v>
      </c>
      <c r="D62" s="22"/>
      <c r="E62" s="22" t="s">
        <v>165</v>
      </c>
      <c r="F62" s="22"/>
      <c r="G62" s="22" t="s">
        <v>198</v>
      </c>
      <c r="H62" s="22"/>
      <c r="I62" s="22">
        <v>7</v>
      </c>
      <c r="J62" s="22">
        <v>1</v>
      </c>
      <c r="K62" s="22"/>
      <c r="L62" s="22" t="s">
        <v>292</v>
      </c>
      <c r="M62" s="22"/>
      <c r="N62" s="22"/>
      <c r="O62" s="22">
        <v>1</v>
      </c>
      <c r="P62" s="22"/>
      <c r="Q62" s="22"/>
      <c r="R62" s="22"/>
      <c r="S62" s="22" t="s">
        <v>359</v>
      </c>
      <c r="T62" s="22"/>
      <c r="U62" s="22"/>
      <c r="V62" s="22"/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113</v>
      </c>
      <c r="B63" s="22" t="s">
        <v>231</v>
      </c>
      <c r="C63" s="22"/>
      <c r="D63" s="22" t="s">
        <v>161</v>
      </c>
      <c r="E63" s="22" t="s">
        <v>166</v>
      </c>
      <c r="F63" s="22"/>
      <c r="G63" s="22"/>
      <c r="H63" s="22"/>
      <c r="I63" s="22">
        <v>1</v>
      </c>
      <c r="J63" s="22">
        <v>1</v>
      </c>
      <c r="K63" s="22" t="s">
        <v>155</v>
      </c>
      <c r="L63" s="22" t="s">
        <v>32</v>
      </c>
      <c r="M63" s="22" t="s">
        <v>33</v>
      </c>
      <c r="N63" s="22" t="s">
        <v>360</v>
      </c>
      <c r="O63" s="22">
        <v>2</v>
      </c>
      <c r="P63" s="22" t="s">
        <v>340</v>
      </c>
      <c r="Q63" s="22"/>
      <c r="R63" s="22" t="s">
        <v>361</v>
      </c>
      <c r="S63" s="22"/>
      <c r="T63" s="22"/>
      <c r="U63" s="22"/>
      <c r="V63" s="22" t="s">
        <v>362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114</v>
      </c>
      <c r="B64" s="23">
        <v>43304</v>
      </c>
      <c r="C64" s="22">
        <v>60</v>
      </c>
      <c r="D64" s="22"/>
      <c r="E64" s="22"/>
      <c r="F64" s="22"/>
      <c r="G64" s="22"/>
      <c r="H64" s="22"/>
      <c r="I64" s="22">
        <v>1</v>
      </c>
      <c r="J64" s="22">
        <v>1</v>
      </c>
      <c r="K64" s="22"/>
      <c r="L64" s="22" t="s">
        <v>292</v>
      </c>
      <c r="M64" s="22"/>
      <c r="N64" s="22" t="s">
        <v>188</v>
      </c>
      <c r="O64" s="22">
        <v>1</v>
      </c>
      <c r="P64" s="22" t="s">
        <v>363</v>
      </c>
      <c r="Q64" s="22"/>
      <c r="R64" s="22"/>
      <c r="S64" s="22" t="s">
        <v>364</v>
      </c>
      <c r="T64" s="22"/>
      <c r="U64" s="22"/>
      <c r="V64" s="22"/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115</v>
      </c>
      <c r="B65" s="24">
        <v>44837</v>
      </c>
      <c r="C65" s="22"/>
      <c r="D65" s="22" t="s">
        <v>162</v>
      </c>
      <c r="E65" s="22" t="s">
        <v>165</v>
      </c>
      <c r="F65" s="22"/>
      <c r="G65" s="22" t="s">
        <v>180</v>
      </c>
      <c r="H65" s="22"/>
      <c r="I65" s="22">
        <v>3</v>
      </c>
      <c r="J65" s="22">
        <v>1</v>
      </c>
      <c r="K65" s="22"/>
      <c r="L65" s="22" t="s">
        <v>116</v>
      </c>
      <c r="M65" s="22"/>
      <c r="N65" s="22" t="s">
        <v>365</v>
      </c>
      <c r="O65" s="22"/>
      <c r="P65" s="22" t="s">
        <v>366</v>
      </c>
      <c r="Q65" s="22" t="s">
        <v>367</v>
      </c>
      <c r="R65" s="22" t="s">
        <v>368</v>
      </c>
      <c r="S65" s="22" t="s">
        <v>369</v>
      </c>
      <c r="T65" s="22"/>
      <c r="U65" s="22"/>
      <c r="V65" s="22" t="s">
        <v>295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117</v>
      </c>
      <c r="B66" s="23">
        <v>44629</v>
      </c>
      <c r="C66" s="22">
        <v>72</v>
      </c>
      <c r="D66" s="22"/>
      <c r="E66" s="22"/>
      <c r="F66" s="22"/>
      <c r="G66" s="22"/>
      <c r="H66" s="22"/>
      <c r="I66" s="22">
        <v>1</v>
      </c>
      <c r="J66" s="22">
        <v>0</v>
      </c>
      <c r="K66" s="22"/>
      <c r="L66" s="22" t="s">
        <v>263</v>
      </c>
      <c r="M66" s="22"/>
      <c r="N66" s="22" t="s">
        <v>370</v>
      </c>
      <c r="O66" s="22">
        <v>1</v>
      </c>
      <c r="P66" s="22"/>
      <c r="Q66" s="22"/>
      <c r="R66" s="22"/>
      <c r="S66" s="22"/>
      <c r="T66" s="22"/>
      <c r="U66" s="22"/>
      <c r="V66" s="22"/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118</v>
      </c>
      <c r="B67" s="22" t="s">
        <v>371</v>
      </c>
      <c r="C67" s="22"/>
      <c r="D67" s="22" t="s">
        <v>159</v>
      </c>
      <c r="E67" s="22"/>
      <c r="F67" s="22"/>
      <c r="G67" s="22"/>
      <c r="H67" s="22"/>
      <c r="I67" s="22"/>
      <c r="J67" s="22"/>
      <c r="K67" s="22"/>
      <c r="L67" s="22" t="s">
        <v>32</v>
      </c>
      <c r="M67" s="22"/>
      <c r="N67" s="22" t="s">
        <v>49</v>
      </c>
      <c r="O67" s="22">
        <v>1</v>
      </c>
      <c r="P67" s="22"/>
      <c r="Q67" s="22"/>
      <c r="R67" s="22"/>
      <c r="S67" s="22"/>
      <c r="T67" s="22"/>
      <c r="U67" s="22"/>
      <c r="V67" s="22"/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119</v>
      </c>
      <c r="B68" s="23">
        <v>44517</v>
      </c>
      <c r="C68" s="22">
        <v>41</v>
      </c>
      <c r="D68" s="22"/>
      <c r="E68" s="22"/>
      <c r="F68" s="22"/>
      <c r="G68" s="22"/>
      <c r="H68" s="22" t="s">
        <v>264</v>
      </c>
      <c r="I68" s="22"/>
      <c r="J68" s="22"/>
      <c r="K68" s="22"/>
      <c r="L68" s="22" t="s">
        <v>199</v>
      </c>
      <c r="M68" s="22"/>
      <c r="N68" s="22" t="s">
        <v>372</v>
      </c>
      <c r="O68" s="22"/>
      <c r="P68" s="22"/>
      <c r="Q68" s="22"/>
      <c r="R68" s="22"/>
      <c r="S68" s="22"/>
      <c r="T68" s="22"/>
      <c r="U68" s="22"/>
      <c r="V68" s="22"/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120</v>
      </c>
      <c r="B69" s="22" t="s">
        <v>232</v>
      </c>
      <c r="C69" s="22"/>
      <c r="D69" s="22" t="s">
        <v>157</v>
      </c>
      <c r="E69" s="22" t="s">
        <v>164</v>
      </c>
      <c r="F69" s="22"/>
      <c r="G69" s="22"/>
      <c r="H69" s="22"/>
      <c r="I69" s="22">
        <v>1</v>
      </c>
      <c r="J69" s="22">
        <v>0</v>
      </c>
      <c r="K69" s="22"/>
      <c r="L69" s="22" t="s">
        <v>174</v>
      </c>
      <c r="M69" s="22" t="s">
        <v>296</v>
      </c>
      <c r="N69" s="22" t="s">
        <v>200</v>
      </c>
      <c r="O69" s="22">
        <v>3</v>
      </c>
      <c r="P69" s="22" t="s">
        <v>366</v>
      </c>
      <c r="Q69" s="22" t="s">
        <v>373</v>
      </c>
      <c r="R69" s="22"/>
      <c r="S69" s="22" t="s">
        <v>297</v>
      </c>
      <c r="T69" s="22"/>
      <c r="U69" s="22"/>
      <c r="V69" s="22" t="s">
        <v>374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121</v>
      </c>
      <c r="B70" s="23">
        <v>44825</v>
      </c>
      <c r="C70" s="22">
        <v>63</v>
      </c>
      <c r="D70" s="22"/>
      <c r="E70" s="22"/>
      <c r="F70" s="22"/>
      <c r="G70" s="22"/>
      <c r="H70" s="22"/>
      <c r="I70" s="22">
        <v>0</v>
      </c>
      <c r="J70" s="22">
        <v>0</v>
      </c>
      <c r="K70" s="22"/>
      <c r="L70" s="22" t="s">
        <v>32</v>
      </c>
      <c r="M70" s="22"/>
      <c r="N70" s="22" t="s">
        <v>201</v>
      </c>
      <c r="O70" s="22">
        <v>1</v>
      </c>
      <c r="P70" s="22"/>
      <c r="Q70" s="22"/>
      <c r="R70" s="22"/>
      <c r="S70" s="22" t="s">
        <v>34</v>
      </c>
      <c r="T70" s="22"/>
      <c r="U70" s="22"/>
      <c r="V70" s="22"/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122</v>
      </c>
      <c r="B71" s="24">
        <v>44508</v>
      </c>
      <c r="C71" s="22"/>
      <c r="D71" s="22" t="s">
        <v>162</v>
      </c>
      <c r="E71" s="22" t="s">
        <v>165</v>
      </c>
      <c r="F71" s="22"/>
      <c r="G71" s="22" t="s">
        <v>265</v>
      </c>
      <c r="H71" s="22"/>
      <c r="I71" s="22">
        <v>35</v>
      </c>
      <c r="J71" s="22">
        <v>7</v>
      </c>
      <c r="K71" s="22" t="s">
        <v>375</v>
      </c>
      <c r="L71" s="22" t="s">
        <v>216</v>
      </c>
      <c r="M71" s="22" t="s">
        <v>218</v>
      </c>
      <c r="N71" s="22" t="s">
        <v>376</v>
      </c>
      <c r="O71" s="22"/>
      <c r="P71" s="22" t="s">
        <v>178</v>
      </c>
      <c r="Q71" s="22"/>
      <c r="R71" s="22" t="s">
        <v>34</v>
      </c>
      <c r="S71" s="22" t="s">
        <v>34</v>
      </c>
      <c r="T71" s="22"/>
      <c r="U71" s="22"/>
      <c r="V71" s="22" t="s">
        <v>377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123</v>
      </c>
      <c r="B72" s="23">
        <v>44419</v>
      </c>
      <c r="C72" s="22">
        <v>62</v>
      </c>
      <c r="D72" s="22"/>
      <c r="E72" s="22"/>
      <c r="F72" s="22"/>
      <c r="G72" s="22" t="s">
        <v>378</v>
      </c>
      <c r="H72" s="22" t="s">
        <v>202</v>
      </c>
      <c r="I72" s="22"/>
      <c r="J72" s="22"/>
      <c r="K72" s="22"/>
      <c r="L72" s="22" t="s">
        <v>199</v>
      </c>
      <c r="M72" s="22"/>
      <c r="N72" s="22" t="s">
        <v>188</v>
      </c>
      <c r="O72" s="22"/>
      <c r="P72" s="22"/>
      <c r="Q72" s="22"/>
      <c r="R72" s="22"/>
      <c r="S72" s="22"/>
      <c r="T72" s="22"/>
      <c r="U72" s="22"/>
      <c r="V72" s="22"/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124</v>
      </c>
      <c r="B1" s="2" t="s">
        <v>125</v>
      </c>
    </row>
    <row r="2" spans="1:2">
      <c r="A2" s="1" t="s">
        <v>2</v>
      </c>
      <c r="B2" s="1" t="s">
        <v>126</v>
      </c>
    </row>
    <row r="3" spans="1:2">
      <c r="A3" s="1" t="s">
        <v>3</v>
      </c>
      <c r="B3" s="1" t="s">
        <v>127</v>
      </c>
    </row>
    <row r="4" spans="1:2">
      <c r="A4" s="1" t="s">
        <v>4</v>
      </c>
      <c r="B4" s="1" t="s">
        <v>128</v>
      </c>
    </row>
    <row r="5" spans="1:2">
      <c r="A5" s="1" t="s">
        <v>5</v>
      </c>
      <c r="B5" s="1" t="s">
        <v>129</v>
      </c>
    </row>
    <row r="6" spans="1:2">
      <c r="A6" s="1" t="s">
        <v>6</v>
      </c>
      <c r="B6" s="1" t="s">
        <v>130</v>
      </c>
    </row>
    <row r="7" spans="1:2">
      <c r="A7" s="1" t="s">
        <v>7</v>
      </c>
      <c r="B7" s="1" t="s">
        <v>131</v>
      </c>
    </row>
    <row r="8" spans="1:2">
      <c r="A8" s="1" t="s">
        <v>10</v>
      </c>
      <c r="B8" s="1" t="s">
        <v>132</v>
      </c>
    </row>
    <row r="9" spans="1:2">
      <c r="A9" s="1" t="s">
        <v>12</v>
      </c>
      <c r="B9" s="1" t="s">
        <v>133</v>
      </c>
    </row>
    <row r="10" spans="1:2">
      <c r="A10" s="1" t="s">
        <v>13</v>
      </c>
      <c r="B10" s="1" t="s">
        <v>134</v>
      </c>
    </row>
    <row r="11" spans="1:2">
      <c r="A11" s="1" t="s">
        <v>14</v>
      </c>
      <c r="B11" s="1" t="s">
        <v>135</v>
      </c>
    </row>
    <row r="12" spans="1:2">
      <c r="A12" s="1" t="s">
        <v>15</v>
      </c>
      <c r="B12" s="1" t="s">
        <v>136</v>
      </c>
    </row>
    <row r="13" spans="1:2">
      <c r="A13" s="1" t="s">
        <v>16</v>
      </c>
      <c r="B13" s="1" t="s">
        <v>137</v>
      </c>
    </row>
    <row r="14" spans="1:2">
      <c r="A14" s="1" t="s">
        <v>18</v>
      </c>
      <c r="B14" s="1" t="s">
        <v>138</v>
      </c>
    </row>
    <row r="15" spans="1:2">
      <c r="A15" s="1" t="s">
        <v>19</v>
      </c>
      <c r="B15" s="1" t="s">
        <v>139</v>
      </c>
    </row>
    <row r="16" spans="1:2">
      <c r="A16" s="1" t="s">
        <v>20</v>
      </c>
      <c r="B16" s="1" t="s">
        <v>140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141</v>
      </c>
    </row>
    <row r="19" spans="1:2">
      <c r="A19" s="1" t="s">
        <v>23</v>
      </c>
      <c r="B19" s="1" t="s">
        <v>142</v>
      </c>
    </row>
    <row r="20" spans="1:2">
      <c r="A20" s="1" t="s">
        <v>24</v>
      </c>
      <c r="B20" s="1" t="s">
        <v>143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144</v>
      </c>
    </row>
    <row r="23" spans="1:2">
      <c r="A23" s="1" t="s">
        <v>27</v>
      </c>
      <c r="B23" s="1" t="s">
        <v>145</v>
      </c>
    </row>
    <row r="24" spans="1:2">
      <c r="A24" s="1" t="s">
        <v>28</v>
      </c>
      <c r="B24" s="1" t="s">
        <v>146</v>
      </c>
    </row>
    <row r="25" spans="1:2">
      <c r="A25" s="2" t="s">
        <v>29</v>
      </c>
      <c r="B25" s="2" t="s">
        <v>147</v>
      </c>
    </row>
    <row r="27" spans="1:2">
      <c r="A27" s="1" t="s">
        <v>148</v>
      </c>
    </row>
    <row r="28" spans="1:2">
      <c r="A28" s="1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2025-06-26T10:50:57Z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