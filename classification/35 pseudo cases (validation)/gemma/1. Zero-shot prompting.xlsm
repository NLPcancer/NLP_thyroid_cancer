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129" codeName="{DC747B9D-DBBB-FA85-71B4-595EBAB97821}"/>
  <workbookPr codeName="ThisWorkbook"/>
  <mc:AlternateContent xmlns:mc="http://schemas.openxmlformats.org/markup-compatibility/2006">
    <mc:Choice Requires="x15">
      <x15ac:absPath xmlns:x15ac="http://schemas.microsoft.com/office/spreadsheetml/2010/11/ac" url="C:\Users\erich\Desktop\manuscript\manuscript version\revision\model output &amp; classification results\35 pseudo cases (validation)\gemma\"/>
    </mc:Choice>
  </mc:AlternateContent>
  <xr:revisionPtr revIDLastSave="0" documentId="13_ncr:1_{21F62BBE-FF8E-4870-A6C3-CC3125905530}" xr6:coauthVersionLast="47" xr6:coauthVersionMax="47" xr10:uidLastSave="{00000000-0000-0000-0000-000000000000}"/>
  <bookViews>
    <workbookView xWindow="-98" yWindow="-98" windowWidth="21795" windowHeight="11625" xr2:uid="{00000000-000D-0000-FFFF-FFFF00000000}"/>
  </bookViews>
  <sheets>
    <sheet name="Classification result" sheetId="16" r:id="rId1"/>
    <sheet name="Model output" sheetId="15" r:id="rId2"/>
    <sheet name="Schema" sheetId="2" state="hidden" r:id="rId3"/>
  </sheets>
  <functionGroups builtInGroupCount="19"/>
  <definedNames>
    <definedName name="_xlnm._FilterDatabase" localSheetId="0" hidden="1">'Classification result'!$A$2:$AW$37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I17" i="16" l="1"/>
  <c r="J4" i="16" a="1"/>
  <c r="J4" i="16" s="1"/>
  <c r="J5" i="16" a="1"/>
  <c r="J5" i="16" s="1"/>
  <c r="J6" i="16" a="1"/>
  <c r="J6" i="16" s="1"/>
  <c r="J7" i="16" a="1"/>
  <c r="J7" i="16" s="1"/>
  <c r="J8" i="16" a="1"/>
  <c r="J8" i="16" s="1"/>
  <c r="J9" i="16" a="1"/>
  <c r="J9" i="16" s="1"/>
  <c r="J10" i="16" a="1"/>
  <c r="J10" i="16" s="1"/>
  <c r="J11" i="16" a="1"/>
  <c r="J11" i="16" s="1"/>
  <c r="J12" i="16" a="1"/>
  <c r="J12" i="16" s="1"/>
  <c r="J13" i="16" a="1"/>
  <c r="J13" i="16" s="1"/>
  <c r="J14" i="16" a="1"/>
  <c r="J14" i="16" s="1"/>
  <c r="J15" i="16" a="1"/>
  <c r="J15" i="16" s="1"/>
  <c r="J16" i="16" a="1"/>
  <c r="J16" i="16" s="1"/>
  <c r="J17" i="16" a="1"/>
  <c r="J17" i="16" s="1"/>
  <c r="J18" i="16" a="1"/>
  <c r="J18" i="16" s="1"/>
  <c r="J19" i="16" a="1"/>
  <c r="J19" i="16" s="1"/>
  <c r="J20" i="16" a="1"/>
  <c r="J20" i="16" s="1"/>
  <c r="J21" i="16" a="1"/>
  <c r="J21" i="16" s="1"/>
  <c r="J22" i="16" a="1"/>
  <c r="J22" i="16" s="1"/>
  <c r="J23" i="16" a="1"/>
  <c r="J23" i="16" s="1"/>
  <c r="J24" i="16" a="1"/>
  <c r="J24" i="16" s="1"/>
  <c r="J25" i="16" a="1"/>
  <c r="J25" i="16" s="1"/>
  <c r="J26" i="16" a="1"/>
  <c r="J26" i="16" s="1"/>
  <c r="J27" i="16" a="1"/>
  <c r="J27" i="16" s="1"/>
  <c r="J28" i="16" a="1"/>
  <c r="J28" i="16" s="1"/>
  <c r="J29" i="16" a="1"/>
  <c r="J29" i="16" s="1"/>
  <c r="J30" i="16" a="1"/>
  <c r="J30" i="16" s="1"/>
  <c r="J31" i="16" a="1"/>
  <c r="J31" i="16" s="1"/>
  <c r="J32" i="16" a="1"/>
  <c r="J32" i="16" s="1"/>
  <c r="J33" i="16" a="1"/>
  <c r="J33" i="16" s="1"/>
  <c r="J34" i="16" a="1"/>
  <c r="J34" i="16" s="1"/>
  <c r="J35" i="16" a="1"/>
  <c r="J35" i="16" s="1"/>
  <c r="J36" i="16" a="1"/>
  <c r="J36" i="16" s="1"/>
  <c r="J37" i="16" a="1"/>
  <c r="J37" i="16" s="1"/>
  <c r="J3" i="16" a="1"/>
  <c r="J3" i="16" s="1"/>
  <c r="Y4" i="16" l="1"/>
  <c r="Y5" i="16"/>
  <c r="Y6"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 i="16"/>
  <c r="AJ7" i="16"/>
  <c r="AJ16" i="16"/>
  <c r="AJ17" i="16"/>
  <c r="AJ20" i="16"/>
  <c r="AJ26" i="16"/>
  <c r="AJ36" i="16"/>
  <c r="AA4" i="16" l="1"/>
  <c r="AA5" i="16"/>
  <c r="AA6" i="16"/>
  <c r="AA7" i="16"/>
  <c r="AA8" i="16"/>
  <c r="AA9" i="16"/>
  <c r="AA10" i="16"/>
  <c r="AA11" i="16"/>
  <c r="AA12" i="16"/>
  <c r="AA13" i="16"/>
  <c r="AA14" i="16"/>
  <c r="AA15" i="16"/>
  <c r="AA16" i="16"/>
  <c r="AA17" i="16"/>
  <c r="AA18" i="16"/>
  <c r="AA19" i="16"/>
  <c r="AA20" i="16"/>
  <c r="AA21" i="16"/>
  <c r="AA22" i="16"/>
  <c r="AA23" i="16"/>
  <c r="AA24" i="16"/>
  <c r="AA25" i="16"/>
  <c r="AA26" i="16"/>
  <c r="AA27" i="16"/>
  <c r="AA28" i="16"/>
  <c r="AA29" i="16"/>
  <c r="AA30" i="16"/>
  <c r="AA31" i="16"/>
  <c r="AA32" i="16"/>
  <c r="AA33" i="16"/>
  <c r="AA34" i="16"/>
  <c r="AA35" i="16"/>
  <c r="AA36" i="16"/>
  <c r="AA37" i="16"/>
  <c r="AA3" i="16"/>
  <c r="AE4" i="16"/>
  <c r="AE5" i="16"/>
  <c r="AE6" i="16"/>
  <c r="AE7" i="16"/>
  <c r="AE8" i="16"/>
  <c r="AE9" i="16"/>
  <c r="AE10" i="16"/>
  <c r="AE11" i="16"/>
  <c r="AE12" i="16"/>
  <c r="AE13" i="16"/>
  <c r="AE14" i="16"/>
  <c r="AE15" i="16"/>
  <c r="AE16" i="16"/>
  <c r="AE17" i="16"/>
  <c r="AE18" i="16"/>
  <c r="AE19" i="16"/>
  <c r="AE20" i="16"/>
  <c r="AE21" i="16"/>
  <c r="AE22" i="16"/>
  <c r="AE23" i="16"/>
  <c r="AE24" i="16"/>
  <c r="AE25" i="16"/>
  <c r="AE26" i="16"/>
  <c r="AE27" i="16"/>
  <c r="AE28" i="16"/>
  <c r="AE29" i="16"/>
  <c r="AE30" i="16"/>
  <c r="AE31" i="16"/>
  <c r="AE32" i="16"/>
  <c r="AE33" i="16"/>
  <c r="AE34" i="16"/>
  <c r="AE35" i="16"/>
  <c r="AE36" i="16"/>
  <c r="AE37" i="16"/>
  <c r="AE3" i="16"/>
  <c r="V4" i="16" a="1"/>
  <c r="V4" i="16"/>
  <c r="V5" i="16" a="1"/>
  <c r="V5" i="16"/>
  <c r="V6" i="16" a="1"/>
  <c r="V6" i="16"/>
  <c r="V7" i="16" a="1"/>
  <c r="V7" i="16"/>
  <c r="V8" i="16" a="1"/>
  <c r="V8" i="16"/>
  <c r="V9" i="16" a="1"/>
  <c r="V9" i="16"/>
  <c r="V10" i="16" a="1"/>
  <c r="V10" i="16"/>
  <c r="V11" i="16" a="1"/>
  <c r="V11" i="16"/>
  <c r="V12" i="16" a="1"/>
  <c r="V12" i="16"/>
  <c r="V13" i="16" a="1"/>
  <c r="V13" i="16"/>
  <c r="V14" i="16" a="1"/>
  <c r="V14" i="16"/>
  <c r="V15" i="16" a="1"/>
  <c r="V15" i="16"/>
  <c r="V16" i="16" a="1"/>
  <c r="V16" i="16"/>
  <c r="V17" i="16" a="1"/>
  <c r="V17" i="16"/>
  <c r="V18" i="16" a="1"/>
  <c r="V18" i="16"/>
  <c r="V19" i="16" a="1"/>
  <c r="V19" i="16"/>
  <c r="V20" i="16" a="1"/>
  <c r="V20" i="16"/>
  <c r="V21" i="16" a="1"/>
  <c r="V21" i="16"/>
  <c r="V22" i="16" a="1"/>
  <c r="V22" i="16"/>
  <c r="V23" i="16" a="1"/>
  <c r="V23" i="16"/>
  <c r="V24" i="16" a="1"/>
  <c r="V24" i="16"/>
  <c r="V25" i="16" a="1"/>
  <c r="V25" i="16"/>
  <c r="V26" i="16" a="1"/>
  <c r="V26" i="16"/>
  <c r="V27" i="16" a="1"/>
  <c r="V27" i="16"/>
  <c r="V28" i="16" a="1"/>
  <c r="V28" i="16"/>
  <c r="V29" i="16" a="1"/>
  <c r="V29" i="16"/>
  <c r="V30" i="16" a="1"/>
  <c r="V30" i="16"/>
  <c r="V31" i="16" a="1"/>
  <c r="V31" i="16"/>
  <c r="V32" i="16" a="1"/>
  <c r="V32" i="16"/>
  <c r="V33" i="16" a="1"/>
  <c r="V33" i="16"/>
  <c r="V34" i="16" a="1"/>
  <c r="V34" i="16"/>
  <c r="V35" i="16" a="1"/>
  <c r="V35" i="16"/>
  <c r="V36" i="16" a="1"/>
  <c r="V36" i="16"/>
  <c r="V37" i="16" a="1"/>
  <c r="V37" i="16"/>
  <c r="V3" i="16" a="1"/>
  <c r="V3" i="16" s="1"/>
  <c r="M3" i="16"/>
  <c r="F7" i="16" a="1"/>
  <c r="F7" i="16" s="1"/>
  <c r="F8" i="16" a="1"/>
  <c r="F8" i="16" s="1"/>
  <c r="F9" i="16" a="1"/>
  <c r="F9" i="16" s="1"/>
  <c r="F10" i="16" a="1"/>
  <c r="F10" i="16" s="1"/>
  <c r="F11" i="16" a="1"/>
  <c r="F11" i="16" s="1"/>
  <c r="F12" i="16" a="1"/>
  <c r="F12" i="16" s="1"/>
  <c r="F13" i="16" a="1"/>
  <c r="F13" i="16" s="1"/>
  <c r="F14" i="16" a="1"/>
  <c r="F14" i="16" s="1"/>
  <c r="F15" i="16" a="1"/>
  <c r="F15" i="16" s="1"/>
  <c r="F16" i="16" a="1"/>
  <c r="F16" i="16" s="1"/>
  <c r="F17" i="16" a="1"/>
  <c r="F17" i="16" s="1"/>
  <c r="F18" i="16" a="1"/>
  <c r="F18" i="16" s="1"/>
  <c r="F19" i="16" a="1"/>
  <c r="F19" i="16" s="1"/>
  <c r="F20" i="16" a="1"/>
  <c r="F20" i="16" s="1"/>
  <c r="F21" i="16" a="1"/>
  <c r="F21" i="16" s="1"/>
  <c r="F22" i="16" a="1"/>
  <c r="F22" i="16" s="1"/>
  <c r="F23" i="16" a="1"/>
  <c r="F23" i="16" s="1"/>
  <c r="F24" i="16" a="1"/>
  <c r="F24" i="16" s="1"/>
  <c r="F25" i="16" a="1"/>
  <c r="F25" i="16" s="1"/>
  <c r="F26" i="16" a="1"/>
  <c r="F26" i="16" s="1"/>
  <c r="F27" i="16" a="1"/>
  <c r="F27" i="16" s="1"/>
  <c r="F28" i="16" a="1"/>
  <c r="F28" i="16" s="1"/>
  <c r="F29" i="16" a="1"/>
  <c r="F29" i="16" s="1"/>
  <c r="F30" i="16" a="1"/>
  <c r="F30" i="16" s="1"/>
  <c r="F31" i="16" a="1"/>
  <c r="F31" i="16" s="1"/>
  <c r="F32" i="16" a="1"/>
  <c r="F32" i="16" s="1"/>
  <c r="F33" i="16" a="1"/>
  <c r="F33" i="16" s="1"/>
  <c r="F34" i="16" a="1"/>
  <c r="F34" i="16" s="1"/>
  <c r="F35" i="16" a="1"/>
  <c r="F35" i="16" s="1"/>
  <c r="F36" i="16" a="1"/>
  <c r="F36" i="16" s="1"/>
  <c r="F37" i="16" a="1"/>
  <c r="F37" i="16" s="1"/>
  <c r="F3" i="16" a="1"/>
  <c r="F3" i="16" s="1"/>
  <c r="F4" i="16" a="1"/>
  <c r="F4" i="16" s="1"/>
  <c r="F5" i="16" a="1"/>
  <c r="F5" i="16" s="1"/>
  <c r="F6" i="16" a="1"/>
  <c r="F6" i="16" s="1"/>
  <c r="K4" i="16" l="1" a="1"/>
  <c r="K4" i="16" s="1"/>
  <c r="K5" i="16" a="1"/>
  <c r="K5" i="16" s="1"/>
  <c r="K6" i="16" a="1"/>
  <c r="K6" i="16" s="1"/>
  <c r="K7" i="16" a="1"/>
  <c r="K7" i="16" s="1"/>
  <c r="K8" i="16" a="1"/>
  <c r="K8" i="16" s="1"/>
  <c r="K9" i="16" a="1"/>
  <c r="K9" i="16" s="1"/>
  <c r="K10" i="16" a="1"/>
  <c r="K10" i="16" s="1"/>
  <c r="K11" i="16" a="1"/>
  <c r="K11" i="16" s="1"/>
  <c r="K12" i="16" a="1"/>
  <c r="K12" i="16" s="1"/>
  <c r="K13" i="16" a="1"/>
  <c r="K13" i="16" s="1"/>
  <c r="K14" i="16" a="1"/>
  <c r="K14" i="16" s="1"/>
  <c r="K15" i="16" a="1"/>
  <c r="K15" i="16" s="1"/>
  <c r="K16" i="16" a="1"/>
  <c r="K16" i="16" s="1"/>
  <c r="K17" i="16" a="1"/>
  <c r="K17" i="16" s="1"/>
  <c r="K18" i="16" a="1"/>
  <c r="K18" i="16" s="1"/>
  <c r="K19" i="16" a="1"/>
  <c r="K19" i="16" s="1"/>
  <c r="K20" i="16" a="1"/>
  <c r="K20" i="16" s="1"/>
  <c r="K21" i="16" a="1"/>
  <c r="K21" i="16" s="1"/>
  <c r="K22" i="16" a="1"/>
  <c r="K22" i="16" s="1"/>
  <c r="K23" i="16" a="1"/>
  <c r="K23" i="16" s="1"/>
  <c r="K24" i="16" a="1"/>
  <c r="K24" i="16" s="1"/>
  <c r="K25" i="16" a="1"/>
  <c r="K25" i="16" s="1"/>
  <c r="K26" i="16" a="1"/>
  <c r="K26" i="16" s="1"/>
  <c r="K27" i="16" a="1"/>
  <c r="K27" i="16" s="1"/>
  <c r="K28" i="16" a="1"/>
  <c r="K28" i="16" s="1"/>
  <c r="K29" i="16" a="1"/>
  <c r="K29" i="16" s="1"/>
  <c r="K30" i="16" a="1"/>
  <c r="K30" i="16" s="1"/>
  <c r="K31" i="16" a="1"/>
  <c r="K31" i="16" s="1"/>
  <c r="K32" i="16" a="1"/>
  <c r="K32" i="16" s="1"/>
  <c r="K33" i="16" a="1"/>
  <c r="K33" i="16" s="1"/>
  <c r="K34" i="16" a="1"/>
  <c r="K34" i="16" s="1"/>
  <c r="K35" i="16" a="1"/>
  <c r="K35" i="16" s="1"/>
  <c r="K36" i="16" a="1"/>
  <c r="K36" i="16" s="1"/>
  <c r="K37" i="16" a="1"/>
  <c r="K37" i="16" s="1"/>
  <c r="K3" i="16" a="1"/>
  <c r="K3" i="16" s="1"/>
  <c r="AF4" i="16" a="1"/>
  <c r="AF4" i="16" s="1"/>
  <c r="AF5" i="16" a="1"/>
  <c r="AF5" i="16" s="1"/>
  <c r="AF6" i="16" a="1"/>
  <c r="AF6" i="16" s="1"/>
  <c r="AF7" i="16" a="1"/>
  <c r="AF7" i="16" s="1"/>
  <c r="AF8" i="16" a="1"/>
  <c r="AF8" i="16"/>
  <c r="AF9" i="16" a="1"/>
  <c r="AF9" i="16" s="1"/>
  <c r="AF10" i="16" a="1"/>
  <c r="AF10" i="16" s="1"/>
  <c r="AF11" i="16" a="1"/>
  <c r="AF11" i="16" s="1"/>
  <c r="AF12" i="16" a="1"/>
  <c r="AF12" i="16" s="1"/>
  <c r="AF13" i="16" a="1"/>
  <c r="AF13" i="16" s="1"/>
  <c r="AF14" i="16" a="1"/>
  <c r="AF14" i="16" s="1"/>
  <c r="AF15" i="16" a="1"/>
  <c r="AF15" i="16" s="1"/>
  <c r="AF16" i="16" a="1"/>
  <c r="AF16" i="16" s="1"/>
  <c r="AF17" i="16" a="1"/>
  <c r="AF17" i="16" s="1"/>
  <c r="AF18" i="16" a="1"/>
  <c r="AF18" i="16" s="1"/>
  <c r="AF19" i="16" a="1"/>
  <c r="AF19" i="16" s="1"/>
  <c r="AF20" i="16" a="1"/>
  <c r="AF20" i="16" s="1"/>
  <c r="AF21" i="16" a="1"/>
  <c r="AF21" i="16" s="1"/>
  <c r="AF22" i="16" a="1"/>
  <c r="AF22" i="16" s="1"/>
  <c r="AF23" i="16" a="1"/>
  <c r="AF23" i="16" s="1"/>
  <c r="AF24" i="16" a="1"/>
  <c r="AF24" i="16" s="1"/>
  <c r="AF25" i="16" a="1"/>
  <c r="AF25" i="16" s="1"/>
  <c r="AF26" i="16" a="1"/>
  <c r="AF26" i="16" s="1"/>
  <c r="AF27" i="16" a="1"/>
  <c r="AF27" i="16" s="1"/>
  <c r="AF28" i="16" a="1"/>
  <c r="AF28" i="16" s="1"/>
  <c r="AF29" i="16" a="1"/>
  <c r="AF29" i="16" s="1"/>
  <c r="AF30" i="16" a="1"/>
  <c r="AF30" i="16" s="1"/>
  <c r="AF31" i="16" a="1"/>
  <c r="AF31" i="16" s="1"/>
  <c r="AF32" i="16" a="1"/>
  <c r="AF32" i="16" s="1"/>
  <c r="AF33" i="16" a="1"/>
  <c r="AF33" i="16" s="1"/>
  <c r="AF34" i="16" a="1"/>
  <c r="AF34" i="16" s="1"/>
  <c r="AF35" i="16" a="1"/>
  <c r="AF35" i="16" s="1"/>
  <c r="AF36" i="16" a="1"/>
  <c r="AF36" i="16" s="1"/>
  <c r="AF37" i="16" a="1"/>
  <c r="AF37" i="16" s="1"/>
  <c r="AF3" i="16" a="1"/>
  <c r="AF3" i="16" s="1"/>
  <c r="AG3" i="16" a="1"/>
  <c r="AG3" i="16" s="1"/>
  <c r="AG4" i="16" a="1"/>
  <c r="AG4" i="16" s="1"/>
  <c r="AG5" i="16" a="1"/>
  <c r="AG5" i="16" s="1"/>
  <c r="AG6" i="16" a="1"/>
  <c r="AG6" i="16" s="1"/>
  <c r="AG7" i="16" a="1"/>
  <c r="AG7" i="16" s="1"/>
  <c r="AG8" i="16" a="1"/>
  <c r="AG8" i="16" s="1"/>
  <c r="AG9" i="16" a="1"/>
  <c r="AG9" i="16" s="1"/>
  <c r="AG10" i="16" a="1"/>
  <c r="AG10" i="16" s="1"/>
  <c r="AG11" i="16" a="1"/>
  <c r="AG11" i="16" s="1"/>
  <c r="AG12" i="16" a="1"/>
  <c r="AG12" i="16" s="1"/>
  <c r="AG13" i="16" a="1"/>
  <c r="AG13" i="16" s="1"/>
  <c r="AG14" i="16" a="1"/>
  <c r="AG14" i="16" s="1"/>
  <c r="AG15" i="16" a="1"/>
  <c r="AG15" i="16" s="1"/>
  <c r="AG16" i="16" a="1"/>
  <c r="AG16" i="16" s="1"/>
  <c r="AG17" i="16" a="1"/>
  <c r="AG17" i="16" s="1"/>
  <c r="AG18" i="16" a="1"/>
  <c r="AG18" i="16" s="1"/>
  <c r="AG19" i="16" a="1"/>
  <c r="AG19" i="16" s="1"/>
  <c r="AG20" i="16" a="1"/>
  <c r="AG20" i="16" s="1"/>
  <c r="AG21" i="16" a="1"/>
  <c r="AG21" i="16" s="1"/>
  <c r="AG22" i="16" a="1"/>
  <c r="AG22" i="16" s="1"/>
  <c r="AG23" i="16" a="1"/>
  <c r="AG23" i="16" s="1"/>
  <c r="AG24" i="16" a="1"/>
  <c r="AG24" i="16" s="1"/>
  <c r="AG25" i="16" a="1"/>
  <c r="AG25" i="16" s="1"/>
  <c r="AG26" i="16" a="1"/>
  <c r="AG26" i="16" s="1"/>
  <c r="AG27" i="16" a="1"/>
  <c r="AG27" i="16" s="1"/>
  <c r="AG28" i="16" a="1"/>
  <c r="AG28" i="16" s="1"/>
  <c r="AG29" i="16" a="1"/>
  <c r="AG29" i="16" s="1"/>
  <c r="AG30" i="16" a="1"/>
  <c r="AG30" i="16" s="1"/>
  <c r="AG31" i="16" a="1"/>
  <c r="AG31" i="16" s="1"/>
  <c r="AG32" i="16" a="1"/>
  <c r="AG32" i="16" s="1"/>
  <c r="AG33" i="16" a="1"/>
  <c r="AG33" i="16" s="1"/>
  <c r="AG34" i="16" a="1"/>
  <c r="AG34" i="16" s="1"/>
  <c r="AG35" i="16" a="1"/>
  <c r="AG35" i="16" s="1"/>
  <c r="AG36" i="16" a="1"/>
  <c r="AG36" i="16" s="1"/>
  <c r="AG37" i="16" a="1"/>
  <c r="AG37" i="16" s="1"/>
  <c r="Z3" i="15" l="1" a="1"/>
  <c r="Z3" i="15" s="1"/>
  <c r="Z4" i="15" a="1"/>
  <c r="Z4" i="15" s="1"/>
  <c r="Z5" i="15" a="1"/>
  <c r="Z5" i="15" s="1"/>
  <c r="Z6" i="15" a="1"/>
  <c r="Z6" i="15" s="1"/>
  <c r="Z7" i="15" a="1"/>
  <c r="Z7" i="15" s="1"/>
  <c r="Z8" i="15" a="1"/>
  <c r="Z8" i="15" s="1"/>
  <c r="Z9" i="15" a="1"/>
  <c r="Z9" i="15" s="1"/>
  <c r="Z10" i="15" a="1"/>
  <c r="Z10" i="15" s="1"/>
  <c r="Z11" i="15" a="1"/>
  <c r="Z11" i="15" s="1"/>
  <c r="Z12" i="15" a="1"/>
  <c r="Z12" i="15" s="1"/>
  <c r="Z13" i="15" a="1"/>
  <c r="Z13" i="15" s="1"/>
  <c r="Z14" i="15" a="1"/>
  <c r="Z14" i="15" s="1"/>
  <c r="Z15" i="15" a="1"/>
  <c r="Z15" i="15" s="1"/>
  <c r="Z16" i="15" a="1"/>
  <c r="Z16" i="15" s="1"/>
  <c r="Z17" i="15" a="1"/>
  <c r="Z17" i="15" s="1"/>
  <c r="Z18" i="15" a="1"/>
  <c r="Z18" i="15" s="1"/>
  <c r="Z19" i="15" a="1"/>
  <c r="Z19" i="15" s="1"/>
  <c r="Z20" i="15" a="1"/>
  <c r="Z20" i="15"/>
  <c r="Z21" i="15" a="1"/>
  <c r="Z21" i="15" s="1"/>
  <c r="Z22" i="15" a="1"/>
  <c r="Z22" i="15" s="1"/>
  <c r="Z23" i="15" a="1"/>
  <c r="Z23" i="15" s="1"/>
  <c r="Z24" i="15" a="1"/>
  <c r="Z24" i="15" s="1"/>
  <c r="Z25" i="15" a="1"/>
  <c r="Z25" i="15" s="1"/>
  <c r="Z26" i="15" a="1"/>
  <c r="Z26" i="15" s="1"/>
  <c r="Z27" i="15" a="1"/>
  <c r="Z27" i="15" s="1"/>
  <c r="Z28" i="15" a="1"/>
  <c r="Z28" i="15" s="1"/>
  <c r="Z29" i="15" a="1"/>
  <c r="Z29" i="15" s="1"/>
  <c r="Z30" i="15" a="1"/>
  <c r="Z30" i="15" s="1"/>
  <c r="Z31" i="15" a="1"/>
  <c r="Z31" i="15" s="1"/>
  <c r="Z32" i="15" a="1"/>
  <c r="Z32" i="15" s="1"/>
  <c r="Z33" i="15" a="1"/>
  <c r="Z33" i="15" s="1"/>
  <c r="Z34" i="15" a="1"/>
  <c r="Z34" i="15" s="1"/>
  <c r="Z35" i="15" a="1"/>
  <c r="Z35" i="15" s="1"/>
  <c r="Z36" i="15" a="1"/>
  <c r="Z36" i="15"/>
  <c r="Z37" i="15" a="1"/>
  <c r="Z37" i="15" s="1"/>
  <c r="Z38" i="15" a="1"/>
  <c r="Z38" i="15"/>
  <c r="Z39" i="15" a="1"/>
  <c r="Z39" i="15" s="1"/>
  <c r="Z40" i="15" a="1"/>
  <c r="Z40" i="15"/>
  <c r="Z41" i="15" a="1"/>
  <c r="Z41" i="15" s="1"/>
  <c r="Z42" i="15" a="1"/>
  <c r="Z42" i="15" s="1"/>
  <c r="Z43" i="15" a="1"/>
  <c r="Z43" i="15" s="1"/>
  <c r="Z44" i="15" a="1"/>
  <c r="Z44" i="15" s="1"/>
  <c r="Z45" i="15" a="1"/>
  <c r="Z45" i="15" s="1"/>
  <c r="Z46" i="15" a="1"/>
  <c r="Z46" i="15" s="1"/>
  <c r="Z47" i="15" a="1"/>
  <c r="Z47" i="15" s="1"/>
  <c r="Z48" i="15" a="1"/>
  <c r="Z48" i="15" s="1"/>
  <c r="Z49" i="15" a="1"/>
  <c r="Z49" i="15" s="1"/>
  <c r="Z50" i="15" a="1"/>
  <c r="Z50" i="15" s="1"/>
  <c r="Z51" i="15" a="1"/>
  <c r="Z51" i="15" s="1"/>
  <c r="Z52" i="15" a="1"/>
  <c r="Z52" i="15" s="1"/>
  <c r="Z53" i="15" a="1"/>
  <c r="Z53" i="15" s="1"/>
  <c r="Z54" i="15" a="1"/>
  <c r="Z54" i="15"/>
  <c r="Z55" i="15" a="1"/>
  <c r="Z55" i="15" s="1"/>
  <c r="Z56" i="15" a="1"/>
  <c r="Z56" i="15" s="1"/>
  <c r="Z57" i="15" a="1"/>
  <c r="Z57" i="15" s="1"/>
  <c r="Z58" i="15" a="1"/>
  <c r="Z58" i="15" s="1"/>
  <c r="Z59" i="15" a="1"/>
  <c r="Z59" i="15" s="1"/>
  <c r="Z60" i="15" a="1"/>
  <c r="Z60" i="15" s="1"/>
  <c r="Z61" i="15" a="1"/>
  <c r="Z61" i="15" s="1"/>
  <c r="Z62" i="15" a="1"/>
  <c r="Z62" i="15" s="1"/>
  <c r="Z63" i="15" a="1"/>
  <c r="Z63" i="15" s="1"/>
  <c r="Z64" i="15" a="1"/>
  <c r="Z64" i="15" s="1"/>
  <c r="Z65" i="15" a="1"/>
  <c r="Z65" i="15" s="1"/>
  <c r="Z66" i="15" a="1"/>
  <c r="Z66" i="15" s="1"/>
  <c r="Z67" i="15" a="1"/>
  <c r="Z67" i="15" s="1"/>
  <c r="Z68" i="15" a="1"/>
  <c r="Z68" i="15" s="1"/>
  <c r="Z69" i="15" a="1"/>
  <c r="Z69" i="15" s="1"/>
  <c r="Z70" i="15" a="1"/>
  <c r="Z70" i="15"/>
  <c r="Z71" i="15" a="1"/>
  <c r="Z71" i="15" s="1"/>
  <c r="Z72" i="15" a="1"/>
  <c r="Z72" i="15" s="1"/>
  <c r="Z2" i="15" a="1"/>
  <c r="Z2" i="15" s="1"/>
  <c r="E19" i="16" l="1"/>
  <c r="Z16" i="16" a="1"/>
  <c r="Z16" i="16" s="1"/>
  <c r="Q35" i="16" a="1"/>
  <c r="Q35" i="16" s="1"/>
  <c r="Q37" i="16" a="1"/>
  <c r="Q37" i="16" s="1"/>
  <c r="E9" i="16"/>
  <c r="E29" i="16"/>
  <c r="B14" i="16"/>
  <c r="B34" i="16"/>
  <c r="E20" i="16"/>
  <c r="B5" i="16"/>
  <c r="B25" i="16"/>
  <c r="E10" i="16"/>
  <c r="E30" i="16"/>
  <c r="B15" i="16"/>
  <c r="B35" i="16"/>
  <c r="E4" i="16"/>
  <c r="E24" i="16"/>
  <c r="B9" i="16"/>
  <c r="B29" i="16"/>
  <c r="E23" i="16"/>
  <c r="B8" i="16"/>
  <c r="B28" i="16"/>
  <c r="E6" i="16"/>
  <c r="E26" i="16"/>
  <c r="B11" i="16"/>
  <c r="B31" i="16"/>
  <c r="E8" i="16"/>
  <c r="E28" i="16"/>
  <c r="B13" i="16"/>
  <c r="B33" i="16"/>
  <c r="Q33" i="16" a="1"/>
  <c r="Q33" i="16" s="1"/>
  <c r="Q13" i="16" a="1"/>
  <c r="Q13" i="16" s="1"/>
  <c r="H28" i="16" a="1"/>
  <c r="H28" i="16" s="1"/>
  <c r="H8" i="16" a="1"/>
  <c r="H8" i="16" s="1"/>
  <c r="Z23" i="16" a="1"/>
  <c r="Z23" i="16" s="1"/>
  <c r="B30" i="16"/>
  <c r="B10" i="16"/>
  <c r="E25" i="16"/>
  <c r="E5" i="16"/>
  <c r="Q32" i="16" a="1"/>
  <c r="Q32" i="16" s="1"/>
  <c r="Q12" i="16" a="1"/>
  <c r="Q12" i="16" s="1"/>
  <c r="H27" i="16" a="1"/>
  <c r="H27" i="16" s="1"/>
  <c r="H7" i="16" a="1"/>
  <c r="H7" i="16" s="1"/>
  <c r="Z22" i="16" a="1"/>
  <c r="Z22" i="16" s="1"/>
  <c r="Q31" i="16" a="1"/>
  <c r="Q31" i="16" s="1"/>
  <c r="Q11" i="16" a="1"/>
  <c r="Q11" i="16" s="1"/>
  <c r="H26" i="16" a="1"/>
  <c r="H26" i="16" s="1"/>
  <c r="H6" i="16" a="1"/>
  <c r="H6" i="16" s="1"/>
  <c r="Z21" i="16" a="1"/>
  <c r="Z21" i="16" s="1"/>
  <c r="Q30" i="16" a="1"/>
  <c r="Q30" i="16" s="1"/>
  <c r="Q10" i="16" a="1"/>
  <c r="Q10" i="16" s="1"/>
  <c r="H25" i="16" a="1"/>
  <c r="H25" i="16" s="1"/>
  <c r="H5" i="16" a="1"/>
  <c r="H5" i="16" s="1"/>
  <c r="Z20" i="16" a="1"/>
  <c r="Z20" i="16" s="1"/>
  <c r="B27" i="16"/>
  <c r="B7" i="16"/>
  <c r="E22" i="16"/>
  <c r="Q29" i="16" a="1"/>
  <c r="Q29" i="16" s="1"/>
  <c r="Q9" i="16" a="1"/>
  <c r="Q9" i="16" s="1"/>
  <c r="H24" i="16" a="1"/>
  <c r="H24" i="16" s="1"/>
  <c r="H4" i="16" a="1"/>
  <c r="H4" i="16" s="1"/>
  <c r="Z19" i="16" a="1"/>
  <c r="Z19" i="16" s="1"/>
  <c r="B26" i="16"/>
  <c r="B6" i="16"/>
  <c r="E21" i="16"/>
  <c r="Q28" i="16" a="1"/>
  <c r="Q28" i="16" s="1"/>
  <c r="Q8" i="16" a="1"/>
  <c r="Q8" i="16" s="1"/>
  <c r="H23" i="16" a="1"/>
  <c r="H23" i="16" s="1"/>
  <c r="Z3" i="16" a="1"/>
  <c r="Z3" i="16" s="1"/>
  <c r="Z18" i="16" a="1"/>
  <c r="Z18" i="16" s="1"/>
  <c r="Q27" i="16" a="1"/>
  <c r="Q27" i="16" s="1"/>
  <c r="Q7" i="16" a="1"/>
  <c r="Q7" i="16" s="1"/>
  <c r="H22" i="16" a="1"/>
  <c r="H22" i="16" s="1"/>
  <c r="Z37" i="16" a="1"/>
  <c r="Z37" i="16" s="1"/>
  <c r="Z17" i="16" a="1"/>
  <c r="Z17" i="16" s="1"/>
  <c r="Q26" i="16" a="1"/>
  <c r="Q26" i="16" s="1"/>
  <c r="Q6" i="16" a="1"/>
  <c r="Q6" i="16" s="1"/>
  <c r="H21" i="16" a="1"/>
  <c r="H21" i="16" s="1"/>
  <c r="Z36" i="16" a="1"/>
  <c r="Z36" i="16" s="1"/>
  <c r="G37" i="16" a="1"/>
  <c r="G37" i="16" s="1"/>
  <c r="G25" i="16" a="1"/>
  <c r="G25" i="16" s="1"/>
  <c r="G5" i="16" a="1"/>
  <c r="G5" i="16" s="1"/>
  <c r="S12" i="16" a="1"/>
  <c r="S12" i="16" s="1"/>
  <c r="S32" i="16" a="1"/>
  <c r="S32" i="16" s="1"/>
  <c r="G24" i="16" a="1"/>
  <c r="G24" i="16" s="1"/>
  <c r="G4" i="16" a="1"/>
  <c r="G4" i="16" s="1"/>
  <c r="G41" i="16" s="1"/>
  <c r="S13" i="16" a="1"/>
  <c r="S13" i="16" s="1"/>
  <c r="S33" i="16" a="1"/>
  <c r="S33" i="16" s="1"/>
  <c r="M21" i="16"/>
  <c r="G36" i="16" a="1"/>
  <c r="G36" i="16" s="1"/>
  <c r="G23" i="16" a="1"/>
  <c r="G23" i="16" s="1"/>
  <c r="S14" i="16" a="1"/>
  <c r="S14" i="16" s="1"/>
  <c r="S34" i="16" a="1"/>
  <c r="S34" i="16" s="1"/>
  <c r="R18" i="16" a="1"/>
  <c r="R18" i="16" s="1"/>
  <c r="M18" i="16"/>
  <c r="R21" i="16" a="1"/>
  <c r="R21" i="16" s="1"/>
  <c r="G22" i="16" a="1"/>
  <c r="G22" i="16" s="1"/>
  <c r="G3" i="16" a="1"/>
  <c r="G3" i="16" s="1"/>
  <c r="G40" i="16" s="1"/>
  <c r="S15" i="16" a="1"/>
  <c r="S15" i="16" s="1"/>
  <c r="S35" i="16" a="1"/>
  <c r="S35" i="16" s="1"/>
  <c r="M17" i="16"/>
  <c r="M37" i="16"/>
  <c r="G35" i="16" a="1"/>
  <c r="G35" i="16" s="1"/>
  <c r="G21" i="16" a="1"/>
  <c r="G21" i="16" s="1"/>
  <c r="S16" i="16" a="1"/>
  <c r="S16" i="16" s="1"/>
  <c r="S36" i="16" a="1"/>
  <c r="S36" i="16" s="1"/>
  <c r="R20" i="16" a="1"/>
  <c r="R20" i="16" s="1"/>
  <c r="G20" i="16" a="1"/>
  <c r="G20" i="16" s="1"/>
  <c r="S17" i="16" a="1"/>
  <c r="S17" i="16" s="1"/>
  <c r="S37" i="16" a="1"/>
  <c r="S37" i="16" s="1"/>
  <c r="G34" i="16" a="1"/>
  <c r="G34" i="16" s="1"/>
  <c r="G19" i="16" a="1"/>
  <c r="G19" i="16" s="1"/>
  <c r="S18" i="16" a="1"/>
  <c r="S18" i="16" s="1"/>
  <c r="S3" i="16" a="1"/>
  <c r="S3" i="16" s="1"/>
  <c r="M20" i="16"/>
  <c r="G18" i="16" a="1"/>
  <c r="G18" i="16" s="1"/>
  <c r="S19" i="16" a="1"/>
  <c r="S19" i="16" s="1"/>
  <c r="M11" i="16"/>
  <c r="R23" i="16" a="1"/>
  <c r="R23" i="16" s="1"/>
  <c r="G33" i="16" a="1"/>
  <c r="G33" i="16" s="1"/>
  <c r="G17" i="16" a="1"/>
  <c r="G17" i="16" s="1"/>
  <c r="S20" i="16" a="1"/>
  <c r="S20" i="16" s="1"/>
  <c r="R4" i="16" a="1"/>
  <c r="R4" i="16" s="1"/>
  <c r="R24" i="16" a="1"/>
  <c r="R24" i="16" s="1"/>
  <c r="G16" i="16" a="1"/>
  <c r="G16" i="16" s="1"/>
  <c r="S21" i="16" a="1"/>
  <c r="S21" i="16" s="1"/>
  <c r="R5" i="16" a="1"/>
  <c r="R5" i="16" s="1"/>
  <c r="R25" i="16" a="1"/>
  <c r="R25" i="16" s="1"/>
  <c r="G32" i="16" a="1"/>
  <c r="G32" i="16" s="1"/>
  <c r="G15" i="16" a="1"/>
  <c r="G15" i="16" s="1"/>
  <c r="S22" i="16" a="1"/>
  <c r="S22" i="16" s="1"/>
  <c r="R6" i="16" a="1"/>
  <c r="R6" i="16" s="1"/>
  <c r="AL6" i="16" s="1"/>
  <c r="R26" i="16" a="1"/>
  <c r="R26" i="16" s="1"/>
  <c r="AL26" i="16" s="1"/>
  <c r="G14" i="16" a="1"/>
  <c r="G14" i="16" s="1"/>
  <c r="S23" i="16" a="1"/>
  <c r="S23" i="16" s="1"/>
  <c r="R7" i="16" a="1"/>
  <c r="R7" i="16" s="1"/>
  <c r="AL7" i="16" s="1"/>
  <c r="R27" i="16" a="1"/>
  <c r="R27" i="16" s="1"/>
  <c r="M5" i="16"/>
  <c r="M25" i="16"/>
  <c r="M6" i="16"/>
  <c r="M26" i="16"/>
  <c r="M7" i="16"/>
  <c r="M27" i="16"/>
  <c r="S26" i="16" a="1"/>
  <c r="S26" i="16" s="1"/>
  <c r="M8" i="16"/>
  <c r="M28" i="16"/>
  <c r="R11" i="16" a="1"/>
  <c r="R11" i="16" s="1"/>
  <c r="M16" i="16"/>
  <c r="M36" i="16"/>
  <c r="R19" i="16" a="1"/>
  <c r="R19" i="16" s="1"/>
  <c r="G31" i="16" a="1"/>
  <c r="G31" i="16" s="1"/>
  <c r="G13" i="16" a="1"/>
  <c r="G13" i="16" s="1"/>
  <c r="S4" i="16" a="1"/>
  <c r="S4" i="16" s="1"/>
  <c r="S24" i="16" a="1"/>
  <c r="S24" i="16" s="1"/>
  <c r="R8" i="16" a="1"/>
  <c r="R8" i="16" s="1"/>
  <c r="AL8" i="16" s="1"/>
  <c r="R28" i="16" a="1"/>
  <c r="R28" i="16" s="1"/>
  <c r="AL28" i="16" s="1"/>
  <c r="R10" i="16" a="1"/>
  <c r="R10" i="16" s="1"/>
  <c r="R31" i="16" a="1"/>
  <c r="R31" i="16" s="1"/>
  <c r="R37" i="16" a="1"/>
  <c r="R37" i="16" s="1"/>
  <c r="G12" i="16" a="1"/>
  <c r="G12" i="16" s="1"/>
  <c r="S5" i="16" a="1"/>
  <c r="S5" i="16" s="1"/>
  <c r="S25" i="16" a="1"/>
  <c r="S25" i="16" s="1"/>
  <c r="R9" i="16" a="1"/>
  <c r="R9" i="16" s="1"/>
  <c r="R29" i="16" a="1"/>
  <c r="R29" i="16" s="1"/>
  <c r="R30" i="16" a="1"/>
  <c r="R30" i="16" s="1"/>
  <c r="M31" i="16"/>
  <c r="G30" i="16" a="1"/>
  <c r="G30" i="16" s="1"/>
  <c r="G11" i="16" a="1"/>
  <c r="G11" i="16" s="1"/>
  <c r="S6" i="16" a="1"/>
  <c r="S6" i="16" s="1"/>
  <c r="M9" i="16"/>
  <c r="M29" i="16"/>
  <c r="R32" i="16" a="1"/>
  <c r="R32" i="16" s="1"/>
  <c r="G10" i="16" a="1"/>
  <c r="G10" i="16" s="1"/>
  <c r="S7" i="16" a="1"/>
  <c r="S7" i="16" s="1"/>
  <c r="S27" i="16" a="1"/>
  <c r="S27" i="16" s="1"/>
  <c r="M19" i="16"/>
  <c r="R22" i="16" a="1"/>
  <c r="R22" i="16" s="1"/>
  <c r="G29" i="16" a="1"/>
  <c r="G29" i="16" s="1"/>
  <c r="G9" i="16" a="1"/>
  <c r="G9" i="16" s="1"/>
  <c r="S8" i="16" a="1"/>
  <c r="S8" i="16" s="1"/>
  <c r="S28" i="16" a="1"/>
  <c r="S28" i="16" s="1"/>
  <c r="R12" i="16" a="1"/>
  <c r="R12" i="16" s="1"/>
  <c r="AL12" i="16" s="1"/>
  <c r="M10" i="16"/>
  <c r="M30" i="16"/>
  <c r="R33" i="16" a="1"/>
  <c r="R33" i="16" s="1"/>
  <c r="M4" i="16"/>
  <c r="M24" i="16"/>
  <c r="G28" i="16" a="1"/>
  <c r="G28" i="16" s="1"/>
  <c r="G8" i="16" a="1"/>
  <c r="G8" i="16" s="1"/>
  <c r="S9" i="16" a="1"/>
  <c r="S9" i="16" s="1"/>
  <c r="S29" i="16" a="1"/>
  <c r="S29" i="16" s="1"/>
  <c r="R13" i="16" a="1"/>
  <c r="R13" i="16" s="1"/>
  <c r="M23" i="16"/>
  <c r="G27" i="16" a="1"/>
  <c r="G27" i="16" s="1"/>
  <c r="G7" i="16" a="1"/>
  <c r="G7" i="16" s="1"/>
  <c r="S10" i="16" a="1"/>
  <c r="S10" i="16" s="1"/>
  <c r="S30" i="16" a="1"/>
  <c r="S30" i="16" s="1"/>
  <c r="R14" i="16" a="1"/>
  <c r="R14" i="16" s="1"/>
  <c r="R34" i="16" a="1"/>
  <c r="R34" i="16" s="1"/>
  <c r="M12" i="16"/>
  <c r="M32" i="16"/>
  <c r="M13" i="16"/>
  <c r="M33" i="16"/>
  <c r="R16" i="16" a="1"/>
  <c r="R16" i="16" s="1"/>
  <c r="M14" i="16"/>
  <c r="M34" i="16"/>
  <c r="R17" i="16" a="1"/>
  <c r="R17" i="16" s="1"/>
  <c r="G26" i="16" a="1"/>
  <c r="G26" i="16" s="1"/>
  <c r="G6" i="16" a="1"/>
  <c r="G6" i="16" s="1"/>
  <c r="S11" i="16" a="1"/>
  <c r="S11" i="16" s="1"/>
  <c r="S31" i="16" a="1"/>
  <c r="S31" i="16" s="1"/>
  <c r="R15" i="16" a="1"/>
  <c r="R15" i="16" s="1"/>
  <c r="R35" i="16" a="1"/>
  <c r="R35" i="16" s="1"/>
  <c r="R36" i="16" a="1"/>
  <c r="R36" i="16" s="1"/>
  <c r="M15" i="16"/>
  <c r="M35" i="16"/>
  <c r="M22" i="16"/>
  <c r="X4" i="16" a="1"/>
  <c r="X4" i="16" s="1"/>
  <c r="X24" i="16" a="1"/>
  <c r="X24" i="16" s="1"/>
  <c r="X5" i="16" a="1"/>
  <c r="X5" i="16" s="1"/>
  <c r="X25" i="16" a="1"/>
  <c r="X25" i="16" s="1"/>
  <c r="X6" i="16" a="1"/>
  <c r="X6" i="16" s="1"/>
  <c r="X26" i="16" a="1"/>
  <c r="X26" i="16" s="1"/>
  <c r="X7" i="16" a="1"/>
  <c r="X7" i="16" s="1"/>
  <c r="X27" i="16" a="1"/>
  <c r="X27" i="16" s="1"/>
  <c r="X8" i="16" a="1"/>
  <c r="X8" i="16" s="1"/>
  <c r="X28" i="16" a="1"/>
  <c r="X28" i="16" s="1"/>
  <c r="X9" i="16" a="1"/>
  <c r="X9" i="16" s="1"/>
  <c r="X29" i="16" a="1"/>
  <c r="X29" i="16" s="1"/>
  <c r="X10" i="16" a="1"/>
  <c r="X10" i="16" s="1"/>
  <c r="X30" i="16" a="1"/>
  <c r="X30" i="16" s="1"/>
  <c r="X11" i="16" a="1"/>
  <c r="X11" i="16" s="1"/>
  <c r="X31" i="16" a="1"/>
  <c r="X31" i="16" s="1"/>
  <c r="X12" i="16" a="1"/>
  <c r="X12" i="16" s="1"/>
  <c r="X32" i="16" a="1"/>
  <c r="X32" i="16" s="1"/>
  <c r="X13" i="16" a="1"/>
  <c r="X13" i="16" s="1"/>
  <c r="X33" i="16" a="1"/>
  <c r="X33" i="16" s="1"/>
  <c r="X14" i="16" a="1"/>
  <c r="X14" i="16" s="1"/>
  <c r="X34" i="16" a="1"/>
  <c r="X34" i="16" s="1"/>
  <c r="X15" i="16" a="1"/>
  <c r="X15" i="16" s="1"/>
  <c r="X35" i="16" a="1"/>
  <c r="X35" i="16" s="1"/>
  <c r="X16" i="16" a="1"/>
  <c r="X16" i="16" s="1"/>
  <c r="X36" i="16" a="1"/>
  <c r="X36" i="16" s="1"/>
  <c r="X17" i="16" a="1"/>
  <c r="X17" i="16" s="1"/>
  <c r="X37" i="16" a="1"/>
  <c r="X37" i="16" s="1"/>
  <c r="X18" i="16" a="1"/>
  <c r="X18" i="16" s="1"/>
  <c r="X3" i="16" a="1"/>
  <c r="X3" i="16" s="1"/>
  <c r="X19" i="16" a="1"/>
  <c r="X19" i="16" s="1"/>
  <c r="X20" i="16" a="1"/>
  <c r="X20" i="16" s="1"/>
  <c r="X21" i="16" a="1"/>
  <c r="X21" i="16" s="1"/>
  <c r="X22" i="16" a="1"/>
  <c r="X22" i="16" s="1"/>
  <c r="X23" i="16" a="1"/>
  <c r="X23" i="16" s="1"/>
  <c r="B23" i="16"/>
  <c r="E3" i="16"/>
  <c r="E18" i="16"/>
  <c r="Q5" i="16" a="1"/>
  <c r="Q5" i="16" s="1"/>
  <c r="H20" i="16" a="1"/>
  <c r="H20" i="16" s="1"/>
  <c r="Z35" i="16" a="1"/>
  <c r="Z35" i="16" s="1"/>
  <c r="Z15" i="16" a="1"/>
  <c r="Z15" i="16" s="1"/>
  <c r="Q25" i="16" a="1"/>
  <c r="Q25" i="16" s="1"/>
  <c r="B22" i="16"/>
  <c r="E37" i="16"/>
  <c r="E17" i="16"/>
  <c r="Q24" i="16" a="1"/>
  <c r="Q24" i="16" s="1"/>
  <c r="Q4" i="16" a="1"/>
  <c r="Q4" i="16" s="1"/>
  <c r="H19" i="16" a="1"/>
  <c r="H19" i="16" s="1"/>
  <c r="Z34" i="16" a="1"/>
  <c r="Z34" i="16" s="1"/>
  <c r="Z14" i="16" a="1"/>
  <c r="Z14" i="16" s="1"/>
  <c r="Q23" i="16" a="1"/>
  <c r="Q23" i="16" s="1"/>
  <c r="H3" i="16" a="1"/>
  <c r="H3" i="16" s="1"/>
  <c r="H18" i="16" a="1"/>
  <c r="H18" i="16" s="1"/>
  <c r="Z33" i="16" a="1"/>
  <c r="Z33" i="16" s="1"/>
  <c r="Z13" i="16" a="1"/>
  <c r="Z13" i="16" s="1"/>
  <c r="Q22" i="16" a="1"/>
  <c r="Q22" i="16" s="1"/>
  <c r="H37" i="16" a="1"/>
  <c r="H37" i="16" s="1"/>
  <c r="H17" i="16" a="1"/>
  <c r="H17" i="16" s="1"/>
  <c r="Z32" i="16" a="1"/>
  <c r="Z32" i="16" s="1"/>
  <c r="Z12" i="16" a="1"/>
  <c r="Z12" i="16" s="1"/>
  <c r="B21" i="16"/>
  <c r="E36" i="16"/>
  <c r="E16" i="16"/>
  <c r="B19" i="16"/>
  <c r="E34" i="16"/>
  <c r="E14" i="16"/>
  <c r="Q21" i="16" a="1"/>
  <c r="Q21" i="16" s="1"/>
  <c r="H36" i="16" a="1"/>
  <c r="H36" i="16" s="1"/>
  <c r="H16" i="16" a="1"/>
  <c r="H16" i="16" s="1"/>
  <c r="Z31" i="16" a="1"/>
  <c r="Z31" i="16" s="1"/>
  <c r="Z11" i="16" a="1"/>
  <c r="Z11" i="16" s="1"/>
  <c r="B20" i="16"/>
  <c r="E35" i="16"/>
  <c r="E15" i="16"/>
  <c r="B3" i="16"/>
  <c r="B18" i="16"/>
  <c r="E33" i="16"/>
  <c r="E13" i="16"/>
  <c r="Q20" i="16" a="1"/>
  <c r="Q20" i="16" s="1"/>
  <c r="H35" i="16" a="1"/>
  <c r="H35" i="16" s="1"/>
  <c r="H15" i="16" a="1"/>
  <c r="H15" i="16" s="1"/>
  <c r="Z30" i="16" a="1"/>
  <c r="Z30" i="16" s="1"/>
  <c r="Z10" i="16" a="1"/>
  <c r="Z10" i="16" s="1"/>
  <c r="B24" i="16"/>
  <c r="B4" i="16"/>
  <c r="B37" i="16"/>
  <c r="B17" i="16"/>
  <c r="E32" i="16"/>
  <c r="E12" i="16"/>
  <c r="Q19" i="16" a="1"/>
  <c r="Q19" i="16" s="1"/>
  <c r="H34" i="16" a="1"/>
  <c r="H34" i="16" s="1"/>
  <c r="H14" i="16" a="1"/>
  <c r="H14" i="16" s="1"/>
  <c r="Z29" i="16" a="1"/>
  <c r="Z29" i="16" s="1"/>
  <c r="Z9" i="16" a="1"/>
  <c r="Z9" i="16" s="1"/>
  <c r="B36" i="16"/>
  <c r="B16" i="16"/>
  <c r="E31" i="16"/>
  <c r="E11" i="16"/>
  <c r="Q3" i="16" a="1"/>
  <c r="Q3" i="16" s="1"/>
  <c r="Q18" i="16" a="1"/>
  <c r="Q18" i="16" s="1"/>
  <c r="H33" i="16" a="1"/>
  <c r="H33" i="16" s="1"/>
  <c r="H13" i="16" a="1"/>
  <c r="H13" i="16" s="1"/>
  <c r="Z28" i="16" a="1"/>
  <c r="Z28" i="16" s="1"/>
  <c r="Z8" i="16" a="1"/>
  <c r="Z8" i="16" s="1"/>
  <c r="Q17" i="16" a="1"/>
  <c r="Q17" i="16" s="1"/>
  <c r="AM17" i="16" s="1"/>
  <c r="H32" i="16" a="1"/>
  <c r="H32" i="16" s="1"/>
  <c r="H12" i="16" a="1"/>
  <c r="H12" i="16" s="1"/>
  <c r="Z27" i="16" a="1"/>
  <c r="Z27" i="16" s="1"/>
  <c r="Z7" i="16" a="1"/>
  <c r="Z7" i="16" s="1"/>
  <c r="Q36" i="16" a="1"/>
  <c r="Q36" i="16" s="1"/>
  <c r="Q16" i="16" a="1"/>
  <c r="Q16" i="16" s="1"/>
  <c r="H31" i="16" a="1"/>
  <c r="H31" i="16" s="1"/>
  <c r="H11" i="16" a="1"/>
  <c r="H11" i="16" s="1"/>
  <c r="Z26" i="16" a="1"/>
  <c r="Z26" i="16" s="1"/>
  <c r="Z6" i="16" a="1"/>
  <c r="Z6" i="16" s="1"/>
  <c r="Q15" i="16" a="1"/>
  <c r="Q15" i="16" s="1"/>
  <c r="H30" i="16" a="1"/>
  <c r="H30" i="16" s="1"/>
  <c r="H10" i="16" a="1"/>
  <c r="H10" i="16" s="1"/>
  <c r="Z25" i="16" a="1"/>
  <c r="Z25" i="16" s="1"/>
  <c r="Z5" i="16" a="1"/>
  <c r="Z5" i="16" s="1"/>
  <c r="B32" i="16"/>
  <c r="B12" i="16"/>
  <c r="E27" i="16"/>
  <c r="E7" i="16"/>
  <c r="Q34" i="16" a="1"/>
  <c r="Q34" i="16" s="1"/>
  <c r="Q14" i="16" a="1"/>
  <c r="Q14" i="16" s="1"/>
  <c r="H29" i="16" a="1"/>
  <c r="H29" i="16" s="1"/>
  <c r="H9" i="16" a="1"/>
  <c r="H9" i="16" s="1"/>
  <c r="Z24" i="16" a="1"/>
  <c r="Z24" i="16" s="1"/>
  <c r="Z4" i="16" a="1"/>
  <c r="Z4" i="16" s="1"/>
  <c r="AL32" i="16"/>
  <c r="AL27" i="16"/>
  <c r="T37" i="16" a="1"/>
  <c r="N32" i="16" a="1"/>
  <c r="T34" i="16" a="1"/>
  <c r="N17" i="16" a="1"/>
  <c r="N23" i="16" a="1"/>
  <c r="T13" i="16" a="1"/>
  <c r="T7" i="16" a="1"/>
  <c r="N4" i="16" a="1"/>
  <c r="T30" i="16" a="1"/>
  <c r="N37" i="16" a="1"/>
  <c r="T33" i="16" a="1"/>
  <c r="N11" i="16" a="1"/>
  <c r="N28" i="16" a="1"/>
  <c r="T16" i="16" a="1"/>
  <c r="T10" i="16" a="1"/>
  <c r="N13" i="16" a="1"/>
  <c r="N18" i="16" a="1"/>
  <c r="N36" i="16" a="1"/>
  <c r="T20" i="16" a="1"/>
  <c r="N9" i="16" a="1"/>
  <c r="N34" i="16" a="1"/>
  <c r="T26" i="16" a="1"/>
  <c r="T18" i="16" a="1"/>
  <c r="N12" i="16" a="1"/>
  <c r="N10" i="16" a="1"/>
  <c r="N19" i="16" a="1"/>
  <c r="T29" i="16" a="1"/>
  <c r="T5" i="16" a="1"/>
  <c r="T28" i="16" a="1"/>
  <c r="T8" i="16" a="1"/>
  <c r="T25" i="16" a="1"/>
  <c r="N27" i="16" a="1"/>
  <c r="T14" i="16" a="1"/>
  <c r="T15" i="16" a="1"/>
  <c r="N15" i="16" a="1"/>
  <c r="N35" i="16" a="1"/>
  <c r="T11" i="16" a="1"/>
  <c r="N33" i="16" a="1"/>
  <c r="N29" i="16" a="1"/>
  <c r="T19" i="16" a="1"/>
  <c r="N20" i="16" a="1"/>
  <c r="N5" i="16" a="1"/>
  <c r="T3" i="16" a="1"/>
  <c r="T35" i="16" a="1"/>
  <c r="T36" i="16" a="1"/>
  <c r="T4" i="16" a="1"/>
  <c r="N24" i="16" a="1"/>
  <c r="T24" i="16" a="1"/>
  <c r="N7" i="16" a="1"/>
  <c r="T32" i="16" a="1"/>
  <c r="N25" i="16" a="1"/>
  <c r="T12" i="16" a="1"/>
  <c r="N21" i="16" a="1"/>
  <c r="T22" i="16" a="1"/>
  <c r="N30" i="16" a="1"/>
  <c r="T27" i="16" a="1"/>
  <c r="T31" i="16" a="1"/>
  <c r="N6" i="16" a="1"/>
  <c r="N22" i="16" a="1"/>
  <c r="N26" i="16" a="1"/>
  <c r="T21" i="16" a="1"/>
  <c r="N3" i="16" a="1"/>
  <c r="N31" i="16" a="1"/>
  <c r="T23" i="16" a="1"/>
  <c r="N14" i="16" a="1"/>
  <c r="T17" i="16" a="1"/>
  <c r="T6" i="16" a="1"/>
  <c r="N16" i="16" a="1"/>
  <c r="T9" i="16" a="1"/>
  <c r="N8" i="16" a="1"/>
  <c r="AM32" i="16" l="1"/>
  <c r="AM26" i="16"/>
  <c r="AM7" i="16"/>
  <c r="AL24" i="16"/>
  <c r="AM24" i="16" s="1"/>
  <c r="AM27" i="16"/>
  <c r="AM36" i="16"/>
  <c r="AM19" i="16"/>
  <c r="AM12" i="16"/>
  <c r="AK17" i="16"/>
  <c r="AL29" i="16"/>
  <c r="AM29" i="16" s="1"/>
  <c r="R3" i="16" a="1"/>
  <c r="R3" i="16" s="1"/>
  <c r="AL9" i="16"/>
  <c r="AL25" i="16"/>
  <c r="AL20" i="16"/>
  <c r="AM20" i="16" s="1"/>
  <c r="AL36" i="16"/>
  <c r="AL21" i="16"/>
  <c r="AM21" i="16" s="1"/>
  <c r="AL4" i="16"/>
  <c r="AM4" i="16" s="1"/>
  <c r="AL17" i="16"/>
  <c r="AL18" i="16"/>
  <c r="AM18" i="16" s="1"/>
  <c r="AL10" i="16"/>
  <c r="AL19" i="16"/>
  <c r="AL13" i="16"/>
  <c r="AL14" i="16"/>
  <c r="AL15" i="16"/>
  <c r="AL5" i="16"/>
  <c r="AM5" i="16" s="1"/>
  <c r="AL22" i="16"/>
  <c r="AL30" i="16"/>
  <c r="AL35" i="16"/>
  <c r="AM35" i="16" s="1"/>
  <c r="AL37" i="16"/>
  <c r="AM37" i="16" s="1"/>
  <c r="AL16" i="16"/>
  <c r="AM16" i="16" s="1"/>
  <c r="AL23" i="16"/>
  <c r="AM23" i="16" s="1"/>
  <c r="N15" i="16"/>
  <c r="N27" i="16"/>
  <c r="N18" i="16"/>
  <c r="N25" i="16"/>
  <c r="N24" i="16"/>
  <c r="N26" i="16"/>
  <c r="N10" i="16"/>
  <c r="N34" i="16"/>
  <c r="N4" i="16"/>
  <c r="N19" i="16"/>
  <c r="N36" i="16"/>
  <c r="N12" i="16"/>
  <c r="N3" i="16"/>
  <c r="N30" i="16"/>
  <c r="N29" i="16"/>
  <c r="N28" i="16"/>
  <c r="N33" i="16"/>
  <c r="N22" i="16"/>
  <c r="N14" i="16"/>
  <c r="N17" i="16"/>
  <c r="N6" i="16"/>
  <c r="N7" i="16"/>
  <c r="N11" i="16"/>
  <c r="N21" i="16"/>
  <c r="N13" i="16"/>
  <c r="N35" i="16"/>
  <c r="N32" i="16"/>
  <c r="N23" i="16"/>
  <c r="N5" i="16"/>
  <c r="N20" i="16"/>
  <c r="N9" i="16"/>
  <c r="N16" i="16"/>
  <c r="N31" i="16"/>
  <c r="N37" i="16"/>
  <c r="N8" i="16"/>
  <c r="I26" i="16"/>
  <c r="L26" i="16"/>
  <c r="I6" i="16"/>
  <c r="L6" i="16"/>
  <c r="I25" i="16"/>
  <c r="L25" i="16"/>
  <c r="I20" i="16"/>
  <c r="L20" i="16"/>
  <c r="L21" i="16"/>
  <c r="I21" i="16"/>
  <c r="I5" i="16"/>
  <c r="L5" i="16"/>
  <c r="L37" i="16"/>
  <c r="I37" i="16"/>
  <c r="I23" i="16"/>
  <c r="L23" i="16"/>
  <c r="I17" i="16"/>
  <c r="L17" i="16"/>
  <c r="I34" i="16"/>
  <c r="L34" i="16"/>
  <c r="AL11" i="16"/>
  <c r="I14" i="16"/>
  <c r="L14" i="16"/>
  <c r="I19" i="16"/>
  <c r="L19" i="16"/>
  <c r="L31" i="16"/>
  <c r="I31" i="16"/>
  <c r="I30" i="16"/>
  <c r="L30" i="16"/>
  <c r="L29" i="16"/>
  <c r="I29" i="16"/>
  <c r="I13" i="16"/>
  <c r="L13" i="16"/>
  <c r="L22" i="16"/>
  <c r="I22" i="16"/>
  <c r="I36" i="16"/>
  <c r="L36" i="16"/>
  <c r="I3" i="16"/>
  <c r="L3" i="16"/>
  <c r="L18" i="16"/>
  <c r="I18" i="16"/>
  <c r="L33" i="16"/>
  <c r="I33" i="16"/>
  <c r="I35" i="16"/>
  <c r="L35" i="16"/>
  <c r="I32" i="16"/>
  <c r="L32" i="16"/>
  <c r="I15" i="16"/>
  <c r="L15" i="16"/>
  <c r="I12" i="16"/>
  <c r="L12" i="16"/>
  <c r="I24" i="16"/>
  <c r="L24" i="16"/>
  <c r="I8" i="16"/>
  <c r="L8" i="16"/>
  <c r="L11" i="16"/>
  <c r="I11" i="16"/>
  <c r="I16" i="16"/>
  <c r="L16" i="16"/>
  <c r="AL31" i="16"/>
  <c r="L4" i="16"/>
  <c r="I4" i="16"/>
  <c r="I28" i="16"/>
  <c r="L28" i="16"/>
  <c r="AL33" i="16"/>
  <c r="AL34" i="16"/>
  <c r="L27" i="16"/>
  <c r="I27" i="16"/>
  <c r="I10" i="16"/>
  <c r="L10" i="16"/>
  <c r="I9" i="16"/>
  <c r="L9" i="16"/>
  <c r="I7" i="16"/>
  <c r="L7" i="16"/>
  <c r="T20" i="16"/>
  <c r="T24" i="16"/>
  <c r="T7" i="16"/>
  <c r="T28" i="16"/>
  <c r="T9" i="16"/>
  <c r="T10" i="16"/>
  <c r="T15" i="16"/>
  <c r="T31" i="16"/>
  <c r="T17" i="16"/>
  <c r="T18" i="16"/>
  <c r="T27" i="16"/>
  <c r="T36" i="16"/>
  <c r="T4" i="16"/>
  <c r="T13" i="16"/>
  <c r="T22" i="16"/>
  <c r="T8" i="16"/>
  <c r="T34" i="16"/>
  <c r="T21" i="16"/>
  <c r="T30" i="16"/>
  <c r="T12" i="16"/>
  <c r="T25" i="16"/>
  <c r="T26" i="16"/>
  <c r="T11" i="16"/>
  <c r="T32" i="16"/>
  <c r="T29" i="16"/>
  <c r="T6" i="16"/>
  <c r="T19" i="16"/>
  <c r="T33" i="16"/>
  <c r="T16" i="16"/>
  <c r="T35" i="16"/>
  <c r="T3" i="16"/>
  <c r="T5" i="16"/>
  <c r="T14" i="16"/>
  <c r="T23" i="16"/>
  <c r="T37" i="16"/>
  <c r="O10" i="16" a="1"/>
  <c r="U4" i="16" a="1"/>
  <c r="U9" i="16" a="1"/>
  <c r="O9" i="16" a="1"/>
  <c r="U30" i="16" a="1"/>
  <c r="U18" i="16" a="1"/>
  <c r="O25" i="16" a="1"/>
  <c r="O5" i="16" a="1"/>
  <c r="U20" i="16" a="1"/>
  <c r="U17" i="16" a="1"/>
  <c r="O4" i="16" a="1"/>
  <c r="O23" i="16" a="1"/>
  <c r="O6" i="16" a="1"/>
  <c r="U23" i="16" a="1"/>
  <c r="U37" i="16" a="1"/>
  <c r="U33" i="16" a="1"/>
  <c r="O7" i="16" a="1"/>
  <c r="U34" i="16" a="1"/>
  <c r="O14" i="16" a="1"/>
  <c r="O36" i="16" a="1"/>
  <c r="O29" i="16" a="1"/>
  <c r="U10" i="16" a="1"/>
  <c r="U6" i="16" a="1"/>
  <c r="U24" i="16" a="1"/>
  <c r="O30" i="16" a="1"/>
  <c r="O24" i="16" a="1"/>
  <c r="U35" i="16" a="1"/>
  <c r="O22" i="16" a="1"/>
  <c r="O12" i="16" a="1"/>
  <c r="O19" i="16" a="1"/>
  <c r="O17" i="16" a="1"/>
  <c r="O8" i="16" a="1"/>
  <c r="U8" i="16" a="1"/>
  <c r="U11" i="16" a="1"/>
  <c r="U16" i="16" a="1"/>
  <c r="O31" i="16" a="1"/>
  <c r="U12" i="16" a="1"/>
  <c r="O37" i="16" a="1"/>
  <c r="U3" i="16" a="1"/>
  <c r="O26" i="16" a="1"/>
  <c r="U15" i="16" a="1"/>
  <c r="U25" i="16" a="1"/>
  <c r="O18" i="16" a="1"/>
  <c r="O35" i="16" a="1"/>
  <c r="O3" i="16" a="1"/>
  <c r="O27" i="16" a="1"/>
  <c r="O21" i="16" a="1"/>
  <c r="U29" i="16" a="1"/>
  <c r="O13" i="16" a="1"/>
  <c r="U22" i="16" a="1"/>
  <c r="O33" i="16" a="1"/>
  <c r="O15" i="16" a="1"/>
  <c r="U21" i="16" a="1"/>
  <c r="U31" i="16" a="1"/>
  <c r="U13" i="16" a="1"/>
  <c r="O32" i="16" a="1"/>
  <c r="U14" i="16" a="1"/>
  <c r="O20" i="16" a="1"/>
  <c r="O28" i="16" a="1"/>
  <c r="U5" i="16" a="1"/>
  <c r="O11" i="16" a="1"/>
  <c r="U28" i="16" a="1"/>
  <c r="U27" i="16" a="1"/>
  <c r="U36" i="16" a="1"/>
  <c r="U7" i="16" a="1"/>
  <c r="O34" i="16" a="1"/>
  <c r="U26" i="16" a="1"/>
  <c r="U19" i="16" a="1"/>
  <c r="O16" i="16" a="1"/>
  <c r="U32" i="16" a="1"/>
  <c r="AK35" i="16" l="1"/>
  <c r="AK19" i="16"/>
  <c r="AK34" i="16"/>
  <c r="AK22" i="16"/>
  <c r="AK23" i="16"/>
  <c r="AK8" i="16"/>
  <c r="AK37" i="16"/>
  <c r="AK29" i="16"/>
  <c r="AK5" i="16"/>
  <c r="AK27" i="16"/>
  <c r="AK15" i="16"/>
  <c r="AK30" i="16"/>
  <c r="AM30" i="16" s="1"/>
  <c r="AK20" i="16"/>
  <c r="AK7" i="16"/>
  <c r="AK12" i="16"/>
  <c r="AK32" i="16"/>
  <c r="AK33" i="16"/>
  <c r="AM33" i="16" s="1"/>
  <c r="AK6" i="16"/>
  <c r="AK4" i="16"/>
  <c r="AK14" i="16"/>
  <c r="AK18" i="16"/>
  <c r="AK26" i="16"/>
  <c r="AK11" i="16"/>
  <c r="AM11" i="16"/>
  <c r="AK16" i="16"/>
  <c r="AK31" i="16"/>
  <c r="AK13" i="16"/>
  <c r="AK21" i="16"/>
  <c r="AK10" i="16"/>
  <c r="AM10" i="16" s="1"/>
  <c r="AK28" i="16"/>
  <c r="AK25" i="16"/>
  <c r="AK3" i="16"/>
  <c r="AK36" i="16"/>
  <c r="AK24" i="16"/>
  <c r="AK9" i="16"/>
  <c r="AM9" i="16" s="1"/>
  <c r="AL3" i="16"/>
  <c r="O17" i="16"/>
  <c r="O14" i="16"/>
  <c r="O22" i="16"/>
  <c r="O33" i="16"/>
  <c r="O28" i="16"/>
  <c r="O8" i="16"/>
  <c r="O29" i="16"/>
  <c r="O37" i="16"/>
  <c r="O30" i="16"/>
  <c r="O31" i="16"/>
  <c r="O3" i="16"/>
  <c r="O16" i="16"/>
  <c r="O12" i="16"/>
  <c r="O9" i="16"/>
  <c r="O36" i="16"/>
  <c r="O20" i="16"/>
  <c r="O19" i="16"/>
  <c r="O5" i="16"/>
  <c r="O4" i="16"/>
  <c r="O23" i="16"/>
  <c r="O34" i="16"/>
  <c r="O32" i="16"/>
  <c r="O10" i="16"/>
  <c r="O35" i="16"/>
  <c r="O26" i="16"/>
  <c r="O13" i="16"/>
  <c r="O24" i="16"/>
  <c r="O21" i="16"/>
  <c r="O25" i="16"/>
  <c r="O11" i="16"/>
  <c r="O18" i="16"/>
  <c r="O7" i="16"/>
  <c r="O27" i="16"/>
  <c r="O6" i="16"/>
  <c r="O15" i="16"/>
  <c r="U25" i="16"/>
  <c r="AJ25" i="16" s="1"/>
  <c r="U8" i="16"/>
  <c r="AJ8" i="16" s="1"/>
  <c r="U33" i="16"/>
  <c r="AJ33" i="16" s="1"/>
  <c r="U31" i="16"/>
  <c r="AJ31" i="16" s="1"/>
  <c r="U19" i="16"/>
  <c r="AJ19" i="16" s="1"/>
  <c r="U22" i="16"/>
  <c r="AJ22" i="16" s="1"/>
  <c r="U15" i="16"/>
  <c r="AJ15" i="16" s="1"/>
  <c r="U37" i="16"/>
  <c r="AJ37" i="16" s="1"/>
  <c r="U11" i="16"/>
  <c r="AJ11" i="16" s="1"/>
  <c r="U13" i="16"/>
  <c r="AJ13" i="16" s="1"/>
  <c r="AM13" i="16" s="1"/>
  <c r="U24" i="16"/>
  <c r="AJ24" i="16" s="1"/>
  <c r="U29" i="16"/>
  <c r="AJ29" i="16" s="1"/>
  <c r="U30" i="16"/>
  <c r="AJ30" i="16" s="1"/>
  <c r="U17" i="16"/>
  <c r="U20" i="16"/>
  <c r="U14" i="16"/>
  <c r="AJ14" i="16" s="1"/>
  <c r="AM14" i="16" s="1"/>
  <c r="U35" i="16"/>
  <c r="AJ35" i="16" s="1"/>
  <c r="U21" i="16"/>
  <c r="AJ21" i="16" s="1"/>
  <c r="U5" i="16"/>
  <c r="AJ5" i="16" s="1"/>
  <c r="U16" i="16"/>
  <c r="U3" i="16"/>
  <c r="AJ3" i="16" s="1"/>
  <c r="U36" i="16"/>
  <c r="U28" i="16"/>
  <c r="AJ28" i="16" s="1"/>
  <c r="U32" i="16"/>
  <c r="AJ32" i="16" s="1"/>
  <c r="U27" i="16"/>
  <c r="AJ27" i="16" s="1"/>
  <c r="U7" i="16"/>
  <c r="U6" i="16"/>
  <c r="AJ6" i="16" s="1"/>
  <c r="U12" i="16"/>
  <c r="AJ12" i="16" s="1"/>
  <c r="U18" i="16"/>
  <c r="AJ18" i="16" s="1"/>
  <c r="U10" i="16"/>
  <c r="AJ10" i="16" s="1"/>
  <c r="U23" i="16"/>
  <c r="AJ23" i="16" s="1"/>
  <c r="U26" i="16"/>
  <c r="U4" i="16"/>
  <c r="AJ4" i="16" s="1"/>
  <c r="U9" i="16"/>
  <c r="AJ9" i="16" s="1"/>
  <c r="U34" i="16"/>
  <c r="AJ34" i="16" s="1"/>
  <c r="AM34" i="16" s="1"/>
  <c r="AV37" i="16"/>
  <c r="AU37" i="16"/>
  <c r="AV36" i="16"/>
  <c r="AV35" i="16"/>
  <c r="AU35" i="16"/>
  <c r="AV34" i="16"/>
  <c r="AU34" i="16"/>
  <c r="AV33" i="16"/>
  <c r="AU33" i="16"/>
  <c r="AU32" i="16"/>
  <c r="AV31" i="16"/>
  <c r="AU31" i="16"/>
  <c r="AV30" i="16"/>
  <c r="AU30" i="16"/>
  <c r="AU29" i="16"/>
  <c r="AV28" i="16"/>
  <c r="AV27" i="16"/>
  <c r="AU27" i="16"/>
  <c r="AV26" i="16"/>
  <c r="AU26" i="16"/>
  <c r="AV25" i="16"/>
  <c r="AU23" i="16"/>
  <c r="AV22" i="16"/>
  <c r="AU22" i="16"/>
  <c r="AV20" i="16"/>
  <c r="AU20" i="16"/>
  <c r="AU19" i="16"/>
  <c r="AU18" i="16"/>
  <c r="P37" i="16" a="1"/>
  <c r="P15" i="16" a="1"/>
  <c r="P28" i="16" a="1"/>
  <c r="P7" i="16" a="1"/>
  <c r="P16" i="16" a="1"/>
  <c r="P32" i="16" a="1"/>
  <c r="P22" i="16" a="1"/>
  <c r="P12" i="16" a="1"/>
  <c r="P31" i="16" a="1"/>
  <c r="P19" i="16" a="1"/>
  <c r="P35" i="16" a="1"/>
  <c r="P8" i="16" a="1"/>
  <c r="P18" i="16" a="1"/>
  <c r="P10" i="16" a="1"/>
  <c r="P14" i="16" a="1"/>
  <c r="P6" i="16" a="1"/>
  <c r="P13" i="16" a="1"/>
  <c r="P11" i="16" a="1"/>
  <c r="P30" i="16" a="1"/>
  <c r="P5" i="16" a="1"/>
  <c r="P17" i="16" a="1"/>
  <c r="P27" i="16" a="1"/>
  <c r="P26" i="16" a="1"/>
  <c r="P23" i="16" a="1"/>
  <c r="P20" i="16" a="1"/>
  <c r="P25" i="16" a="1"/>
  <c r="P29" i="16" a="1"/>
  <c r="P24" i="16" a="1"/>
  <c r="P21" i="16" a="1"/>
  <c r="P4" i="16" a="1"/>
  <c r="P36" i="16" a="1"/>
  <c r="P3" i="16" a="1"/>
  <c r="P33" i="16" a="1"/>
  <c r="P34" i="16" a="1"/>
  <c r="P9" i="16" a="1"/>
  <c r="AM6" i="16" l="1"/>
  <c r="AM3" i="16"/>
  <c r="AM31" i="16"/>
  <c r="AU28" i="16"/>
  <c r="AU24" i="16"/>
  <c r="AM15" i="16"/>
  <c r="AM22" i="16"/>
  <c r="AU36" i="16"/>
  <c r="AU21" i="16"/>
  <c r="AM28" i="16"/>
  <c r="AM8" i="16"/>
  <c r="AM25" i="16"/>
  <c r="AU25" i="16"/>
  <c r="P23" i="16"/>
  <c r="AI23" i="16" s="1"/>
  <c r="P4" i="16"/>
  <c r="AI4" i="16" s="1"/>
  <c r="P5" i="16"/>
  <c r="AI5" i="16" s="1"/>
  <c r="P19" i="16"/>
  <c r="AI19" i="16" s="1"/>
  <c r="P20" i="16"/>
  <c r="AI20" i="16" s="1"/>
  <c r="P15" i="16"/>
  <c r="AI15" i="16" s="1"/>
  <c r="P36" i="16"/>
  <c r="AI36" i="16" s="1"/>
  <c r="P6" i="16"/>
  <c r="AI6" i="16" s="1"/>
  <c r="P9" i="16"/>
  <c r="AI9" i="16" s="1"/>
  <c r="P27" i="16"/>
  <c r="AI27" i="16" s="1"/>
  <c r="P12" i="16"/>
  <c r="AI12" i="16" s="1"/>
  <c r="P7" i="16"/>
  <c r="AI7" i="16" s="1"/>
  <c r="P16" i="16"/>
  <c r="AI16" i="16" s="1"/>
  <c r="P18" i="16"/>
  <c r="AI18" i="16" s="1"/>
  <c r="P3" i="16"/>
  <c r="AI3" i="16" s="1"/>
  <c r="P11" i="16"/>
  <c r="AI11" i="16" s="1"/>
  <c r="P31" i="16"/>
  <c r="AI31" i="16" s="1"/>
  <c r="P25" i="16"/>
  <c r="AI25" i="16" s="1"/>
  <c r="P30" i="16"/>
  <c r="AI30" i="16" s="1"/>
  <c r="P21" i="16"/>
  <c r="AI21" i="16" s="1"/>
  <c r="P37" i="16"/>
  <c r="AI37" i="16" s="1"/>
  <c r="P24" i="16"/>
  <c r="AI24" i="16" s="1"/>
  <c r="P29" i="16"/>
  <c r="AI29" i="16" s="1"/>
  <c r="P13" i="16"/>
  <c r="AI13" i="16" s="1"/>
  <c r="P8" i="16"/>
  <c r="AI8" i="16" s="1"/>
  <c r="P26" i="16"/>
  <c r="AI26" i="16" s="1"/>
  <c r="P28" i="16"/>
  <c r="AI28" i="16" s="1"/>
  <c r="P35" i="16"/>
  <c r="AI35" i="16" s="1"/>
  <c r="P33" i="16"/>
  <c r="AI33" i="16" s="1"/>
  <c r="P10" i="16"/>
  <c r="AI10" i="16" s="1"/>
  <c r="P22" i="16"/>
  <c r="AI22" i="16" s="1"/>
  <c r="P32" i="16"/>
  <c r="AI32" i="16" s="1"/>
  <c r="P14" i="16"/>
  <c r="AI14" i="16" s="1"/>
  <c r="P34" i="16"/>
  <c r="AI34" i="16" s="1"/>
  <c r="P17" i="16"/>
  <c r="AV18" i="16"/>
  <c r="AV19" i="16"/>
  <c r="AT20" i="16"/>
  <c r="AV21" i="16"/>
  <c r="AV23" i="16"/>
  <c r="AV24" i="16"/>
  <c r="AW27" i="16"/>
  <c r="AV29" i="16"/>
  <c r="AV32" i="16"/>
  <c r="AW35" i="16"/>
  <c r="AW37" i="16"/>
  <c r="AT33" i="16" l="1"/>
  <c r="AT26" i="16"/>
  <c r="AT36" i="16"/>
  <c r="AT30" i="16"/>
  <c r="AT15" i="16"/>
  <c r="AT28" i="16"/>
  <c r="AU4" i="16"/>
  <c r="AU13" i="16"/>
  <c r="AU9" i="16"/>
  <c r="AU7" i="16"/>
  <c r="AV9" i="16"/>
  <c r="AV12" i="16"/>
  <c r="AU15" i="16"/>
  <c r="AU12" i="16"/>
  <c r="AV17" i="16"/>
  <c r="AV6" i="16"/>
  <c r="AU11" i="16"/>
  <c r="AU17" i="16"/>
  <c r="AU5" i="16"/>
  <c r="AV11" i="16"/>
  <c r="AU8" i="16"/>
  <c r="AU3" i="16"/>
  <c r="AU6" i="16"/>
  <c r="AV3" i="16"/>
  <c r="AW12" i="16"/>
  <c r="AU14" i="16"/>
  <c r="AU16" i="16"/>
  <c r="AV14" i="16"/>
  <c r="AV16" i="16"/>
  <c r="AV13" i="16"/>
  <c r="AU10" i="16"/>
  <c r="AW16" i="16"/>
  <c r="AV8" i="16"/>
  <c r="AV10" i="16"/>
  <c r="AW31" i="16"/>
  <c r="AS18" i="16"/>
  <c r="AS17" i="16"/>
  <c r="AW17" i="16"/>
  <c r="AV7" i="16"/>
  <c r="AV5" i="16"/>
  <c r="AS4" i="16"/>
  <c r="AV4" i="16"/>
  <c r="AS13" i="16"/>
  <c r="AW22" i="16"/>
  <c r="AS16" i="16"/>
  <c r="AS28" i="16"/>
  <c r="AV15" i="16"/>
  <c r="AS15" i="16"/>
  <c r="AS34" i="16"/>
  <c r="AS26" i="16"/>
  <c r="AS31" i="16"/>
  <c r="AS23" i="16"/>
  <c r="AS20" i="16"/>
  <c r="AS12" i="16"/>
  <c r="AS9" i="16"/>
  <c r="AS36" i="16"/>
  <c r="AS6" i="16"/>
  <c r="AS14" i="16"/>
  <c r="AS33" i="16"/>
  <c r="AS25" i="16"/>
  <c r="AS22" i="16"/>
  <c r="AS30" i="16"/>
  <c r="AS19" i="16"/>
  <c r="AS11" i="16"/>
  <c r="AS8" i="16"/>
  <c r="AS5" i="16"/>
  <c r="AS35" i="16"/>
  <c r="AS27" i="16"/>
  <c r="AS32" i="16"/>
  <c r="AS24" i="16"/>
  <c r="AS21" i="16"/>
  <c r="AS10" i="16"/>
  <c r="AS37" i="16"/>
  <c r="AS29" i="16"/>
  <c r="AS7" i="16"/>
  <c r="AW28" i="16"/>
  <c r="AW26" i="16"/>
  <c r="AW20" i="16"/>
  <c r="AW36" i="16"/>
  <c r="AW33" i="16"/>
  <c r="AW32" i="16"/>
  <c r="AW29" i="16"/>
  <c r="AW24" i="16"/>
  <c r="AW23" i="16"/>
  <c r="AW21" i="16"/>
  <c r="AW19" i="16"/>
  <c r="AW18" i="16"/>
  <c r="AT31" i="16" l="1"/>
  <c r="AT21" i="16"/>
  <c r="AT32" i="16"/>
  <c r="AT22" i="16"/>
  <c r="AT23" i="16"/>
  <c r="AT13" i="16"/>
  <c r="AT24" i="16"/>
  <c r="AT12" i="16"/>
  <c r="AT16" i="16"/>
  <c r="AT5" i="16"/>
  <c r="AT25" i="16"/>
  <c r="AT34" i="16"/>
  <c r="AT4" i="16"/>
  <c r="AT3" i="16"/>
  <c r="AT8" i="16"/>
  <c r="AT14" i="16"/>
  <c r="AT18" i="16"/>
  <c r="AT27" i="16"/>
  <c r="AT35" i="16"/>
  <c r="AT9" i="16"/>
  <c r="AT29" i="16"/>
  <c r="AT19" i="16"/>
  <c r="AT7" i="16"/>
  <c r="AT37" i="16"/>
  <c r="AT17" i="16"/>
  <c r="AT10" i="16"/>
  <c r="AT11" i="16"/>
  <c r="AT6" i="16"/>
  <c r="AW11" i="16"/>
  <c r="AW9" i="16"/>
  <c r="AW13" i="16"/>
  <c r="AW10" i="16"/>
  <c r="AW8" i="16"/>
  <c r="AW30" i="16"/>
  <c r="AW6" i="16"/>
  <c r="AW14" i="16"/>
  <c r="AW34" i="16"/>
  <c r="AW25" i="16"/>
  <c r="AW15" i="16"/>
  <c r="AW4" i="16"/>
  <c r="AW5" i="16"/>
  <c r="AW7" i="16"/>
  <c r="AW3" i="16" l="1"/>
  <c r="AS3" i="16"/>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<sst xmlns="http://schemas.openxmlformats.org/spreadsheetml/2006/main" count="946" uniqueCount="443">
  <si>
    <t>patient_id</t>
  </si>
  <si>
    <t>date_of_note</t>
  </si>
  <si>
    <t>ATARisk</t>
  </si>
  <si>
    <t>AJCC8</t>
  </si>
  <si>
    <t>Age</t>
  </si>
  <si>
    <t>Tstage</t>
  </si>
  <si>
    <t>Nstage</t>
  </si>
  <si>
    <t>Mstage</t>
  </si>
  <si>
    <t>LN</t>
  </si>
  <si>
    <t>Meta</t>
  </si>
  <si>
    <t>NoLNresected</t>
  </si>
  <si>
    <t>NoLNinvolved</t>
  </si>
  <si>
    <t>SizeLN</t>
  </si>
  <si>
    <t>Histo</t>
  </si>
  <si>
    <t>HistoType</t>
  </si>
  <si>
    <t>TumorSize</t>
  </si>
  <si>
    <t>VI</t>
  </si>
  <si>
    <t>Number of tumours</t>
  </si>
  <si>
    <t>NoFociVIFTC</t>
  </si>
  <si>
    <t>CI</t>
  </si>
  <si>
    <t>m-ETE</t>
  </si>
  <si>
    <t>Mutation</t>
  </si>
  <si>
    <t>MutationType</t>
  </si>
  <si>
    <t>RAIMetaFoci</t>
  </si>
  <si>
    <t>gETE</t>
  </si>
  <si>
    <t>Thyroidectomy</t>
  </si>
  <si>
    <t>ThyroidectomyType</t>
  </si>
  <si>
    <t>CompResectSurg</t>
  </si>
  <si>
    <t>CompResectPath</t>
  </si>
  <si>
    <t>PostTg</t>
  </si>
  <si>
    <t>1p</t>
  </si>
  <si>
    <t>I</t>
  </si>
  <si>
    <t>Papillary</t>
  </si>
  <si>
    <t>infiltrative follicular</t>
  </si>
  <si>
    <t>Yes</t>
  </si>
  <si>
    <t>yes</t>
  </si>
  <si>
    <t>1o</t>
  </si>
  <si>
    <t>PTC</t>
  </si>
  <si>
    <t>2p</t>
  </si>
  <si>
    <t>30 mm</t>
  </si>
  <si>
    <t>2o</t>
  </si>
  <si>
    <t>3p</t>
  </si>
  <si>
    <t>1 mm</t>
  </si>
  <si>
    <t>3o</t>
  </si>
  <si>
    <t>4p</t>
  </si>
  <si>
    <t>II</t>
  </si>
  <si>
    <t>9.5 mm</t>
  </si>
  <si>
    <t>15 mm</t>
  </si>
  <si>
    <t>4o</t>
  </si>
  <si>
    <t>5p1</t>
  </si>
  <si>
    <t>0.6 mm</t>
  </si>
  <si>
    <t>5p2</t>
  </si>
  <si>
    <t>5o</t>
  </si>
  <si>
    <t>6p</t>
  </si>
  <si>
    <t>6o</t>
  </si>
  <si>
    <t>7p</t>
  </si>
  <si>
    <t>7o</t>
  </si>
  <si>
    <t>8p</t>
  </si>
  <si>
    <t>11.5 mm</t>
  </si>
  <si>
    <t>8o</t>
  </si>
  <si>
    <t>9p</t>
  </si>
  <si>
    <t>9o</t>
  </si>
  <si>
    <t>10p</t>
  </si>
  <si>
    <t>1.5 x 0.5 x 0.8 cm</t>
  </si>
  <si>
    <t>10o</t>
  </si>
  <si>
    <t>11p</t>
  </si>
  <si>
    <t>11o</t>
  </si>
  <si>
    <t>12p</t>
  </si>
  <si>
    <t>12o</t>
  </si>
  <si>
    <t>13p</t>
  </si>
  <si>
    <t>III</t>
  </si>
  <si>
    <t>11mm</t>
  </si>
  <si>
    <t>13o</t>
  </si>
  <si>
    <t>14p</t>
  </si>
  <si>
    <t>3.9 cm</t>
  </si>
  <si>
    <t>14o</t>
  </si>
  <si>
    <t>15p</t>
  </si>
  <si>
    <t>NIFTP</t>
  </si>
  <si>
    <t>15o</t>
  </si>
  <si>
    <t>16p</t>
  </si>
  <si>
    <t>16o</t>
  </si>
  <si>
    <t>17p</t>
  </si>
  <si>
    <t>11 mm</t>
  </si>
  <si>
    <t>17o</t>
  </si>
  <si>
    <t>18p</t>
  </si>
  <si>
    <t>18o</t>
  </si>
  <si>
    <t>19p</t>
  </si>
  <si>
    <t>19o</t>
  </si>
  <si>
    <t>20p</t>
  </si>
  <si>
    <t>20o</t>
  </si>
  <si>
    <t>21p</t>
  </si>
  <si>
    <t>21o</t>
  </si>
  <si>
    <t>22p</t>
  </si>
  <si>
    <t>22o</t>
  </si>
  <si>
    <t>23p</t>
  </si>
  <si>
    <t>23o</t>
  </si>
  <si>
    <t>24p</t>
  </si>
  <si>
    <t>24o</t>
  </si>
  <si>
    <t>25p</t>
  </si>
  <si>
    <t>25o</t>
  </si>
  <si>
    <t>1cm</t>
  </si>
  <si>
    <t>26p</t>
  </si>
  <si>
    <t>26o</t>
  </si>
  <si>
    <t>27p</t>
  </si>
  <si>
    <t>27o</t>
  </si>
  <si>
    <t>28p</t>
  </si>
  <si>
    <t>2.5 mm</t>
  </si>
  <si>
    <t>28o</t>
  </si>
  <si>
    <t>29p</t>
  </si>
  <si>
    <t>29o</t>
  </si>
  <si>
    <t>30p</t>
  </si>
  <si>
    <t>1.5cm</t>
  </si>
  <si>
    <t>30o</t>
  </si>
  <si>
    <t>31p</t>
  </si>
  <si>
    <t>31o</t>
  </si>
  <si>
    <t>32p</t>
  </si>
  <si>
    <t>Follicular</t>
  </si>
  <si>
    <t>32o</t>
  </si>
  <si>
    <t>33p</t>
  </si>
  <si>
    <t>33o</t>
  </si>
  <si>
    <t>34p</t>
  </si>
  <si>
    <t>34o</t>
  </si>
  <si>
    <t>35p</t>
  </si>
  <si>
    <t>35o</t>
  </si>
  <si>
    <t>Name</t>
  </si>
  <si>
    <t>Description</t>
  </si>
  <si>
    <t>ATA risk stratification category</t>
  </si>
  <si>
    <t>8th edition of AJCC cancer staging</t>
  </si>
  <si>
    <t>Age at cancer diagnosis‡</t>
  </si>
  <si>
    <t>Tumor stage‡</t>
  </si>
  <si>
    <t>Lymph node stage†‡</t>
  </si>
  <si>
    <t>Metastasis stage†‡</t>
  </si>
  <si>
    <t>Total number of lymph node resected†</t>
  </si>
  <si>
    <t>Size of largest involved lymph node†</t>
  </si>
  <si>
    <t>Histopathology†</t>
  </si>
  <si>
    <t>Histological subtype†</t>
  </si>
  <si>
    <t>Tumor size‡</t>
  </si>
  <si>
    <t>Vascular invasion†</t>
  </si>
  <si>
    <t>Number of foci of vascular invasion for FTC†</t>
  </si>
  <si>
    <t>Capsular invasion†</t>
  </si>
  <si>
    <t>Microscopic extrathyroidal extension†</t>
  </si>
  <si>
    <t>Mutation type†</t>
  </si>
  <si>
    <t>RAI-avid metastatic foci outside the thyroid bed on the first posttreatment whole-body radioiodine scan†</t>
  </si>
  <si>
    <t>Gross extrathyroidal extension†‡</t>
  </si>
  <si>
    <t>Thyroidectomy type</t>
  </si>
  <si>
    <t>Completeness of resection (surgeon) †</t>
  </si>
  <si>
    <t>Completeness of resection (pathologist) †</t>
  </si>
  <si>
    <t>Postoperative serum thyroglobulin†</t>
  </si>
  <si>
    <t>† Item for American Thyroid Association 2009 risk stratification</t>
  </si>
  <si>
    <t>‡ Item for 8th edition of the American Joint Committee on Cancer TNM staging system of thyroid cancer</t>
  </si>
  <si>
    <t>ATA RISK</t>
  </si>
  <si>
    <t>T</t>
  </si>
  <si>
    <t>N</t>
  </si>
  <si>
    <t>M</t>
  </si>
  <si>
    <t>AJCC 8</t>
  </si>
  <si>
    <t>4mm</t>
  </si>
  <si>
    <t>T4a</t>
  </si>
  <si>
    <t>T1</t>
  </si>
  <si>
    <t>T1a</t>
  </si>
  <si>
    <t>T1b</t>
  </si>
  <si>
    <t>T2</t>
  </si>
  <si>
    <t>T3</t>
  </si>
  <si>
    <t>T4</t>
  </si>
  <si>
    <t>N0</t>
  </si>
  <si>
    <t>N1</t>
  </si>
  <si>
    <t>N1b</t>
  </si>
  <si>
    <t>M0</t>
  </si>
  <si>
    <t>M1</t>
  </si>
  <si>
    <t>2.5cm</t>
  </si>
  <si>
    <t>intermediate</t>
  </si>
  <si>
    <t>high</t>
  </si>
  <si>
    <t>low</t>
  </si>
  <si>
    <t>LN extent</t>
  </si>
  <si>
    <t>Papillary carcinoma</t>
  </si>
  <si>
    <t>Not identified</t>
  </si>
  <si>
    <t>8g</t>
  </si>
  <si>
    <t>23g</t>
  </si>
  <si>
    <t>infiltrative follicular subtype</t>
  </si>
  <si>
    <t>Present</t>
  </si>
  <si>
    <t>Nontoxic uninodular goitre</t>
  </si>
  <si>
    <t>Left central compartment</t>
  </si>
  <si>
    <t>11g</t>
  </si>
  <si>
    <t>2 x 1.5 x 1.5 cm</t>
  </si>
  <si>
    <t>4 cm vertically, 2 cm to 5 cm transversely and 2 cm anteroposteriorly</t>
  </si>
  <si>
    <t>2cm</t>
  </si>
  <si>
    <t>Papillary carcinoma, infiltrative follicular subtype</t>
  </si>
  <si>
    <t>classic subtype</t>
  </si>
  <si>
    <t>Minimally invasive follicular carcinoma</t>
  </si>
  <si>
    <t>50 mm and 30 mm respectively</t>
  </si>
  <si>
    <t>Follicular carcinoma</t>
  </si>
  <si>
    <t>50 mm</t>
  </si>
  <si>
    <t>6.5cm</t>
  </si>
  <si>
    <t>63 mm (macroscopic)</t>
  </si>
  <si>
    <t>4cm</t>
  </si>
  <si>
    <t>Cancer of thyroid</t>
  </si>
  <si>
    <t>1.3cm</t>
  </si>
  <si>
    <t>Papillary carcinoma, classic subtype</t>
  </si>
  <si>
    <t>2mm</t>
  </si>
  <si>
    <t>10g</t>
  </si>
  <si>
    <t>10 mm</t>
  </si>
  <si>
    <t>16g</t>
  </si>
  <si>
    <t>6g</t>
  </si>
  <si>
    <t>Papillary carcinoma: Classic (usual, conventional)</t>
  </si>
  <si>
    <t>Absent</t>
  </si>
  <si>
    <t>Focal involvement by invasive carcinoma at posterior surface</t>
  </si>
  <si>
    <t>papillary carcinoma</t>
  </si>
  <si>
    <t>Hurthle cell neoplasm</t>
  </si>
  <si>
    <t>7 mm (microscopical dimension)</t>
  </si>
  <si>
    <t>4.5 mm</t>
  </si>
  <si>
    <t>Left level III</t>
  </si>
  <si>
    <t>CA thyroid</t>
  </si>
  <si>
    <t>24.5 mm</t>
  </si>
  <si>
    <t>3cm</t>
  </si>
  <si>
    <t>lung</t>
  </si>
  <si>
    <t>1b</t>
  </si>
  <si>
    <t>x</t>
  </si>
  <si>
    <t>1a</t>
  </si>
  <si>
    <t>3b</t>
  </si>
  <si>
    <t>3a</t>
  </si>
  <si>
    <t>4a</t>
  </si>
  <si>
    <t>4b</t>
  </si>
  <si>
    <t>GROUND TRUTH</t>
  </si>
  <si>
    <t>PERFORMANCE</t>
  </si>
  <si>
    <t>13 mm</t>
  </si>
  <si>
    <t>No</t>
  </si>
  <si>
    <t>papillary</t>
  </si>
  <si>
    <t>widely invasive</t>
  </si>
  <si>
    <t>Extensive (= or &gt; 4 vessels)</t>
  </si>
  <si>
    <t>subcutaneous soft tissues, larynx, trachea, esophagus or recurrent laryngeal nerve</t>
  </si>
  <si>
    <r>
      <t>NoFociVIFTC</t>
    </r>
    <r>
      <rPr>
        <b/>
        <sz val="11"/>
        <rFont val="Calibri (Body)"/>
      </rPr>
      <t xml:space="preserve"> (extensive/minimal)</t>
    </r>
  </si>
  <si>
    <t>pT1b</t>
  </si>
  <si>
    <t>pT2</t>
  </si>
  <si>
    <t>22/03/2024</t>
  </si>
  <si>
    <t>pT1a</t>
  </si>
  <si>
    <t>pN1a</t>
  </si>
  <si>
    <t>30/04/2024</t>
  </si>
  <si>
    <t>pT3b</t>
  </si>
  <si>
    <t>31/05/2024</t>
  </si>
  <si>
    <t>24/05/2024</t>
  </si>
  <si>
    <t>pT3a</t>
  </si>
  <si>
    <t>pN1b</t>
  </si>
  <si>
    <t>29/05/2024</t>
  </si>
  <si>
    <t>pT4a</t>
  </si>
  <si>
    <t>23/07/2018</t>
  </si>
  <si>
    <t>17/11/2021</t>
  </si>
  <si>
    <t>21/09/2022</t>
  </si>
  <si>
    <t>ID</t>
  </si>
  <si>
    <t>Date of clinical note or operation</t>
  </si>
  <si>
    <t>Age of patient</t>
  </si>
  <si>
    <t>Tumor staging (pT)</t>
  </si>
  <si>
    <t>Regional lymph node staging (pN)</t>
  </si>
  <si>
    <t>Distant metastasis staging (pM)</t>
  </si>
  <si>
    <t>Site of lymph node involved</t>
  </si>
  <si>
    <t>Distant metastasis involvement</t>
  </si>
  <si>
    <t>Number of lymph node resected</t>
  </si>
  <si>
    <t>Number of lymph node involved</t>
  </si>
  <si>
    <t>Greatest dimension of involved lymph node</t>
  </si>
  <si>
    <t>Histological type of thyroid cancer</t>
  </si>
  <si>
    <t>Histological subtype or variant</t>
  </si>
  <si>
    <t>Greatest dimension of tumor size</t>
  </si>
  <si>
    <t>Number of tumor</t>
  </si>
  <si>
    <t>Presence of angioinvasion</t>
  </si>
  <si>
    <t>Extensiveness of angioinvasion</t>
  </si>
  <si>
    <t>Presence of capsular invasion</t>
  </si>
  <si>
    <t>Gene mutation test performed</t>
  </si>
  <si>
    <t>Gene mutation type identified</t>
  </si>
  <si>
    <t>Presence of involved surgical margin</t>
  </si>
  <si>
    <t>IDv2</t>
  </si>
  <si>
    <t>Report</t>
  </si>
  <si>
    <t>Cannot be assessed</t>
  </si>
  <si>
    <t>Right central compartment</t>
  </si>
  <si>
    <t>Focally noted</t>
  </si>
  <si>
    <t>Multinodular goitre</t>
  </si>
  <si>
    <t>Papillary carcinoma, encapsulated classic subtype</t>
  </si>
  <si>
    <t>Resection margins clear</t>
  </si>
  <si>
    <t>central compartment LNs bilaterally</t>
  </si>
  <si>
    <t>40g</t>
  </si>
  <si>
    <t>Focal (&lt; 4 vessels)</t>
  </si>
  <si>
    <t>Suspicious foci</t>
  </si>
  <si>
    <t>Right level III</t>
  </si>
  <si>
    <t>Papillary thyroid carcinoma, classic type</t>
  </si>
  <si>
    <t>~9mm</t>
  </si>
  <si>
    <t>Present (focal)</t>
  </si>
  <si>
    <t>6 cm</t>
  </si>
  <si>
    <t>follicular</t>
  </si>
  <si>
    <t>lung, bone</t>
  </si>
  <si>
    <t>left lateral level II, III, IV</t>
  </si>
  <si>
    <t>left lateral neck</t>
  </si>
  <si>
    <t>PATIENT ID</t>
  </si>
  <si>
    <t>Site of extrathyroidal extension</t>
  </si>
  <si>
    <t>29/01/2024</t>
  </si>
  <si>
    <t>Invasion into the surrounding thyroid tissue is noted</t>
  </si>
  <si>
    <t>Not mentioned in the provided clinical note</t>
  </si>
  <si>
    <t>NX</t>
  </si>
  <si>
    <t>MX</t>
  </si>
  <si>
    <t>8g (left) and 46g (right)</t>
  </si>
  <si>
    <t>26/02/2024</t>
  </si>
  <si>
    <t>Focally involved by carcinoma (Block 1)</t>
  </si>
  <si>
    <t>Anterior surface : Focally involved by carcinoma (Block 1)</t>
  </si>
  <si>
    <t>8 mm &amp; 2 mm</t>
  </si>
  <si>
    <t>Microscopic invasive</t>
  </si>
  <si>
    <t>Yes, microscopic invasive of the surrounding fat at the 2 mm tumor nodule. No gross invasion was detected. No involvement of skeletal muscle bundles is detected.</t>
  </si>
  <si>
    <t>Uninvolved by carcinoma</t>
  </si>
  <si>
    <t>52y</t>
  </si>
  <si>
    <t>pT1 (subcategory cannot be determined)</t>
  </si>
  <si>
    <t>fatty soft tissue at isthmus</t>
  </si>
  <si>
    <t>Touched posterior and lateral margins and involvement of extrathyroid soft tissue(A2, A3, A6)</t>
  </si>
  <si>
    <t>Not mentioned</t>
  </si>
  <si>
    <t>14g (right thyroid)</t>
  </si>
  <si>
    <t>29/04/2024</t>
  </si>
  <si>
    <t>oncocytic classic subtype</t>
  </si>
  <si>
    <t>20 mm (Lower pole tumour), 16 mm (Isthmus tumour)</t>
  </si>
  <si>
    <t>Focally noted(B1)</t>
  </si>
  <si>
    <t>Invading soft tissue and strap muscles (Please refer to operation record for gross extrathyroidal extension). Microscopic extrathyroidal extension is present</t>
  </si>
  <si>
    <t>Anterior margin: Involved by tumour (Block B4), Posterior margin: Involved by tumour (Block B6), Lateral margin: Less than 0.1 mm (Block B4)</t>
  </si>
  <si>
    <t>Papillary thyroid carcinoma</t>
  </si>
  <si>
    <t>PTC (Papillary Thyroid Carcinoma)</t>
  </si>
  <si>
    <t>Extrathyroidal extension to overlying strap muscle</t>
  </si>
  <si>
    <t>No vascular permeation is identified</t>
  </si>
  <si>
    <t>Tongues of mushroom-type complete capsular invasion to adjacent thyroid parenchyma are found</t>
  </si>
  <si>
    <t>The tumour focally involves the anterior margins (block 4)</t>
  </si>
  <si>
    <t>left rln branch</t>
  </si>
  <si>
    <t>17/05/2024</t>
  </si>
  <si>
    <t>3 mm (block A7)</t>
  </si>
  <si>
    <t>15g (Right thyroid), 9g (Left thyroid)</t>
  </si>
  <si>
    <t>Anterior surface: &lt; 0.1 mm from carcinoma (block 3)</t>
  </si>
  <si>
    <t>Suspected</t>
  </si>
  <si>
    <t>27 x 22 x 17 mm (mid pole tumor)</t>
  </si>
  <si>
    <t>TX</t>
  </si>
  <si>
    <t>27(right) and 10(left)</t>
  </si>
  <si>
    <t>Multiple (&gt;5)</t>
  </si>
  <si>
    <t>PTC(Papillary Thyroid Carcinoma)</t>
  </si>
  <si>
    <t>1(right)</t>
  </si>
  <si>
    <t>near the pyramidal lobe</t>
  </si>
  <si>
    <t>Involved by invasive carcinoma (block 5)</t>
  </si>
  <si>
    <t>Anterior margin: Involved by invasive carcinoma (block 5)</t>
  </si>
  <si>
    <t>Positive</t>
  </si>
  <si>
    <t>0.3 mm from anterior margin</t>
  </si>
  <si>
    <t>follicular neoplasm</t>
  </si>
  <si>
    <t>4 x 3 x 2.1 cm</t>
  </si>
  <si>
    <t>into the surrounding skeletal muscle</t>
  </si>
  <si>
    <t>The tumour measures less than 0.1 mm from the anterior, posterior and lateral margins</t>
  </si>
  <si>
    <t>Left SCF LN</t>
  </si>
  <si>
    <t>Gross ETE to surrounding muscles, posteriorly adherent to trachea and esophagus at cricoid level</t>
  </si>
  <si>
    <t>encapsulated classic subtype</t>
  </si>
  <si>
    <t>Invading only strap muscles</t>
  </si>
  <si>
    <t>Uninvolved by carcinoma, closest distance: Upper pole margin = 0.5 mm (block A2), Lower pole margin = 5 mm (block A3), Anterior surface = &lt; 0.1 mm (block A7), Posterior margin = 0.4 mm (block A5)</t>
  </si>
  <si>
    <t>Almost entire left lobe</t>
  </si>
  <si>
    <t>Gross ETE at upper pole</t>
  </si>
  <si>
    <t>NON-INVASIVE FOLLICULAR THYROID NEOPLASM</t>
  </si>
  <si>
    <t>40 x 20 x 20 mm (left thyroid lobe) and 50 x 15 x 5 mm (isthmus and pyramidal lobe)</t>
  </si>
  <si>
    <t>Clear</t>
  </si>
  <si>
    <t>36 x 32 x 26 mm (mid to lower pole tumor) and 14 x 8 x 9 mm (upper pole tumor)</t>
  </si>
  <si>
    <t>The mid to lower pole tumor measures 0.3 mm from both the anterior and posterior margins. The upper pole tumor measures 0.2 mm from both the anterior and posterior surfaces. The isthmus margin is clear.</t>
  </si>
  <si>
    <t>(Case No)</t>
  </si>
  <si>
    <t>24g (right thyroid)</t>
  </si>
  <si>
    <t>Extrathyroidal extension</t>
  </si>
  <si>
    <t>14/06/2024</t>
  </si>
  <si>
    <t>Tumor reaches the anterior and anterolateral capsule without breaching the capsule.</t>
  </si>
  <si>
    <t>The isthmic margin is clear.</t>
  </si>
  <si>
    <t>Involving the posterior margin</t>
  </si>
  <si>
    <t>Anterior margin: 0.3 mm, Posterior margin: involved by carcinoma, Lateral margin: less than 0.1 mm, Isthmic margin: More than 10 mm</t>
  </si>
  <si>
    <t>Right central neck</t>
  </si>
  <si>
    <t>12g (12 grams)</t>
  </si>
  <si>
    <t>Involvement of right cricothyroid and inferior constrictor muscle</t>
  </si>
  <si>
    <t>Uninvolved by carcinoma, closest 3mm from anterior margin</t>
  </si>
  <si>
    <t>19g</t>
  </si>
  <si>
    <t>T1 for the right thyroid and T1a for the left thyroid</t>
  </si>
  <si>
    <t>N1 for the left thyroid</t>
  </si>
  <si>
    <t>6 cm for the right thyroid and 11 cm for the left thyroid</t>
  </si>
  <si>
    <t>Minimal microscopic clearance of &lt;1 mm from the anterior surface for both right and left thyroid</t>
  </si>
  <si>
    <t>9g</t>
  </si>
  <si>
    <t>1.8 cm superoinferiorly</t>
  </si>
  <si>
    <t>All resection margins are clear, in which the minimal microscopic clearance is seen at the posterior and anterior margins, measuring 0.3 mm and 0.5 mm, respectively.</t>
  </si>
  <si>
    <t>Partially encapsulated, while in other areas have an invasive front</t>
  </si>
  <si>
    <t>The anterior, posterior and lateral surfaces are clear by 0.4 mm, 0.9 mm and 1.5 mm respectively (Block 2). The superior and inferior surfaces are grossly well clear.</t>
  </si>
  <si>
    <t>4.3 cm (superoinferior)</t>
  </si>
  <si>
    <t>All resection margins are microscopically clear, with a minimal clearance of 0.1 mm from the anterior margin.</t>
  </si>
  <si>
    <t>(C), (D)</t>
  </si>
  <si>
    <t>5 x 3 x 2 cm</t>
  </si>
  <si>
    <t>Minimal</t>
  </si>
  <si>
    <t>Present (minimal)</t>
  </si>
  <si>
    <t>Right lateral neck LNs</t>
  </si>
  <si>
    <t>Multiple</t>
  </si>
  <si>
    <t>2 (upper pole and lower pole)</t>
  </si>
  <si>
    <t>Complete encasement of 2.5cm length of right RLN</t>
  </si>
  <si>
    <t>Yes (lower pole tumour completely encased right RLN)</t>
  </si>
  <si>
    <t>19/01/2024</t>
  </si>
  <si>
    <t>12.8 cm</t>
  </si>
  <si>
    <t>Clear, 1 mm from the peri-thyroid soft tissue margin</t>
  </si>
  <si>
    <t>21/06/2024</t>
  </si>
  <si>
    <t>Microscopic extrathyroidal extension to skeletal muscle anterior to the thyroid gland is present (Block B2)</t>
  </si>
  <si>
    <t>Anterior: 0.2 mm (block B2), Posterior: 1.5 mm (block B2)</t>
  </si>
  <si>
    <t>Cancer</t>
  </si>
  <si>
    <t>ETE to strap muscle</t>
  </si>
  <si>
    <t>Isthmus</t>
  </si>
  <si>
    <t>Papillary Thyroid Carcinoma (x2)</t>
  </si>
  <si>
    <t>4 cm superoinferiorly, 2 cm mediolaterally and 1.8 cm anteroposteriorly</t>
  </si>
  <si>
    <t>No definite capsular invasion is seen despite serial deeper levels</t>
  </si>
  <si>
    <t>Anterior: 0.2 mm (block A3), Posterior: 1 mm (block A4), Superior: 20 mm (macroscopic), Inferior: 0.2 mm (block A2), Isthmus: Uninvolved</t>
  </si>
  <si>
    <t>Not specified (mentioned as 5 mm and 2.5 mm in different locations)</t>
  </si>
  <si>
    <t>Anterior: 1 mm (block 1), Posterior: 2 mm (block 3), Isthmic: 4 mm (block 3)</t>
  </si>
  <si>
    <t>Anterior: 1.5 mm, Posterior: 7 mm, Isthmic margin(shaved): not involved</t>
  </si>
  <si>
    <t>27/12/2023</t>
  </si>
  <si>
    <t>Left central compartment, Left level 2, 3, 4 cervical</t>
  </si>
  <si>
    <t>12 mm (blocks 3 and 4)</t>
  </si>
  <si>
    <t>Uninvolved by carcinoma, specify location and distance (mm): 0.5 mm, anterior and posterior aspects of isthmus</t>
  </si>
  <si>
    <t>No ETE (Extrathyroidal extension) not mentioned</t>
  </si>
  <si>
    <t>No ETE</t>
  </si>
  <si>
    <t>Central compartment</t>
  </si>
  <si>
    <t>4.5 x 3 x 2cm (Left) and 1 cm (Right)</t>
  </si>
  <si>
    <t>Beyond the capsule into the surrounding striated muscle</t>
  </si>
  <si>
    <t>Anterior and posterior margins focally involved</t>
  </si>
  <si>
    <t>MULTINODULAR</t>
  </si>
  <si>
    <t>overlying strap muscle, carotid sheath, RLN at lower pole, muscular layer of esophagus, prevertebral fascia</t>
  </si>
  <si>
    <t>Focal capsular invasion</t>
  </si>
  <si>
    <t>Focally into adjacent fibroadipose tissue (block B3)</t>
  </si>
  <si>
    <t>Inferior, Lateral, Superior, Posterior</t>
  </si>
  <si>
    <t>28g (Left lower pole tumour)</t>
  </si>
  <si>
    <t>14 (A)</t>
  </si>
  <si>
    <t>1 (A)</t>
  </si>
  <si>
    <t>35 mm (A)</t>
  </si>
  <si>
    <t>Free</t>
  </si>
  <si>
    <t>16g (right thyroid), 1g (left thyroid remnant)</t>
  </si>
  <si>
    <t>tall cell variant</t>
  </si>
  <si>
    <t>Extensive (= or &gt;4 vessels)</t>
  </si>
  <si>
    <t>Invading subcutaneous soft tissues, larynx, trachea, esophagus or recurrent laryngeal nerve</t>
  </si>
  <si>
    <t>extra thyroidal extension to larynx and part of carotid sheath</t>
  </si>
  <si>
    <t>Not specified in the note</t>
  </si>
  <si>
    <t>Lymphovascular</t>
  </si>
  <si>
    <t>NIM - bilateral vagal, RLN, EBSLN +</t>
  </si>
  <si>
    <t>NIM</t>
  </si>
  <si>
    <t>Margin</t>
  </si>
  <si>
    <r>
      <t xml:space="preserve">SizeLN
</t>
    </r>
    <r>
      <rPr>
        <b/>
        <sz val="11"/>
        <rFont val="Calibri (Body)"/>
      </rPr>
      <t xml:space="preserve"> (cm)</t>
    </r>
  </si>
  <si>
    <r>
      <t>TumorSize</t>
    </r>
    <r>
      <rPr>
        <b/>
        <sz val="11"/>
        <rFont val="Calibri (Body)"/>
      </rPr>
      <t xml:space="preserve"> 
(cm)</t>
    </r>
  </si>
  <si>
    <t>2</t>
  </si>
  <si>
    <t>IVA</t>
  </si>
  <si>
    <t>IVB</t>
  </si>
  <si>
    <t>ETE</t>
  </si>
  <si>
    <r>
      <t xml:space="preserve">TumorSize </t>
    </r>
    <r>
      <rPr>
        <b/>
        <sz val="11"/>
        <rFont val="Calibri (Body)"/>
      </rPr>
      <t>clean</t>
    </r>
  </si>
  <si>
    <r>
      <t xml:space="preserve">SizeLN </t>
    </r>
    <r>
      <rPr>
        <b/>
        <sz val="11"/>
        <rFont val="Calibri (Body)"/>
      </rPr>
      <t>clean</t>
    </r>
  </si>
  <si>
    <t>CLASSIFICATION RESULT</t>
  </si>
  <si>
    <t>EXTRACTED INFORMATION FOR CLASSIFCATION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</si>
</sst>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d\-mmm\-yyyy;@"/>
  </numFmts>
  <fonts count="27">
    <font>
      <sz val="11"/>
      <color theme="1"/>
      <name val="Calibri"/>
      <charset val="134"/>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Times New Roman"/>
      <family val="1"/>
    </font>
    <font>
      <b/>
      <sz val="11"/>
      <color theme="1"/>
      <name val="Calibri"/>
      <family val="2"/>
      <scheme val="minor"/>
    </font>
    <font>
      <b/>
      <sz val="11"/>
      <color rgb="FF000000"/>
      <name val="Calibri"/>
      <family val="2"/>
      <scheme val="minor"/>
    </font>
    <font>
      <sz val="11"/>
      <color rgb="FFFF0000"/>
      <name val="Calibri"/>
      <family val="2"/>
      <scheme val="minor"/>
    </font>
    <font>
      <sz val="11"/>
      <name val="Calibri"/>
      <family val="2"/>
      <scheme val="minor"/>
    </font>
    <font>
      <sz val="11"/>
      <color theme="1"/>
      <name val="Calibri"/>
      <family val="2"/>
      <scheme val="minor"/>
    </font>
    <font>
      <b/>
      <sz val="11"/>
      <name val="Calibri"/>
      <family val="2"/>
      <scheme val="minor"/>
    </font>
    <font>
      <b/>
      <sz val="11"/>
      <name val="Calibri (Body)"/>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sz val="11"/>
      <color rgb="FF9C6500"/>
      <name val="Calibri"/>
      <family val="2"/>
      <scheme val="minor"/>
    </font>
  </fonts>
  <fills count="35">
    <fill>
      <patternFill patternType="none"/>
    </fill>
    <fill>
      <patternFill patternType="gray125"/>
    </fill>
    <fill>
      <patternFill patternType="solid">
        <fgColor theme="7" tint="0.79998168889431442"/>
        <bgColor indexed="64"/>
      </patternFill>
    </fill>
    <fill>
      <patternFill patternType="solid">
        <fgColor them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right/>
      <top/>
      <bottom style="thin">
        <color rgb="FF000000"/>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s>
  <cellStyleXfs count="46">
    <xf numFmtId="0" fontId="0" fillId="0" borderId="0"/>
    <xf numFmtId="9" fontId="10" fillId="0" borderId="0" applyFont="0" applyFill="0" applyBorder="0" applyAlignment="0" applyProtection="0"/>
    <xf numFmtId="0" fontId="4" fillId="0" borderId="0"/>
    <xf numFmtId="0" fontId="3" fillId="0" borderId="0"/>
    <xf numFmtId="0" fontId="13" fillId="0" borderId="0" applyNumberFormat="0" applyFill="0" applyBorder="0" applyAlignment="0" applyProtection="0"/>
    <xf numFmtId="0" fontId="14" fillId="0" borderId="5" applyNumberFormat="0" applyFill="0" applyAlignment="0" applyProtection="0"/>
    <xf numFmtId="0" fontId="15" fillId="0" borderId="6" applyNumberFormat="0" applyFill="0" applyAlignment="0" applyProtection="0"/>
    <xf numFmtId="0" fontId="16" fillId="0" borderId="7" applyNumberFormat="0" applyFill="0" applyAlignment="0" applyProtection="0"/>
    <xf numFmtId="0" fontId="16" fillId="0" borderId="0" applyNumberFormat="0" applyFill="0" applyBorder="0" applyAlignment="0" applyProtection="0"/>
    <xf numFmtId="0" fontId="17" fillId="4" borderId="0" applyNumberFormat="0" applyBorder="0" applyAlignment="0" applyProtection="0"/>
    <xf numFmtId="0" fontId="18" fillId="5" borderId="0" applyNumberFormat="0" applyBorder="0" applyAlignment="0" applyProtection="0"/>
    <xf numFmtId="0" fontId="19" fillId="7" borderId="8" applyNumberFormat="0" applyAlignment="0" applyProtection="0"/>
    <xf numFmtId="0" fontId="20" fillId="8" borderId="9" applyNumberFormat="0" applyAlignment="0" applyProtection="0"/>
    <xf numFmtId="0" fontId="21" fillId="8" borderId="8" applyNumberFormat="0" applyAlignment="0" applyProtection="0"/>
    <xf numFmtId="0" fontId="22" fillId="0" borderId="10" applyNumberFormat="0" applyFill="0" applyAlignment="0" applyProtection="0"/>
    <xf numFmtId="0" fontId="23" fillId="9" borderId="11" applyNumberFormat="0" applyAlignment="0" applyProtection="0"/>
    <xf numFmtId="0" fontId="8" fillId="0" borderId="0" applyNumberFormat="0" applyFill="0" applyBorder="0" applyAlignment="0" applyProtection="0"/>
    <xf numFmtId="0" fontId="24" fillId="0" borderId="0" applyNumberFormat="0" applyFill="0" applyBorder="0" applyAlignment="0" applyProtection="0"/>
    <xf numFmtId="0" fontId="6" fillId="0" borderId="13" applyNumberFormat="0" applyFill="0" applyAlignment="0" applyProtection="0"/>
    <xf numFmtId="0" fontId="25" fillId="11" borderId="0" applyNumberFormat="0" applyBorder="0" applyAlignment="0" applyProtection="0"/>
    <xf numFmtId="0" fontId="2" fillId="12" borderId="0" applyNumberFormat="0" applyBorder="0" applyAlignment="0" applyProtection="0"/>
    <xf numFmtId="0" fontId="2" fillId="13" borderId="0" applyNumberFormat="0" applyBorder="0" applyAlignment="0" applyProtection="0"/>
    <xf numFmtId="0" fontId="25"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5" fillId="19" borderId="0" applyNumberFormat="0" applyBorder="0" applyAlignment="0" applyProtection="0"/>
    <xf numFmtId="0" fontId="2" fillId="20" borderId="0" applyNumberFormat="0" applyBorder="0" applyAlignment="0" applyProtection="0"/>
    <xf numFmtId="0" fontId="2" fillId="21" borderId="0" applyNumberFormat="0" applyBorder="0" applyAlignment="0" applyProtection="0"/>
    <xf numFmtId="0" fontId="25" fillId="23" borderId="0" applyNumberFormat="0" applyBorder="0" applyAlignment="0" applyProtection="0"/>
    <xf numFmtId="0" fontId="2" fillId="24" borderId="0" applyNumberFormat="0" applyBorder="0" applyAlignment="0" applyProtection="0"/>
    <xf numFmtId="0" fontId="2" fillId="25" borderId="0" applyNumberFormat="0" applyBorder="0" applyAlignment="0" applyProtection="0"/>
    <xf numFmtId="0" fontId="25" fillId="27" borderId="0" applyNumberFormat="0" applyBorder="0" applyAlignment="0" applyProtection="0"/>
    <xf numFmtId="0" fontId="2" fillId="28" borderId="0" applyNumberFormat="0" applyBorder="0" applyAlignment="0" applyProtection="0"/>
    <xf numFmtId="0" fontId="2" fillId="29" borderId="0" applyNumberFormat="0" applyBorder="0" applyAlignment="0" applyProtection="0"/>
    <xf numFmtId="0" fontId="25" fillId="31" borderId="0" applyNumberFormat="0" applyBorder="0" applyAlignment="0" applyProtection="0"/>
    <xf numFmtId="0" fontId="2" fillId="32" borderId="0" applyNumberFormat="0" applyBorder="0" applyAlignment="0" applyProtection="0"/>
    <xf numFmtId="0" fontId="2" fillId="33" borderId="0" applyNumberFormat="0" applyBorder="0" applyAlignment="0" applyProtection="0"/>
    <xf numFmtId="0" fontId="2" fillId="0" borderId="0"/>
    <xf numFmtId="0" fontId="26" fillId="6" borderId="0" applyNumberFormat="0" applyBorder="0" applyAlignment="0" applyProtection="0"/>
    <xf numFmtId="0" fontId="2" fillId="10" borderId="12" applyNumberFormat="0" applyFont="0" applyAlignment="0" applyProtection="0"/>
    <xf numFmtId="0" fontId="25" fillId="14" borderId="0" applyNumberFormat="0" applyBorder="0" applyAlignment="0" applyProtection="0"/>
    <xf numFmtId="0" fontId="25" fillId="18" borderId="0" applyNumberFormat="0" applyBorder="0" applyAlignment="0" applyProtection="0"/>
    <xf numFmtId="0" fontId="25" fillId="22" borderId="0" applyNumberFormat="0" applyBorder="0" applyAlignment="0" applyProtection="0"/>
    <xf numFmtId="0" fontId="25" fillId="26" borderId="0" applyNumberFormat="0" applyBorder="0" applyAlignment="0" applyProtection="0"/>
    <xf numFmtId="0" fontId="25" fillId="30" borderId="0" applyNumberFormat="0" applyBorder="0" applyAlignment="0" applyProtection="0"/>
    <xf numFmtId="0" fontId="25" fillId="34" borderId="0" applyNumberFormat="0" applyBorder="0" applyAlignment="0" applyProtection="0"/>
  </cellStyleXfs>
  <cellXfs count="53">
    <xf numFmtId="0" fontId="0" fillId="0" borderId="0" xfId="0"/>
    <xf numFmtId="0" fontId="5" fillId="0" borderId="0" xfId="0" applyFont="1"/>
    <xf numFmtId="0" fontId="5" fillId="0" borderId="1" xfId="0" applyFont="1" applyBorder="1"/>
    <xf numFmtId="0" fontId="7" fillId="0" borderId="2" xfId="0" applyFont="1" applyBorder="1" applyAlignment="1">
      <alignment horizontal="center" vertical="center"/>
    </xf>
    <xf numFmtId="0" fontId="9" fillId="0" borderId="0" xfId="0" applyFont="1" applyAlignment="1">
      <alignment horizontal="center" vertical="center"/>
    </xf>
    <xf numFmtId="0" fontId="11" fillId="0" borderId="0" xfId="0" applyFont="1"/>
    <xf numFmtId="0" fontId="11" fillId="0" borderId="2" xfId="0" applyFont="1" applyBorder="1" applyAlignment="1">
      <alignment horizontal="center" vertical="center"/>
    </xf>
    <xf numFmtId="0" fontId="11" fillId="0" borderId="2" xfId="0" applyFont="1" applyBorder="1" applyAlignment="1">
      <alignment horizontal="center" vertical="center" wrapText="1"/>
    </xf>
    <xf numFmtId="0" fontId="11" fillId="0" borderId="0" xfId="0" applyFont="1" applyAlignment="1">
      <alignment horizontal="center" vertical="center"/>
    </xf>
    <xf numFmtId="1" fontId="11" fillId="0" borderId="2" xfId="0" applyNumberFormat="1" applyFont="1" applyBorder="1" applyAlignment="1">
      <alignment horizontal="center" vertical="center"/>
    </xf>
    <xf numFmtId="1" fontId="11" fillId="0" borderId="4" xfId="0" applyNumberFormat="1" applyFont="1" applyBorder="1" applyAlignment="1">
      <alignment horizontal="center" vertical="center" wrapText="1"/>
    </xf>
    <xf numFmtId="10" fontId="9" fillId="0" borderId="0" xfId="1" applyNumberFormat="1" applyFont="1" applyFill="1" applyBorder="1"/>
    <xf numFmtId="0" fontId="3" fillId="0" borderId="0" xfId="0" applyFont="1"/>
    <xf numFmtId="0" fontId="3" fillId="0" borderId="0" xfId="0" applyFont="1" applyAlignment="1">
      <alignment horizontal="center"/>
    </xf>
    <xf numFmtId="0" fontId="3" fillId="2" borderId="0" xfId="0" applyFont="1" applyFill="1" applyAlignment="1">
      <alignment horizontal="center"/>
    </xf>
    <xf numFmtId="0" fontId="0" fillId="2" borderId="0" xfId="0" applyFill="1" applyAlignment="1">
      <alignment horizontal="center"/>
    </xf>
    <xf numFmtId="164" fontId="0" fillId="0" borderId="0" xfId="0" applyNumberFormat="1"/>
    <xf numFmtId="0" fontId="0" fillId="0" borderId="0" xfId="0" applyAlignment="1">
      <alignment horizontal="center"/>
    </xf>
    <xf numFmtId="0" fontId="0" fillId="0" borderId="0" xfId="0" applyAlignment="1">
      <alignment horizontal="left"/>
    </xf>
    <xf numFmtId="0" fontId="11" fillId="0" borderId="0" xfId="0" applyFont="1" applyAlignment="1">
      <alignment horizontal="center"/>
    </xf>
    <xf numFmtId="10" fontId="0" fillId="0" borderId="0" xfId="0" applyNumberFormat="1"/>
    <xf numFmtId="10" fontId="3" fillId="0" borderId="0" xfId="1" applyNumberFormat="1" applyFont="1" applyFill="1" applyBorder="1"/>
    <xf numFmtId="0" fontId="2" fillId="0" borderId="0" xfId="37"/>
    <xf numFmtId="15" fontId="2" fillId="0" borderId="0" xfId="37" applyNumberFormat="1"/>
    <xf numFmtId="14" fontId="2" fillId="0" borderId="0" xfId="37" applyNumberFormat="1"/>
    <xf numFmtId="0" fontId="1" fillId="0" borderId="0" xfId="37" applyFont="1"/>
    <xf numFmtId="1" fontId="11" fillId="0" borderId="4" xfId="0" applyNumberFormat="1" applyFont="1" applyBorder="1" applyAlignment="1">
      <alignment horizontal="center" vertical="center"/>
    </xf>
    <xf numFmtId="1" fontId="11" fillId="0" borderId="15" xfId="0" applyNumberFormat="1" applyFont="1" applyBorder="1" applyAlignment="1">
      <alignment horizontal="center" vertical="center"/>
    </xf>
    <xf numFmtId="0" fontId="9" fillId="0" borderId="0" xfId="0" applyFont="1" applyAlignment="1">
      <alignment horizontal="center"/>
    </xf>
    <xf numFmtId="0" fontId="9" fillId="0" borderId="2" xfId="0" applyFont="1" applyBorder="1" applyAlignment="1">
      <alignment horizontal="center"/>
    </xf>
    <xf numFmtId="2" fontId="11" fillId="0" borderId="2" xfId="0" applyNumberFormat="1" applyFont="1" applyBorder="1" applyAlignment="1">
      <alignment horizontal="center" vertical="center" wrapText="1"/>
    </xf>
    <xf numFmtId="0" fontId="3" fillId="0" borderId="2" xfId="0" applyFont="1" applyBorder="1" applyAlignment="1">
      <alignment horizontal="center"/>
    </xf>
    <xf numFmtId="164" fontId="0" fillId="0" borderId="2" xfId="0" applyNumberFormat="1" applyBorder="1"/>
    <xf numFmtId="0" fontId="0" fillId="0" borderId="2" xfId="0" applyBorder="1" applyAlignment="1">
      <alignment horizontal="center"/>
    </xf>
    <xf numFmtId="0" fontId="0" fillId="0" borderId="2" xfId="0" applyBorder="1"/>
    <xf numFmtId="0" fontId="0" fillId="0" borderId="15" xfId="0" applyBorder="1" applyAlignment="1">
      <alignment horizontal="center"/>
    </xf>
    <xf numFmtId="0" fontId="9" fillId="0" borderId="16" xfId="0" applyFont="1" applyBorder="1" applyAlignment="1">
      <alignment horizontal="center"/>
    </xf>
    <xf numFmtId="1" fontId="9" fillId="0" borderId="3" xfId="0" applyNumberFormat="1" applyFont="1" applyBorder="1" applyAlignment="1">
      <alignment horizontal="center"/>
    </xf>
    <xf numFmtId="1" fontId="9" fillId="0" borderId="0" xfId="0" applyNumberFormat="1" applyFont="1" applyAlignment="1">
      <alignment horizontal="center"/>
    </xf>
    <xf numFmtId="1" fontId="9" fillId="0" borderId="14" xfId="0" applyNumberFormat="1" applyFont="1" applyBorder="1" applyAlignment="1">
      <alignment horizontal="center"/>
    </xf>
    <xf numFmtId="0" fontId="9" fillId="0" borderId="3" xfId="0" applyFont="1" applyBorder="1" applyAlignment="1">
      <alignment horizontal="center"/>
    </xf>
    <xf numFmtId="0" fontId="9" fillId="0" borderId="4" xfId="0" applyFont="1" applyBorder="1" applyAlignment="1">
      <alignment horizontal="center"/>
    </xf>
    <xf numFmtId="1" fontId="9" fillId="0" borderId="4" xfId="0" applyNumberFormat="1" applyFont="1" applyBorder="1" applyAlignment="1">
      <alignment horizontal="center"/>
    </xf>
    <xf numFmtId="1" fontId="9" fillId="0" borderId="2" xfId="0" applyNumberFormat="1" applyFont="1" applyBorder="1" applyAlignment="1">
      <alignment horizontal="center"/>
    </xf>
    <xf numFmtId="1" fontId="9" fillId="0" borderId="15" xfId="0" applyNumberFormat="1" applyFont="1" applyBorder="1" applyAlignment="1">
      <alignment horizontal="center"/>
    </xf>
    <xf numFmtId="0" fontId="9" fillId="0" borderId="0" xfId="0" applyFont="1"/>
    <xf numFmtId="0" fontId="9" fillId="0" borderId="2" xfId="0" applyFont="1" applyBorder="1"/>
    <xf numFmtId="0" fontId="9" fillId="0" borderId="0" xfId="0" applyFont="1" applyAlignment="1">
      <alignment horizontal="left"/>
    </xf>
    <xf numFmtId="0" fontId="9" fillId="0" borderId="2" xfId="0" applyFont="1" applyBorder="1" applyAlignment="1">
      <alignment horizontal="left"/>
    </xf>
    <xf numFmtId="0" fontId="11" fillId="2" borderId="0" xfId="0" applyFont="1" applyFill="1" applyAlignment="1">
      <alignment horizontal="center"/>
    </xf>
    <xf numFmtId="1" fontId="11" fillId="3" borderId="3" xfId="0" applyNumberFormat="1" applyFont="1" applyFill="1" applyBorder="1" applyAlignment="1">
      <alignment horizontal="center"/>
    </xf>
    <xf numFmtId="1" fontId="11" fillId="3" borderId="0" xfId="0" applyNumberFormat="1" applyFont="1" applyFill="1" applyAlignment="1">
      <alignment horizontal="center"/>
    </xf>
    <xf numFmtId="1" fontId="11" fillId="3" borderId="14" xfId="0" applyNumberFormat="1" applyFont="1" applyFill="1" applyBorder="1" applyAlignment="1">
      <alignment horizontal="center"/>
    </xf>
  </cellXfs>
  <cellStyles count="46">
    <cellStyle name="20% - Accent1" xfId="20" builtinId="30" customBuiltin="1"/>
    <cellStyle name="20% - Accent2" xfId="23" builtinId="34" customBuiltin="1"/>
    <cellStyle name="20% - Accent3" xfId="26" builtinId="38" customBuiltin="1"/>
    <cellStyle name="20% - Accent4" xfId="29" builtinId="42" customBuiltin="1"/>
    <cellStyle name="20% - Accent5" xfId="32" builtinId="46" customBuiltin="1"/>
    <cellStyle name="20% - Accent6" xfId="35" builtinId="50" customBuiltin="1"/>
    <cellStyle name="40% - Accent1" xfId="21" builtinId="31" customBuiltin="1"/>
    <cellStyle name="40% - Accent2" xfId="24" builtinId="35" customBuiltin="1"/>
    <cellStyle name="40% - Accent3" xfId="27" builtinId="39" customBuiltin="1"/>
    <cellStyle name="40% - Accent4" xfId="30" builtinId="43" customBuiltin="1"/>
    <cellStyle name="40% - Accent5" xfId="33" builtinId="47" customBuiltin="1"/>
    <cellStyle name="40% - Accent6" xfId="36" builtinId="51" customBuiltin="1"/>
    <cellStyle name="60% - Accent1 2" xfId="40" xr:uid="{0C43852C-115E-475F-996E-2E6B552A787A}"/>
    <cellStyle name="60% - Accent2 2" xfId="41" xr:uid="{18396898-0E43-47C8-AF3B-CE3B414DA01F}"/>
    <cellStyle name="60% - Accent3 2" xfId="42" xr:uid="{41988CE8-561A-4068-AB58-BDC32D7BC003}"/>
    <cellStyle name="60% - Accent4 2" xfId="43" xr:uid="{2C1DA9D9-C699-46CC-8F46-0AAFB6D4D2CC}"/>
    <cellStyle name="60% - Accent5 2" xfId="44" xr:uid="{B850B3EC-7518-4C4C-9AC4-406062816E07}"/>
    <cellStyle name="60% - Accent6 2" xfId="45" xr:uid="{BE985310-0348-4A0E-B58F-BB6E420F3A46}"/>
    <cellStyle name="Accent1" xfId="19" builtinId="29" customBuiltin="1"/>
    <cellStyle name="Accent2" xfId="22" builtinId="33" customBuiltin="1"/>
    <cellStyle name="Accent3" xfId="25" builtinId="37" customBuiltin="1"/>
    <cellStyle name="Accent4" xfId="28" builtinId="41" customBuiltin="1"/>
    <cellStyle name="Accent5" xfId="31" builtinId="45" customBuiltin="1"/>
    <cellStyle name="Accent6" xfId="34" builtinId="49" customBuiltin="1"/>
    <cellStyle name="Bad" xfId="10" builtinId="27" customBuiltin="1"/>
    <cellStyle name="Calculation" xfId="13" builtinId="22" customBuiltin="1"/>
    <cellStyle name="Check Cell" xfId="15" builtinId="23" customBuiltin="1"/>
    <cellStyle name="Explanatory Text" xfId="17"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1" builtinId="20" customBuiltin="1"/>
    <cellStyle name="Linked Cell" xfId="14" builtinId="24" customBuiltin="1"/>
    <cellStyle name="Neutral 2" xfId="38" xr:uid="{4C4AF6F1-E759-42BD-A947-3D51191B37A0}"/>
    <cellStyle name="Normal" xfId="0" builtinId="0"/>
    <cellStyle name="Normal 2" xfId="2" xr:uid="{266EB89C-DF2D-482B-91DC-BD609FF311D0}"/>
    <cellStyle name="Normal 3" xfId="3" xr:uid="{487789B2-E6F5-48EB-A123-3C12300ABE75}"/>
    <cellStyle name="Normal 4" xfId="37" xr:uid="{8933903E-25B0-40DD-B280-C5ED34D225D7}"/>
    <cellStyle name="Note 2" xfId="39" xr:uid="{229BDDF4-8816-40CB-B8F6-A1B6E2DC4ADF}"/>
    <cellStyle name="Output" xfId="12" builtinId="21" customBuiltin="1"/>
    <cellStyle name="Percent" xfId="1" builtinId="5"/>
    <cellStyle name="Title" xfId="4" builtinId="15" customBuiltin="1"/>
    <cellStyle name="Total" xfId="18" builtinId="25" customBuiltin="1"/>
    <cellStyle name="Warning Text" xfId="16" builtinId="11" customBuiltin="1"/>
  </cellStyles>
  <dxfs count="3">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965DEB-A405-FD42-8A3F-BEDB5F4341EF}">
  <dimension ref="A1:AX64"/>
  <sheetViews>
    <sheetView tabSelected="1" zoomScale="70" zoomScaleNormal="70" workbookViewId="0">
      <pane xSplit="1" ySplit="2" topLeftCell="AF3" activePane="bottomRight" state="frozen"/>
      <selection pane="topRight"/>
      <selection pane="bottomLeft"/>
      <selection pane="bottomRight" activeCell="AI1" sqref="AI1:AM1"/>
    </sheetView>
  </sheetViews>
  <sheetFormatPr defaultColWidth="10.6640625" defaultRowHeight="14.25"/>
  <cols>
    <col min="2" max="4" width="11.33203125" hidden="1" customWidth="1"/>
    <col min="5" max="5" width="10.796875" style="17"/>
    <col min="6" max="6" width="10.3984375" customWidth="1"/>
    <col min="7" max="7" width="17.3984375" customWidth="1"/>
    <col min="8" max="8" width="10.796875" style="17"/>
    <col min="10" max="10" width="12.33203125" customWidth="1"/>
    <col min="11" max="11" width="11.796875" style="17" customWidth="1"/>
    <col min="12" max="12" width="12.53125" style="17" bestFit="1" customWidth="1"/>
    <col min="13" max="13" width="12.33203125" style="28" customWidth="1"/>
    <col min="14" max="14" width="10.796875" style="45" hidden="1" customWidth="1"/>
    <col min="15" max="15" width="1.53125" style="45" hidden="1" customWidth="1"/>
    <col min="16" max="16" width="9.6640625" style="45" customWidth="1"/>
    <col min="17" max="17" width="26.33203125" customWidth="1"/>
    <col min="18" max="18" width="24.796875" style="45" customWidth="1"/>
    <col min="19" max="19" width="17.6640625" style="45" hidden="1" customWidth="1"/>
    <col min="20" max="20" width="0" style="45" hidden="1" customWidth="1"/>
    <col min="21" max="21" width="10.6640625" style="45"/>
    <col min="22" max="22" width="14.6640625" style="17" customWidth="1"/>
    <col min="23" max="23" width="14.6640625" style="17" hidden="1" customWidth="1"/>
    <col min="24" max="24" width="23.53125" hidden="1" customWidth="1"/>
    <col min="25" max="25" width="12.59765625" hidden="1" customWidth="1"/>
    <col min="26" max="26" width="0" hidden="1" customWidth="1"/>
    <col min="27" max="27" width="14.1328125" style="17" customWidth="1"/>
    <col min="28" max="30" width="14.1328125" style="17" hidden="1" customWidth="1"/>
    <col min="31" max="31" width="14.33203125" customWidth="1"/>
    <col min="32" max="32" width="86.73046875" customWidth="1"/>
    <col min="34" max="34" width="10.796875" style="17"/>
    <col min="35" max="35" width="13.265625" customWidth="1"/>
    <col min="36" max="39" width="10.796875" customWidth="1"/>
    <col min="40" max="40" width="13.53125" customWidth="1"/>
    <col min="41" max="46" width="10.796875" customWidth="1"/>
    <col min="47" max="49" width="10.6640625" customWidth="1"/>
  </cols>
  <sheetData>
    <row r="1" spans="1:49" s="5" customFormat="1">
      <c r="A1" s="49" t="s">
        <v>442</v>
      </c>
      <c r="B1" s="49"/>
      <c r="C1" s="49"/>
      <c r="D1" s="49"/>
      <c r="E1" s="49"/>
      <c r="F1" s="49"/>
      <c r="G1" s="49"/>
      <c r="H1" s="49"/>
      <c r="I1" s="49"/>
      <c r="J1" s="49"/>
      <c r="K1" s="49"/>
      <c r="L1" s="49"/>
      <c r="M1" s="49"/>
      <c r="N1" s="49"/>
      <c r="O1" s="49"/>
      <c r="P1" s="49"/>
      <c r="Q1" s="49"/>
      <c r="R1" s="49"/>
      <c r="S1" s="49"/>
      <c r="T1" s="49"/>
      <c r="U1" s="49"/>
      <c r="V1" s="49"/>
      <c r="W1" s="49"/>
      <c r="X1" s="49"/>
      <c r="Y1" s="49"/>
      <c r="Z1" s="49"/>
      <c r="AA1" s="49"/>
      <c r="AB1" s="49"/>
      <c r="AC1" s="49"/>
      <c r="AD1" s="49"/>
      <c r="AE1" s="49"/>
      <c r="AF1" s="49"/>
      <c r="AG1" s="49"/>
      <c r="AH1" s="19"/>
      <c r="AI1" s="50" t="s">
        <v>441</v>
      </c>
      <c r="AJ1" s="51"/>
      <c r="AK1" s="51"/>
      <c r="AL1" s="51"/>
      <c r="AM1" s="51"/>
      <c r="AN1" s="50" t="s">
        <v>221</v>
      </c>
      <c r="AO1" s="51"/>
      <c r="AP1" s="51"/>
      <c r="AQ1" s="51"/>
      <c r="AR1" s="51"/>
      <c r="AS1" s="50" t="s">
        <v>222</v>
      </c>
      <c r="AT1" s="51"/>
      <c r="AU1" s="51"/>
      <c r="AV1" s="51"/>
      <c r="AW1" s="52"/>
    </row>
    <row r="2" spans="1:49" s="4" customFormat="1" ht="42">
      <c r="A2" s="6" t="s">
        <v>0</v>
      </c>
      <c r="B2" s="6" t="s">
        <v>1</v>
      </c>
      <c r="C2" s="3" t="s">
        <v>2</v>
      </c>
      <c r="D2" s="3" t="s">
        <v>3</v>
      </c>
      <c r="E2" s="6" t="s">
        <v>4</v>
      </c>
      <c r="F2" s="6" t="s">
        <v>5</v>
      </c>
      <c r="G2" s="6" t="s">
        <v>6</v>
      </c>
      <c r="H2" s="6" t="s">
        <v>7</v>
      </c>
      <c r="I2" s="6" t="s">
        <v>8</v>
      </c>
      <c r="J2" s="6" t="s">
        <v>172</v>
      </c>
      <c r="K2" s="6" t="s">
        <v>9</v>
      </c>
      <c r="L2" s="6" t="s">
        <v>10</v>
      </c>
      <c r="M2" s="6" t="s">
        <v>11</v>
      </c>
      <c r="N2" s="6" t="s">
        <v>12</v>
      </c>
      <c r="O2" s="6" t="s">
        <v>440</v>
      </c>
      <c r="P2" s="30" t="s">
        <v>433</v>
      </c>
      <c r="Q2" s="6" t="s">
        <v>13</v>
      </c>
      <c r="R2" s="6" t="s">
        <v>14</v>
      </c>
      <c r="S2" s="6" t="s">
        <v>15</v>
      </c>
      <c r="T2" s="7" t="s">
        <v>439</v>
      </c>
      <c r="U2" s="30" t="s">
        <v>434</v>
      </c>
      <c r="V2" s="6" t="s">
        <v>16</v>
      </c>
      <c r="W2" s="6" t="s">
        <v>17</v>
      </c>
      <c r="X2" s="6" t="s">
        <v>18</v>
      </c>
      <c r="Y2" s="7" t="s">
        <v>229</v>
      </c>
      <c r="Z2" s="6" t="s">
        <v>19</v>
      </c>
      <c r="AA2" s="6" t="s">
        <v>20</v>
      </c>
      <c r="AB2" s="6" t="s">
        <v>21</v>
      </c>
      <c r="AC2" s="6" t="s">
        <v>22</v>
      </c>
      <c r="AD2" s="7" t="s">
        <v>23</v>
      </c>
      <c r="AE2" s="6" t="s">
        <v>24</v>
      </c>
      <c r="AF2" s="7" t="s">
        <v>438</v>
      </c>
      <c r="AG2" s="6" t="s">
        <v>432</v>
      </c>
      <c r="AH2" s="8"/>
      <c r="AI2" s="26" t="s">
        <v>150</v>
      </c>
      <c r="AJ2" s="9" t="s">
        <v>151</v>
      </c>
      <c r="AK2" s="9" t="s">
        <v>152</v>
      </c>
      <c r="AL2" s="9" t="s">
        <v>153</v>
      </c>
      <c r="AM2" s="9" t="s">
        <v>154</v>
      </c>
      <c r="AN2" s="10" t="s">
        <v>150</v>
      </c>
      <c r="AO2" s="9" t="s">
        <v>151</v>
      </c>
      <c r="AP2" s="9" t="s">
        <v>152</v>
      </c>
      <c r="AQ2" s="9" t="s">
        <v>153</v>
      </c>
      <c r="AR2" s="9" t="s">
        <v>154</v>
      </c>
      <c r="AS2" s="10" t="s">
        <v>150</v>
      </c>
      <c r="AT2" s="9" t="s">
        <v>151</v>
      </c>
      <c r="AU2" s="9" t="s">
        <v>152</v>
      </c>
      <c r="AV2" s="9" t="s">
        <v>153</v>
      </c>
      <c r="AW2" s="27" t="s">
        <v>154</v>
      </c>
    </row>
    <row r="3" spans="1:49">
      <c r="A3" s="13">
        <v>1</v>
      </c>
      <c r="B3" s="16">
        <f>_xlfn.MAXIFS('Model output'!B:B,'Model output'!Z:Z,'Classification result'!$A3)</f>
        <v>0</v>
      </c>
      <c r="C3" s="16"/>
      <c r="D3" s="16"/>
      <c r="E3" s="17">
        <f>_xlfn.MAXIFS('Model output'!C:C,'Model output'!Z:Z,'Classification result'!$A3)</f>
        <v>67</v>
      </c>
      <c r="F3" s="17" t="str" cm="1">
        <f t="array" ref="F3">LEFT(IF(ISERROR(RIGHT(IF(INDEX(_xlfn._xlws.FILTER('Model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output'!Z:Z=A3)),1),""),1))),"",(RIGHT(IF(INDEX(_xlfn._xlws.FILTER('Model output'!D:D,('Model output'!Z:Z=A3)),1)&lt;&gt;"",INDEX(_xlfn._xlws.FILTER('Model output'!D:D,('Model output'!Z:Z=A3)),1),""),LEN(IF(INDEX(_xlfn._xlws.FILTER('Model output'!D:D,('Model output'!Z:Z=A3)),1)&lt;&gt;"",INDEX(_xlfn._xlws.FILTER('Model output'!D:D,('Model output'!Z:Z=A3)),1),""))-FIND("T",IF(INDEX(_xlfn._xlws.FILTER('Model output'!D:D,('Model output'!Z:Z=A3)),1)&lt;&gt;"",INDEX(_xlfn._xlws.FILTER('Model output'!D:D,('Model output'!Z:Z=A3)),1)))))),2)</f>
        <v>1b</v>
      </c>
      <c r="G3" s="17" t="str" cm="1">
        <f t="array" ref="G3">IF(ISNUMBER(SEARCH("N",IF(ISNUMBER(SEARCH("present",IF(INDEX(_xlfn._xlws.FILTER('Model output'!E:E,('Model output'!Z:Z=A3)),1)="","",INDEX(_xlfn._xlws.FILTER('Model output'!E:E,('Model output'!Z:Z=A3)),1)),1)),"N1", IF(INDEX(_xlfn._xlws.FILTER('Model output'!E:E,('Model output'!Z:Z=A3)),1)="","",INDEX(_xlfn._xlws.FILTER('Model output'!E:E,('Model output'!Z:Z=A3)),1))),1)),RIGHT(IF(ISNUMBER(SEARCH("present",IF(INDEX(_xlfn._xlws.FILTER('Model output'!E:E,('Model output'!Z:Z=A3)),1)="","",INDEX(_xlfn._xlws.FILTER('Model output'!E:E,('Model output'!Z:Z=A3)),1)),1)),"N1", IF(INDEX(_xlfn._xlws.FILTER('Model output'!E:E,('Model output'!Z:Z=A3)),1)="","",INDEX(_xlfn._xlws.FILTER('Model output'!E:E,('Model output'!Z:Z=A3)),1))),LEN(IF(ISNUMBER(SEARCH("present",IF(INDEX(_xlfn._xlws.FILTER('Model output'!E:E,('Model output'!Z:Z=A3)),1)="","",INDEX(_xlfn._xlws.FILTER('Model output'!E:E,('Model output'!Z:Z=A3)),1)),1)),"N1", IF(INDEX(_xlfn._xlws.FILTER('Model output'!E:E,('Model output'!Z:Z=A3)),1)="","",INDEX(_xlfn._xlws.FILTER('Model output'!E:E,('Model output'!Z:Z=A3)),1))))-FIND("N",IF(ISNUMBER(SEARCH("present",IF(INDEX(_xlfn._xlws.FILTER('Model output'!E:E,('Model output'!Z:Z=A3)),1)="","",INDEX(_xlfn._xlws.FILTER('Model output'!E:E,('Model output'!Z:Z=A3)),1)),1)),"N1", IF(INDEX(_xlfn._xlws.FILTER('Model output'!E:E,('Model output'!Z:Z=A3)),1)="","",INDEX(_xlfn._xlws.FILTER('Model output'!E:E,('Model output'!Z:Z=A3)),1))),1)), "")</f>
        <v/>
      </c>
      <c r="H3" s="17" cm="1">
        <f t="array" ref="H3">IF(AND(SUBSTITUTE(_xlfn.TEXTJOIN("/", TRUE, _xlfn._xlws.FILTER('Model output'!F:F, 'Model output'!Z:Z=A3)),"M", "")="", K3="negative"),0,IF(K3="positive",1,0))</f>
        <v>0</v>
      </c>
      <c r="I3" t="str">
        <f t="shared" ref="I3:I37" si="0">IF(OR(J3&lt;&gt;"",AND(M3&lt;&gt;"",M3&gt;0)),"positive","")</f>
        <v>positive</v>
      </c>
      <c r="J3" t="str" cm="1">
        <f t="array" ref="J3">IF(AND(M3&gt;0, _xlfn.TEXTJOIN("; ", TRUE, _xlfn._xlws.FILTER('Model output'!G:G, 'Model output'!Z:Z=A3)) &lt;&gt;"", OR(AND(ISNUMBER(SEARCH("level", _xlfn.TEXTJOIN("; ", TRUE, _xlfn._xlws.FILTER('Model output'!G:G, 'Model output'!Z:Z=A3)),1)),OR(ISNUMBER(SEARCH(" II", _xlfn.TEXTJOIN("; ", TRUE, _xlfn._xlws.FILTER('Model output'!G:G, 'Model output'!Z:Z=A3)),1)),ISNUMBER(SEARCH("2", _xlfn.TEXTJOIN("; ", TRUE, _xlfn._xlws.FILTER('Model output'!G:G, 'Model output'!Z:Z=A3)),1)),ISNUMBER(SEARCH("two", _xlfn.TEXTJOIN("; ", TRUE, _xlfn._xlws.FILTER('Model output'!G:G, 'Model output'!Z:Z=A3)),1)),ISNUMBER(SEARCH("III", _xlfn.TEXTJOIN("; ", TRUE, _xlfn._xlws.FILTER('Model output'!G:G, 'Model output'!Z:Z=A3)),1)),ISNUMBER(SEARCH("3", _xlfn.TEXTJOIN("; ", TRUE, _xlfn._xlws.FILTER('Model output'!G:G, 'Model output'!Z:Z=A3)),1)),ISNUMBER(SEARCH("three", _xlfn.TEXTJOIN("; ", TRUE, _xlfn._xlws.FILTER('Model output'!G:G, 'Model output'!Z:Z=A3)),1)),ISNUMBER(SEARCH("IV", _xlfn.TEXTJOIN("; ", TRUE, _xlfn._xlws.FILTER('Model output'!G:G, 'Model output'!Z:Z=A3)),1)),ISNUMBER(SEARCH("4", _xlfn.TEXTJOIN("; ", TRUE, _xlfn._xlws.FILTER('Model output'!G:G, 'Model output'!Z:Z=A3)),1)),ISNUMBER(SEARCH("five", _xlfn.TEXTJOIN("; ", TRUE, _xlfn._xlws.FILTER('Model output'!G:G, 'Model output'!Z:Z=A3)),1)),ISNUMBER(SEARCH("V ", _xlfn.TEXTJOIN("; ", TRUE, _xlfn._xlws.FILTER('Model output'!G:G, 'Model output'!Z:Z=A3)),1)),ISNUMBER(SEARCH("5", _xlfn.TEXTJOIN("; ", TRUE, _xlfn._xlws.FILTER('Model output'!G:G, 'Model output'!Z:Z=A3)),1)),ISNUMBER(SEARCH("five", _xlfn.TEXTJOIN("; ", TRUE, _xlfn._xlws.FILTER('Model output'!G:G, 'Model output'!Z:Z=A3)),1)),ISNUMBER(SEARCH(" lateral", _xlfn.TEXTJOIN("; ", TRUE, _xlfn._xlws.FILTER('Model output'!G:G, 'Model output'!Z:Z=A3)),1)))),ISNUMBER(SEARCH("cervical", _xlfn.TEXTJOIN("; ", TRUE, _xlfn._xlws.FILTER('Model output'!G:G, 'Model output'!Z:Z=A3)),1)),ISNUMBER(SEARCH("jugular", _xlfn.TEXTJOIN("; ", TRUE, _xlfn._xlws.FILTER('Model output'!G:G, 'Model output'!Z:Z=A3)),1)),ISNUMBER(SEARCH("left neck", _xlfn.TEXTJOIN("; ", TRUE, _xlfn._xlws.FILTER('Model output'!G:G, 'Model output'!Z:Z=A3)),1)),ISNUMBER(SEARCH("left anterior neck", _xlfn.TEXTJOIN("; ", TRUE, _xlfn._xlws.FILTER('Model output'!G:G, 'Model output'!Z:Z=A3)),1)),ISNUMBER(SEARCH("left posterior neck", _xlfn.TEXTJOIN("; ", TRUE, _xlfn._xlws.FILTER('Model output'!G:G, 'Model output'!Z:Z=A3)),1)),ISNUMBER(SEARCH("right neck", _xlfn.TEXTJOIN("; ", TRUE, _xlfn._xlws.FILTER('Model output'!G:G, 'Model output'!Z:Z=A3)),1)),ISNUMBER(SEARCH("right anterior neck", _xlfn.TEXTJOIN("; ", TRUE, _xlfn._xlws.FILTER('Model output'!G:G, 'Model output'!Z:Z=A3)),1)),ISNUMBER(SEARCH("right posterior neck", _xlfn.TEXTJOIN("; ", TRUE, _xlfn._xlws.FILTER('Model output'!G:G, 'Model output'!Z:Z=A3)),1)))),"lateral",IF(AND(M3=0, _xlfn.TEXTJOIN("; ", TRUE, _xlfn._xlws.FILTER('Model output'!G:G, 'Model output'!Z:Z=A3))=""),"", "central"))</f>
        <v>central</v>
      </c>
      <c r="K3" s="17" t="str" cm="1">
        <f t="array" ref="K3">IF(OR(ISNUMBER(SEARCH("lymph",_xlfn.TEXTJOIN("; ", TRUE, _xlfn._xlws.FILTER('Model output'!H:H, 'Model output'!Z:Z=A3)),1)), ISNUMBER(SEARCH("Not mentioned",_xlfn.TEXTJOIN("; ", TRUE, _xlfn._xlws.FILTER('Model output'!H:H, 'Model output'!Z:Z=A3)),1)),ISNUMBER(SEARCH("subcutaneous soft tissues",_xlfn.TEXTJOIN("; ", TRUE, _xlfn._xlws.FILTER('Model output'!H:H, 'Model output'!Z:Z=A3)),1)),ISNUMBER(SEARCH("larynx",_xlfn.TEXTJOIN("; ", TRUE, _xlfn._xlws.FILTER('Model output'!H:H, 'Model output'!Z:Z=A3)),1)),ISNUMBER(SEARCH("trachea",_xlfn.TEXTJOIN("; ", TRUE, _xlfn._xlws.FILTER('Model output'!H:H, 'Model output'!Z:Z=A3)),1)),ISNUMBER(SEARCH("esophagus",_xlfn.TEXTJOIN("; ", TRUE, _xlfn._xlws.FILTER('Model output'!H:H, 'Model output'!Z:Z=A3)),1)),ISNUMBER(SEARCH("recurrent laryngeal nerve",_xlfn.TEXTJOIN("; ", TRUE, _xlfn._xlws.FILTER('Model output'!H:H, 'Model output'!Z:Z=A3)),1)),ISNUMBER(SEARCH("RLN",_xlfn.TEXTJOIN("; ", TRUE, _xlfn._xlws.FILTER('Model output'!H:H, 'Model output'!Z:Z=A3)),1)),_xlfn.TEXTJOIN("; ", TRUE, _xlfn._xlws.FILTER('Model output'!H:H, 'Model output'!Z:Z=A3))=""),"negative","positive")</f>
        <v>negative</v>
      </c>
      <c r="L3" s="17">
        <f>IF(IFERROR(INDEX('Model output'!I:I, MATCH(A3, 'Model output'!Z:Z, 0)), "") &lt; M3, "", IFERROR(INDEX('Model output'!I:I, MATCH(A3, 'Model output'!Z:Z, 0)), ""))</f>
        <v>1</v>
      </c>
      <c r="M3" s="28">
        <f>IFERROR(INDEX('Model output'!J:J, MATCH(A3, 'Model output'!Z:Z, 0)), "")</f>
        <v>1</v>
      </c>
      <c r="N3" s="47" t="str" cm="1">
        <f t="array" ref="N3">ReplaceTo(ReplaceAnd(SUBSTITUTE(SUBSTITUTE(_xlfn.TEXTJOIN("; ", TRUE, _xlfn._xlws.FILTER('Model output'!K:K, 'Model output'!Z:Z=A3)), " ", ""), ",", ";")))</f>
        <v>Notmentionedintheprovidedclinicalnote</v>
      </c>
      <c r="O3" s="45" t="str" cm="1">
        <f t="array" ref="O3">IF(LEFT(IF(RIGHT(SUBSTITUTE(FilterWithUnits(N3)&amp;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";")),1)=";",RIGHT(IF(RIGHT(SUBSTITUTE(FilterWithUnits(N3)&amp;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";")),LEN(IF(RIGHT(SUBSTITUTE(FilterWithUnits(N3)&amp;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";")))-1),IF(RIGHT(SUBSTITUTE(FilterWithUnits(N3)&amp; ";" &amp;FilterStringsWithNumericAnd(N3) &amp; ";" &amp; FilterStringsWithX(N3), ";;", ";"),1)=";",LEFT(SUBSTITUTE(FilterWithUnits(N3)&amp; ";" &amp;FilterStringsWithNumericAnd(N3) &amp; ";" &amp; FilterStringsWithX(N3), ";;", ";"),LEN(SUBSTITUTE(FilterWithUnits(N3)&amp; ";" &amp;FilterStringsWithNumericAnd(N3) &amp; ";" &amp; FilterStringsWithX(N3), ";;", ";"))-1),SUBSTITUTE(FilterWithUnits(N3)&amp; ";" &amp;FilterStringsWithNumericAnd(N3) &amp; ";" &amp; FilterStringsWithX(N3), ";;", ";")))</f>
        <v/>
      </c>
      <c r="P3" s="45" t="str" cm="1">
        <f t="array" ref="P3">IF(MaxSize((SplitDimensions(O3)))=0, "", MaxSize((SplitDimensions(O3))))</f>
        <v/>
      </c>
      <c r="Q3" t="str" cm="1">
        <f t="array" ref="Q3">IF(ISERROR(INDEX(_xlfn._xlws.FILTER('Model output'!L:L, ('Model output'!Z:Z=A3)*('Model output'!L:L&lt;&gt;"")), 1)), " ", LOWER(INDEX(_xlfn._xlws.FILTER('Model output'!L:L, ('Model output'!Z:Z=A3)*('Model output'!L:L&lt;&gt;"")), 1)))</f>
        <v>papillary carcinoma</v>
      </c>
      <c r="R3" s="45" t="str" cm="1">
        <f t="array" ref="R3">Q3 &amp; " " &amp;IF(ISERROR(INDEX(_xlfn._xlws.FILTER('Model output'!M:M, ('Model output'!Z:Z=A3)*('Model output'!M:M&lt;&gt;"")), 1)), " ", LOWER(INDEX(_xlfn._xlws.FILTER('Model output'!M:M, ('Model output'!Z:Z=A3)*('Model output'!M:M&lt;&gt;"")), 1)))</f>
        <v>papillary carcinoma infiltrative follicular subtype</v>
      </c>
      <c r="S3" s="45" t="str" cm="1">
        <f t="array" ref="S3">IF(OR(ISNUMBER(SEARCH("ly",SUBSTITUTE(INDEX(_xlfn._xlws.FILTER('Model output'!N:N,('Model output'!Z:Z=A3)*('Model output'!N:N&lt;&gt;"")),1)," ",""),1)), ISNUMBER(SEARCH("pole",SUBSTITUTE(INDEX(_xlfn._xlws.FILTER('Model output'!N:N,('Model output'!Z:Z=A3)*('Model output'!N:N&lt;&gt;"")),1)," ",""),1))),"",SUBSTITUTE(INDEX(_xlfn._xlws.FILTER('Model output'!N:N,('Model output'!Z:Z=A3)*('Model output'!N:N&lt;&gt;"")),1)," ",""))</f>
        <v>13mm</v>
      </c>
      <c r="T3" s="45" t="str" cm="1">
        <f t="array" ref="T3">IF(LEFT(IF(RIGHT(SUBSTITUTE(FilterWithUnits(S3)&amp;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";")),1)=";",RIGHT(IF(RIGHT(SUBSTITUTE(FilterWithUnits(S3)&amp;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";")),LEN(IF(RIGHT(SUBSTITUTE(FilterWithUnits(S3)&amp;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";")))-1),IF(RIGHT(SUBSTITUTE(FilterWithUnits(S3)&amp; ";" &amp;FilterStringsWithNumericAnd(S3) &amp; ";" &amp; FilterStringsWithX(S3), ";;", ";"),1)=";",LEFT(SUBSTITUTE(FilterWithUnits(S3)&amp; ";" &amp;FilterStringsWithNumericAnd(S3) &amp; ";" &amp; FilterStringsWithX(S3), ";;", ";"),LEN(SUBSTITUTE(FilterWithUnits(S3)&amp; ";" &amp;FilterStringsWithNumericAnd(S3) &amp; ";" &amp; FilterStringsWithX(S3), ";;", ";"))-1),SUBSTITUTE(FilterWithUnits(S3)&amp; ";" &amp;FilterStringsWithNumericAnd(S3) &amp; ";" &amp; FilterStringsWithX(S3), ";;", ";")))</f>
        <v>13mm</v>
      </c>
      <c r="U3" s="45" cm="1">
        <f t="array" ref="U3">IF(MaxSize((SplitDimensions(T3)))=0, "", MaxSize((SplitDimensions(T3))))</f>
        <v>1.3</v>
      </c>
      <c r="V3" s="17" t="str" cm="1">
        <f t="array" ref="V3">IF(ISERROR(INDEX(_xlfn._xlws.FILTER('Model output'!P:P,('Model output'!Z:Z=A3)*('Model output'!P:P&lt;&gt;"")),1)),"negative",IF(OR(ISNUMBER(SEARCH("foc",INDEX(_xlfn._xlws.FILTER('Model output'!P:P,('Model output'!Z:Z=A3)*('Model output'!P:P&lt;&gt;"")),1),1)),ISNUMBER(SEARCH("extensive",INDEX(_xlfn._xlws.FILTER('Model output'!P:P,('Model output'!Z:Z=A3)*('Model output'!P:P&lt;&gt;"")),1),1)),ISNUMBER(SEARCH("present",INDEX(_xlfn._xlws.FILTER('Model output'!P:P,('Model output'!Z:Z=A3)*('Model output'!P:P&lt;&gt;"")),1),1)),ISNUMBER(SEARCH("yes",INDEX(_xlfn._xlws.FILTER('Model output'!P:P,('Model output'!Z:Z=A3)*('Model output'!P:P&lt;&gt;"")),1),1))),"positive","negative"))</f>
        <v>negative</v>
      </c>
      <c r="X3" t="str" cm="1">
        <f t="array" ref="X3">IF(ISNUMBER(SEARCH("4",INDEX(_xlfn._xlws.FILTER('Model output'!P:P,('Model output'!Z:Z=A3)*('Model output'!P:P&lt;&gt;"")),1),1)),INDEX(_xlfn._xlws.FILTER('Model output'!P:P,('Model output'!Z:Z=A3)*('Model output'!P:P&lt;&gt;"")),1),"") &amp; _xlfn.TEXTJOIN("",TRUE,_xlfn._xlws.FILTER('Model output'!Q:Q,'Model output'!Z:Z=A3))</f>
        <v>Not mentioned in the provided clinical note</v>
      </c>
      <c r="Y3" t="str">
        <f>IF(V3="negative","no",IF(OR(ISNUMBER(SEARCH("&gt; 4",X3,1)),ISNUMBER(SEARCH("&gt;4",X3,1)),ISNUMBER(SEARCH("4 or more",X3,1)),ISNUMBER(SEARCH("extensive",X3,1))),"extensive","minimal"))</f>
        <v>no</v>
      </c>
      <c r="Z3" t="str" cm="1">
        <f t="array" ref="Z3">IF(OR(ISNUMBER(SEARCH("focal",_xlfn.TEXTJOIN("; ",TRUE,_xlfn._xlws.FILTER('Model output'!R:R,'Model output'!Z:Z=A3)),1)),ISNUMBER(SEARCH("present",_xlfn.TEXTJOIN("; ",TRUE,_xlfn._xlws.FILTER('Model output'!R:R,'Model output'!Z:Z=A3)),1))),"positive",IF(_xlfn.TEXTJOIN("; ",TRUE,_xlfn._xlws.FILTER('Model output'!R:R,'Model output'!Z:Z=A3))="","negative",IF(OR(ISNUMBER(SEARCH("no",_xlfn.TEXTJOIN("; ",TRUE,_xlfn._xlws.FILTER('Model output'!R:R,'Model output'!Z:Z=A3)),1)),ISNUMBER(SEARCH("absent",_xlfn.TEXTJOIN("; ",TRUE,_xlfn._xlws.FILTER('Model output'!R:R,'Model output'!Z:Z=A3)),1))),"negative","positive")))</f>
        <v>negative</v>
      </c>
      <c r="AA3" s="17" t="str">
        <f>IF(OR(ISNUMBER(SEARCH("soft tissue", AF3)), ISNUMBER(SEARCH("adipose tissue", AF3)),ISNUMBER(SEARCH("muscles", AF3)), ISNUMBER(SEARCH("microscopic", AF3)), ISNUMBER(SEARCH("minimal", AF3)), ISNUMBER(SEARCH("surrounding fat", AF3)), ISNUMBER(SEARCH("present", AF3)), ISNUMBER(SEARCH("yes", AF3))), "positive", "negative")</f>
        <v>negative</v>
      </c>
      <c r="AE3" s="17" t="str">
        <f>IF(OR(ISNUMBER(SEARCH("subcutaneous soft tissues", AF3)),ISNUMBER(SEARCH("strap muscle", AF3)), ISNUMBER(SEARCH("larynx", AF3)),ISNUMBER(SEARCH("trachea", AF3)),ISNUMBER(SEARCH("esophagus", AF3)), ISNUMBER(SEARCH("recurrent laryngeal nerve", AF3)), ISNUMBER(SEARCH("RLN", AF3))), "positive", "negative")</f>
        <v>negative</v>
      </c>
      <c r="AF3" t="str" cm="1">
        <f t="array" ref="AF3">_xlfn.TEXTJOIN("; ",TRUE,_xlfn._xlws.FILTER('Model output'!S:S,'Model output'!Z:Z=A3))</f>
        <v>Not identified; Not mentioned in the provided clinical note</v>
      </c>
      <c r="AG3" s="17" t="str" cm="1">
        <f t="array" ref="AG3">IF(OR(ISNUMBER(SEARCH("uninvolved",_xlfn.TEXTJOIN("; ",TRUE,_xlfn._xlws.FILTER('Model output'!V:V,'Model output'!Z:Z=A3)),1)),ISNUMBER(SEARCH("clear",_xlfn.TEXTJOIN("; ",TRUE,_xlfn._xlws.FILTER('Model output'!V:V,'Model output'!Z:Z=A3)),1)),ISNUMBER(SEARCH("not mentioned",_xlfn.TEXTJOIN("; ",TRUE,_xlfn._xlws.FILTER('Model output'!V:V,'Model output'!Z:Z=A3)),1))),"negative","positive")</f>
        <v>negative</v>
      </c>
      <c r="AI3" s="36" t="str">
        <f>IF(OR(ISNUMBER(SEARCH("non-invasive follicular",Q3,1)),ISNUMBER(SEARCH("non-invasive follicular",R3,1))),"NIFTP", IF(OR(K3="positive",AE3="positive",AND(OR(ISNUMBER(SEARCH("follicular", Q3)),ISNUMBER(SEARCH("FTC", Q3))),Y3="extensive"),AND(I3="positive",ISNUMBER(P3),P3&gt;3),AL3=1),"high",IF(OR(ISNUMBER(SEARCH("positive",AA3,1)),ISNUMBER(SEARCH("tall",R3,1)),ISNUMBER(SEARCH("hobnail",R3,1)),ISNUMBER(SEARCH("cribriform",R3,1)),ISNUMBER(SEARCH("diffuse",R3,1)),ISNUMBER(SEARCH("columnar",R3,1)),ISNUMBER(SEARCH("solid",R3,1)),ISNUMBER(SEARCH("tall",Q3,1)),ISNUMBER(SEARCH("hobnail",Q3,1)),ISNUMBER(SEARCH("cribriform",Q3,1)),ISNUMBER(SEARCH("diffuse",Q3,1)),ISNUMBER(SEARCH("columnar",Q3,1)),ISNUMBER(SEARCH("solid",Q3,1)),AND(OR(ISNUMBER(SEARCH("papillary carcinoma",Q3,1)),ISNUMBER(SEARCH("papillary microcarcinoma",Q3,1))),V3="positive"),,AND(AND(ISNUMBER(M3),M3&gt;=5),P3=""),AND(AND(ISNUMBER(M3),M3&gt;=5),AND(ISNUMBER(P3),P3&gt;=1)),J3="lateral"),"intermediate","low")))</f>
        <v>low</v>
      </c>
      <c r="AJ3" s="28" t="str">
        <f t="shared" ref="AJ3:AJ5" si="1">IF(OR(ISNUMBER(SEARCH("non-invasive follicular",Q3)),ISNUMBER(SEARCH("papillary-like nuclear features",Q3)),ISNUMBER(SEARCH("non-invasive follicular",R3)),ISNUMBER(SEARCH("papillary-like nuclear features",R3))),"NIFTP", IF(OR(F3="4b",AND(AE3="positive",OR(ISNUMBER(SEARCH("prevertebral",AF3)),ISNUMBER(SEARCH("fascia",AF3)),ISNUMBER(SEARCH("carotid artery",AF3)),ISNUMBER(SEARCH("mediastinal",AF3))))),"4b",IF(OR(F3="4a",AND(AE3="positive",OR(ISNUMBER(SEARCH("soft tissue",AF3)),ISNUMBER(SEARCH("larynx",AF3)),ISNUMBER(SEARCH("trachea",AF3)),ISNUMBER(SEARCH("esophagus",AF3)),ISNUMBER(SEARCH("recurrent laryngeal nerve",AF3)),ISNUMBER(SEARCH("RLN",AF3))))),"4a", IF(OR(F3="3b", AE3="positive",ISNUMBER(SEARCH("strap",AF3)),ISNUMBER(SEARCH("sternothyroid",AF3)),ISNUMBER(SEARCH("sternohyoid",AF3)),ISNUMBER(SEARCH("thyrohyoid",AF3)),ISNUMBER(SEARCH("omohyoid",AF3))),"3b",IF(OR(F3="3a", AND(U3&lt;&gt;"",U3&gt;4)),"3a",IF(AND(U3&lt;&gt;"", U3&lt;=4,U3&gt;2),"2",IF(AND(U3&lt;&gt;"",U3&lt;=2,U3&gt;1),"1b",IF(AND(U3&lt;&gt;"",U3&lt;=1),"1a","1a"))))))))</f>
        <v>1b</v>
      </c>
      <c r="AK3" s="28" t="str">
        <f t="shared" ref="AK3:AK37" si="2">IF(OR(ISNUMBER(SEARCH("non-invasive follicular",Q3,1)),ISNUMBER(SEARCH("non-invasive follicular",R3,1))),"NIFTP",IF(AND(M3&gt;0,I3="positive",J3="central"),"1a",IF(AND(M3&gt;0,I3="positive",J3="lateral"),"1b",IF(AND(M3=0,L3=0),"x",0))))</f>
        <v>1a</v>
      </c>
      <c r="AL3" s="28">
        <f t="shared" ref="AL3:AL37" si="3">IF(OR(ISNUMBER(SEARCH("non-invasive follicular",Q3,1)),ISNUMBER(SEARCH("non-invasive follicular",R3,1))),"NIFTP",IF(K3="unknown","x",IF(K3="negative",0,1)))</f>
        <v>0</v>
      </c>
      <c r="AM3" s="28" t="str">
        <f t="shared" ref="AM3:AM37" si="4">IF(OR(ISNUMBER(SEARCH("non-invasive follicular",Q3,1)),ISNUMBER(SEARCH("non-invasive follicular",R3,1))),"NIFTP",IF(AND(E3&lt;55,AL3=0),"I",IF(AND(E3&lt;55,AL3=1),"II",IF(AL3=1,"IVB",IF(AND(AJ3="4b",AL3=0),"IVA",IF(AND(AJ3="4a",AL3=0),"III",IF(AND(OR(AJ3="3a",AJ3="3b"),AL3=0),"II",IF(AND(AJ3="2",OR(AK3="1",AK3="1a",AK3="1b"),AL3=0),"II",IF(AND(OR(AJ3="1a",AJ3="1b",AJ3="1",AJ3="1 "),OR(AK3="1",AK3="1a",AK3="1b"),AL3=0),"II","I")))))))))</f>
        <v>II</v>
      </c>
      <c r="AN3" s="37" t="s">
        <v>171</v>
      </c>
      <c r="AO3" s="38" t="s">
        <v>214</v>
      </c>
      <c r="AP3" s="38" t="s">
        <v>215</v>
      </c>
      <c r="AQ3" s="38">
        <v>0</v>
      </c>
      <c r="AR3" s="38" t="s">
        <v>31</v>
      </c>
      <c r="AS3" s="37">
        <f t="shared" ref="AS3:AS37" si="5">IF(AN3=AI3,1,0)</f>
        <v>1</v>
      </c>
      <c r="AT3" s="38">
        <f t="shared" ref="AT3:AT37" si="6">IF(AO3=AJ3,1,0)</f>
        <v>1</v>
      </c>
      <c r="AU3" s="38">
        <f t="shared" ref="AU3:AU37" si="7">IF(AK3=AP3,1,IF(OR(AND(AP3="x",AK3=0),AND(AK3="x",AP3=0)),1,0))</f>
        <v>0</v>
      </c>
      <c r="AV3" s="38">
        <f t="shared" ref="AV3:AV37" si="8">IF(AQ3=AL3,1,0)</f>
        <v>1</v>
      </c>
      <c r="AW3" s="39">
        <f t="shared" ref="AW3:AW37" si="9">IF(AR3=AM3,1,0)</f>
        <v>0</v>
      </c>
    </row>
    <row r="4" spans="1:49">
      <c r="A4" s="13">
        <v>2</v>
      </c>
      <c r="B4" s="16">
        <f>_xlfn.MAXIFS('Model output'!B:B,'Model output'!Z:Z,'Classification result'!$A4)</f>
        <v>0</v>
      </c>
      <c r="C4" s="16"/>
      <c r="D4" s="16"/>
      <c r="E4" s="17">
        <f>_xlfn.MAXIFS('Model output'!C:C,'Model output'!Z:Z,'Classification result'!$A4)</f>
        <v>39</v>
      </c>
      <c r="F4" s="17" t="str" cm="1">
        <f t="array" ref="F4">LEFT(IF(ISERROR(RIGHT(IF(INDEX(_xlfn._xlws.FILTER('Model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output'!Z:Z=A4)),1),""),1))),"",(RIGHT(IF(INDEX(_xlfn._xlws.FILTER('Model output'!D:D,('Model output'!Z:Z=A4)),1)&lt;&gt;"",INDEX(_xlfn._xlws.FILTER('Model output'!D:D,('Model output'!Z:Z=A4)),1),""),LEN(IF(INDEX(_xlfn._xlws.FILTER('Model output'!D:D,('Model output'!Z:Z=A4)),1)&lt;&gt;"",INDEX(_xlfn._xlws.FILTER('Model output'!D:D,('Model output'!Z:Z=A4)),1),""))-FIND("T",IF(INDEX(_xlfn._xlws.FILTER('Model output'!D:D,('Model output'!Z:Z=A4)),1)&lt;&gt;"",INDEX(_xlfn._xlws.FILTER('Model output'!D:D,('Model output'!Z:Z=A4)),1)))))),2)</f>
        <v>2</v>
      </c>
      <c r="G4" s="17" t="str" cm="1">
        <f t="array" ref="G4">IF(ISNUMBER(SEARCH("N",IF(ISNUMBER(SEARCH("present",IF(INDEX(_xlfn._xlws.FILTER('Model output'!E:E,('Model output'!Z:Z=A4)),1)="","",INDEX(_xlfn._xlws.FILTER('Model output'!E:E,('Model output'!Z:Z=A4)),1)),1)),"N1", IF(INDEX(_xlfn._xlws.FILTER('Model output'!E:E,('Model output'!Z:Z=A4)),1)="","",INDEX(_xlfn._xlws.FILTER('Model output'!E:E,('Model output'!Z:Z=A4)),1))),1)),RIGHT(IF(ISNUMBER(SEARCH("present",IF(INDEX(_xlfn._xlws.FILTER('Model output'!E:E,('Model output'!Z:Z=A4)),1)="","",INDEX(_xlfn._xlws.FILTER('Model output'!E:E,('Model output'!Z:Z=A4)),1)),1)),"N1", IF(INDEX(_xlfn._xlws.FILTER('Model output'!E:E,('Model output'!Z:Z=A4)),1)="","",INDEX(_xlfn._xlws.FILTER('Model output'!E:E,('Model output'!Z:Z=A4)),1))),LEN(IF(ISNUMBER(SEARCH("present",IF(INDEX(_xlfn._xlws.FILTER('Model output'!E:E,('Model output'!Z:Z=A4)),1)="","",INDEX(_xlfn._xlws.FILTER('Model output'!E:E,('Model output'!Z:Z=A4)),1)),1)),"N1", IF(INDEX(_xlfn._xlws.FILTER('Model output'!E:E,('Model output'!Z:Z=A4)),1)="","",INDEX(_xlfn._xlws.FILTER('Model output'!E:E,('Model output'!Z:Z=A4)),1))))-FIND("N",IF(ISNUMBER(SEARCH("present",IF(INDEX(_xlfn._xlws.FILTER('Model output'!E:E,('Model output'!Z:Z=A4)),1)="","",INDEX(_xlfn._xlws.FILTER('Model output'!E:E,('Model output'!Z:Z=A4)),1)),1)),"N1", IF(INDEX(_xlfn._xlws.FILTER('Model output'!E:E,('Model output'!Z:Z=A4)),1)="","",INDEX(_xlfn._xlws.FILTER('Model output'!E:E,('Model output'!Z:Z=A4)),1))),1)), "")</f>
        <v/>
      </c>
      <c r="H4" s="17" cm="1">
        <f t="array" ref="H4">IF(AND(SUBSTITUTE(_xlfn.TEXTJOIN("/", TRUE, _xlfn._xlws.FILTER('Model output'!F:F, 'Model output'!Z:Z=A4)),"M", "")="", K4="negative"),0,IF(K4="positive",1,0))</f>
        <v>0</v>
      </c>
      <c r="I4" t="str">
        <f t="shared" si="0"/>
        <v>positive</v>
      </c>
      <c r="J4" t="str" cm="1">
        <f t="array" ref="J4">IF(AND(M4&gt;0, _xlfn.TEXTJOIN("; ", TRUE, _xlfn._xlws.FILTER('Model output'!G:G, 'Model output'!Z:Z=A4)) &lt;&gt;"", OR(AND(ISNUMBER(SEARCH("level", _xlfn.TEXTJOIN("; ", TRUE, _xlfn._xlws.FILTER('Model output'!G:G, 'Model output'!Z:Z=A4)),1)),OR(ISNUMBER(SEARCH(" II", _xlfn.TEXTJOIN("; ", TRUE, _xlfn._xlws.FILTER('Model output'!G:G, 'Model output'!Z:Z=A4)),1)),ISNUMBER(SEARCH("2", _xlfn.TEXTJOIN("; ", TRUE, _xlfn._xlws.FILTER('Model output'!G:G, 'Model output'!Z:Z=A4)),1)),ISNUMBER(SEARCH("two", _xlfn.TEXTJOIN("; ", TRUE, _xlfn._xlws.FILTER('Model output'!G:G, 'Model output'!Z:Z=A4)),1)),ISNUMBER(SEARCH("III", _xlfn.TEXTJOIN("; ", TRUE, _xlfn._xlws.FILTER('Model output'!G:G, 'Model output'!Z:Z=A4)),1)),ISNUMBER(SEARCH("3", _xlfn.TEXTJOIN("; ", TRUE, _xlfn._xlws.FILTER('Model output'!G:G, 'Model output'!Z:Z=A4)),1)),ISNUMBER(SEARCH("three", _xlfn.TEXTJOIN("; ", TRUE, _xlfn._xlws.FILTER('Model output'!G:G, 'Model output'!Z:Z=A4)),1)),ISNUMBER(SEARCH("IV", _xlfn.TEXTJOIN("; ", TRUE, _xlfn._xlws.FILTER('Model output'!G:G, 'Model output'!Z:Z=A4)),1)),ISNUMBER(SEARCH("4", _xlfn.TEXTJOIN("; ", TRUE, _xlfn._xlws.FILTER('Model output'!G:G, 'Model output'!Z:Z=A4)),1)),ISNUMBER(SEARCH("five", _xlfn.TEXTJOIN("; ", TRUE, _xlfn._xlws.FILTER('Model output'!G:G, 'Model output'!Z:Z=A4)),1)),ISNUMBER(SEARCH("V ", _xlfn.TEXTJOIN("; ", TRUE, _xlfn._xlws.FILTER('Model output'!G:G, 'Model output'!Z:Z=A4)),1)),ISNUMBER(SEARCH("5", _xlfn.TEXTJOIN("; ", TRUE, _xlfn._xlws.FILTER('Model output'!G:G, 'Model output'!Z:Z=A4)),1)),ISNUMBER(SEARCH("five", _xlfn.TEXTJOIN("; ", TRUE, _xlfn._xlws.FILTER('Model output'!G:G, 'Model output'!Z:Z=A4)),1)),ISNUMBER(SEARCH(" lateral", _xlfn.TEXTJOIN("; ", TRUE, _xlfn._xlws.FILTER('Model output'!G:G, 'Model output'!Z:Z=A4)),1)))),ISNUMBER(SEARCH("cervical", _xlfn.TEXTJOIN("; ", TRUE, _xlfn._xlws.FILTER('Model output'!G:G, 'Model output'!Z:Z=A4)),1)),ISNUMBER(SEARCH("jugular", _xlfn.TEXTJOIN("; ", TRUE, _xlfn._xlws.FILTER('Model output'!G:G, 'Model output'!Z:Z=A4)),1)),ISNUMBER(SEARCH("left neck", _xlfn.TEXTJOIN("; ", TRUE, _xlfn._xlws.FILTER('Model output'!G:G, 'Model output'!Z:Z=A4)),1)),ISNUMBER(SEARCH("left anterior neck", _xlfn.TEXTJOIN("; ", TRUE, _xlfn._xlws.FILTER('Model output'!G:G, 'Model output'!Z:Z=A4)),1)),ISNUMBER(SEARCH("left posterior neck", _xlfn.TEXTJOIN("; ", TRUE, _xlfn._xlws.FILTER('Model output'!G:G, 'Model output'!Z:Z=A4)),1)),ISNUMBER(SEARCH("right neck", _xlfn.TEXTJOIN("; ", TRUE, _xlfn._xlws.FILTER('Model output'!G:G, 'Model output'!Z:Z=A4)),1)),ISNUMBER(SEARCH("right anterior neck", _xlfn.TEXTJOIN("; ", TRUE, _xlfn._xlws.FILTER('Model output'!G:G, 'Model output'!Z:Z=A4)),1)),ISNUMBER(SEARCH("right posterior neck", _xlfn.TEXTJOIN("; ", TRUE, _xlfn._xlws.FILTER('Model output'!G:G, 'Model output'!Z:Z=A4)),1)))),"lateral",IF(AND(M4=0, _xlfn.TEXTJOIN("; ", TRUE, _xlfn._xlws.FILTER('Model output'!G:G, 'Model output'!Z:Z=A4))=""),"", "central"))</f>
        <v>central</v>
      </c>
      <c r="K4" s="17" t="str" cm="1">
        <f t="array" ref="K4">IF(OR(ISNUMBER(SEARCH("lymph",_xlfn.TEXTJOIN("; ", TRUE, _xlfn._xlws.FILTER('Model output'!H:H, 'Model output'!Z:Z=A4)),1)), ISNUMBER(SEARCH("Not mentioned",_xlfn.TEXTJOIN("; ", TRUE, _xlfn._xlws.FILTER('Model output'!H:H, 'Model output'!Z:Z=A4)),1)),ISNUMBER(SEARCH("subcutaneous soft tissues",_xlfn.TEXTJOIN("; ", TRUE, _xlfn._xlws.FILTER('Model output'!H:H, 'Model output'!Z:Z=A4)),1)),ISNUMBER(SEARCH("larynx",_xlfn.TEXTJOIN("; ", TRUE, _xlfn._xlws.FILTER('Model output'!H:H, 'Model output'!Z:Z=A4)),1)),ISNUMBER(SEARCH("trachea",_xlfn.TEXTJOIN("; ", TRUE, _xlfn._xlws.FILTER('Model output'!H:H, 'Model output'!Z:Z=A4)),1)),ISNUMBER(SEARCH("esophagus",_xlfn.TEXTJOIN("; ", TRUE, _xlfn._xlws.FILTER('Model output'!H:H, 'Model output'!Z:Z=A4)),1)),ISNUMBER(SEARCH("recurrent laryngeal nerve",_xlfn.TEXTJOIN("; ", TRUE, _xlfn._xlws.FILTER('Model output'!H:H, 'Model output'!Z:Z=A4)),1)),ISNUMBER(SEARCH("RLN",_xlfn.TEXTJOIN("; ", TRUE, _xlfn._xlws.FILTER('Model output'!H:H, 'Model output'!Z:Z=A4)),1)),_xlfn.TEXTJOIN("; ", TRUE, _xlfn._xlws.FILTER('Model output'!H:H, 'Model output'!Z:Z=A4))=""),"negative","positive")</f>
        <v>negative</v>
      </c>
      <c r="L4" s="17">
        <f>IF(IFERROR(INDEX('Model output'!I:I, MATCH(A4, 'Model output'!Z:Z, 0)), "") &lt; M4, "", IFERROR(INDEX('Model output'!I:I, MATCH(A4, 'Model output'!Z:Z, 0)), ""))</f>
        <v>9</v>
      </c>
      <c r="M4" s="28">
        <f>IFERROR(INDEX('Model output'!J:J, MATCH(A4, 'Model output'!Z:Z, 0)), "")</f>
        <v>1</v>
      </c>
      <c r="N4" s="47" t="str" cm="1">
        <f t="array" ref="N4">ReplaceTo(ReplaceAnd(SUBSTITUTE(SUBSTITUTE(_xlfn.TEXTJOIN("; ", TRUE, _xlfn._xlws.FILTER('Model output'!K:K, 'Model output'!Z:Z=A4)), " ", ""), ",", ";")))</f>
        <v/>
      </c>
      <c r="O4" s="45" t="str" cm="1">
        <f t="array" ref="O4">IF(LEFT(IF(RIGHT(SUBSTITUTE(FilterWithUnits(N4)&amp;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";")),1)=";",RIGHT(IF(RIGHT(SUBSTITUTE(FilterWithUnits(N4)&amp;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";")),LEN(IF(RIGHT(SUBSTITUTE(FilterWithUnits(N4)&amp;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";")))-1),IF(RIGHT(SUBSTITUTE(FilterWithUnits(N4)&amp; ";" &amp;FilterStringsWithNumericAnd(N4) &amp; ";" &amp; FilterStringsWithX(N4), ";;", ";"),1)=";",LEFT(SUBSTITUTE(FilterWithUnits(N4)&amp; ";" &amp;FilterStringsWithNumericAnd(N4) &amp; ";" &amp; FilterStringsWithX(N4), ";;", ";"),LEN(SUBSTITUTE(FilterWithUnits(N4)&amp; ";" &amp;FilterStringsWithNumericAnd(N4) &amp; ";" &amp; FilterStringsWithX(N4), ";;", ";"))-1),SUBSTITUTE(FilterWithUnits(N4)&amp; ";" &amp;FilterStringsWithNumericAnd(N4) &amp; ";" &amp; FilterStringsWithX(N4), ";;", ";")))</f>
        <v/>
      </c>
      <c r="P4" s="45" t="str" cm="1">
        <f t="array" ref="P4">IF(MaxSize((SplitDimensions(O4)))=0, "", MaxSize((SplitDimensions(O4))))</f>
        <v/>
      </c>
      <c r="Q4" t="str" cm="1">
        <f t="array" ref="Q4">IF(ISERROR(INDEX(_xlfn._xlws.FILTER('Model output'!L:L, ('Model output'!Z:Z=A4)*('Model output'!L:L&lt;&gt;"")), 1)), " ", LOWER(INDEX(_xlfn._xlws.FILTER('Model output'!L:L, ('Model output'!Z:Z=A4)*('Model output'!L:L&lt;&gt;"")), 1)))</f>
        <v>papillary carcinoma, classic subtype</v>
      </c>
      <c r="R4" s="45" t="str" cm="1">
        <f t="array" ref="R4">IF(ISERROR(INDEX(_xlfn._xlws.FILTER('Model output'!M:M, ('Model output'!Z:Z=A4)*('Model output'!M:M&lt;&gt;"")), 1)), " ", LOWER(INDEX(_xlfn._xlws.FILTER('Model output'!M:M, ('Model output'!Z:Z=A4)*('Model output'!M:M&lt;&gt;"")), 1)))</f>
        <v xml:space="preserve"> </v>
      </c>
      <c r="S4" s="45" t="str" cm="1">
        <f t="array" ref="S4">IF(OR(ISNUMBER(SEARCH("ly",SUBSTITUTE(INDEX(_xlfn._xlws.FILTER('Model output'!N:N,('Model output'!Z:Z=A4)*('Model output'!N:N&lt;&gt;"")),1)," ",""),1)), ISNUMBER(SEARCH("pole",SUBSTITUTE(INDEX(_xlfn._xlws.FILTER('Model output'!N:N,('Model output'!Z:Z=A4)*('Model output'!N:N&lt;&gt;"")),1)," ",""),1))),"",SUBSTITUTE(INDEX(_xlfn._xlws.FILTER('Model output'!N:N,('Model output'!Z:Z=A4)*('Model output'!N:N&lt;&gt;"")),1)," ",""))</f>
        <v>30mm</v>
      </c>
      <c r="T4" s="45" t="str" cm="1">
        <f t="array" ref="T4">IF(LEFT(IF(RIGHT(SUBSTITUTE(FilterWithUnits(S4)&amp;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";")),1)=";",RIGHT(IF(RIGHT(SUBSTITUTE(FilterWithUnits(S4)&amp;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";")),LEN(IF(RIGHT(SUBSTITUTE(FilterWithUnits(S4)&amp;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";")))-1),IF(RIGHT(SUBSTITUTE(FilterWithUnits(S4)&amp; ";" &amp;FilterStringsWithNumericAnd(S4) &amp; ";" &amp; FilterStringsWithX(S4), ";;", ";"),1)=";",LEFT(SUBSTITUTE(FilterWithUnits(S4)&amp; ";" &amp;FilterStringsWithNumericAnd(S4) &amp; ";" &amp; FilterStringsWithX(S4), ";;", ";"),LEN(SUBSTITUTE(FilterWithUnits(S4)&amp; ";" &amp;FilterStringsWithNumericAnd(S4) &amp; ";" &amp; FilterStringsWithX(S4), ";;", ";"))-1),SUBSTITUTE(FilterWithUnits(S4)&amp; ";" &amp;FilterStringsWithNumericAnd(S4) &amp; ";" &amp; FilterStringsWithX(S4), ";;", ";")))</f>
        <v>30mm</v>
      </c>
      <c r="U4" s="45" cm="1">
        <f t="array" ref="U4">IF(MaxSize((SplitDimensions(T4)))=0, "", MaxSize((SplitDimensions(T4))))</f>
        <v>3</v>
      </c>
      <c r="V4" s="17" t="str" cm="1">
        <f t="array" ref="V4">IF(ISERROR(INDEX(_xlfn._xlws.FILTER('Model output'!P:P,('Model output'!Z:Z=A4)*('Model output'!P:P&lt;&gt;"")),1)),"negative",IF(OR(ISNUMBER(SEARCH("foc",INDEX(_xlfn._xlws.FILTER('Model output'!P:P,('Model output'!Z:Z=A4)*('Model output'!P:P&lt;&gt;"")),1),1)),ISNUMBER(SEARCH("extensive",INDEX(_xlfn._xlws.FILTER('Model output'!P:P,('Model output'!Z:Z=A4)*('Model output'!P:P&lt;&gt;"")),1),1)),ISNUMBER(SEARCH("present",INDEX(_xlfn._xlws.FILTER('Model output'!P:P,('Model output'!Z:Z=A4)*('Model output'!P:P&lt;&gt;"")),1),1)),ISNUMBER(SEARCH("yes",INDEX(_xlfn._xlws.FILTER('Model output'!P:P,('Model output'!Z:Z=A4)*('Model output'!P:P&lt;&gt;"")),1),1))),"positive","negative"))</f>
        <v>negative</v>
      </c>
      <c r="X4" t="str" cm="1">
        <f t="array" ref="X4">IF(ISNUMBER(SEARCH("4",INDEX(_xlfn._xlws.FILTER('Model output'!P:P,('Model output'!Z:Z=A4)*('Model output'!P:P&lt;&gt;"")),1),1)),INDEX(_xlfn._xlws.FILTER('Model output'!P:P,('Model output'!Z:Z=A4)*('Model output'!P:P&lt;&gt;"")),1),"") &amp; _xlfn.TEXTJOIN("",TRUE,_xlfn._xlws.FILTER('Model output'!Q:Q,'Model output'!Z:Z=A4))</f>
        <v/>
      </c>
      <c r="Y4" t="str">
        <f t="shared" ref="Y4:Y37" si="10">IF(V4="negative","no",IF(OR(ISNUMBER(SEARCH("&gt; 4",X4,1)),ISNUMBER(SEARCH("&gt;4",X4,1)),ISNUMBER(SEARCH("4 or more",X4,1)),ISNUMBER(SEARCH("extensive",X4,1))),"extensive","minimal"))</f>
        <v>no</v>
      </c>
      <c r="Z4" t="str" cm="1">
        <f t="array" ref="Z4">IF(OR(ISNUMBER(SEARCH("focal",_xlfn.TEXTJOIN("; ",TRUE,_xlfn._xlws.FILTER('Model output'!R:R,'Model output'!Z:Z=A4)),1)),ISNUMBER(SEARCH("present",_xlfn.TEXTJOIN("; ",TRUE,_xlfn._xlws.FILTER('Model output'!R:R,'Model output'!Z:Z=A4)),1))),"positive",IF(_xlfn.TEXTJOIN("; ",TRUE,_xlfn._xlws.FILTER('Model output'!R:R,'Model output'!Z:Z=A4))="","negative",IF(OR(ISNUMBER(SEARCH("no",_xlfn.TEXTJOIN("; ",TRUE,_xlfn._xlws.FILTER('Model output'!R:R,'Model output'!Z:Z=A4)),1)),ISNUMBER(SEARCH("absent",_xlfn.TEXTJOIN("; ",TRUE,_xlfn._xlws.FILTER('Model output'!R:R,'Model output'!Z:Z=A4)),1))),"negative","positive")))</f>
        <v>positive</v>
      </c>
      <c r="AA4" s="17" t="str">
        <f t="shared" ref="AA4:AA37" si="11">IF(OR(ISNUMBER(SEARCH("soft tissue", AF4)), ISNUMBER(SEARCH("adipose tissue", AF4)),ISNUMBER(SEARCH("muscles", AF4)), ISNUMBER(SEARCH("microscopic", AF4)), ISNUMBER(SEARCH("minimal", AF4)), ISNUMBER(SEARCH("surrounding fat", AF4)), ISNUMBER(SEARCH("present", AF4)), ISNUMBER(SEARCH("yes", AF4))), "positive", "negative")</f>
        <v>negative</v>
      </c>
      <c r="AE4" s="17" t="str">
        <f t="shared" ref="AE4:AE37" si="12">IF(OR(ISNUMBER(SEARCH("subcutaneous soft tissues", AF4)),ISNUMBER(SEARCH("strap muscle", AF4)), ISNUMBER(SEARCH("larynx", AF4)),ISNUMBER(SEARCH("trachea", AF4)),ISNUMBER(SEARCH("esophagus", AF4)), ISNUMBER(SEARCH("recurrent laryngeal nerve", AF4)), ISNUMBER(SEARCH("RLN", AF4))), "positive", "negative")</f>
        <v>negative</v>
      </c>
      <c r="AF4" t="str" cm="1">
        <f t="array" ref="AF4">_xlfn.TEXTJOIN("; ",TRUE,_xlfn._xlws.FILTER('Model output'!S:S,'Model output'!Z:Z=A4))</f>
        <v>Not identified</v>
      </c>
      <c r="AG4" s="17" t="str" cm="1">
        <f t="array" ref="AG4">IF(OR(ISNUMBER(SEARCH("uninvolved",_xlfn.TEXTJOIN("; ",TRUE,_xlfn._xlws.FILTER('Model output'!V:V,'Model output'!Z:Z=A4)),1)),ISNUMBER(SEARCH("clear",_xlfn.TEXTJOIN("; ",TRUE,_xlfn._xlws.FILTER('Model output'!V:V,'Model output'!Z:Z=A4)),1))*ISNUMBER(SEARCH("not mentioned",_xlfn.TEXTJOIN("; ",TRUE,_xlfn._xlws.FILTER('Model output'!V:V,'Model output'!Z:Z=A4)),1))),"negative",IF(ISNUMBER(SEARCH("cannot be assessed",_xlfn.TEXTJOIN("; ",TRUE,_xlfn._xlws.FILTER('Model output'!V:V,'Model output'!Z:Z=A4)),1)),"unknown","negative"))</f>
        <v>negative</v>
      </c>
      <c r="AI4" s="40" t="str">
        <f>IF(OR(ISNUMBER(SEARCH("non-invasive follicular",Q4,1)),ISNUMBER(SEARCH("non-invasive follicular",R4,1))),"NIFTP", IF(OR(K4="positive",AE4="positive",AND(OR(ISNUMBER(SEARCH("follicular", Q4)),ISNUMBER(SEARCH("FTC", Q4))),Y4="extensive"),AND(I4="positive",ISNUMBER(P4),P4&gt;3),AL4=1),"high",IF(OR(ISNUMBER(SEARCH("positive",AA4,1)),ISNUMBER(SEARCH("tall",R4,1)),ISNUMBER(SEARCH("hobnail",R4,1)),ISNUMBER(SEARCH("cribriform",R4,1)),ISNUMBER(SEARCH("diffuse",R4,1)),ISNUMBER(SEARCH("columnar",R4,1)),ISNUMBER(SEARCH("solid",R4,1)),ISNUMBER(SEARCH("tall",Q4,1)),ISNUMBER(SEARCH("hobnail",Q4,1)),ISNUMBER(SEARCH("cribriform",Q4,1)),ISNUMBER(SEARCH("diffuse",Q4,1)),ISNUMBER(SEARCH("columnar",Q4,1)),ISNUMBER(SEARCH("solid",Q4,1)),AND(OR(ISNUMBER(SEARCH("papillary carcinoma",Q4,1)),ISNUMBER(SEARCH("papillary microcarcinoma",Q4,1))),V4="positive"),,AND(AND(ISNUMBER(M4),M4&gt;=5),P4=""),AND(AND(ISNUMBER(M4),M4&gt;=5),AND(ISNUMBER(P4),P4&gt;=1)),J4="lateral"),"intermediate","low")))</f>
        <v>low</v>
      </c>
      <c r="AJ4" s="28" t="str">
        <f t="shared" si="1"/>
        <v>2</v>
      </c>
      <c r="AK4" s="28" t="str">
        <f t="shared" si="2"/>
        <v>1a</v>
      </c>
      <c r="AL4" s="28">
        <f t="shared" si="3"/>
        <v>0</v>
      </c>
      <c r="AM4" s="28" t="str">
        <f t="shared" si="4"/>
        <v>I</v>
      </c>
      <c r="AN4" s="37" t="s">
        <v>171</v>
      </c>
      <c r="AO4" s="38" t="s">
        <v>435</v>
      </c>
      <c r="AP4" s="38" t="s">
        <v>215</v>
      </c>
      <c r="AQ4" s="38">
        <v>0</v>
      </c>
      <c r="AR4" s="38" t="s">
        <v>31</v>
      </c>
      <c r="AS4" s="37">
        <f t="shared" si="5"/>
        <v>1</v>
      </c>
      <c r="AT4" s="38">
        <f t="shared" si="6"/>
        <v>1</v>
      </c>
      <c r="AU4" s="38">
        <f t="shared" si="7"/>
        <v>0</v>
      </c>
      <c r="AV4" s="38">
        <f t="shared" si="8"/>
        <v>1</v>
      </c>
      <c r="AW4" s="39">
        <f t="shared" si="9"/>
        <v>1</v>
      </c>
    </row>
    <row r="5" spans="1:49">
      <c r="A5" s="13">
        <v>3</v>
      </c>
      <c r="B5" s="16">
        <f>_xlfn.MAXIFS('Model output'!B:B,'Model output'!Z:Z,'Classification result'!$A5)</f>
        <v>0</v>
      </c>
      <c r="C5" s="16"/>
      <c r="D5" s="16"/>
      <c r="E5" s="17">
        <f>_xlfn.MAXIFS('Model output'!C:C,'Model output'!Z:Z,'Classification result'!$A5)</f>
        <v>52</v>
      </c>
      <c r="F5" s="17" t="str" cm="1">
        <f t="array" ref="F5">LEFT(IF(ISERROR(RIGHT(IF(INDEX(_xlfn._xlws.FILTER('Model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output'!Z:Z=A5)),1),""),1))),"",(RIGHT(IF(INDEX(_xlfn._xlws.FILTER('Model output'!D:D,('Model output'!Z:Z=A5)),1)&lt;&gt;"",INDEX(_xlfn._xlws.FILTER('Model output'!D:D,('Model output'!Z:Z=A5)),1),""),LEN(IF(INDEX(_xlfn._xlws.FILTER('Model output'!D:D,('Model output'!Z:Z=A5)),1)&lt;&gt;"",INDEX(_xlfn._xlws.FILTER('Model output'!D:D,('Model output'!Z:Z=A5)),1),""))-FIND("T",IF(INDEX(_xlfn._xlws.FILTER('Model output'!D:D,('Model output'!Z:Z=A5)),1)&lt;&gt;"",INDEX(_xlfn._xlws.FILTER('Model output'!D:D,('Model output'!Z:Z=A5)),1)))))),2)</f>
        <v>1a</v>
      </c>
      <c r="G5" s="17" t="str" cm="1">
        <f t="array" ref="G5">IF(ISNUMBER(SEARCH("N",IF(ISNUMBER(SEARCH("present",IF(INDEX(_xlfn._xlws.FILTER('Model output'!E:E,('Model output'!Z:Z=A5)),1)="","",INDEX(_xlfn._xlws.FILTER('Model output'!E:E,('Model output'!Z:Z=A5)),1)),1)),"N1", IF(INDEX(_xlfn._xlws.FILTER('Model output'!E:E,('Model output'!Z:Z=A5)),1)="","",INDEX(_xlfn._xlws.FILTER('Model output'!E:E,('Model output'!Z:Z=A5)),1))),1)),RIGHT(IF(ISNUMBER(SEARCH("present",IF(INDEX(_xlfn._xlws.FILTER('Model output'!E:E,('Model output'!Z:Z=A5)),1)="","",INDEX(_xlfn._xlws.FILTER('Model output'!E:E,('Model output'!Z:Z=A5)),1)),1)),"N1", IF(INDEX(_xlfn._xlws.FILTER('Model output'!E:E,('Model output'!Z:Z=A5)),1)="","",INDEX(_xlfn._xlws.FILTER('Model output'!E:E,('Model output'!Z:Z=A5)),1))),LEN(IF(ISNUMBER(SEARCH("present",IF(INDEX(_xlfn._xlws.FILTER('Model output'!E:E,('Model output'!Z:Z=A5)),1)="","",INDEX(_xlfn._xlws.FILTER('Model output'!E:E,('Model output'!Z:Z=A5)),1)),1)),"N1", IF(INDEX(_xlfn._xlws.FILTER('Model output'!E:E,('Model output'!Z:Z=A5)),1)="","",INDEX(_xlfn._xlws.FILTER('Model output'!E:E,('Model output'!Z:Z=A5)),1))))-FIND("N",IF(ISNUMBER(SEARCH("present",IF(INDEX(_xlfn._xlws.FILTER('Model output'!E:E,('Model output'!Z:Z=A5)),1)="","",INDEX(_xlfn._xlws.FILTER('Model output'!E:E,('Model output'!Z:Z=A5)),1)),1)),"N1", IF(INDEX(_xlfn._xlws.FILTER('Model output'!E:E,('Model output'!Z:Z=A5)),1)="","",INDEX(_xlfn._xlws.FILTER('Model output'!E:E,('Model output'!Z:Z=A5)),1))),1)), "")</f>
        <v>1a</v>
      </c>
      <c r="H5" s="17" cm="1">
        <f t="array" ref="H5">IF(AND(SUBSTITUTE(_xlfn.TEXTJOIN("/", TRUE, _xlfn._xlws.FILTER('Model output'!F:F, 'Model output'!Z:Z=A5)),"M", "")="", K5="negative"),0,IF(K5="positive",1,0))</f>
        <v>0</v>
      </c>
      <c r="I5" t="str">
        <f t="shared" si="0"/>
        <v>positive</v>
      </c>
      <c r="J5" t="str" cm="1">
        <f t="array" ref="J5">IF(AND(M5&gt;0, _xlfn.TEXTJOIN("; ", TRUE, _xlfn._xlws.FILTER('Model output'!G:G, 'Model output'!Z:Z=A5)) &lt;&gt;"", OR(AND(ISNUMBER(SEARCH("level", _xlfn.TEXTJOIN("; ", TRUE, _xlfn._xlws.FILTER('Model output'!G:G, 'Model output'!Z:Z=A5)),1)),OR(ISNUMBER(SEARCH(" II", _xlfn.TEXTJOIN("; ", TRUE, _xlfn._xlws.FILTER('Model output'!G:G, 'Model output'!Z:Z=A5)),1)),ISNUMBER(SEARCH("2", _xlfn.TEXTJOIN("; ", TRUE, _xlfn._xlws.FILTER('Model output'!G:G, 'Model output'!Z:Z=A5)),1)),ISNUMBER(SEARCH("two", _xlfn.TEXTJOIN("; ", TRUE, _xlfn._xlws.FILTER('Model output'!G:G, 'Model output'!Z:Z=A5)),1)),ISNUMBER(SEARCH("III", _xlfn.TEXTJOIN("; ", TRUE, _xlfn._xlws.FILTER('Model output'!G:G, 'Model output'!Z:Z=A5)),1)),ISNUMBER(SEARCH("3", _xlfn.TEXTJOIN("; ", TRUE, _xlfn._xlws.FILTER('Model output'!G:G, 'Model output'!Z:Z=A5)),1)),ISNUMBER(SEARCH("three", _xlfn.TEXTJOIN("; ", TRUE, _xlfn._xlws.FILTER('Model output'!G:G, 'Model output'!Z:Z=A5)),1)),ISNUMBER(SEARCH("IV", _xlfn.TEXTJOIN("; ", TRUE, _xlfn._xlws.FILTER('Model output'!G:G, 'Model output'!Z:Z=A5)),1)),ISNUMBER(SEARCH("4", _xlfn.TEXTJOIN("; ", TRUE, _xlfn._xlws.FILTER('Model output'!G:G, 'Model output'!Z:Z=A5)),1)),ISNUMBER(SEARCH("five", _xlfn.TEXTJOIN("; ", TRUE, _xlfn._xlws.FILTER('Model output'!G:G, 'Model output'!Z:Z=A5)),1)),ISNUMBER(SEARCH("V ", _xlfn.TEXTJOIN("; ", TRUE, _xlfn._xlws.FILTER('Model output'!G:G, 'Model output'!Z:Z=A5)),1)),ISNUMBER(SEARCH("5", _xlfn.TEXTJOIN("; ", TRUE, _xlfn._xlws.FILTER('Model output'!G:G, 'Model output'!Z:Z=A5)),1)),ISNUMBER(SEARCH("five", _xlfn.TEXTJOIN("; ", TRUE, _xlfn._xlws.FILTER('Model output'!G:G, 'Model output'!Z:Z=A5)),1)),ISNUMBER(SEARCH(" lateral", _xlfn.TEXTJOIN("; ", TRUE, _xlfn._xlws.FILTER('Model output'!G:G, 'Model output'!Z:Z=A5)),1)))),ISNUMBER(SEARCH("cervical", _xlfn.TEXTJOIN("; ", TRUE, _xlfn._xlws.FILTER('Model output'!G:G, 'Model output'!Z:Z=A5)),1)),ISNUMBER(SEARCH("jugular", _xlfn.TEXTJOIN("; ", TRUE, _xlfn._xlws.FILTER('Model output'!G:G, 'Model output'!Z:Z=A5)),1)),ISNUMBER(SEARCH("left neck", _xlfn.TEXTJOIN("; ", TRUE, _xlfn._xlws.FILTER('Model output'!G:G, 'Model output'!Z:Z=A5)),1)),ISNUMBER(SEARCH("left anterior neck", _xlfn.TEXTJOIN("; ", TRUE, _xlfn._xlws.FILTER('Model output'!G:G, 'Model output'!Z:Z=A5)),1)),ISNUMBER(SEARCH("left posterior neck", _xlfn.TEXTJOIN("; ", TRUE, _xlfn._xlws.FILTER('Model output'!G:G, 'Model output'!Z:Z=A5)),1)),ISNUMBER(SEARCH("right neck", _xlfn.TEXTJOIN("; ", TRUE, _xlfn._xlws.FILTER('Model output'!G:G, 'Model output'!Z:Z=A5)),1)),ISNUMBER(SEARCH("right anterior neck", _xlfn.TEXTJOIN("; ", TRUE, _xlfn._xlws.FILTER('Model output'!G:G, 'Model output'!Z:Z=A5)),1)),ISNUMBER(SEARCH("right posterior neck", _xlfn.TEXTJOIN("; ", TRUE, _xlfn._xlws.FILTER('Model output'!G:G, 'Model output'!Z:Z=A5)),1)))),"lateral",IF(AND(M5=0, _xlfn.TEXTJOIN("; ", TRUE, _xlfn._xlws.FILTER('Model output'!G:G, 'Model output'!Z:Z=A5))=""),"", "central"))</f>
        <v>central</v>
      </c>
      <c r="K5" s="17" t="str" cm="1">
        <f t="array" ref="K5">IF(OR(ISNUMBER(SEARCH("lymph",_xlfn.TEXTJOIN("; ", TRUE, _xlfn._xlws.FILTER('Model output'!H:H, 'Model output'!Z:Z=A5)),1)), ISNUMBER(SEARCH("Not mentioned",_xlfn.TEXTJOIN("; ", TRUE, _xlfn._xlws.FILTER('Model output'!H:H, 'Model output'!Z:Z=A5)),1)),ISNUMBER(SEARCH("subcutaneous soft tissues",_xlfn.TEXTJOIN("; ", TRUE, _xlfn._xlws.FILTER('Model output'!H:H, 'Model output'!Z:Z=A5)),1)),ISNUMBER(SEARCH("larynx",_xlfn.TEXTJOIN("; ", TRUE, _xlfn._xlws.FILTER('Model output'!H:H, 'Model output'!Z:Z=A5)),1)),ISNUMBER(SEARCH("trachea",_xlfn.TEXTJOIN("; ", TRUE, _xlfn._xlws.FILTER('Model output'!H:H, 'Model output'!Z:Z=A5)),1)),ISNUMBER(SEARCH("esophagus",_xlfn.TEXTJOIN("; ", TRUE, _xlfn._xlws.FILTER('Model output'!H:H, 'Model output'!Z:Z=A5)),1)),ISNUMBER(SEARCH("recurrent laryngeal nerve",_xlfn.TEXTJOIN("; ", TRUE, _xlfn._xlws.FILTER('Model output'!H:H, 'Model output'!Z:Z=A5)),1)),ISNUMBER(SEARCH("RLN",_xlfn.TEXTJOIN("; ", TRUE, _xlfn._xlws.FILTER('Model output'!H:H, 'Model output'!Z:Z=A5)),1)),_xlfn.TEXTJOIN("; ", TRUE, _xlfn._xlws.FILTER('Model output'!H:H, 'Model output'!Z:Z=A5))=""),"negative","positive")</f>
        <v>negative</v>
      </c>
      <c r="L5" s="17">
        <f>IF(IFERROR(INDEX('Model output'!I:I, MATCH(A5, 'Model output'!Z:Z, 0)), "") &lt; M5, "", IFERROR(INDEX('Model output'!I:I, MATCH(A5, 'Model output'!Z:Z, 0)), ""))</f>
        <v>5</v>
      </c>
      <c r="M5" s="28">
        <f>IFERROR(INDEX('Model output'!J:J, MATCH(A5, 'Model output'!Z:Z, 0)), "")</f>
        <v>1</v>
      </c>
      <c r="N5" s="47" t="str" cm="1">
        <f t="array" ref="N5">ReplaceTo(ReplaceAnd(SUBSTITUTE(SUBSTITUTE(_xlfn.TEXTJOIN("; ", TRUE, _xlfn._xlws.FILTER('Model output'!K:K, 'Model output'!Z:Z=A5)), " ", ""), ",", ";")))</f>
        <v>1mm</v>
      </c>
      <c r="O5" s="45" t="str" cm="1">
        <f t="array" ref="O5">IF(LEFT(IF(RIGHT(SUBSTITUTE(FilterWithUnits(N5)&amp;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";")),1)=";",RIGHT(IF(RIGHT(SUBSTITUTE(FilterWithUnits(N5)&amp;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";")),LEN(IF(RIGHT(SUBSTITUTE(FilterWithUnits(N5)&amp;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";")))-1),IF(RIGHT(SUBSTITUTE(FilterWithUnits(N5)&amp; ";" &amp;FilterStringsWithNumericAnd(N5) &amp; ";" &amp; FilterStringsWithX(N5), ";;", ";"),1)=";",LEFT(SUBSTITUTE(FilterWithUnits(N5)&amp; ";" &amp;FilterStringsWithNumericAnd(N5) &amp; ";" &amp; FilterStringsWithX(N5), ";;", ";"),LEN(SUBSTITUTE(FilterWithUnits(N5)&amp; ";" &amp;FilterStringsWithNumericAnd(N5) &amp; ";" &amp; FilterStringsWithX(N5), ";;", ";"))-1),SUBSTITUTE(FilterWithUnits(N5)&amp; ";" &amp;FilterStringsWithNumericAnd(N5) &amp; ";" &amp; FilterStringsWithX(N5), ";;", ";")))</f>
        <v>1mm</v>
      </c>
      <c r="P5" s="45" cm="1">
        <f t="array" ref="P5">IF(MaxSize((SplitDimensions(O5)))=0, "", MaxSize((SplitDimensions(O5))))</f>
        <v>0.1</v>
      </c>
      <c r="Q5" t="str" cm="1">
        <f t="array" ref="Q5">IF(ISERROR(INDEX(_xlfn._xlws.FILTER('Model output'!L:L, ('Model output'!Z:Z=A5)*('Model output'!L:L&lt;&gt;"")), 1)), " ", LOWER(INDEX(_xlfn._xlws.FILTER('Model output'!L:L, ('Model output'!Z:Z=A5)*('Model output'!L:L&lt;&gt;"")), 1)))</f>
        <v>papillary carcinoma</v>
      </c>
      <c r="R5" s="45" t="str" cm="1">
        <f t="array" ref="R5">IF(ISERROR(INDEX(_xlfn._xlws.FILTER('Model output'!M:M, ('Model output'!Z:Z=A5)*('Model output'!M:M&lt;&gt;"")), 1)), " ", LOWER(INDEX(_xlfn._xlws.FILTER('Model output'!M:M, ('Model output'!Z:Z=A5)*('Model output'!M:M&lt;&gt;"")), 1)))</f>
        <v>infiltrative follicular subtype</v>
      </c>
      <c r="S5" s="45" t="str" cm="1">
        <f t="array" ref="S5">IF(OR(ISNUMBER(SEARCH("ly",SUBSTITUTE(INDEX(_xlfn._xlws.FILTER('Model output'!N:N,('Model output'!Z:Z=A5)*('Model output'!N:N&lt;&gt;"")),1)," ",""),1)), ISNUMBER(SEARCH("pole",SUBSTITUTE(INDEX(_xlfn._xlws.FILTER('Model output'!N:N,('Model output'!Z:Z=A5)*('Model output'!N:N&lt;&gt;"")),1)," ",""),1))),"",SUBSTITUTE(INDEX(_xlfn._xlws.FILTER('Model output'!N:N,('Model output'!Z:Z=A5)*('Model output'!N:N&lt;&gt;"")),1)," ",""))</f>
        <v>8mm&amp;2mm</v>
      </c>
      <c r="T5" s="45" t="str" cm="1">
        <f t="array" ref="T5">IF(LEFT(IF(RIGHT(SUBSTITUTE(FilterWithUnits(S5)&amp;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";")),1)=";",RIGHT(IF(RIGHT(SUBSTITUTE(FilterWithUnits(S5)&amp;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";")),LEN(IF(RIGHT(SUBSTITUTE(FilterWithUnits(S5)&amp;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";")))-1),IF(RIGHT(SUBSTITUTE(FilterWithUnits(S5)&amp; ";" &amp;FilterStringsWithNumericAnd(S5) &amp; ";" &amp; FilterStringsWithX(S5), ";;", ";"),1)=";",LEFT(SUBSTITUTE(FilterWithUnits(S5)&amp; ";" &amp;FilterStringsWithNumericAnd(S5) &amp; ";" &amp; FilterStringsWithX(S5), ";;", ";"),LEN(SUBSTITUTE(FilterWithUnits(S5)&amp; ";" &amp;FilterStringsWithNumericAnd(S5) &amp; ";" &amp; FilterStringsWithX(S5), ";;", ";"))-1),SUBSTITUTE(FilterWithUnits(S5)&amp; ";" &amp;FilterStringsWithNumericAnd(S5) &amp; ";" &amp; FilterStringsWithX(S5), ";;", ";")))</f>
        <v>8mm</v>
      </c>
      <c r="U5" s="45" cm="1">
        <f t="array" ref="U5">IF(MaxSize((SplitDimensions(T5)))=0, "", MaxSize((SplitDimensions(T5))))</f>
        <v>0.8</v>
      </c>
      <c r="V5" s="17" t="str" cm="1">
        <f t="array" ref="V5">IF(ISERROR(INDEX(_xlfn._xlws.FILTER('Model output'!P:P,('Model output'!Z:Z=A5)*('Model output'!P:P&lt;&gt;"")),1)),"negative",IF(OR(ISNUMBER(SEARCH("foc",INDEX(_xlfn._xlws.FILTER('Model output'!P:P,('Model output'!Z:Z=A5)*('Model output'!P:P&lt;&gt;"")),1),1)),ISNUMBER(SEARCH("extensive",INDEX(_xlfn._xlws.FILTER('Model output'!P:P,('Model output'!Z:Z=A5)*('Model output'!P:P&lt;&gt;"")),1),1)),ISNUMBER(SEARCH("present",INDEX(_xlfn._xlws.FILTER('Model output'!P:P,('Model output'!Z:Z=A5)*('Model output'!P:P&lt;&gt;"")),1),1)),ISNUMBER(SEARCH("yes",INDEX(_xlfn._xlws.FILTER('Model output'!P:P,('Model output'!Z:Z=A5)*('Model output'!P:P&lt;&gt;"")),1),1))),"positive","negative"))</f>
        <v>negative</v>
      </c>
      <c r="X5" t="str" cm="1">
        <f t="array" ref="X5">IF(ISNUMBER(SEARCH("4",INDEX(_xlfn._xlws.FILTER('Model output'!P:P,('Model output'!Z:Z=A5)*('Model output'!P:P&lt;&gt;"")),1),1)),INDEX(_xlfn._xlws.FILTER('Model output'!P:P,('Model output'!Z:Z=A5)*('Model output'!P:P&lt;&gt;"")),1),"") &amp; _xlfn.TEXTJOIN("",TRUE,_xlfn._xlws.FILTER('Model output'!Q:Q,'Model output'!Z:Z=A5))</f>
        <v/>
      </c>
      <c r="Y5" t="str">
        <f t="shared" si="10"/>
        <v>no</v>
      </c>
      <c r="Z5" t="str" cm="1">
        <f t="array" ref="Z5">IF(OR(ISNUMBER(SEARCH("focal",_xlfn.TEXTJOIN("; ",TRUE,_xlfn._xlws.FILTER('Model output'!R:R,'Model output'!Z:Z=A5)),1)),ISNUMBER(SEARCH("present",_xlfn.TEXTJOIN("; ",TRUE,_xlfn._xlws.FILTER('Model output'!R:R,'Model output'!Z:Z=A5)),1))),"positive",IF(_xlfn.TEXTJOIN("; ",TRUE,_xlfn._xlws.FILTER('Model output'!R:R,'Model output'!Z:Z=A5))="","negative",IF(OR(ISNUMBER(SEARCH("no",_xlfn.TEXTJOIN("; ",TRUE,_xlfn._xlws.FILTER('Model output'!R:R,'Model output'!Z:Z=A5)),1)),ISNUMBER(SEARCH("absent",_xlfn.TEXTJOIN("; ",TRUE,_xlfn._xlws.FILTER('Model output'!R:R,'Model output'!Z:Z=A5)),1))),"negative","positive")))</f>
        <v>positive</v>
      </c>
      <c r="AA5" s="17" t="str">
        <f t="shared" si="11"/>
        <v>positive</v>
      </c>
      <c r="AE5" s="17" t="str">
        <f t="shared" si="12"/>
        <v>negative</v>
      </c>
      <c r="AF5" t="str" cm="1">
        <f t="array" ref="AF5">_xlfn.TEXTJOIN("; ",TRUE,_xlfn._xlws.FILTER('Model output'!S:S,'Model output'!Z:Z=A5))</f>
        <v>Yes, microscopic invasive of the surrounding fat at the 2 mm tumor nodule. No gross invasion was detected. No involvement of skeletal muscle bundles is detected.</v>
      </c>
      <c r="AG5" s="17" t="str" cm="1">
        <f t="array" ref="AG5">IF(OR(ISNUMBER(SEARCH("uninvolved",_xlfn.TEXTJOIN("; ",TRUE,_xlfn._xlws.FILTER('Model output'!V:V,'Model output'!Z:Z=A5)),1)),ISNUMBER(SEARCH("clear",_xlfn.TEXTJOIN("; ",TRUE,_xlfn._xlws.FILTER('Model output'!V:V,'Model output'!Z:Z=A5)),1))*ISNUMBER(SEARCH("not mentioned",_xlfn.TEXTJOIN("; ",TRUE,_xlfn._xlws.FILTER('Model output'!V:V,'Model output'!Z:Z=A5)),1))),"negative",IF(ISNUMBER(SEARCH("cannot be assessed",_xlfn.TEXTJOIN("; ",TRUE,_xlfn._xlws.FILTER('Model output'!V:V,'Model output'!Z:Z=A5)),1)),"unknown","negative"))</f>
        <v>negative</v>
      </c>
      <c r="AI5" s="40" t="str">
        <f t="shared" ref="AI5:AI37" si="13">IF(OR(ISNUMBER(SEARCH("non-invasive follicular",Q5,1)),ISNUMBER(SEARCH("non-invasive follicular",R5,1))),"NIFTP", IF(OR(K5="positive",AE5="positive",AND(OR(ISNUMBER(SEARCH("follicular", Q5)),ISNUMBER(SEARCH("FTC", Q5))),Y5="extensive"),AND(I5="positive",ISNUMBER(P5),P5&gt;3),AL5=1),"high",IF(OR(ISNUMBER(SEARCH("positive",AA5,1)),ISNUMBER(SEARCH("tall",R5,1)),ISNUMBER(SEARCH("hobnail",R5,1)),ISNUMBER(SEARCH("cribriform",R5,1)),ISNUMBER(SEARCH("diffuse",R5,1)),ISNUMBER(SEARCH("columnar",R5,1)),ISNUMBER(SEARCH("solid",R5,1)),ISNUMBER(SEARCH("tall",Q5,1)),ISNUMBER(SEARCH("hobnail",Q5,1)),ISNUMBER(SEARCH("cribriform",Q5,1)),ISNUMBER(SEARCH("diffuse",Q5,1)),ISNUMBER(SEARCH("columnar",Q5,1)),ISNUMBER(SEARCH("solid",Q5,1)),AND(OR(ISNUMBER(SEARCH("papillary carcinoma",Q5,1)),ISNUMBER(SEARCH("papillary microcarcinoma",Q5,1))),V5="positive"),,AND(AND(ISNUMBER(M5),M5&gt;=5),P5=""),AND(AND(ISNUMBER(M5),M5&gt;=5),AND(ISNUMBER(P5),P5&gt;=1)),J5="lateral"),"intermediate","low")))</f>
        <v>intermediate</v>
      </c>
      <c r="AJ5" s="28" t="str">
        <f t="shared" si="1"/>
        <v>1a</v>
      </c>
      <c r="AK5" s="28" t="str">
        <f t="shared" si="2"/>
        <v>1a</v>
      </c>
      <c r="AL5" s="28">
        <f t="shared" si="3"/>
        <v>0</v>
      </c>
      <c r="AM5" s="28" t="str">
        <f t="shared" si="4"/>
        <v>I</v>
      </c>
      <c r="AN5" s="37" t="s">
        <v>169</v>
      </c>
      <c r="AO5" s="38" t="s">
        <v>216</v>
      </c>
      <c r="AP5" s="38" t="s">
        <v>216</v>
      </c>
      <c r="AQ5" s="38">
        <v>0</v>
      </c>
      <c r="AR5" s="38" t="s">
        <v>31</v>
      </c>
      <c r="AS5" s="37">
        <f t="shared" si="5"/>
        <v>1</v>
      </c>
      <c r="AT5" s="38">
        <f t="shared" si="6"/>
        <v>1</v>
      </c>
      <c r="AU5" s="38">
        <f t="shared" si="7"/>
        <v>1</v>
      </c>
      <c r="AV5" s="38">
        <f t="shared" si="8"/>
        <v>1</v>
      </c>
      <c r="AW5" s="39">
        <f t="shared" si="9"/>
        <v>1</v>
      </c>
    </row>
    <row r="6" spans="1:49">
      <c r="A6" s="13">
        <v>4</v>
      </c>
      <c r="B6" s="16">
        <f>_xlfn.MAXIFS('Model output'!B:B,'Model output'!Z:Z,'Classification result'!$A6)</f>
        <v>0</v>
      </c>
      <c r="C6" s="16"/>
      <c r="D6" s="16"/>
      <c r="E6" s="17">
        <f>_xlfn.MAXIFS('Model output'!C:C,'Model output'!Z:Z,'Classification result'!$A6)</f>
        <v>61</v>
      </c>
      <c r="F6" s="17" t="str" cm="1">
        <f t="array" ref="F6">LEFT(IF(ISERROR(RIGHT(IF(INDEX(_xlfn._xlws.FILTER('Model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output'!Z:Z=A6)),1),""),1))),"",(RIGHT(IF(INDEX(_xlfn._xlws.FILTER('Model output'!D:D,('Model output'!Z:Z=A6)),1)&lt;&gt;"",INDEX(_xlfn._xlws.FILTER('Model output'!D:D,('Model output'!Z:Z=A6)),1),""),LEN(IF(INDEX(_xlfn._xlws.FILTER('Model output'!D:D,('Model output'!Z:Z=A6)),1)&lt;&gt;"",INDEX(_xlfn._xlws.FILTER('Model output'!D:D,('Model output'!Z:Z=A6)),1),""))-FIND("T",IF(INDEX(_xlfn._xlws.FILTER('Model output'!D:D,('Model output'!Z:Z=A6)),1)&lt;&gt;"",INDEX(_xlfn._xlws.FILTER('Model output'!D:D,('Model output'!Z:Z=A6)),1)))))),2)</f>
        <v xml:space="preserve">1 </v>
      </c>
      <c r="G6" s="17" t="str" cm="1">
        <f t="array" ref="G6">IF(ISNUMBER(SEARCH("N",IF(ISNUMBER(SEARCH("present",IF(INDEX(_xlfn._xlws.FILTER('Model output'!E:E,('Model output'!Z:Z=A6)),1)="","",INDEX(_xlfn._xlws.FILTER('Model output'!E:E,('Model output'!Z:Z=A6)),1)),1)),"N1", IF(INDEX(_xlfn._xlws.FILTER('Model output'!E:E,('Model output'!Z:Z=A6)),1)="","",INDEX(_xlfn._xlws.FILTER('Model output'!E:E,('Model output'!Z:Z=A6)),1))),1)),RIGHT(IF(ISNUMBER(SEARCH("present",IF(INDEX(_xlfn._xlws.FILTER('Model output'!E:E,('Model output'!Z:Z=A6)),1)="","",INDEX(_xlfn._xlws.FILTER('Model output'!E:E,('Model output'!Z:Z=A6)),1)),1)),"N1", IF(INDEX(_xlfn._xlws.FILTER('Model output'!E:E,('Model output'!Z:Z=A6)),1)="","",INDEX(_xlfn._xlws.FILTER('Model output'!E:E,('Model output'!Z:Z=A6)),1))),LEN(IF(ISNUMBER(SEARCH("present",IF(INDEX(_xlfn._xlws.FILTER('Model output'!E:E,('Model output'!Z:Z=A6)),1)="","",INDEX(_xlfn._xlws.FILTER('Model output'!E:E,('Model output'!Z:Z=A6)),1)),1)),"N1", IF(INDEX(_xlfn._xlws.FILTER('Model output'!E:E,('Model output'!Z:Z=A6)),1)="","",INDEX(_xlfn._xlws.FILTER('Model output'!E:E,('Model output'!Z:Z=A6)),1))))-FIND("N",IF(ISNUMBER(SEARCH("present",IF(INDEX(_xlfn._xlws.FILTER('Model output'!E:E,('Model output'!Z:Z=A6)),1)="","",INDEX(_xlfn._xlws.FILTER('Model output'!E:E,('Model output'!Z:Z=A6)),1)),1)),"N1", IF(INDEX(_xlfn._xlws.FILTER('Model output'!E:E,('Model output'!Z:Z=A6)),1)="","",INDEX(_xlfn._xlws.FILTER('Model output'!E:E,('Model output'!Z:Z=A6)),1))),1)), "")</f>
        <v>1a</v>
      </c>
      <c r="H6" s="17" cm="1">
        <f t="array" ref="H6">IF(AND(SUBSTITUTE(_xlfn.TEXTJOIN("/", TRUE, _xlfn._xlws.FILTER('Model output'!F:F, 'Model output'!Z:Z=A6)),"M", "")="", K6="negative"),0,IF(K6="positive",1,0))</f>
        <v>0</v>
      </c>
      <c r="I6" t="str">
        <f t="shared" si="0"/>
        <v>positive</v>
      </c>
      <c r="J6" t="str" cm="1">
        <f t="array" ref="J6">IF(AND(M6&gt;0, _xlfn.TEXTJOIN("; ", TRUE, _xlfn._xlws.FILTER('Model output'!G:G, 'Model output'!Z:Z=A6)) &lt;&gt;"", OR(AND(ISNUMBER(SEARCH("level", _xlfn.TEXTJOIN("; ", TRUE, _xlfn._xlws.FILTER('Model output'!G:G, 'Model output'!Z:Z=A6)),1)),OR(ISNUMBER(SEARCH(" II", _xlfn.TEXTJOIN("; ", TRUE, _xlfn._xlws.FILTER('Model output'!G:G, 'Model output'!Z:Z=A6)),1)),ISNUMBER(SEARCH("2", _xlfn.TEXTJOIN("; ", TRUE, _xlfn._xlws.FILTER('Model output'!G:G, 'Model output'!Z:Z=A6)),1)),ISNUMBER(SEARCH("two", _xlfn.TEXTJOIN("; ", TRUE, _xlfn._xlws.FILTER('Model output'!G:G, 'Model output'!Z:Z=A6)),1)),ISNUMBER(SEARCH("III", _xlfn.TEXTJOIN("; ", TRUE, _xlfn._xlws.FILTER('Model output'!G:G, 'Model output'!Z:Z=A6)),1)),ISNUMBER(SEARCH("3", _xlfn.TEXTJOIN("; ", TRUE, _xlfn._xlws.FILTER('Model output'!G:G, 'Model output'!Z:Z=A6)),1)),ISNUMBER(SEARCH("three", _xlfn.TEXTJOIN("; ", TRUE, _xlfn._xlws.FILTER('Model output'!G:G, 'Model output'!Z:Z=A6)),1)),ISNUMBER(SEARCH("IV", _xlfn.TEXTJOIN("; ", TRUE, _xlfn._xlws.FILTER('Model output'!G:G, 'Model output'!Z:Z=A6)),1)),ISNUMBER(SEARCH("4", _xlfn.TEXTJOIN("; ", TRUE, _xlfn._xlws.FILTER('Model output'!G:G, 'Model output'!Z:Z=A6)),1)),ISNUMBER(SEARCH("five", _xlfn.TEXTJOIN("; ", TRUE, _xlfn._xlws.FILTER('Model output'!G:G, 'Model output'!Z:Z=A6)),1)),ISNUMBER(SEARCH("V ", _xlfn.TEXTJOIN("; ", TRUE, _xlfn._xlws.FILTER('Model output'!G:G, 'Model output'!Z:Z=A6)),1)),ISNUMBER(SEARCH("5", _xlfn.TEXTJOIN("; ", TRUE, _xlfn._xlws.FILTER('Model output'!G:G, 'Model output'!Z:Z=A6)),1)),ISNUMBER(SEARCH("five", _xlfn.TEXTJOIN("; ", TRUE, _xlfn._xlws.FILTER('Model output'!G:G, 'Model output'!Z:Z=A6)),1)),ISNUMBER(SEARCH(" lateral", _xlfn.TEXTJOIN("; ", TRUE, _xlfn._xlws.FILTER('Model output'!G:G, 'Model output'!Z:Z=A6)),1)))),ISNUMBER(SEARCH("cervical", _xlfn.TEXTJOIN("; ", TRUE, _xlfn._xlws.FILTER('Model output'!G:G, 'Model output'!Z:Z=A6)),1)),ISNUMBER(SEARCH("jugular", _xlfn.TEXTJOIN("; ", TRUE, _xlfn._xlws.FILTER('Model output'!G:G, 'Model output'!Z:Z=A6)),1)),ISNUMBER(SEARCH("left neck", _xlfn.TEXTJOIN("; ", TRUE, _xlfn._xlws.FILTER('Model output'!G:G, 'Model output'!Z:Z=A6)),1)),ISNUMBER(SEARCH("left anterior neck", _xlfn.TEXTJOIN("; ", TRUE, _xlfn._xlws.FILTER('Model output'!G:G, 'Model output'!Z:Z=A6)),1)),ISNUMBER(SEARCH("left posterior neck", _xlfn.TEXTJOIN("; ", TRUE, _xlfn._xlws.FILTER('Model output'!G:G, 'Model output'!Z:Z=A6)),1)),ISNUMBER(SEARCH("right neck", _xlfn.TEXTJOIN("; ", TRUE, _xlfn._xlws.FILTER('Model output'!G:G, 'Model output'!Z:Z=A6)),1)),ISNUMBER(SEARCH("right anterior neck", _xlfn.TEXTJOIN("; ", TRUE, _xlfn._xlws.FILTER('Model output'!G:G, 'Model output'!Z:Z=A6)),1)),ISNUMBER(SEARCH("right posterior neck", _xlfn.TEXTJOIN("; ", TRUE, _xlfn._xlws.FILTER('Model output'!G:G, 'Model output'!Z:Z=A6)),1)))),"lateral",IF(AND(M6=0, _xlfn.TEXTJOIN("; ", TRUE, _xlfn._xlws.FILTER('Model output'!G:G, 'Model output'!Z:Z=A6))=""),"", "central"))</f>
        <v>central</v>
      </c>
      <c r="K6" s="17" t="str" cm="1">
        <f t="array" ref="K6">IF(OR(ISNUMBER(SEARCH("lymph",_xlfn.TEXTJOIN("; ", TRUE, _xlfn._xlws.FILTER('Model output'!H:H, 'Model output'!Z:Z=A6)),1)), ISNUMBER(SEARCH("Not mentioned",_xlfn.TEXTJOIN("; ", TRUE, _xlfn._xlws.FILTER('Model output'!H:H, 'Model output'!Z:Z=A6)),1)),ISNUMBER(SEARCH("subcutaneous soft tissues",_xlfn.TEXTJOIN("; ", TRUE, _xlfn._xlws.FILTER('Model output'!H:H, 'Model output'!Z:Z=A6)),1)),ISNUMBER(SEARCH("larynx",_xlfn.TEXTJOIN("; ", TRUE, _xlfn._xlws.FILTER('Model output'!H:H, 'Model output'!Z:Z=A6)),1)),ISNUMBER(SEARCH("trachea",_xlfn.TEXTJOIN("; ", TRUE, _xlfn._xlws.FILTER('Model output'!H:H, 'Model output'!Z:Z=A6)),1)),ISNUMBER(SEARCH("esophagus",_xlfn.TEXTJOIN("; ", TRUE, _xlfn._xlws.FILTER('Model output'!H:H, 'Model output'!Z:Z=A6)),1)),ISNUMBER(SEARCH("recurrent laryngeal nerve",_xlfn.TEXTJOIN("; ", TRUE, _xlfn._xlws.FILTER('Model output'!H:H, 'Model output'!Z:Z=A6)),1)),ISNUMBER(SEARCH("RLN",_xlfn.TEXTJOIN("; ", TRUE, _xlfn._xlws.FILTER('Model output'!H:H, 'Model output'!Z:Z=A6)),1)),_xlfn.TEXTJOIN("; ", TRUE, _xlfn._xlws.FILTER('Model output'!H:H, 'Model output'!Z:Z=A6))=""),"negative","positive")</f>
        <v>negative</v>
      </c>
      <c r="L6" s="17">
        <f>IF(IFERROR(INDEX('Model output'!I:I, MATCH(A6, 'Model output'!Z:Z, 0)), "") &lt; M6, "", IFERROR(INDEX('Model output'!I:I, MATCH(A6, 'Model output'!Z:Z, 0)), ""))</f>
        <v>4</v>
      </c>
      <c r="M6" s="28">
        <f>IFERROR(INDEX('Model output'!J:J, MATCH(A6, 'Model output'!Z:Z, 0)), "")</f>
        <v>1</v>
      </c>
      <c r="N6" s="47" t="str" cm="1">
        <f t="array" ref="N6">ReplaceTo(ReplaceAnd(SUBSTITUTE(SUBSTITUTE(_xlfn.TEXTJOIN("; ", TRUE, _xlfn._xlws.FILTER('Model output'!K:K, 'Model output'!Z:Z=A6)), " ", ""), ",", ";")))</f>
        <v>9.5mm;Notmentioned</v>
      </c>
      <c r="O6" s="45" t="str" cm="1">
        <f t="array" ref="O6">IF(LEFT(IF(RIGHT(SUBSTITUTE(FilterWithUnits(N6)&amp;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";")),1)=";",RIGHT(IF(RIGHT(SUBSTITUTE(FilterWithUnits(N6)&amp;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";")),LEN(IF(RIGHT(SUBSTITUTE(FilterWithUnits(N6)&amp;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";")))-1),IF(RIGHT(SUBSTITUTE(FilterWithUnits(N6)&amp; ";" &amp;FilterStringsWithNumericAnd(N6) &amp; ";" &amp; FilterStringsWithX(N6), ";;", ";"),1)=";",LEFT(SUBSTITUTE(FilterWithUnits(N6)&amp; ";" &amp;FilterStringsWithNumericAnd(N6) &amp; ";" &amp; FilterStringsWithX(N6), ";;", ";"),LEN(SUBSTITUTE(FilterWithUnits(N6)&amp; ";" &amp;FilterStringsWithNumericAnd(N6) &amp; ";" &amp; FilterStringsWithX(N6), ";;", ";"))-1),SUBSTITUTE(FilterWithUnits(N6)&amp; ";" &amp;FilterStringsWithNumericAnd(N6) &amp; ";" &amp; FilterStringsWithX(N6), ";;", ";")))</f>
        <v>9.5mm</v>
      </c>
      <c r="P6" s="45" cm="1">
        <f t="array" ref="P6">IF(MaxSize((SplitDimensions(O6)))=0, "", MaxSize((SplitDimensions(O6))))</f>
        <v>0.95</v>
      </c>
      <c r="Q6" t="str" cm="1">
        <f t="array" ref="Q6">IF(ISERROR(INDEX(_xlfn._xlws.FILTER('Model output'!L:L, ('Model output'!Z:Z=A6)*('Model output'!L:L&lt;&gt;"")), 1)), " ", LOWER(INDEX(_xlfn._xlws.FILTER('Model output'!L:L, ('Model output'!Z:Z=A6)*('Model output'!L:L&lt;&gt;"")), 1)))</f>
        <v>papillary carcinoma, classic subtype</v>
      </c>
      <c r="R6" s="45" t="str" cm="1">
        <f t="array" ref="R6">IF(ISERROR(INDEX(_xlfn._xlws.FILTER('Model output'!M:M, ('Model output'!Z:Z=A6)*('Model output'!M:M&lt;&gt;"")), 1)), " ", LOWER(INDEX(_xlfn._xlws.FILTER('Model output'!M:M, ('Model output'!Z:Z=A6)*('Model output'!M:M&lt;&gt;"")), 1)))</f>
        <v xml:space="preserve"> </v>
      </c>
      <c r="S6" s="45" t="str" cm="1">
        <f t="array" ref="S6">IF(OR(ISNUMBER(SEARCH("ly",SUBSTITUTE(INDEX(_xlfn._xlws.FILTER('Model output'!N:N,('Model output'!Z:Z=A6)*('Model output'!N:N&lt;&gt;"")),1)," ",""),1)), ISNUMBER(SEARCH("pole",SUBSTITUTE(INDEX(_xlfn._xlws.FILTER('Model output'!N:N,('Model output'!Z:Z=A6)*('Model output'!N:N&lt;&gt;"")),1)," ",""),1))),"",SUBSTITUTE(INDEX(_xlfn._xlws.FILTER('Model output'!N:N,('Model output'!Z:Z=A6)*('Model output'!N:N&lt;&gt;"")),1)," ",""))</f>
        <v>15mm</v>
      </c>
      <c r="T6" s="45" t="str" cm="1">
        <f t="array" ref="T6">IF(LEFT(IF(RIGHT(SUBSTITUTE(FilterWithUnits(S6)&amp;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";")),1)=";",RIGHT(IF(RIGHT(SUBSTITUTE(FilterWithUnits(S6)&amp;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";")),LEN(IF(RIGHT(SUBSTITUTE(FilterWithUnits(S6)&amp;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";")))-1),IF(RIGHT(SUBSTITUTE(FilterWithUnits(S6)&amp; ";" &amp;FilterStringsWithNumericAnd(S6) &amp; ";" &amp; FilterStringsWithX(S6), ";;", ";"),1)=";",LEFT(SUBSTITUTE(FilterWithUnits(S6)&amp; ";" &amp;FilterStringsWithNumericAnd(S6) &amp; ";" &amp; FilterStringsWithX(S6), ";;", ";"),LEN(SUBSTITUTE(FilterWithUnits(S6)&amp; ";" &amp;FilterStringsWithNumericAnd(S6) &amp; ";" &amp; FilterStringsWithX(S6), ";;", ";"))-1),SUBSTITUTE(FilterWithUnits(S6)&amp; ";" &amp;FilterStringsWithNumericAnd(S6) &amp; ";" &amp; FilterStringsWithX(S6), ";;", ";")))</f>
        <v>15mm</v>
      </c>
      <c r="U6" s="45" cm="1">
        <f t="array" ref="U6">IF(MaxSize((SplitDimensions(T6)))=0, "", MaxSize((SplitDimensions(T6))))</f>
        <v>1.5</v>
      </c>
      <c r="V6" s="17" t="str" cm="1">
        <f t="array" ref="V6">IF(ISERROR(INDEX(_xlfn._xlws.FILTER('Model output'!P:P,('Model output'!Z:Z=A6)*('Model output'!P:P&lt;&gt;"")),1)),"negative",IF(OR(ISNUMBER(SEARCH("foc",INDEX(_xlfn._xlws.FILTER('Model output'!P:P,('Model output'!Z:Z=A6)*('Model output'!P:P&lt;&gt;"")),1),1)),ISNUMBER(SEARCH("extensive",INDEX(_xlfn._xlws.FILTER('Model output'!P:P,('Model output'!Z:Z=A6)*('Model output'!P:P&lt;&gt;"")),1),1)),ISNUMBER(SEARCH("present",INDEX(_xlfn._xlws.FILTER('Model output'!P:P,('Model output'!Z:Z=A6)*('Model output'!P:P&lt;&gt;"")),1),1)),ISNUMBER(SEARCH("yes",INDEX(_xlfn._xlws.FILTER('Model output'!P:P,('Model output'!Z:Z=A6)*('Model output'!P:P&lt;&gt;"")),1),1))),"positive","negative"))</f>
        <v>positive</v>
      </c>
      <c r="X6" t="str" cm="1">
        <f t="array" ref="X6">IF(ISNUMBER(SEARCH("4",INDEX(_xlfn._xlws.FILTER('Model output'!P:P,('Model output'!Z:Z=A6)*('Model output'!P:P&lt;&gt;"")),1),1)),INDEX(_xlfn._xlws.FILTER('Model output'!P:P,('Model output'!Z:Z=A6)*('Model output'!P:P&lt;&gt;"")),1),"") &amp; _xlfn.TEXTJOIN("",TRUE,_xlfn._xlws.FILTER('Model output'!Q:Q,'Model output'!Z:Z=A6))</f>
        <v>Not identified</v>
      </c>
      <c r="Y6" t="str">
        <f t="shared" si="10"/>
        <v>minimal</v>
      </c>
      <c r="Z6" t="str" cm="1">
        <f t="array" ref="Z6">IF(OR(ISNUMBER(SEARCH("focal",_xlfn.TEXTJOIN("; ",TRUE,_xlfn._xlws.FILTER('Model output'!R:R,'Model output'!Z:Z=A6)),1)),ISNUMBER(SEARCH("present",_xlfn.TEXTJOIN("; ",TRUE,_xlfn._xlws.FILTER('Model output'!R:R,'Model output'!Z:Z=A6)),1))),"positive",IF(_xlfn.TEXTJOIN("; ",TRUE,_xlfn._xlws.FILTER('Model output'!R:R,'Model output'!Z:Z=A6))="","negative",IF(OR(ISNUMBER(SEARCH("no",_xlfn.TEXTJOIN("; ",TRUE,_xlfn._xlws.FILTER('Model output'!R:R,'Model output'!Z:Z=A6)),1)),ISNUMBER(SEARCH("absent",_xlfn.TEXTJOIN("; ",TRUE,_xlfn._xlws.FILTER('Model output'!R:R,'Model output'!Z:Z=A6)),1))),"negative","positive")))</f>
        <v>negative</v>
      </c>
      <c r="AA6" s="17" t="str">
        <f t="shared" si="11"/>
        <v>positive</v>
      </c>
      <c r="AE6" s="17" t="str">
        <f t="shared" si="12"/>
        <v>negative</v>
      </c>
      <c r="AF6" t="str" cm="1">
        <f t="array" ref="AF6">_xlfn.TEXTJOIN("; ",TRUE,_xlfn._xlws.FILTER('Model output'!S:S,'Model output'!Z:Z=A6))</f>
        <v>fatty soft tissue at isthmus; Not mentioned</v>
      </c>
      <c r="AG6" s="17" t="str" cm="1">
        <f t="array" ref="AG6">IF(OR(ISNUMBER(SEARCH("uninvolved",_xlfn.TEXTJOIN("; ",TRUE,_xlfn._xlws.FILTER('Model output'!V:V,'Model output'!Z:Z=A6)),1)),ISNUMBER(SEARCH("clear",_xlfn.TEXTJOIN("; ",TRUE,_xlfn._xlws.FILTER('Model output'!V:V,'Model output'!Z:Z=A6)),1))*ISNUMBER(SEARCH("not mentioned",_xlfn.TEXTJOIN("; ",TRUE,_xlfn._xlws.FILTER('Model output'!V:V,'Model output'!Z:Z=A6)),1))),"negative",IF(ISNUMBER(SEARCH("cannot be assessed",_xlfn.TEXTJOIN("; ",TRUE,_xlfn._xlws.FILTER('Model output'!V:V,'Model output'!Z:Z=A6)),1)),"unknown","negative"))</f>
        <v>negative</v>
      </c>
      <c r="AI6" s="40" t="str">
        <f t="shared" si="13"/>
        <v>intermediate</v>
      </c>
      <c r="AJ6" s="28" t="str">
        <f t="shared" ref="AJ6:AJ32" si="14">IF(OR(ISNUMBER(SEARCH("non-invasive follicular",Q6)),ISNUMBER(SEARCH("papillary-like nuclear features",Q6)),ISNUMBER(SEARCH("non-invasive follicular",R6)),ISNUMBER(SEARCH("papillary-like nuclear features",R6))),"NIFTP", IF(OR(F6="4b",AND(AE6="positive",OR(ISNUMBER(SEARCH("prevertebral",AF6)),ISNUMBER(SEARCH("fascia",AF6)),ISNUMBER(SEARCH("carotid artery",AF6)),ISNUMBER(SEARCH("mediastinal",AF6))))),"4b",IF(OR(F6="4a",AND(AE6="positive",OR(ISNUMBER(SEARCH("soft tissue",AF6)),ISNUMBER(SEARCH("larynx",AF6)),ISNUMBER(SEARCH("trachea",AF6)),ISNUMBER(SEARCH("esophagus",AF6)),ISNUMBER(SEARCH("recurrent laryngeal nerve",AF6)),ISNUMBER(SEARCH("RLN",AF6))))),"4a", IF(OR(F6="3b", AE6="positive",ISNUMBER(SEARCH("strap",AF6)),ISNUMBER(SEARCH("sternothyroid",AF6)),ISNUMBER(SEARCH("sternohyoid",AF6)),ISNUMBER(SEARCH("thyrohyoid",AF6)),ISNUMBER(SEARCH("omohyoid",AF6))),"3b",IF(OR(F6="3a", AND(U6&lt;&gt;"",U6&gt;4)),"3a",IF(AND(U6&lt;&gt;"", U6&lt;=4,U6&gt;2),"2",IF(AND(U6&lt;&gt;"",U6&lt;=2,U6&gt;1),"1b",IF(AND(U6&lt;&gt;"",U6&lt;=1),"1a","1a"))))))))</f>
        <v>1b</v>
      </c>
      <c r="AK6" s="28" t="str">
        <f t="shared" si="2"/>
        <v>1a</v>
      </c>
      <c r="AL6" s="28">
        <f t="shared" si="3"/>
        <v>0</v>
      </c>
      <c r="AM6" s="28" t="str">
        <f t="shared" si="4"/>
        <v>II</v>
      </c>
      <c r="AN6" s="37" t="s">
        <v>169</v>
      </c>
      <c r="AO6" s="28" t="s">
        <v>214</v>
      </c>
      <c r="AP6" s="38" t="s">
        <v>216</v>
      </c>
      <c r="AQ6" s="38">
        <v>0</v>
      </c>
      <c r="AR6" s="38" t="s">
        <v>45</v>
      </c>
      <c r="AS6" s="37">
        <f t="shared" si="5"/>
        <v>1</v>
      </c>
      <c r="AT6" s="38">
        <f t="shared" si="6"/>
        <v>1</v>
      </c>
      <c r="AU6" s="38">
        <f t="shared" si="7"/>
        <v>1</v>
      </c>
      <c r="AV6" s="38">
        <f t="shared" si="8"/>
        <v>1</v>
      </c>
      <c r="AW6" s="39">
        <f t="shared" si="9"/>
        <v>1</v>
      </c>
    </row>
    <row r="7" spans="1:49">
      <c r="A7" s="13">
        <v>5</v>
      </c>
      <c r="B7" s="16">
        <f>_xlfn.MAXIFS('Model output'!B:B,'Model output'!Z:Z,'Classification result'!$A7)</f>
        <v>0</v>
      </c>
      <c r="C7" s="16"/>
      <c r="D7" s="16"/>
      <c r="E7" s="17">
        <f>_xlfn.MAXIFS('Model output'!C:C,'Model output'!Z:Z,'Classification result'!$A7)</f>
        <v>34</v>
      </c>
      <c r="F7" s="17" t="str" cm="1">
        <f t="array" ref="F7">LEFT(IF(ISERROR(RIGHT(IF(INDEX(_xlfn._xlws.FILTER('Model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output'!Z:Z=A7)),1),""),1))),"",(RIGHT(IF(INDEX(_xlfn._xlws.FILTER('Model output'!D:D,('Model output'!Z:Z=A7)),1)&lt;&gt;"",INDEX(_xlfn._xlws.FILTER('Model output'!D:D,('Model output'!Z:Z=A7)),1),""),LEN(IF(INDEX(_xlfn._xlws.FILTER('Model output'!D:D,('Model output'!Z:Z=A7)),1)&lt;&gt;"",INDEX(_xlfn._xlws.FILTER('Model output'!D:D,('Model output'!Z:Z=A7)),1),""))-FIND("T",IF(INDEX(_xlfn._xlws.FILTER('Model output'!D:D,('Model output'!Z:Z=A7)),1)&lt;&gt;"",INDEX(_xlfn._xlws.FILTER('Model output'!D:D,('Model output'!Z:Z=A7)),1)))))),2)</f>
        <v>3b</v>
      </c>
      <c r="G7" s="17" t="str" cm="1">
        <f t="array" ref="G7">IF(ISNUMBER(SEARCH("N",IF(ISNUMBER(SEARCH("present",IF(INDEX(_xlfn._xlws.FILTER('Model output'!E:E,('Model output'!Z:Z=A7)),1)="","",INDEX(_xlfn._xlws.FILTER('Model output'!E:E,('Model output'!Z:Z=A7)),1)),1)),"N1", IF(INDEX(_xlfn._xlws.FILTER('Model output'!E:E,('Model output'!Z:Z=A7)),1)="","",INDEX(_xlfn._xlws.FILTER('Model output'!E:E,('Model output'!Z:Z=A7)),1))),1)),RIGHT(IF(ISNUMBER(SEARCH("present",IF(INDEX(_xlfn._xlws.FILTER('Model output'!E:E,('Model output'!Z:Z=A7)),1)="","",INDEX(_xlfn._xlws.FILTER('Model output'!E:E,('Model output'!Z:Z=A7)),1)),1)),"N1", IF(INDEX(_xlfn._xlws.FILTER('Model output'!E:E,('Model output'!Z:Z=A7)),1)="","",INDEX(_xlfn._xlws.FILTER('Model output'!E:E,('Model output'!Z:Z=A7)),1))),LEN(IF(ISNUMBER(SEARCH("present",IF(INDEX(_xlfn._xlws.FILTER('Model output'!E:E,('Model output'!Z:Z=A7)),1)="","",INDEX(_xlfn._xlws.FILTER('Model output'!E:E,('Model output'!Z:Z=A7)),1)),1)),"N1", IF(INDEX(_xlfn._xlws.FILTER('Model output'!E:E,('Model output'!Z:Z=A7)),1)="","",INDEX(_xlfn._xlws.FILTER('Model output'!E:E,('Model output'!Z:Z=A7)),1))))-FIND("N",IF(ISNUMBER(SEARCH("present",IF(INDEX(_xlfn._xlws.FILTER('Model output'!E:E,('Model output'!Z:Z=A7)),1)="","",INDEX(_xlfn._xlws.FILTER('Model output'!E:E,('Model output'!Z:Z=A7)),1)),1)),"N1", IF(INDEX(_xlfn._xlws.FILTER('Model output'!E:E,('Model output'!Z:Z=A7)),1)="","",INDEX(_xlfn._xlws.FILTER('Model output'!E:E,('Model output'!Z:Z=A7)),1))),1)), "")</f>
        <v>1a</v>
      </c>
      <c r="H7" s="17" cm="1">
        <f t="array" ref="H7">IF(AND(SUBSTITUTE(_xlfn.TEXTJOIN("/", TRUE, _xlfn._xlws.FILTER('Model output'!F:F, 'Model output'!Z:Z=A7)),"M", "")="", K7="negative"),0,IF(K7="positive",1,0))</f>
        <v>0</v>
      </c>
      <c r="I7" t="str">
        <f t="shared" si="0"/>
        <v>positive</v>
      </c>
      <c r="J7" t="str" cm="1">
        <f t="array" ref="J7">IF(AND(M7&gt;0, _xlfn.TEXTJOIN("; ", TRUE, _xlfn._xlws.FILTER('Model output'!G:G, 'Model output'!Z:Z=A7)) &lt;&gt;"", OR(AND(ISNUMBER(SEARCH("level", _xlfn.TEXTJOIN("; ", TRUE, _xlfn._xlws.FILTER('Model output'!G:G, 'Model output'!Z:Z=A7)),1)),OR(ISNUMBER(SEARCH(" II", _xlfn.TEXTJOIN("; ", TRUE, _xlfn._xlws.FILTER('Model output'!G:G, 'Model output'!Z:Z=A7)),1)),ISNUMBER(SEARCH("2", _xlfn.TEXTJOIN("; ", TRUE, _xlfn._xlws.FILTER('Model output'!G:G, 'Model output'!Z:Z=A7)),1)),ISNUMBER(SEARCH("two", _xlfn.TEXTJOIN("; ", TRUE, _xlfn._xlws.FILTER('Model output'!G:G, 'Model output'!Z:Z=A7)),1)),ISNUMBER(SEARCH("III", _xlfn.TEXTJOIN("; ", TRUE, _xlfn._xlws.FILTER('Model output'!G:G, 'Model output'!Z:Z=A7)),1)),ISNUMBER(SEARCH("3", _xlfn.TEXTJOIN("; ", TRUE, _xlfn._xlws.FILTER('Model output'!G:G, 'Model output'!Z:Z=A7)),1)),ISNUMBER(SEARCH("three", _xlfn.TEXTJOIN("; ", TRUE, _xlfn._xlws.FILTER('Model output'!G:G, 'Model output'!Z:Z=A7)),1)),ISNUMBER(SEARCH("IV", _xlfn.TEXTJOIN("; ", TRUE, _xlfn._xlws.FILTER('Model output'!G:G, 'Model output'!Z:Z=A7)),1)),ISNUMBER(SEARCH("4", _xlfn.TEXTJOIN("; ", TRUE, _xlfn._xlws.FILTER('Model output'!G:G, 'Model output'!Z:Z=A7)),1)),ISNUMBER(SEARCH("five", _xlfn.TEXTJOIN("; ", TRUE, _xlfn._xlws.FILTER('Model output'!G:G, 'Model output'!Z:Z=A7)),1)),ISNUMBER(SEARCH("V ", _xlfn.TEXTJOIN("; ", TRUE, _xlfn._xlws.FILTER('Model output'!G:G, 'Model output'!Z:Z=A7)),1)),ISNUMBER(SEARCH("5", _xlfn.TEXTJOIN("; ", TRUE, _xlfn._xlws.FILTER('Model output'!G:G, 'Model output'!Z:Z=A7)),1)),ISNUMBER(SEARCH("five", _xlfn.TEXTJOIN("; ", TRUE, _xlfn._xlws.FILTER('Model output'!G:G, 'Model output'!Z:Z=A7)),1)),ISNUMBER(SEARCH(" lateral", _xlfn.TEXTJOIN("; ", TRUE, _xlfn._xlws.FILTER('Model output'!G:G, 'Model output'!Z:Z=A7)),1)))),ISNUMBER(SEARCH("cervical", _xlfn.TEXTJOIN("; ", TRUE, _xlfn._xlws.FILTER('Model output'!G:G, 'Model output'!Z:Z=A7)),1)),ISNUMBER(SEARCH("jugular", _xlfn.TEXTJOIN("; ", TRUE, _xlfn._xlws.FILTER('Model output'!G:G, 'Model output'!Z:Z=A7)),1)),ISNUMBER(SEARCH("left neck", _xlfn.TEXTJOIN("; ", TRUE, _xlfn._xlws.FILTER('Model output'!G:G, 'Model output'!Z:Z=A7)),1)),ISNUMBER(SEARCH("left anterior neck", _xlfn.TEXTJOIN("; ", TRUE, _xlfn._xlws.FILTER('Model output'!G:G, 'Model output'!Z:Z=A7)),1)),ISNUMBER(SEARCH("left posterior neck", _xlfn.TEXTJOIN("; ", TRUE, _xlfn._xlws.FILTER('Model output'!G:G, 'Model output'!Z:Z=A7)),1)),ISNUMBER(SEARCH("right neck", _xlfn.TEXTJOIN("; ", TRUE, _xlfn._xlws.FILTER('Model output'!G:G, 'Model output'!Z:Z=A7)),1)),ISNUMBER(SEARCH("right anterior neck", _xlfn.TEXTJOIN("; ", TRUE, _xlfn._xlws.FILTER('Model output'!G:G, 'Model output'!Z:Z=A7)),1)),ISNUMBER(SEARCH("right posterior neck", _xlfn.TEXTJOIN("; ", TRUE, _xlfn._xlws.FILTER('Model output'!G:G, 'Model output'!Z:Z=A7)),1)))),"lateral",IF(AND(M7=0, _xlfn.TEXTJOIN("; ", TRUE, _xlfn._xlws.FILTER('Model output'!G:G, 'Model output'!Z:Z=A7))=""),"", "central"))</f>
        <v>central</v>
      </c>
      <c r="K7" s="17" t="str" cm="1">
        <f t="array" ref="K7">IF(OR(ISNUMBER(SEARCH("lymph",_xlfn.TEXTJOIN("; ", TRUE, _xlfn._xlws.FILTER('Model output'!H:H, 'Model output'!Z:Z=A7)),1)), ISNUMBER(SEARCH("Not mentioned",_xlfn.TEXTJOIN("; ", TRUE, _xlfn._xlws.FILTER('Model output'!H:H, 'Model output'!Z:Z=A7)),1)),ISNUMBER(SEARCH("subcutaneous soft tissues",_xlfn.TEXTJOIN("; ", TRUE, _xlfn._xlws.FILTER('Model output'!H:H, 'Model output'!Z:Z=A7)),1)),ISNUMBER(SEARCH("larynx",_xlfn.TEXTJOIN("; ", TRUE, _xlfn._xlws.FILTER('Model output'!H:H, 'Model output'!Z:Z=A7)),1)),ISNUMBER(SEARCH("trachea",_xlfn.TEXTJOIN("; ", TRUE, _xlfn._xlws.FILTER('Model output'!H:H, 'Model output'!Z:Z=A7)),1)),ISNUMBER(SEARCH("esophagus",_xlfn.TEXTJOIN("; ", TRUE, _xlfn._xlws.FILTER('Model output'!H:H, 'Model output'!Z:Z=A7)),1)),ISNUMBER(SEARCH("recurrent laryngeal nerve",_xlfn.TEXTJOIN("; ", TRUE, _xlfn._xlws.FILTER('Model output'!H:H, 'Model output'!Z:Z=A7)),1)),ISNUMBER(SEARCH("RLN",_xlfn.TEXTJOIN("; ", TRUE, _xlfn._xlws.FILTER('Model output'!H:H, 'Model output'!Z:Z=A7)),1)),_xlfn.TEXTJOIN("; ", TRUE, _xlfn._xlws.FILTER('Model output'!H:H, 'Model output'!Z:Z=A7))=""),"negative","positive")</f>
        <v>negative</v>
      </c>
      <c r="L7" s="17">
        <f>IF(IFERROR(INDEX('Model output'!I:I, MATCH(A7, 'Model output'!Z:Z, 0)), "") &lt; M7, "", IFERROR(INDEX('Model output'!I:I, MATCH(A7, 'Model output'!Z:Z, 0)), ""))</f>
        <v>5</v>
      </c>
      <c r="M7" s="28">
        <f>IFERROR(INDEX('Model output'!J:J, MATCH(A7, 'Model output'!Z:Z, 0)), "")</f>
        <v>1</v>
      </c>
      <c r="N7" s="47" t="str" cm="1">
        <f t="array" ref="N7">ReplaceTo(ReplaceAnd(SUBSTITUTE(SUBSTITUTE(_xlfn.TEXTJOIN("; ", TRUE, _xlfn._xlws.FILTER('Model output'!K:K, 'Model output'!Z:Z=A7)), " ", ""), ",", ";")))</f>
        <v>0.6mm;Notmentioned</v>
      </c>
      <c r="O7" s="45" t="str" cm="1">
        <f t="array" ref="O7">IF(LEFT(IF(RIGHT(SUBSTITUTE(FilterWithUnits(N7)&amp;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";")),1)=";",RIGHT(IF(RIGHT(SUBSTITUTE(FilterWithUnits(N7)&amp;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";")),LEN(IF(RIGHT(SUBSTITUTE(FilterWithUnits(N7)&amp;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";")))-1),IF(RIGHT(SUBSTITUTE(FilterWithUnits(N7)&amp; ";" &amp;FilterStringsWithNumericAnd(N7) &amp; ";" &amp; FilterStringsWithX(N7), ";;", ";"),1)=";",LEFT(SUBSTITUTE(FilterWithUnits(N7)&amp; ";" &amp;FilterStringsWithNumericAnd(N7) &amp; ";" &amp; FilterStringsWithX(N7), ";;", ";"),LEN(SUBSTITUTE(FilterWithUnits(N7)&amp; ";" &amp;FilterStringsWithNumericAnd(N7) &amp; ";" &amp; FilterStringsWithX(N7), ";;", ";"))-1),SUBSTITUTE(FilterWithUnits(N7)&amp; ";" &amp;FilterStringsWithNumericAnd(N7) &amp; ";" &amp; FilterStringsWithX(N7), ";;", ";")))</f>
        <v>0.6mm</v>
      </c>
      <c r="P7" s="45" cm="1">
        <f t="array" ref="P7">IF(MaxSize((SplitDimensions(O7)))=0, "", MaxSize((SplitDimensions(O7))))</f>
        <v>0.06</v>
      </c>
      <c r="Q7" t="str" cm="1">
        <f t="array" ref="Q7">IF(ISERROR(INDEX(_xlfn._xlws.FILTER('Model output'!L:L, ('Model output'!Z:Z=A7)*('Model output'!L:L&lt;&gt;"")), 1)), " ", LOWER(INDEX(_xlfn._xlws.FILTER('Model output'!L:L, ('Model output'!Z:Z=A7)*('Model output'!L:L&lt;&gt;"")), 1)))</f>
        <v>papillary carcinoma</v>
      </c>
      <c r="R7" s="45" t="str" cm="1">
        <f t="array" ref="R7">IF(ISERROR(INDEX(_xlfn._xlws.FILTER('Model output'!M:M, ('Model output'!Z:Z=A7)*('Model output'!M:M&lt;&gt;"")), 1)), " ", LOWER(INDEX(_xlfn._xlws.FILTER('Model output'!M:M, ('Model output'!Z:Z=A7)*('Model output'!M:M&lt;&gt;"")), 1)))</f>
        <v>oncocytic classic subtype</v>
      </c>
      <c r="S7" s="45" t="str" cm="1">
        <f t="array" ref="S7">IF(OR(ISNUMBER(SEARCH("ly",SUBSTITUTE(INDEX(_xlfn._xlws.FILTER('Model output'!N:N,('Model output'!Z:Z=A7)*('Model output'!N:N&lt;&gt;"")),1)," ",""),1)), ISNUMBER(SEARCH("pole",SUBSTITUTE(INDEX(_xlfn._xlws.FILTER('Model output'!N:N,('Model output'!Z:Z=A7)*('Model output'!N:N&lt;&gt;"")),1)," ",""),1))),"",SUBSTITUTE(INDEX(_xlfn._xlws.FILTER('Model output'!N:N,('Model output'!Z:Z=A7)*('Model output'!N:N&lt;&gt;"")),1)," ",""))</f>
        <v/>
      </c>
      <c r="T7" s="45" t="str" cm="1">
        <f t="array" ref="T7">IF(LEFT(IF(RIGHT(SUBSTITUTE(FilterWithUnits(S7)&amp;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";")),1)=";",RIGHT(IF(RIGHT(SUBSTITUTE(FilterWithUnits(S7)&amp;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";")),LEN(IF(RIGHT(SUBSTITUTE(FilterWithUnits(S7)&amp;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";")))-1),IF(RIGHT(SUBSTITUTE(FilterWithUnits(S7)&amp; ";" &amp;FilterStringsWithNumericAnd(S7) &amp; ";" &amp; FilterStringsWithX(S7), ";;", ";"),1)=";",LEFT(SUBSTITUTE(FilterWithUnits(S7)&amp; ";" &amp;FilterStringsWithNumericAnd(S7) &amp; ";" &amp; FilterStringsWithX(S7), ";;", ";"),LEN(SUBSTITUTE(FilterWithUnits(S7)&amp; ";" &amp;FilterStringsWithNumericAnd(S7) &amp; ";" &amp; FilterStringsWithX(S7), ";;", ";"))-1),SUBSTITUTE(FilterWithUnits(S7)&amp; ";" &amp;FilterStringsWithNumericAnd(S7) &amp; ";" &amp; FilterStringsWithX(S7), ";;", ";")))</f>
        <v/>
      </c>
      <c r="U7" s="45" t="str" cm="1">
        <f t="array" ref="U7">IF(MaxSize((SplitDimensions(T7)))=0, "", MaxSize((SplitDimensions(T7))))</f>
        <v/>
      </c>
      <c r="V7" s="17" t="str" cm="1">
        <f t="array" ref="V7">IF(ISERROR(INDEX(_xlfn._xlws.FILTER('Model output'!P:P,('Model output'!Z:Z=A7)*('Model output'!P:P&lt;&gt;"")),1)),"negative",IF(OR(ISNUMBER(SEARCH("foc",INDEX(_xlfn._xlws.FILTER('Model output'!P:P,('Model output'!Z:Z=A7)*('Model output'!P:P&lt;&gt;"")),1),1)),ISNUMBER(SEARCH("extensive",INDEX(_xlfn._xlws.FILTER('Model output'!P:P,('Model output'!Z:Z=A7)*('Model output'!P:P&lt;&gt;"")),1),1)),ISNUMBER(SEARCH("present",INDEX(_xlfn._xlws.FILTER('Model output'!P:P,('Model output'!Z:Z=A7)*('Model output'!P:P&lt;&gt;"")),1),1)),ISNUMBER(SEARCH("yes",INDEX(_xlfn._xlws.FILTER('Model output'!P:P,('Model output'!Z:Z=A7)*('Model output'!P:P&lt;&gt;"")),1),1))),"positive","negative"))</f>
        <v>positive</v>
      </c>
      <c r="X7" t="str" cm="1">
        <f t="array" ref="X7">IF(ISNUMBER(SEARCH("4",INDEX(_xlfn._xlws.FILTER('Model output'!P:P,('Model output'!Z:Z=A7)*('Model output'!P:P&lt;&gt;"")),1),1)),INDEX(_xlfn._xlws.FILTER('Model output'!P:P,('Model output'!Z:Z=A7)*('Model output'!P:P&lt;&gt;"")),1),"") &amp; _xlfn.TEXTJOIN("",TRUE,_xlfn._xlws.FILTER('Model output'!Q:Q,'Model output'!Z:Z=A7))</f>
        <v>Extrathyroidal extension to overlying strap muscle</v>
      </c>
      <c r="Y7" t="str">
        <f t="shared" si="10"/>
        <v>minimal</v>
      </c>
      <c r="Z7" t="str" cm="1">
        <f t="array" ref="Z7">IF(OR(ISNUMBER(SEARCH("focal",_xlfn.TEXTJOIN("; ",TRUE,_xlfn._xlws.FILTER('Model output'!R:R,'Model output'!Z:Z=A7)),1)),ISNUMBER(SEARCH("present",_xlfn.TEXTJOIN("; ",TRUE,_xlfn._xlws.FILTER('Model output'!R:R,'Model output'!Z:Z=A7)),1))),"positive",IF(_xlfn.TEXTJOIN("; ",TRUE,_xlfn._xlws.FILTER('Model output'!R:R,'Model output'!Z:Z=A7))="","negative",IF(OR(ISNUMBER(SEARCH("no",_xlfn.TEXTJOIN("; ",TRUE,_xlfn._xlws.FILTER('Model output'!R:R,'Model output'!Z:Z=A7)),1)),ISNUMBER(SEARCH("absent",_xlfn.TEXTJOIN("; ",TRUE,_xlfn._xlws.FILTER('Model output'!R:R,'Model output'!Z:Z=A7)),1))),"negative","positive")))</f>
        <v>negative</v>
      </c>
      <c r="AA7" s="17" t="str">
        <f t="shared" si="11"/>
        <v>positive</v>
      </c>
      <c r="AE7" s="17" t="str">
        <f t="shared" si="12"/>
        <v>positive</v>
      </c>
      <c r="AF7" t="str" cm="1">
        <f t="array" ref="AF7">_xlfn.TEXTJOIN("; ",TRUE,_xlfn._xlws.FILTER('Model output'!S:S,'Model output'!Z:Z=A7))</f>
        <v>Invading soft tissue and strap muscles (Please refer to operation record for gross extrathyroidal extension). Microscopic extrathyroidal extension is present; Yes</v>
      </c>
      <c r="AG7" s="17" t="str" cm="1">
        <f t="array" ref="AG7">IF(OR(ISNUMBER(SEARCH("uninvolved",_xlfn.TEXTJOIN("; ",TRUE,_xlfn._xlws.FILTER('Model output'!V:V,'Model output'!Z:Z=A7)),1)),ISNUMBER(SEARCH("clear",_xlfn.TEXTJOIN("; ",TRUE,_xlfn._xlws.FILTER('Model output'!V:V,'Model output'!Z:Z=A7)),1))*ISNUMBER(SEARCH("not mentioned",_xlfn.TEXTJOIN("; ",TRUE,_xlfn._xlws.FILTER('Model output'!V:V,'Model output'!Z:Z=A7)),1))),"negative",IF(ISNUMBER(SEARCH("cannot be assessed",_xlfn.TEXTJOIN("; ",TRUE,_xlfn._xlws.FILTER('Model output'!V:V,'Model output'!Z:Z=A7)),1)),"unknown","negative"))</f>
        <v>negative</v>
      </c>
      <c r="AI7" s="40" t="str">
        <f t="shared" si="13"/>
        <v>high</v>
      </c>
      <c r="AJ7" s="28" t="str">
        <f t="shared" si="14"/>
        <v>4a</v>
      </c>
      <c r="AK7" s="28" t="str">
        <f t="shared" si="2"/>
        <v>1a</v>
      </c>
      <c r="AL7" s="28">
        <f t="shared" si="3"/>
        <v>0</v>
      </c>
      <c r="AM7" s="28" t="str">
        <f t="shared" si="4"/>
        <v>I</v>
      </c>
      <c r="AN7" s="37" t="s">
        <v>170</v>
      </c>
      <c r="AO7" s="38" t="s">
        <v>217</v>
      </c>
      <c r="AP7" s="38" t="s">
        <v>216</v>
      </c>
      <c r="AQ7" s="38">
        <v>0</v>
      </c>
      <c r="AR7" s="38" t="s">
        <v>31</v>
      </c>
      <c r="AS7" s="37">
        <f t="shared" si="5"/>
        <v>1</v>
      </c>
      <c r="AT7" s="38">
        <f t="shared" si="6"/>
        <v>0</v>
      </c>
      <c r="AU7" s="38">
        <f t="shared" si="7"/>
        <v>1</v>
      </c>
      <c r="AV7" s="38">
        <f t="shared" si="8"/>
        <v>1</v>
      </c>
      <c r="AW7" s="39">
        <f t="shared" si="9"/>
        <v>1</v>
      </c>
    </row>
    <row r="8" spans="1:49">
      <c r="A8" s="13">
        <v>6</v>
      </c>
      <c r="B8" s="16">
        <f>_xlfn.MAXIFS('Model output'!B:B,'Model output'!Z:Z,'Classification result'!$A8)</f>
        <v>45416</v>
      </c>
      <c r="C8" s="16"/>
      <c r="D8" s="16"/>
      <c r="E8" s="17">
        <f>_xlfn.MAXIFS('Model output'!C:C,'Model output'!Z:Z,'Classification result'!$A8)</f>
        <v>66</v>
      </c>
      <c r="F8" s="17" t="str" cm="1">
        <f t="array" ref="F8">LEFT(IF(ISERROR(RIGHT(IF(INDEX(_xlfn._xlws.FILTER('Model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output'!Z:Z=A8)),1),""),1))),"",(RIGHT(IF(INDEX(_xlfn._xlws.FILTER('Model output'!D:D,('Model output'!Z:Z=A8)),1)&lt;&gt;"",INDEX(_xlfn._xlws.FILTER('Model output'!D:D,('Model output'!Z:Z=A8)),1),""),LEN(IF(INDEX(_xlfn._xlws.FILTER('Model output'!D:D,('Model output'!Z:Z=A8)),1)&lt;&gt;"",INDEX(_xlfn._xlws.FILTER('Model output'!D:D,('Model output'!Z:Z=A8)),1),""))-FIND("T",IF(INDEX(_xlfn._xlws.FILTER('Model output'!D:D,('Model output'!Z:Z=A8)),1)&lt;&gt;"",INDEX(_xlfn._xlws.FILTER('Model output'!D:D,('Model output'!Z:Z=A8)),1)))))),2)</f>
        <v>1</v>
      </c>
      <c r="G8" s="17" t="str" cm="1">
        <f t="array" ref="G8">IF(ISNUMBER(SEARCH("N",IF(ISNUMBER(SEARCH("present",IF(INDEX(_xlfn._xlws.FILTER('Model output'!E:E,('Model output'!Z:Z=A8)),1)="","",INDEX(_xlfn._xlws.FILTER('Model output'!E:E,('Model output'!Z:Z=A8)),1)),1)),"N1", IF(INDEX(_xlfn._xlws.FILTER('Model output'!E:E,('Model output'!Z:Z=A8)),1)="","",INDEX(_xlfn._xlws.FILTER('Model output'!E:E,('Model output'!Z:Z=A8)),1))),1)),RIGHT(IF(ISNUMBER(SEARCH("present",IF(INDEX(_xlfn._xlws.FILTER('Model output'!E:E,('Model output'!Z:Z=A8)),1)="","",INDEX(_xlfn._xlws.FILTER('Model output'!E:E,('Model output'!Z:Z=A8)),1)),1)),"N1", IF(INDEX(_xlfn._xlws.FILTER('Model output'!E:E,('Model output'!Z:Z=A8)),1)="","",INDEX(_xlfn._xlws.FILTER('Model output'!E:E,('Model output'!Z:Z=A8)),1))),LEN(IF(ISNUMBER(SEARCH("present",IF(INDEX(_xlfn._xlws.FILTER('Model output'!E:E,('Model output'!Z:Z=A8)),1)="","",INDEX(_xlfn._xlws.FILTER('Model output'!E:E,('Model output'!Z:Z=A8)),1)),1)),"N1", IF(INDEX(_xlfn._xlws.FILTER('Model output'!E:E,('Model output'!Z:Z=A8)),1)="","",INDEX(_xlfn._xlws.FILTER('Model output'!E:E,('Model output'!Z:Z=A8)),1))))-FIND("N",IF(ISNUMBER(SEARCH("present",IF(INDEX(_xlfn._xlws.FILTER('Model output'!E:E,('Model output'!Z:Z=A8)),1)="","",INDEX(_xlfn._xlws.FILTER('Model output'!E:E,('Model output'!Z:Z=A8)),1)),1)),"N1", IF(INDEX(_xlfn._xlws.FILTER('Model output'!E:E,('Model output'!Z:Z=A8)),1)="","",INDEX(_xlfn._xlws.FILTER('Model output'!E:E,('Model output'!Z:Z=A8)),1))),1)), "")</f>
        <v/>
      </c>
      <c r="H8" s="17" cm="1">
        <f t="array" ref="H8">IF(AND(SUBSTITUTE(_xlfn.TEXTJOIN("/", TRUE, _xlfn._xlws.FILTER('Model output'!F:F, 'Model output'!Z:Z=A8)),"M", "")="", K8="negative"),0,IF(K8="positive",1,0))</f>
        <v>0</v>
      </c>
      <c r="I8" t="str">
        <f t="shared" si="0"/>
        <v>positive</v>
      </c>
      <c r="J8" t="str" cm="1">
        <f t="array" ref="J8">IF(AND(M8&gt;0, _xlfn.TEXTJOIN("; ", TRUE, _xlfn._xlws.FILTER('Model output'!G:G, 'Model output'!Z:Z=A8)) &lt;&gt;"", OR(AND(ISNUMBER(SEARCH("level", _xlfn.TEXTJOIN("; ", TRUE, _xlfn._xlws.FILTER('Model output'!G:G, 'Model output'!Z:Z=A8)),1)),OR(ISNUMBER(SEARCH(" II", _xlfn.TEXTJOIN("; ", TRUE, _xlfn._xlws.FILTER('Model output'!G:G, 'Model output'!Z:Z=A8)),1)),ISNUMBER(SEARCH("2", _xlfn.TEXTJOIN("; ", TRUE, _xlfn._xlws.FILTER('Model output'!G:G, 'Model output'!Z:Z=A8)),1)),ISNUMBER(SEARCH("two", _xlfn.TEXTJOIN("; ", TRUE, _xlfn._xlws.FILTER('Model output'!G:G, 'Model output'!Z:Z=A8)),1)),ISNUMBER(SEARCH("III", _xlfn.TEXTJOIN("; ", TRUE, _xlfn._xlws.FILTER('Model output'!G:G, 'Model output'!Z:Z=A8)),1)),ISNUMBER(SEARCH("3", _xlfn.TEXTJOIN("; ", TRUE, _xlfn._xlws.FILTER('Model output'!G:G, 'Model output'!Z:Z=A8)),1)),ISNUMBER(SEARCH("three", _xlfn.TEXTJOIN("; ", TRUE, _xlfn._xlws.FILTER('Model output'!G:G, 'Model output'!Z:Z=A8)),1)),ISNUMBER(SEARCH("IV", _xlfn.TEXTJOIN("; ", TRUE, _xlfn._xlws.FILTER('Model output'!G:G, 'Model output'!Z:Z=A8)),1)),ISNUMBER(SEARCH("4", _xlfn.TEXTJOIN("; ", TRUE, _xlfn._xlws.FILTER('Model output'!G:G, 'Model output'!Z:Z=A8)),1)),ISNUMBER(SEARCH("five", _xlfn.TEXTJOIN("; ", TRUE, _xlfn._xlws.FILTER('Model output'!G:G, 'Model output'!Z:Z=A8)),1)),ISNUMBER(SEARCH("V ", _xlfn.TEXTJOIN("; ", TRUE, _xlfn._xlws.FILTER('Model output'!G:G, 'Model output'!Z:Z=A8)),1)),ISNUMBER(SEARCH("5", _xlfn.TEXTJOIN("; ", TRUE, _xlfn._xlws.FILTER('Model output'!G:G, 'Model output'!Z:Z=A8)),1)),ISNUMBER(SEARCH("five", _xlfn.TEXTJOIN("; ", TRUE, _xlfn._xlws.FILTER('Model output'!G:G, 'Model output'!Z:Z=A8)),1)),ISNUMBER(SEARCH(" lateral", _xlfn.TEXTJOIN("; ", TRUE, _xlfn._xlws.FILTER('Model output'!G:G, 'Model output'!Z:Z=A8)),1)))),ISNUMBER(SEARCH("cervical", _xlfn.TEXTJOIN("; ", TRUE, _xlfn._xlws.FILTER('Model output'!G:G, 'Model output'!Z:Z=A8)),1)),ISNUMBER(SEARCH("jugular", _xlfn.TEXTJOIN("; ", TRUE, _xlfn._xlws.FILTER('Model output'!G:G, 'Model output'!Z:Z=A8)),1)),ISNUMBER(SEARCH("left neck", _xlfn.TEXTJOIN("; ", TRUE, _xlfn._xlws.FILTER('Model output'!G:G, 'Model output'!Z:Z=A8)),1)),ISNUMBER(SEARCH("left anterior neck", _xlfn.TEXTJOIN("; ", TRUE, _xlfn._xlws.FILTER('Model output'!G:G, 'Model output'!Z:Z=A8)),1)),ISNUMBER(SEARCH("left posterior neck", _xlfn.TEXTJOIN("; ", TRUE, _xlfn._xlws.FILTER('Model output'!G:G, 'Model output'!Z:Z=A8)),1)),ISNUMBER(SEARCH("right neck", _xlfn.TEXTJOIN("; ", TRUE, _xlfn._xlws.FILTER('Model output'!G:G, 'Model output'!Z:Z=A8)),1)),ISNUMBER(SEARCH("right anterior neck", _xlfn.TEXTJOIN("; ", TRUE, _xlfn._xlws.FILTER('Model output'!G:G, 'Model output'!Z:Z=A8)),1)),ISNUMBER(SEARCH("right posterior neck", _xlfn.TEXTJOIN("; ", TRUE, _xlfn._xlws.FILTER('Model output'!G:G, 'Model output'!Z:Z=A8)),1)))),"lateral",IF(AND(M8=0, _xlfn.TEXTJOIN("; ", TRUE, _xlfn._xlws.FILTER('Model output'!G:G, 'Model output'!Z:Z=A8))=""),"", "central"))</f>
        <v>central</v>
      </c>
      <c r="K8" s="17" t="str" cm="1">
        <f t="array" ref="K8">IF(OR(ISNUMBER(SEARCH("lymph",_xlfn.TEXTJOIN("; ", TRUE, _xlfn._xlws.FILTER('Model output'!H:H, 'Model output'!Z:Z=A8)),1)), ISNUMBER(SEARCH("Not mentioned",_xlfn.TEXTJOIN("; ", TRUE, _xlfn._xlws.FILTER('Model output'!H:H, 'Model output'!Z:Z=A8)),1)),ISNUMBER(SEARCH("subcutaneous soft tissues",_xlfn.TEXTJOIN("; ", TRUE, _xlfn._xlws.FILTER('Model output'!H:H, 'Model output'!Z:Z=A8)),1)),ISNUMBER(SEARCH("larynx",_xlfn.TEXTJOIN("; ", TRUE, _xlfn._xlws.FILTER('Model output'!H:H, 'Model output'!Z:Z=A8)),1)),ISNUMBER(SEARCH("trachea",_xlfn.TEXTJOIN("; ", TRUE, _xlfn._xlws.FILTER('Model output'!H:H, 'Model output'!Z:Z=A8)),1)),ISNUMBER(SEARCH("esophagus",_xlfn.TEXTJOIN("; ", TRUE, _xlfn._xlws.FILTER('Model output'!H:H, 'Model output'!Z:Z=A8)),1)),ISNUMBER(SEARCH("recurrent laryngeal nerve",_xlfn.TEXTJOIN("; ", TRUE, _xlfn._xlws.FILTER('Model output'!H:H, 'Model output'!Z:Z=A8)),1)),ISNUMBER(SEARCH("RLN",_xlfn.TEXTJOIN("; ", TRUE, _xlfn._xlws.FILTER('Model output'!H:H, 'Model output'!Z:Z=A8)),1)),_xlfn.TEXTJOIN("; ", TRUE, _xlfn._xlws.FILTER('Model output'!H:H, 'Model output'!Z:Z=A8))=""),"negative","positive")</f>
        <v>negative</v>
      </c>
      <c r="L8" s="17">
        <f>IF(IFERROR(INDEX('Model output'!I:I, MATCH(A8, 'Model output'!Z:Z, 0)), "") &lt; M8, "", IFERROR(INDEX('Model output'!I:I, MATCH(A8, 'Model output'!Z:Z, 0)), ""))</f>
        <v>5</v>
      </c>
      <c r="M8" s="28">
        <f>IFERROR(INDEX('Model output'!J:J, MATCH(A8, 'Model output'!Z:Z, 0)), "")</f>
        <v>1</v>
      </c>
      <c r="N8" s="47" t="str" cm="1">
        <f t="array" ref="N8">ReplaceTo(ReplaceAnd(SUBSTITUTE(SUBSTITUTE(_xlfn.TEXTJOIN("; ", TRUE, _xlfn._xlws.FILTER('Model output'!K:K, 'Model output'!Z:Z=A8)), " ", ""), ",", ";")))</f>
        <v>2x1.5x1.5cm;1.5cm</v>
      </c>
      <c r="O8" s="45" t="str" cm="1">
        <f t="array" ref="O8">IF(LEFT(IF(RIGHT(SUBSTITUTE(FilterWithUnits(N8)&amp;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";")),1)=";",RIGHT(IF(RIGHT(SUBSTITUTE(FilterWithUnits(N8)&amp;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";")),LEN(IF(RIGHT(SUBSTITUTE(FilterWithUnits(N8)&amp;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";")))-1),IF(RIGHT(SUBSTITUTE(FilterWithUnits(N8)&amp; ";" &amp;FilterStringsWithNumericAnd(N8) &amp; ";" &amp; FilterStringsWithX(N8), ";;", ";"),1)=";",LEFT(SUBSTITUTE(FilterWithUnits(N8)&amp; ";" &amp;FilterStringsWithNumericAnd(N8) &amp; ";" &amp; FilterStringsWithX(N8), ";;", ";"),LEN(SUBSTITUTE(FilterWithUnits(N8)&amp; ";" &amp;FilterStringsWithNumericAnd(N8) &amp; ";" &amp; FilterStringsWithX(N8), ";;", ";"))-1),SUBSTITUTE(FilterWithUnits(N8)&amp; ";" &amp;FilterStringsWithNumericAnd(N8) &amp; ";" &amp; FilterStringsWithX(N8), ";;", ";")))</f>
        <v>1.5cm;2x1.5x1.5cm</v>
      </c>
      <c r="P8" s="45" cm="1">
        <f t="array" ref="P8">IF(MaxSize((SplitDimensions(O8)))=0, "", MaxSize((SplitDimensions(O8))))</f>
        <v>2</v>
      </c>
      <c r="Q8" t="str" cm="1">
        <f t="array" ref="Q8">IF(ISERROR(INDEX(_xlfn._xlws.FILTER('Model output'!L:L, ('Model output'!Z:Z=A8)*('Model output'!L:L&lt;&gt;"")), 1)), " ", LOWER(INDEX(_xlfn._xlws.FILTER('Model output'!L:L, ('Model output'!Z:Z=A8)*('Model output'!L:L&lt;&gt;"")), 1)))</f>
        <v>follicular carcinoma</v>
      </c>
      <c r="R8" s="45" t="str" cm="1">
        <f t="array" ref="R8">IF(ISERROR(INDEX(_xlfn._xlws.FILTER('Model output'!M:M, ('Model output'!Z:Z=A8)*('Model output'!M:M&lt;&gt;"")), 1)), " ", LOWER(INDEX(_xlfn._xlws.FILTER('Model output'!M:M, ('Model output'!Z:Z=A8)*('Model output'!M:M&lt;&gt;"")), 1)))</f>
        <v xml:space="preserve"> </v>
      </c>
      <c r="S8" s="45" t="str" cm="1">
        <f t="array" ref="S8">IF(OR(ISNUMBER(SEARCH("ly",SUBSTITUTE(INDEX(_xlfn._xlws.FILTER('Model output'!N:N,('Model output'!Z:Z=A8)*('Model output'!N:N&lt;&gt;"")),1)," ",""),1)), ISNUMBER(SEARCH("pole",SUBSTITUTE(INDEX(_xlfn._xlws.FILTER('Model output'!N:N,('Model output'!Z:Z=A8)*('Model output'!N:N&lt;&gt;"")),1)," ",""),1))),"",SUBSTITUTE(INDEX(_xlfn._xlws.FILTER('Model output'!N:N,('Model output'!Z:Z=A8)*('Model output'!N:N&lt;&gt;"")),1)," ",""))</f>
        <v/>
      </c>
      <c r="T8" s="45" t="str" cm="1">
        <f t="array" ref="T8">IF(LEFT(IF(RIGHT(SUBSTITUTE(FilterWithUnits(S8)&amp;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";")),1)=";",RIGHT(IF(RIGHT(SUBSTITUTE(FilterWithUnits(S8)&amp;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";")),LEN(IF(RIGHT(SUBSTITUTE(FilterWithUnits(S8)&amp;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";")))-1),IF(RIGHT(SUBSTITUTE(FilterWithUnits(S8)&amp; ";" &amp;FilterStringsWithNumericAnd(S8) &amp; ";" &amp; FilterStringsWithX(S8), ";;", ";"),1)=";",LEFT(SUBSTITUTE(FilterWithUnits(S8)&amp; ";" &amp;FilterStringsWithNumericAnd(S8) &amp; ";" &amp; FilterStringsWithX(S8), ";;", ";"),LEN(SUBSTITUTE(FilterWithUnits(S8)&amp; ";" &amp;FilterStringsWithNumericAnd(S8) &amp; ";" &amp; FilterStringsWithX(S8), ";;", ";"))-1),SUBSTITUTE(FilterWithUnits(S8)&amp; ";" &amp;FilterStringsWithNumericAnd(S8) &amp; ";" &amp; FilterStringsWithX(S8), ";;", ";")))</f>
        <v/>
      </c>
      <c r="U8" s="45" t="str" cm="1">
        <f t="array" ref="U8">IF(MaxSize((SplitDimensions(T8)))=0, "", MaxSize((SplitDimensions(T8))))</f>
        <v/>
      </c>
      <c r="V8" s="17" t="str" cm="1">
        <f t="array" ref="V8">IF(ISERROR(INDEX(_xlfn._xlws.FILTER('Model output'!P:P,('Model output'!Z:Z=A8)*('Model output'!P:P&lt;&gt;"")),1)),"negative",IF(OR(ISNUMBER(SEARCH("foc",INDEX(_xlfn._xlws.FILTER('Model output'!P:P,('Model output'!Z:Z=A8)*('Model output'!P:P&lt;&gt;"")),1),1)),ISNUMBER(SEARCH("extensive",INDEX(_xlfn._xlws.FILTER('Model output'!P:P,('Model output'!Z:Z=A8)*('Model output'!P:P&lt;&gt;"")),1),1)),ISNUMBER(SEARCH("present",INDEX(_xlfn._xlws.FILTER('Model output'!P:P,('Model output'!Z:Z=A8)*('Model output'!P:P&lt;&gt;"")),1),1)),ISNUMBER(SEARCH("yes",INDEX(_xlfn._xlws.FILTER('Model output'!P:P,('Model output'!Z:Z=A8)*('Model output'!P:P&lt;&gt;"")),1),1))),"positive","negative"))</f>
        <v>negative</v>
      </c>
      <c r="X8" t="str" cm="1">
        <f t="array" ref="X8">IF(ISNUMBER(SEARCH("4",INDEX(_xlfn._xlws.FILTER('Model output'!P:P,('Model output'!Z:Z=A8)*('Model output'!P:P&lt;&gt;"")),1),1)),INDEX(_xlfn._xlws.FILTER('Model output'!P:P,('Model output'!Z:Z=A8)*('Model output'!P:P&lt;&gt;"")),1),"") &amp; _xlfn.TEXTJOIN("",TRUE,_xlfn._xlws.FILTER('Model output'!Q:Q,'Model output'!Z:Z=A8))</f>
        <v/>
      </c>
      <c r="Y8" t="str">
        <f t="shared" si="10"/>
        <v>no</v>
      </c>
      <c r="Z8" t="str" cm="1">
        <f t="array" ref="Z8">IF(OR(ISNUMBER(SEARCH("focal",_xlfn.TEXTJOIN("; ",TRUE,_xlfn._xlws.FILTER('Model output'!R:R,'Model output'!Z:Z=A8)),1)),ISNUMBER(SEARCH("present",_xlfn.TEXTJOIN("; ",TRUE,_xlfn._xlws.FILTER('Model output'!R:R,'Model output'!Z:Z=A8)),1))),"positive",IF(_xlfn.TEXTJOIN("; ",TRUE,_xlfn._xlws.FILTER('Model output'!R:R,'Model output'!Z:Z=A8))="","negative",IF(OR(ISNUMBER(SEARCH("no",_xlfn.TEXTJOIN("; ",TRUE,_xlfn._xlws.FILTER('Model output'!R:R,'Model output'!Z:Z=A8)),1)),ISNUMBER(SEARCH("absent",_xlfn.TEXTJOIN("; ",TRUE,_xlfn._xlws.FILTER('Model output'!R:R,'Model output'!Z:Z=A8)),1))),"negative","positive")))</f>
        <v>positive</v>
      </c>
      <c r="AA8" s="17" t="str">
        <f t="shared" si="11"/>
        <v>negative</v>
      </c>
      <c r="AE8" s="17" t="str">
        <f t="shared" si="12"/>
        <v>negative</v>
      </c>
      <c r="AF8" t="str" cm="1">
        <f t="array" ref="AF8">_xlfn.TEXTJOIN("; ",TRUE,_xlfn._xlws.FILTER('Model output'!S:S,'Model output'!Z:Z=A8))</f>
        <v/>
      </c>
      <c r="AG8" s="17" t="str" cm="1">
        <f t="array" ref="AG8">IF(OR(ISNUMBER(SEARCH("uninvolved",_xlfn.TEXTJOIN("; ",TRUE,_xlfn._xlws.FILTER('Model output'!V:V,'Model output'!Z:Z=A8)),1)),ISNUMBER(SEARCH("clear",_xlfn.TEXTJOIN("; ",TRUE,_xlfn._xlws.FILTER('Model output'!V:V,'Model output'!Z:Z=A8)),1))*ISNUMBER(SEARCH("not mentioned",_xlfn.TEXTJOIN("; ",TRUE,_xlfn._xlws.FILTER('Model output'!V:V,'Model output'!Z:Z=A8)),1))),"negative",IF(ISNUMBER(SEARCH("cannot be assessed",_xlfn.TEXTJOIN("; ",TRUE,_xlfn._xlws.FILTER('Model output'!V:V,'Model output'!Z:Z=A8)),1)),"unknown","negative"))</f>
        <v>negative</v>
      </c>
      <c r="AI8" s="40" t="str">
        <f t="shared" si="13"/>
        <v>low</v>
      </c>
      <c r="AJ8" s="28" t="str">
        <f t="shared" si="14"/>
        <v>1a</v>
      </c>
      <c r="AK8" s="28" t="str">
        <f t="shared" si="2"/>
        <v>1a</v>
      </c>
      <c r="AL8" s="28">
        <f t="shared" si="3"/>
        <v>0</v>
      </c>
      <c r="AM8" s="28" t="str">
        <f t="shared" si="4"/>
        <v>II</v>
      </c>
      <c r="AN8" s="37" t="s">
        <v>171</v>
      </c>
      <c r="AO8" s="28" t="s">
        <v>215</v>
      </c>
      <c r="AP8" s="38" t="s">
        <v>215</v>
      </c>
      <c r="AQ8" s="38">
        <v>0</v>
      </c>
      <c r="AR8" s="38" t="s">
        <v>31</v>
      </c>
      <c r="AS8" s="37">
        <f t="shared" si="5"/>
        <v>1</v>
      </c>
      <c r="AT8" s="38">
        <f t="shared" si="6"/>
        <v>0</v>
      </c>
      <c r="AU8" s="38">
        <f t="shared" si="7"/>
        <v>0</v>
      </c>
      <c r="AV8" s="38">
        <f t="shared" si="8"/>
        <v>1</v>
      </c>
      <c r="AW8" s="39">
        <f t="shared" si="9"/>
        <v>0</v>
      </c>
    </row>
    <row r="9" spans="1:49">
      <c r="A9" s="13">
        <v>7</v>
      </c>
      <c r="B9" s="16">
        <f>_xlfn.MAXIFS('Model output'!B:B,'Model output'!Z:Z,'Classification result'!$A9)</f>
        <v>0</v>
      </c>
      <c r="C9" s="16"/>
      <c r="D9" s="16"/>
      <c r="E9" s="17">
        <f>_xlfn.MAXIFS('Model output'!C:C,'Model output'!Z:Z,'Classification result'!$A9)</f>
        <v>67</v>
      </c>
      <c r="F9" s="17" t="str" cm="1">
        <f t="array" ref="F9">LEFT(IF(ISERROR(RIGHT(IF(INDEX(_xlfn._xlws.FILTER('Model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output'!Z:Z=A9)),1),""),1))),"",(RIGHT(IF(INDEX(_xlfn._xlws.FILTER('Model output'!D:D,('Model output'!Z:Z=A9)),1)&lt;&gt;"",INDEX(_xlfn._xlws.FILTER('Model output'!D:D,('Model output'!Z:Z=A9)),1),""),LEN(IF(INDEX(_xlfn._xlws.FILTER('Model output'!D:D,('Model output'!Z:Z=A9)),1)&lt;&gt;"",INDEX(_xlfn._xlws.FILTER('Model output'!D:D,('Model output'!Z:Z=A9)),1),""))-FIND("T",IF(INDEX(_xlfn._xlws.FILTER('Model output'!D:D,('Model output'!Z:Z=A9)),1)&lt;&gt;"",INDEX(_xlfn._xlws.FILTER('Model output'!D:D,('Model output'!Z:Z=A9)),1)))))),2)</f>
        <v>1a</v>
      </c>
      <c r="G9" s="17" t="str" cm="1">
        <f t="array" ref="G9">IF(ISNUMBER(SEARCH("N",IF(ISNUMBER(SEARCH("present",IF(INDEX(_xlfn._xlws.FILTER('Model output'!E:E,('Model output'!Z:Z=A9)),1)="","",INDEX(_xlfn._xlws.FILTER('Model output'!E:E,('Model output'!Z:Z=A9)),1)),1)),"N1", IF(INDEX(_xlfn._xlws.FILTER('Model output'!E:E,('Model output'!Z:Z=A9)),1)="","",INDEX(_xlfn._xlws.FILTER('Model output'!E:E,('Model output'!Z:Z=A9)),1))),1)),RIGHT(IF(ISNUMBER(SEARCH("present",IF(INDEX(_xlfn._xlws.FILTER('Model output'!E:E,('Model output'!Z:Z=A9)),1)="","",INDEX(_xlfn._xlws.FILTER('Model output'!E:E,('Model output'!Z:Z=A9)),1)),1)),"N1", IF(INDEX(_xlfn._xlws.FILTER('Model output'!E:E,('Model output'!Z:Z=A9)),1)="","",INDEX(_xlfn._xlws.FILTER('Model output'!E:E,('Model output'!Z:Z=A9)),1))),LEN(IF(ISNUMBER(SEARCH("present",IF(INDEX(_xlfn._xlws.FILTER('Model output'!E:E,('Model output'!Z:Z=A9)),1)="","",INDEX(_xlfn._xlws.FILTER('Model output'!E:E,('Model output'!Z:Z=A9)),1)),1)),"N1", IF(INDEX(_xlfn._xlws.FILTER('Model output'!E:E,('Model output'!Z:Z=A9)),1)="","",INDEX(_xlfn._xlws.FILTER('Model output'!E:E,('Model output'!Z:Z=A9)),1))))-FIND("N",IF(ISNUMBER(SEARCH("present",IF(INDEX(_xlfn._xlws.FILTER('Model output'!E:E,('Model output'!Z:Z=A9)),1)="","",INDEX(_xlfn._xlws.FILTER('Model output'!E:E,('Model output'!Z:Z=A9)),1)),1)),"N1", IF(INDEX(_xlfn._xlws.FILTER('Model output'!E:E,('Model output'!Z:Z=A9)),1)="","",INDEX(_xlfn._xlws.FILTER('Model output'!E:E,('Model output'!Z:Z=A9)),1))),1)), "")</f>
        <v/>
      </c>
      <c r="H9" s="17" cm="1">
        <f t="array" ref="H9">IF(AND(SUBSTITUTE(_xlfn.TEXTJOIN("/", TRUE, _xlfn._xlws.FILTER('Model output'!F:F, 'Model output'!Z:Z=A9)),"M", "")="", K9="negative"),0,IF(K9="positive",1,0))</f>
        <v>0</v>
      </c>
      <c r="I9" t="str">
        <f t="shared" si="0"/>
        <v/>
      </c>
      <c r="J9" t="str" cm="1">
        <f t="array" ref="J9">IF(AND(M9&gt;0, _xlfn.TEXTJOIN("; ", TRUE, _xlfn._xlws.FILTER('Model output'!G:G, 'Model output'!Z:Z=A9)) &lt;&gt;"", OR(AND(ISNUMBER(SEARCH("level", _xlfn.TEXTJOIN("; ", TRUE, _xlfn._xlws.FILTER('Model output'!G:G, 'Model output'!Z:Z=A9)),1)),OR(ISNUMBER(SEARCH(" II", _xlfn.TEXTJOIN("; ", TRUE, _xlfn._xlws.FILTER('Model output'!G:G, 'Model output'!Z:Z=A9)),1)),ISNUMBER(SEARCH("2", _xlfn.TEXTJOIN("; ", TRUE, _xlfn._xlws.FILTER('Model output'!G:G, 'Model output'!Z:Z=A9)),1)),ISNUMBER(SEARCH("two", _xlfn.TEXTJOIN("; ", TRUE, _xlfn._xlws.FILTER('Model output'!G:G, 'Model output'!Z:Z=A9)),1)),ISNUMBER(SEARCH("III", _xlfn.TEXTJOIN("; ", TRUE, _xlfn._xlws.FILTER('Model output'!G:G, 'Model output'!Z:Z=A9)),1)),ISNUMBER(SEARCH("3", _xlfn.TEXTJOIN("; ", TRUE, _xlfn._xlws.FILTER('Model output'!G:G, 'Model output'!Z:Z=A9)),1)),ISNUMBER(SEARCH("three", _xlfn.TEXTJOIN("; ", TRUE, _xlfn._xlws.FILTER('Model output'!G:G, 'Model output'!Z:Z=A9)),1)),ISNUMBER(SEARCH("IV", _xlfn.TEXTJOIN("; ", TRUE, _xlfn._xlws.FILTER('Model output'!G:G, 'Model output'!Z:Z=A9)),1)),ISNUMBER(SEARCH("4", _xlfn.TEXTJOIN("; ", TRUE, _xlfn._xlws.FILTER('Model output'!G:G, 'Model output'!Z:Z=A9)),1)),ISNUMBER(SEARCH("five", _xlfn.TEXTJOIN("; ", TRUE, _xlfn._xlws.FILTER('Model output'!G:G, 'Model output'!Z:Z=A9)),1)),ISNUMBER(SEARCH("V ", _xlfn.TEXTJOIN("; ", TRUE, _xlfn._xlws.FILTER('Model output'!G:G, 'Model output'!Z:Z=A9)),1)),ISNUMBER(SEARCH("5", _xlfn.TEXTJOIN("; ", TRUE, _xlfn._xlws.FILTER('Model output'!G:G, 'Model output'!Z:Z=A9)),1)),ISNUMBER(SEARCH("five", _xlfn.TEXTJOIN("; ", TRUE, _xlfn._xlws.FILTER('Model output'!G:G, 'Model output'!Z:Z=A9)),1)),ISNUMBER(SEARCH(" lateral", _xlfn.TEXTJOIN("; ", TRUE, _xlfn._xlws.FILTER('Model output'!G:G, 'Model output'!Z:Z=A9)),1)))),ISNUMBER(SEARCH("cervical", _xlfn.TEXTJOIN("; ", TRUE, _xlfn._xlws.FILTER('Model output'!G:G, 'Model output'!Z:Z=A9)),1)),ISNUMBER(SEARCH("jugular", _xlfn.TEXTJOIN("; ", TRUE, _xlfn._xlws.FILTER('Model output'!G:G, 'Model output'!Z:Z=A9)),1)),ISNUMBER(SEARCH("left neck", _xlfn.TEXTJOIN("; ", TRUE, _xlfn._xlws.FILTER('Model output'!G:G, 'Model output'!Z:Z=A9)),1)),ISNUMBER(SEARCH("left anterior neck", _xlfn.TEXTJOIN("; ", TRUE, _xlfn._xlws.FILTER('Model output'!G:G, 'Model output'!Z:Z=A9)),1)),ISNUMBER(SEARCH("left posterior neck", _xlfn.TEXTJOIN("; ", TRUE, _xlfn._xlws.FILTER('Model output'!G:G, 'Model output'!Z:Z=A9)),1)),ISNUMBER(SEARCH("right neck", _xlfn.TEXTJOIN("; ", TRUE, _xlfn._xlws.FILTER('Model output'!G:G, 'Model output'!Z:Z=A9)),1)),ISNUMBER(SEARCH("right anterior neck", _xlfn.TEXTJOIN("; ", TRUE, _xlfn._xlws.FILTER('Model output'!G:G, 'Model output'!Z:Z=A9)),1)),ISNUMBER(SEARCH("right posterior neck", _xlfn.TEXTJOIN("; ", TRUE, _xlfn._xlws.FILTER('Model output'!G:G, 'Model output'!Z:Z=A9)),1)))),"lateral",IF(AND(M9=0, _xlfn.TEXTJOIN("; ", TRUE, _xlfn._xlws.FILTER('Model output'!G:G, 'Model output'!Z:Z=A9))=""),"", "central"))</f>
        <v/>
      </c>
      <c r="K9" s="17" t="str" cm="1">
        <f t="array" ref="K9">IF(OR(ISNUMBER(SEARCH("lymph",_xlfn.TEXTJOIN("; ", TRUE, _xlfn._xlws.FILTER('Model output'!H:H, 'Model output'!Z:Z=A9)),1)), ISNUMBER(SEARCH("Not mentioned",_xlfn.TEXTJOIN("; ", TRUE, _xlfn._xlws.FILTER('Model output'!H:H, 'Model output'!Z:Z=A9)),1)),ISNUMBER(SEARCH("subcutaneous soft tissues",_xlfn.TEXTJOIN("; ", TRUE, _xlfn._xlws.FILTER('Model output'!H:H, 'Model output'!Z:Z=A9)),1)),ISNUMBER(SEARCH("larynx",_xlfn.TEXTJOIN("; ", TRUE, _xlfn._xlws.FILTER('Model output'!H:H, 'Model output'!Z:Z=A9)),1)),ISNUMBER(SEARCH("trachea",_xlfn.TEXTJOIN("; ", TRUE, _xlfn._xlws.FILTER('Model output'!H:H, 'Model output'!Z:Z=A9)),1)),ISNUMBER(SEARCH("esophagus",_xlfn.TEXTJOIN("; ", TRUE, _xlfn._xlws.FILTER('Model output'!H:H, 'Model output'!Z:Z=A9)),1)),ISNUMBER(SEARCH("recurrent laryngeal nerve",_xlfn.TEXTJOIN("; ", TRUE, _xlfn._xlws.FILTER('Model output'!H:H, 'Model output'!Z:Z=A9)),1)),ISNUMBER(SEARCH("RLN",_xlfn.TEXTJOIN("; ", TRUE, _xlfn._xlws.FILTER('Model output'!H:H, 'Model output'!Z:Z=A9)),1)),_xlfn.TEXTJOIN("; ", TRUE, _xlfn._xlws.FILTER('Model output'!H:H, 'Model output'!Z:Z=A9))=""),"negative","positive")</f>
        <v>negative</v>
      </c>
      <c r="L9" s="17">
        <f>IF(IFERROR(INDEX('Model output'!I:I, MATCH(A9, 'Model output'!Z:Z, 0)), "") &lt; M9, "", IFERROR(INDEX('Model output'!I:I, MATCH(A9, 'Model output'!Z:Z, 0)), ""))</f>
        <v>12</v>
      </c>
      <c r="M9" s="28">
        <f>IFERROR(INDEX('Model output'!J:J, MATCH(A9, 'Model output'!Z:Z, 0)), "")</f>
        <v>0</v>
      </c>
      <c r="N9" s="47" t="str" cm="1">
        <f t="array" ref="N9">ReplaceTo(ReplaceAnd(SUBSTITUTE(SUBSTITUTE(_xlfn.TEXTJOIN("; ", TRUE, _xlfn._xlws.FILTER('Model output'!K:K, 'Model output'!Z:Z=A9)), " ", ""), ",", ";")))</f>
        <v/>
      </c>
      <c r="O9" s="45" t="str" cm="1">
        <f t="array" ref="O9">IF(LEFT(IF(RIGHT(SUBSTITUTE(FilterWithUnits(N9)&amp;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";")),1)=";",RIGHT(IF(RIGHT(SUBSTITUTE(FilterWithUnits(N9)&amp;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";")),LEN(IF(RIGHT(SUBSTITUTE(FilterWithUnits(N9)&amp;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";")))-1),IF(RIGHT(SUBSTITUTE(FilterWithUnits(N9)&amp; ";" &amp;FilterStringsWithNumericAnd(N9) &amp; ";" &amp; FilterStringsWithX(N9), ";;", ";"),1)=";",LEFT(SUBSTITUTE(FilterWithUnits(N9)&amp; ";" &amp;FilterStringsWithNumericAnd(N9) &amp; ";" &amp; FilterStringsWithX(N9), ";;", ";"),LEN(SUBSTITUTE(FilterWithUnits(N9)&amp; ";" &amp;FilterStringsWithNumericAnd(N9) &amp; ";" &amp; FilterStringsWithX(N9), ";;", ";"))-1),SUBSTITUTE(FilterWithUnits(N9)&amp; ";" &amp;FilterStringsWithNumericAnd(N9) &amp; ";" &amp; FilterStringsWithX(N9), ";;", ";")))</f>
        <v/>
      </c>
      <c r="P9" s="45" t="str" cm="1">
        <f t="array" ref="P9">IF(MaxSize((SplitDimensions(O9)))=0, "", MaxSize((SplitDimensions(O9))))</f>
        <v/>
      </c>
      <c r="Q9" t="str" cm="1">
        <f t="array" ref="Q9">IF(ISERROR(INDEX(_xlfn._xlws.FILTER('Model output'!L:L, ('Model output'!Z:Z=A9)*('Model output'!L:L&lt;&gt;"")), 1)), " ", LOWER(INDEX(_xlfn._xlws.FILTER('Model output'!L:L, ('Model output'!Z:Z=A9)*('Model output'!L:L&lt;&gt;"")), 1)))</f>
        <v>papillary carcinoma, infiltrative follicular subtype</v>
      </c>
      <c r="R9" s="45" t="str" cm="1">
        <f t="array" ref="R9">IF(ISERROR(INDEX(_xlfn._xlws.FILTER('Model output'!M:M, ('Model output'!Z:Z=A9)*('Model output'!M:M&lt;&gt;"")), 1)), " ", LOWER(INDEX(_xlfn._xlws.FILTER('Model output'!M:M, ('Model output'!Z:Z=A9)*('Model output'!M:M&lt;&gt;"")), 1)))</f>
        <v xml:space="preserve"> </v>
      </c>
      <c r="S9" s="45" t="str" cm="1">
        <f t="array" ref="S9">IF(OR(ISNUMBER(SEARCH("ly",SUBSTITUTE(INDEX(_xlfn._xlws.FILTER('Model output'!N:N,('Model output'!Z:Z=A9)*('Model output'!N:N&lt;&gt;"")),1)," ",""),1)), ISNUMBER(SEARCH("pole",SUBSTITUTE(INDEX(_xlfn._xlws.FILTER('Model output'!N:N,('Model output'!Z:Z=A9)*('Model output'!N:N&lt;&gt;"")),1)," ",""),1))),"",SUBSTITUTE(INDEX(_xlfn._xlws.FILTER('Model output'!N:N,('Model output'!Z:Z=A9)*('Model output'!N:N&lt;&gt;"")),1)," ",""))</f>
        <v>3mm(blockA7)</v>
      </c>
      <c r="T9" s="45" t="str" cm="1">
        <f t="array" ref="T9">IF(LEFT(IF(RIGHT(SUBSTITUTE(FilterWithUnits(S9)&amp;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";")),1)=";",RIGHT(IF(RIGHT(SUBSTITUTE(FilterWithUnits(S9)&amp;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";")),LEN(IF(RIGHT(SUBSTITUTE(FilterWithUnits(S9)&amp;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";")))-1),IF(RIGHT(SUBSTITUTE(FilterWithUnits(S9)&amp; ";" &amp;FilterStringsWithNumericAnd(S9) &amp; ";" &amp; FilterStringsWithX(S9), ";;", ";"),1)=";",LEFT(SUBSTITUTE(FilterWithUnits(S9)&amp; ";" &amp;FilterStringsWithNumericAnd(S9) &amp; ";" &amp; FilterStringsWithX(S9), ";;", ";"),LEN(SUBSTITUTE(FilterWithUnits(S9)&amp; ";" &amp;FilterStringsWithNumericAnd(S9) &amp; ";" &amp; FilterStringsWithX(S9), ";;", ";"))-1),SUBSTITUTE(FilterWithUnits(S9)&amp; ";" &amp;FilterStringsWithNumericAnd(S9) &amp; ";" &amp; FilterStringsWithX(S9), ";;", ";")))</f>
        <v>3mm</v>
      </c>
      <c r="U9" s="45" cm="1">
        <f t="array" ref="U9">IF(MaxSize((SplitDimensions(T9)))=0, "", MaxSize((SplitDimensions(T9))))</f>
        <v>0.3</v>
      </c>
      <c r="V9" s="17" t="str" cm="1">
        <f t="array" ref="V9">IF(ISERROR(INDEX(_xlfn._xlws.FILTER('Model output'!P:P,('Model output'!Z:Z=A9)*('Model output'!P:P&lt;&gt;"")),1)),"negative",IF(OR(ISNUMBER(SEARCH("foc",INDEX(_xlfn._xlws.FILTER('Model output'!P:P,('Model output'!Z:Z=A9)*('Model output'!P:P&lt;&gt;"")),1),1)),ISNUMBER(SEARCH("extensive",INDEX(_xlfn._xlws.FILTER('Model output'!P:P,('Model output'!Z:Z=A9)*('Model output'!P:P&lt;&gt;"")),1),1)),ISNUMBER(SEARCH("present",INDEX(_xlfn._xlws.FILTER('Model output'!P:P,('Model output'!Z:Z=A9)*('Model output'!P:P&lt;&gt;"")),1),1)),ISNUMBER(SEARCH("yes",INDEX(_xlfn._xlws.FILTER('Model output'!P:P,('Model output'!Z:Z=A9)*('Model output'!P:P&lt;&gt;"")),1),1))),"positive","negative"))</f>
        <v>negative</v>
      </c>
      <c r="X9" t="str" cm="1">
        <f t="array" ref="X9">IF(ISNUMBER(SEARCH("4",INDEX(_xlfn._xlws.FILTER('Model output'!P:P,('Model output'!Z:Z=A9)*('Model output'!P:P&lt;&gt;"")),1),1)),INDEX(_xlfn._xlws.FILTER('Model output'!P:P,('Model output'!Z:Z=A9)*('Model output'!P:P&lt;&gt;"")),1),"") &amp; _xlfn.TEXTJOIN("",TRUE,_xlfn._xlws.FILTER('Model output'!Q:Q,'Model output'!Z:Z=A9))</f>
        <v/>
      </c>
      <c r="Y9" t="str">
        <f t="shared" si="10"/>
        <v>no</v>
      </c>
      <c r="Z9" t="str" cm="1">
        <f t="array" ref="Z9">IF(OR(ISNUMBER(SEARCH("focal",_xlfn.TEXTJOIN("; ",TRUE,_xlfn._xlws.FILTER('Model output'!R:R,'Model output'!Z:Z=A9)),1)),ISNUMBER(SEARCH("present",_xlfn.TEXTJOIN("; ",TRUE,_xlfn._xlws.FILTER('Model output'!R:R,'Model output'!Z:Z=A9)),1))),"positive",IF(_xlfn.TEXTJOIN("; ",TRUE,_xlfn._xlws.FILTER('Model output'!R:R,'Model output'!Z:Z=A9))="","negative",IF(OR(ISNUMBER(SEARCH("no",_xlfn.TEXTJOIN("; ",TRUE,_xlfn._xlws.FILTER('Model output'!R:R,'Model output'!Z:Z=A9)),1)),ISNUMBER(SEARCH("absent",_xlfn.TEXTJOIN("; ",TRUE,_xlfn._xlws.FILTER('Model output'!R:R,'Model output'!Z:Z=A9)),1))),"negative","positive")))</f>
        <v>negative</v>
      </c>
      <c r="AA9" s="17" t="str">
        <f t="shared" si="11"/>
        <v>negative</v>
      </c>
      <c r="AE9" s="17" t="str">
        <f t="shared" si="12"/>
        <v>negative</v>
      </c>
      <c r="AF9" t="str" cm="1">
        <f t="array" ref="AF9">_xlfn.TEXTJOIN("; ",TRUE,_xlfn._xlws.FILTER('Model output'!S:S,'Model output'!Z:Z=A9))</f>
        <v>Not identified</v>
      </c>
      <c r="AG9" s="17" t="str" cm="1">
        <f t="array" ref="AG9">IF(OR(ISNUMBER(SEARCH("uninvolved",_xlfn.TEXTJOIN("; ",TRUE,_xlfn._xlws.FILTER('Model output'!V:V,'Model output'!Z:Z=A9)),1)),ISNUMBER(SEARCH("clear",_xlfn.TEXTJOIN("; ",TRUE,_xlfn._xlws.FILTER('Model output'!V:V,'Model output'!Z:Z=A9)),1))*ISNUMBER(SEARCH("not mentioned",_xlfn.TEXTJOIN("; ",TRUE,_xlfn._xlws.FILTER('Model output'!V:V,'Model output'!Z:Z=A9)),1))),"negative",IF(ISNUMBER(SEARCH("cannot be assessed",_xlfn.TEXTJOIN("; ",TRUE,_xlfn._xlws.FILTER('Model output'!V:V,'Model output'!Z:Z=A9)),1)),"unknown","negative"))</f>
        <v>negative</v>
      </c>
      <c r="AI9" s="40" t="str">
        <f t="shared" si="13"/>
        <v>low</v>
      </c>
      <c r="AJ9" s="28" t="str">
        <f t="shared" si="14"/>
        <v>1a</v>
      </c>
      <c r="AK9" s="28">
        <f t="shared" si="2"/>
        <v>0</v>
      </c>
      <c r="AL9" s="28">
        <f t="shared" si="3"/>
        <v>0</v>
      </c>
      <c r="AM9" s="28" t="str">
        <f t="shared" si="4"/>
        <v>I</v>
      </c>
      <c r="AN9" s="37" t="s">
        <v>171</v>
      </c>
      <c r="AO9" s="38" t="s">
        <v>216</v>
      </c>
      <c r="AP9" s="38" t="s">
        <v>215</v>
      </c>
      <c r="AQ9" s="38">
        <v>0</v>
      </c>
      <c r="AR9" s="38" t="s">
        <v>31</v>
      </c>
      <c r="AS9" s="37">
        <f t="shared" si="5"/>
        <v>1</v>
      </c>
      <c r="AT9" s="38">
        <f t="shared" si="6"/>
        <v>1</v>
      </c>
      <c r="AU9" s="38">
        <f t="shared" si="7"/>
        <v>1</v>
      </c>
      <c r="AV9" s="38">
        <f t="shared" si="8"/>
        <v>1</v>
      </c>
      <c r="AW9" s="39">
        <f t="shared" si="9"/>
        <v>1</v>
      </c>
    </row>
    <row r="10" spans="1:49">
      <c r="A10" s="13">
        <v>8</v>
      </c>
      <c r="B10" s="16">
        <f>_xlfn.MAXIFS('Model output'!B:B,'Model output'!Z:Z,'Classification result'!$A10)</f>
        <v>0</v>
      </c>
      <c r="C10" s="16"/>
      <c r="D10" s="16"/>
      <c r="E10" s="17">
        <f>_xlfn.MAXIFS('Model output'!C:C,'Model output'!Z:Z,'Classification result'!$A10)</f>
        <v>78</v>
      </c>
      <c r="F10" s="17" t="str" cm="1">
        <f t="array" ref="F10">LEFT(IF(ISERROR(RIGHT(IF(INDEX(_xlfn._xlws.FILTER('Model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output'!Z:Z=A10)),1),""),1))),"",(RIGHT(IF(INDEX(_xlfn._xlws.FILTER('Model output'!D:D,('Model output'!Z:Z=A10)),1)&lt;&gt;"",INDEX(_xlfn._xlws.FILTER('Model output'!D:D,('Model output'!Z:Z=A10)),1),""),LEN(IF(INDEX(_xlfn._xlws.FILTER('Model output'!D:D,('Model output'!Z:Z=A10)),1)&lt;&gt;"",INDEX(_xlfn._xlws.FILTER('Model output'!D:D,('Model output'!Z:Z=A10)),1),""))-FIND("T",IF(INDEX(_xlfn._xlws.FILTER('Model output'!D:D,('Model output'!Z:Z=A10)),1)&lt;&gt;"",INDEX(_xlfn._xlws.FILTER('Model output'!D:D,('Model output'!Z:Z=A10)),1)))))),2)</f>
        <v>1b</v>
      </c>
      <c r="G10" s="17" t="str" cm="1">
        <f t="array" ref="G10">IF(ISNUMBER(SEARCH("N",IF(ISNUMBER(SEARCH("present",IF(INDEX(_xlfn._xlws.FILTER('Model output'!E:E,('Model output'!Z:Z=A10)),1)="","",INDEX(_xlfn._xlws.FILTER('Model output'!E:E,('Model output'!Z:Z=A10)),1)),1)),"N1", IF(INDEX(_xlfn._xlws.FILTER('Model output'!E:E,('Model output'!Z:Z=A10)),1)="","",INDEX(_xlfn._xlws.FILTER('Model output'!E:E,('Model output'!Z:Z=A10)),1))),1)),RIGHT(IF(ISNUMBER(SEARCH("present",IF(INDEX(_xlfn._xlws.FILTER('Model output'!E:E,('Model output'!Z:Z=A10)),1)="","",INDEX(_xlfn._xlws.FILTER('Model output'!E:E,('Model output'!Z:Z=A10)),1)),1)),"N1", IF(INDEX(_xlfn._xlws.FILTER('Model output'!E:E,('Model output'!Z:Z=A10)),1)="","",INDEX(_xlfn._xlws.FILTER('Model output'!E:E,('Model output'!Z:Z=A10)),1))),LEN(IF(ISNUMBER(SEARCH("present",IF(INDEX(_xlfn._xlws.FILTER('Model output'!E:E,('Model output'!Z:Z=A10)),1)="","",INDEX(_xlfn._xlws.FILTER('Model output'!E:E,('Model output'!Z:Z=A10)),1)),1)),"N1", IF(INDEX(_xlfn._xlws.FILTER('Model output'!E:E,('Model output'!Z:Z=A10)),1)="","",INDEX(_xlfn._xlws.FILTER('Model output'!E:E,('Model output'!Z:Z=A10)),1))))-FIND("N",IF(ISNUMBER(SEARCH("present",IF(INDEX(_xlfn._xlws.FILTER('Model output'!E:E,('Model output'!Z:Z=A10)),1)="","",INDEX(_xlfn._xlws.FILTER('Model output'!E:E,('Model output'!Z:Z=A10)),1)),1)),"N1", IF(INDEX(_xlfn._xlws.FILTER('Model output'!E:E,('Model output'!Z:Z=A10)),1)="","",INDEX(_xlfn._xlws.FILTER('Model output'!E:E,('Model output'!Z:Z=A10)),1))),1)), "")</f>
        <v/>
      </c>
      <c r="H10" s="17" cm="1">
        <f t="array" ref="H10">IF(AND(SUBSTITUTE(_xlfn.TEXTJOIN("/", TRUE, _xlfn._xlws.FILTER('Model output'!F:F, 'Model output'!Z:Z=A10)),"M", "")="", K10="negative"),0,IF(K10="positive",1,0))</f>
        <v>0</v>
      </c>
      <c r="I10" t="str">
        <f t="shared" si="0"/>
        <v/>
      </c>
      <c r="J10" t="str" cm="1">
        <f t="array" ref="J10">IF(AND(M10&gt;0, _xlfn.TEXTJOIN("; ", TRUE, _xlfn._xlws.FILTER('Model output'!G:G, 'Model output'!Z:Z=A10)) &lt;&gt;"", OR(AND(ISNUMBER(SEARCH("level", _xlfn.TEXTJOIN("; ", TRUE, _xlfn._xlws.FILTER('Model output'!G:G, 'Model output'!Z:Z=A10)),1)),OR(ISNUMBER(SEARCH(" II", _xlfn.TEXTJOIN("; ", TRUE, _xlfn._xlws.FILTER('Model output'!G:G, 'Model output'!Z:Z=A10)),1)),ISNUMBER(SEARCH("2", _xlfn.TEXTJOIN("; ", TRUE, _xlfn._xlws.FILTER('Model output'!G:G, 'Model output'!Z:Z=A10)),1)),ISNUMBER(SEARCH("two", _xlfn.TEXTJOIN("; ", TRUE, _xlfn._xlws.FILTER('Model output'!G:G, 'Model output'!Z:Z=A10)),1)),ISNUMBER(SEARCH("III", _xlfn.TEXTJOIN("; ", TRUE, _xlfn._xlws.FILTER('Model output'!G:G, 'Model output'!Z:Z=A10)),1)),ISNUMBER(SEARCH("3", _xlfn.TEXTJOIN("; ", TRUE, _xlfn._xlws.FILTER('Model output'!G:G, 'Model output'!Z:Z=A10)),1)),ISNUMBER(SEARCH("three", _xlfn.TEXTJOIN("; ", TRUE, _xlfn._xlws.FILTER('Model output'!G:G, 'Model output'!Z:Z=A10)),1)),ISNUMBER(SEARCH("IV", _xlfn.TEXTJOIN("; ", TRUE, _xlfn._xlws.FILTER('Model output'!G:G, 'Model output'!Z:Z=A10)),1)),ISNUMBER(SEARCH("4", _xlfn.TEXTJOIN("; ", TRUE, _xlfn._xlws.FILTER('Model output'!G:G, 'Model output'!Z:Z=A10)),1)),ISNUMBER(SEARCH("five", _xlfn.TEXTJOIN("; ", TRUE, _xlfn._xlws.FILTER('Model output'!G:G, 'Model output'!Z:Z=A10)),1)),ISNUMBER(SEARCH("V ", _xlfn.TEXTJOIN("; ", TRUE, _xlfn._xlws.FILTER('Model output'!G:G, 'Model output'!Z:Z=A10)),1)),ISNUMBER(SEARCH("5", _xlfn.TEXTJOIN("; ", TRUE, _xlfn._xlws.FILTER('Model output'!G:G, 'Model output'!Z:Z=A10)),1)),ISNUMBER(SEARCH("five", _xlfn.TEXTJOIN("; ", TRUE, _xlfn._xlws.FILTER('Model output'!G:G, 'Model output'!Z:Z=A10)),1)),ISNUMBER(SEARCH(" lateral", _xlfn.TEXTJOIN("; ", TRUE, _xlfn._xlws.FILTER('Model output'!G:G, 'Model output'!Z:Z=A10)),1)))),ISNUMBER(SEARCH("cervical", _xlfn.TEXTJOIN("; ", TRUE, _xlfn._xlws.FILTER('Model output'!G:G, 'Model output'!Z:Z=A10)),1)),ISNUMBER(SEARCH("jugular", _xlfn.TEXTJOIN("; ", TRUE, _xlfn._xlws.FILTER('Model output'!G:G, 'Model output'!Z:Z=A10)),1)),ISNUMBER(SEARCH("left neck", _xlfn.TEXTJOIN("; ", TRUE, _xlfn._xlws.FILTER('Model output'!G:G, 'Model output'!Z:Z=A10)),1)),ISNUMBER(SEARCH("left anterior neck", _xlfn.TEXTJOIN("; ", TRUE, _xlfn._xlws.FILTER('Model output'!G:G, 'Model output'!Z:Z=A10)),1)),ISNUMBER(SEARCH("left posterior neck", _xlfn.TEXTJOIN("; ", TRUE, _xlfn._xlws.FILTER('Model output'!G:G, 'Model output'!Z:Z=A10)),1)),ISNUMBER(SEARCH("right neck", _xlfn.TEXTJOIN("; ", TRUE, _xlfn._xlws.FILTER('Model output'!G:G, 'Model output'!Z:Z=A10)),1)),ISNUMBER(SEARCH("right anterior neck", _xlfn.TEXTJOIN("; ", TRUE, _xlfn._xlws.FILTER('Model output'!G:G, 'Model output'!Z:Z=A10)),1)),ISNUMBER(SEARCH("right posterior neck", _xlfn.TEXTJOIN("; ", TRUE, _xlfn._xlws.FILTER('Model output'!G:G, 'Model output'!Z:Z=A10)),1)))),"lateral",IF(AND(M10=0, _xlfn.TEXTJOIN("; ", TRUE, _xlfn._xlws.FILTER('Model output'!G:G, 'Model output'!Z:Z=A10))=""),"", "central"))</f>
        <v/>
      </c>
      <c r="K10" s="17" t="str" cm="1">
        <f t="array" ref="K10">IF(OR(ISNUMBER(SEARCH("lymph",_xlfn.TEXTJOIN("; ", TRUE, _xlfn._xlws.FILTER('Model output'!H:H, 'Model output'!Z:Z=A10)),1)), ISNUMBER(SEARCH("Not mentioned",_xlfn.TEXTJOIN("; ", TRUE, _xlfn._xlws.FILTER('Model output'!H:H, 'Model output'!Z:Z=A10)),1)),ISNUMBER(SEARCH("subcutaneous soft tissues",_xlfn.TEXTJOIN("; ", TRUE, _xlfn._xlws.FILTER('Model output'!H:H, 'Model output'!Z:Z=A10)),1)),ISNUMBER(SEARCH("larynx",_xlfn.TEXTJOIN("; ", TRUE, _xlfn._xlws.FILTER('Model output'!H:H, 'Model output'!Z:Z=A10)),1)),ISNUMBER(SEARCH("trachea",_xlfn.TEXTJOIN("; ", TRUE, _xlfn._xlws.FILTER('Model output'!H:H, 'Model output'!Z:Z=A10)),1)),ISNUMBER(SEARCH("esophagus",_xlfn.TEXTJOIN("; ", TRUE, _xlfn._xlws.FILTER('Model output'!H:H, 'Model output'!Z:Z=A10)),1)),ISNUMBER(SEARCH("recurrent laryngeal nerve",_xlfn.TEXTJOIN("; ", TRUE, _xlfn._xlws.FILTER('Model output'!H:H, 'Model output'!Z:Z=A10)),1)),ISNUMBER(SEARCH("RLN",_xlfn.TEXTJOIN("; ", TRUE, _xlfn._xlws.FILTER('Model output'!H:H, 'Model output'!Z:Z=A10)),1)),_xlfn.TEXTJOIN("; ", TRUE, _xlfn._xlws.FILTER('Model output'!H:H, 'Model output'!Z:Z=A10))=""),"negative","positive")</f>
        <v>negative</v>
      </c>
      <c r="L10" s="17">
        <f>IF(IFERROR(INDEX('Model output'!I:I, MATCH(A10, 'Model output'!Z:Z, 0)), "") &lt; M10, "", IFERROR(INDEX('Model output'!I:I, MATCH(A10, 'Model output'!Z:Z, 0)), ""))</f>
        <v>6</v>
      </c>
      <c r="M10" s="28">
        <f>IFERROR(INDEX('Model output'!J:J, MATCH(A10, 'Model output'!Z:Z, 0)), "")</f>
        <v>0</v>
      </c>
      <c r="N10" s="47" t="str" cm="1">
        <f t="array" ref="N10">ReplaceTo(ReplaceAnd(SUBSTITUTE(SUBSTITUTE(_xlfn.TEXTJOIN("; ", TRUE, _xlfn._xlws.FILTER('Model output'!K:K, 'Model output'!Z:Z=A10)), " ", ""), ",", ";")))</f>
        <v/>
      </c>
      <c r="O10" s="45" t="str" cm="1">
        <f t="array" ref="O10">IF(LEFT(IF(RIGHT(SUBSTITUTE(FilterWithUnits(N10)&amp;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";")),1)=";",RIGHT(IF(RIGHT(SUBSTITUTE(FilterWithUnits(N10)&amp;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";")),LEN(IF(RIGHT(SUBSTITUTE(FilterWithUnits(N10)&amp;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";")))-1),IF(RIGHT(SUBSTITUTE(FilterWithUnits(N10)&amp; ";" &amp;FilterStringsWithNumericAnd(N10) &amp; ";" &amp; FilterStringsWithX(N10), ";;", ";"),1)=";",LEFT(SUBSTITUTE(FilterWithUnits(N10)&amp; ";" &amp;FilterStringsWithNumericAnd(N10) &amp; ";" &amp; FilterStringsWithX(N10), ";;", ";"),LEN(SUBSTITUTE(FilterWithUnits(N10)&amp; ";" &amp;FilterStringsWithNumericAnd(N10) &amp; ";" &amp; FilterStringsWithX(N10), ";;", ";"))-1),SUBSTITUTE(FilterWithUnits(N10)&amp; ";" &amp;FilterStringsWithNumericAnd(N10) &amp; ";" &amp; FilterStringsWithX(N10), ";;", ";")))</f>
        <v/>
      </c>
      <c r="P10" s="45" t="str" cm="1">
        <f t="array" ref="P10">IF(MaxSize((SplitDimensions(O10)))=0, "", MaxSize((SplitDimensions(O10))))</f>
        <v/>
      </c>
      <c r="Q10" t="str" cm="1">
        <f t="array" ref="Q10">IF(ISERROR(INDEX(_xlfn._xlws.FILTER('Model output'!L:L, ('Model output'!Z:Z=A10)*('Model output'!L:L&lt;&gt;"")), 1)), " ", LOWER(INDEX(_xlfn._xlws.FILTER('Model output'!L:L, ('Model output'!Z:Z=A10)*('Model output'!L:L&lt;&gt;"")), 1)))</f>
        <v>papillary carcinoma, classic subtype</v>
      </c>
      <c r="R10" s="45" t="str" cm="1">
        <f t="array" ref="R10">IF(ISERROR(INDEX(_xlfn._xlws.FILTER('Model output'!M:M, ('Model output'!Z:Z=A10)*('Model output'!M:M&lt;&gt;"")), 1)), " ", LOWER(INDEX(_xlfn._xlws.FILTER('Model output'!M:M, ('Model output'!Z:Z=A10)*('Model output'!M:M&lt;&gt;"")), 1)))</f>
        <v xml:space="preserve"> </v>
      </c>
      <c r="S10" s="45" t="str" cm="1">
        <f t="array" ref="S10">IF(OR(ISNUMBER(SEARCH("ly",SUBSTITUTE(INDEX(_xlfn._xlws.FILTER('Model output'!N:N,('Model output'!Z:Z=A10)*('Model output'!N:N&lt;&gt;"")),1)," ",""),1)), ISNUMBER(SEARCH("pole",SUBSTITUTE(INDEX(_xlfn._xlws.FILTER('Model output'!N:N,('Model output'!Z:Z=A10)*('Model output'!N:N&lt;&gt;"")),1)," ",""),1))),"",SUBSTITUTE(INDEX(_xlfn._xlws.FILTER('Model output'!N:N,('Model output'!Z:Z=A10)*('Model output'!N:N&lt;&gt;"")),1)," ",""))</f>
        <v>11.5mm</v>
      </c>
      <c r="T10" s="45" t="str" cm="1">
        <f t="array" ref="T10">IF(LEFT(IF(RIGHT(SUBSTITUTE(FilterWithUnits(S10)&amp;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";")),1)=";",RIGHT(IF(RIGHT(SUBSTITUTE(FilterWithUnits(S10)&amp;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";")),LEN(IF(RIGHT(SUBSTITUTE(FilterWithUnits(S10)&amp;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";")))-1),IF(RIGHT(SUBSTITUTE(FilterWithUnits(S10)&amp; ";" &amp;FilterStringsWithNumericAnd(S10) &amp; ";" &amp; FilterStringsWithX(S10), ";;", ";"),1)=";",LEFT(SUBSTITUTE(FilterWithUnits(S10)&amp; ";" &amp;FilterStringsWithNumericAnd(S10) &amp; ";" &amp; FilterStringsWithX(S10), ";;", ";"),LEN(SUBSTITUTE(FilterWithUnits(S10)&amp; ";" &amp;FilterStringsWithNumericAnd(S10) &amp; ";" &amp; FilterStringsWithX(S10), ";;", ";"))-1),SUBSTITUTE(FilterWithUnits(S10)&amp; ";" &amp;FilterStringsWithNumericAnd(S10) &amp; ";" &amp; FilterStringsWithX(S10), ";;", ";")))</f>
        <v>11.5mm</v>
      </c>
      <c r="U10" s="45" cm="1">
        <f t="array" ref="U10">IF(MaxSize((SplitDimensions(T10)))=0, "", MaxSize((SplitDimensions(T10))))</f>
        <v>1.1499999999999999</v>
      </c>
      <c r="V10" s="17" t="str" cm="1">
        <f t="array" ref="V10">IF(ISERROR(INDEX(_xlfn._xlws.FILTER('Model output'!P:P,('Model output'!Z:Z=A10)*('Model output'!P:P&lt;&gt;"")),1)),"negative",IF(OR(ISNUMBER(SEARCH("foc",INDEX(_xlfn._xlws.FILTER('Model output'!P:P,('Model output'!Z:Z=A10)*('Model output'!P:P&lt;&gt;"")),1),1)),ISNUMBER(SEARCH("extensive",INDEX(_xlfn._xlws.FILTER('Model output'!P:P,('Model output'!Z:Z=A10)*('Model output'!P:P&lt;&gt;"")),1),1)),ISNUMBER(SEARCH("present",INDEX(_xlfn._xlws.FILTER('Model output'!P:P,('Model output'!Z:Z=A10)*('Model output'!P:P&lt;&gt;"")),1),1)),ISNUMBER(SEARCH("yes",INDEX(_xlfn._xlws.FILTER('Model output'!P:P,('Model output'!Z:Z=A10)*('Model output'!P:P&lt;&gt;"")),1),1))),"positive","negative"))</f>
        <v>negative</v>
      </c>
      <c r="X10" t="str" cm="1">
        <f t="array" ref="X10">IF(ISNUMBER(SEARCH("4",INDEX(_xlfn._xlws.FILTER('Model output'!P:P,('Model output'!Z:Z=A10)*('Model output'!P:P&lt;&gt;"")),1),1)),INDEX(_xlfn._xlws.FILTER('Model output'!P:P,('Model output'!Z:Z=A10)*('Model output'!P:P&lt;&gt;"")),1),"") &amp; _xlfn.TEXTJOIN("",TRUE,_xlfn._xlws.FILTER('Model output'!Q:Q,'Model output'!Z:Z=A10))</f>
        <v/>
      </c>
      <c r="Y10" t="str">
        <f t="shared" si="10"/>
        <v>no</v>
      </c>
      <c r="Z10" t="str" cm="1">
        <f t="array" ref="Z10">IF(OR(ISNUMBER(SEARCH("focal",_xlfn.TEXTJOIN("; ",TRUE,_xlfn._xlws.FILTER('Model output'!R:R,'Model output'!Z:Z=A10)),1)),ISNUMBER(SEARCH("present",_xlfn.TEXTJOIN("; ",TRUE,_xlfn._xlws.FILTER('Model output'!R:R,'Model output'!Z:Z=A10)),1))),"positive",IF(_xlfn.TEXTJOIN("; ",TRUE,_xlfn._xlws.FILTER('Model output'!R:R,'Model output'!Z:Z=A10))="","negative",IF(OR(ISNUMBER(SEARCH("no",_xlfn.TEXTJOIN("; ",TRUE,_xlfn._xlws.FILTER('Model output'!R:R,'Model output'!Z:Z=A10)),1)),ISNUMBER(SEARCH("absent",_xlfn.TEXTJOIN("; ",TRUE,_xlfn._xlws.FILTER('Model output'!R:R,'Model output'!Z:Z=A10)),1))),"negative","positive")))</f>
        <v>negative</v>
      </c>
      <c r="AA10" s="17" t="str">
        <f t="shared" si="11"/>
        <v>negative</v>
      </c>
      <c r="AE10" s="17" t="str">
        <f t="shared" si="12"/>
        <v>negative</v>
      </c>
      <c r="AF10" t="str" cm="1">
        <f t="array" ref="AF10">_xlfn.TEXTJOIN("; ",TRUE,_xlfn._xlws.FILTER('Model output'!S:S,'Model output'!Z:Z=A10))</f>
        <v>Not identified</v>
      </c>
      <c r="AG10" s="17" t="str" cm="1">
        <f t="array" ref="AG10">IF(OR(ISNUMBER(SEARCH("uninvolved",_xlfn.TEXTJOIN("; ",TRUE,_xlfn._xlws.FILTER('Model output'!V:V,'Model output'!Z:Z=A10)),1)),ISNUMBER(SEARCH("clear",_xlfn.TEXTJOIN("; ",TRUE,_xlfn._xlws.FILTER('Model output'!V:V,'Model output'!Z:Z=A10)),1))*ISNUMBER(SEARCH("not mentioned",_xlfn.TEXTJOIN("; ",TRUE,_xlfn._xlws.FILTER('Model output'!V:V,'Model output'!Z:Z=A10)),1))),"negative",IF(ISNUMBER(SEARCH("cannot be assessed",_xlfn.TEXTJOIN("; ",TRUE,_xlfn._xlws.FILTER('Model output'!V:V,'Model output'!Z:Z=A10)),1)),"unknown","negative"))</f>
        <v>negative</v>
      </c>
      <c r="AI10" s="40" t="str">
        <f t="shared" si="13"/>
        <v>low</v>
      </c>
      <c r="AJ10" s="28" t="str">
        <f t="shared" si="14"/>
        <v>1b</v>
      </c>
      <c r="AK10" s="28">
        <f t="shared" si="2"/>
        <v>0</v>
      </c>
      <c r="AL10" s="28">
        <f t="shared" si="3"/>
        <v>0</v>
      </c>
      <c r="AM10" s="28" t="str">
        <f t="shared" si="4"/>
        <v>I</v>
      </c>
      <c r="AN10" s="37" t="s">
        <v>171</v>
      </c>
      <c r="AO10" s="38" t="s">
        <v>214</v>
      </c>
      <c r="AP10" s="38" t="s">
        <v>215</v>
      </c>
      <c r="AQ10" s="38">
        <v>0</v>
      </c>
      <c r="AR10" s="38" t="s">
        <v>31</v>
      </c>
      <c r="AS10" s="37">
        <f t="shared" si="5"/>
        <v>1</v>
      </c>
      <c r="AT10" s="38">
        <f t="shared" si="6"/>
        <v>1</v>
      </c>
      <c r="AU10" s="38">
        <f t="shared" si="7"/>
        <v>1</v>
      </c>
      <c r="AV10" s="38">
        <f t="shared" si="8"/>
        <v>1</v>
      </c>
      <c r="AW10" s="39">
        <f t="shared" si="9"/>
        <v>1</v>
      </c>
    </row>
    <row r="11" spans="1:49">
      <c r="A11" s="13">
        <v>9</v>
      </c>
      <c r="B11" s="16">
        <f>_xlfn.MAXIFS('Model output'!B:B,'Model output'!Z:Z,'Classification result'!$A11)</f>
        <v>45537</v>
      </c>
      <c r="C11" s="16"/>
      <c r="D11" s="16"/>
      <c r="E11" s="17">
        <f>_xlfn.MAXIFS('Model output'!C:C,'Model output'!Z:Z,'Classification result'!$A11)</f>
        <v>55</v>
      </c>
      <c r="F11" s="17" t="str" cm="1">
        <f t="array" ref="F11">LEFT(IF(ISERROR(RIGHT(IF(INDEX(_xlfn._xlws.FILTER('Model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output'!Z:Z=A11)),1),""),1))),"",(RIGHT(IF(INDEX(_xlfn._xlws.FILTER('Model output'!D:D,('Model output'!Z:Z=A11)),1)&lt;&gt;"",INDEX(_xlfn._xlws.FILTER('Model output'!D:D,('Model output'!Z:Z=A11)),1),""),LEN(IF(INDEX(_xlfn._xlws.FILTER('Model output'!D:D,('Model output'!Z:Z=A11)),1)&lt;&gt;"",INDEX(_xlfn._xlws.FILTER('Model output'!D:D,('Model output'!Z:Z=A11)),1),""))-FIND("T",IF(INDEX(_xlfn._xlws.FILTER('Model output'!D:D,('Model output'!Z:Z=A11)),1)&lt;&gt;"",INDEX(_xlfn._xlws.FILTER('Model output'!D:D,('Model output'!Z:Z=A11)),1)))))),2)</f>
        <v>2</v>
      </c>
      <c r="G11" s="17" t="str" cm="1">
        <f t="array" ref="G11">IF(ISNUMBER(SEARCH("N",IF(ISNUMBER(SEARCH("present",IF(INDEX(_xlfn._xlws.FILTER('Model output'!E:E,('Model output'!Z:Z=A11)),1)="","",INDEX(_xlfn._xlws.FILTER('Model output'!E:E,('Model output'!Z:Z=A11)),1)),1)),"N1", IF(INDEX(_xlfn._xlws.FILTER('Model output'!E:E,('Model output'!Z:Z=A11)),1)="","",INDEX(_xlfn._xlws.FILTER('Model output'!E:E,('Model output'!Z:Z=A11)),1))),1)),RIGHT(IF(ISNUMBER(SEARCH("present",IF(INDEX(_xlfn._xlws.FILTER('Model output'!E:E,('Model output'!Z:Z=A11)),1)="","",INDEX(_xlfn._xlws.FILTER('Model output'!E:E,('Model output'!Z:Z=A11)),1)),1)),"N1", IF(INDEX(_xlfn._xlws.FILTER('Model output'!E:E,('Model output'!Z:Z=A11)),1)="","",INDEX(_xlfn._xlws.FILTER('Model output'!E:E,('Model output'!Z:Z=A11)),1))),LEN(IF(ISNUMBER(SEARCH("present",IF(INDEX(_xlfn._xlws.FILTER('Model output'!E:E,('Model output'!Z:Z=A11)),1)="","",INDEX(_xlfn._xlws.FILTER('Model output'!E:E,('Model output'!Z:Z=A11)),1)),1)),"N1", IF(INDEX(_xlfn._xlws.FILTER('Model output'!E:E,('Model output'!Z:Z=A11)),1)="","",INDEX(_xlfn._xlws.FILTER('Model output'!E:E,('Model output'!Z:Z=A11)),1))))-FIND("N",IF(ISNUMBER(SEARCH("present",IF(INDEX(_xlfn._xlws.FILTER('Model output'!E:E,('Model output'!Z:Z=A11)),1)="","",INDEX(_xlfn._xlws.FILTER('Model output'!E:E,('Model output'!Z:Z=A11)),1)),1)),"N1", IF(INDEX(_xlfn._xlws.FILTER('Model output'!E:E,('Model output'!Z:Z=A11)),1)="","",INDEX(_xlfn._xlws.FILTER('Model output'!E:E,('Model output'!Z:Z=A11)),1))),1)), "")</f>
        <v/>
      </c>
      <c r="H11" s="17" cm="1">
        <f t="array" ref="H11">IF(AND(SUBSTITUTE(_xlfn.TEXTJOIN("/", TRUE, _xlfn._xlws.FILTER('Model output'!F:F, 'Model output'!Z:Z=A11)),"M", "")="", K11="negative"),0,IF(K11="positive",1,0))</f>
        <v>0</v>
      </c>
      <c r="I11" t="str">
        <f t="shared" si="0"/>
        <v>positive</v>
      </c>
      <c r="J11" t="str" cm="1">
        <f t="array" ref="J11">IF(AND(M11&gt;0, _xlfn.TEXTJOIN("; ", TRUE, _xlfn._xlws.FILTER('Model output'!G:G, 'Model output'!Z:Z=A11)) &lt;&gt;"", OR(AND(ISNUMBER(SEARCH("level", _xlfn.TEXTJOIN("; ", TRUE, _xlfn._xlws.FILTER('Model output'!G:G, 'Model output'!Z:Z=A11)),1)),OR(ISNUMBER(SEARCH(" II", _xlfn.TEXTJOIN("; ", TRUE, _xlfn._xlws.FILTER('Model output'!G:G, 'Model output'!Z:Z=A11)),1)),ISNUMBER(SEARCH("2", _xlfn.TEXTJOIN("; ", TRUE, _xlfn._xlws.FILTER('Model output'!G:G, 'Model output'!Z:Z=A11)),1)),ISNUMBER(SEARCH("two", _xlfn.TEXTJOIN("; ", TRUE, _xlfn._xlws.FILTER('Model output'!G:G, 'Model output'!Z:Z=A11)),1)),ISNUMBER(SEARCH("III", _xlfn.TEXTJOIN("; ", TRUE, _xlfn._xlws.FILTER('Model output'!G:G, 'Model output'!Z:Z=A11)),1)),ISNUMBER(SEARCH("3", _xlfn.TEXTJOIN("; ", TRUE, _xlfn._xlws.FILTER('Model output'!G:G, 'Model output'!Z:Z=A11)),1)),ISNUMBER(SEARCH("three", _xlfn.TEXTJOIN("; ", TRUE, _xlfn._xlws.FILTER('Model output'!G:G, 'Model output'!Z:Z=A11)),1)),ISNUMBER(SEARCH("IV", _xlfn.TEXTJOIN("; ", TRUE, _xlfn._xlws.FILTER('Model output'!G:G, 'Model output'!Z:Z=A11)),1)),ISNUMBER(SEARCH("4", _xlfn.TEXTJOIN("; ", TRUE, _xlfn._xlws.FILTER('Model output'!G:G, 'Model output'!Z:Z=A11)),1)),ISNUMBER(SEARCH("five", _xlfn.TEXTJOIN("; ", TRUE, _xlfn._xlws.FILTER('Model output'!G:G, 'Model output'!Z:Z=A11)),1)),ISNUMBER(SEARCH("V ", _xlfn.TEXTJOIN("; ", TRUE, _xlfn._xlws.FILTER('Model output'!G:G, 'Model output'!Z:Z=A11)),1)),ISNUMBER(SEARCH("5", _xlfn.TEXTJOIN("; ", TRUE, _xlfn._xlws.FILTER('Model output'!G:G, 'Model output'!Z:Z=A11)),1)),ISNUMBER(SEARCH("five", _xlfn.TEXTJOIN("; ", TRUE, _xlfn._xlws.FILTER('Model output'!G:G, 'Model output'!Z:Z=A11)),1)),ISNUMBER(SEARCH(" lateral", _xlfn.TEXTJOIN("; ", TRUE, _xlfn._xlws.FILTER('Model output'!G:G, 'Model output'!Z:Z=A11)),1)))),ISNUMBER(SEARCH("cervical", _xlfn.TEXTJOIN("; ", TRUE, _xlfn._xlws.FILTER('Model output'!G:G, 'Model output'!Z:Z=A11)),1)),ISNUMBER(SEARCH("jugular", _xlfn.TEXTJOIN("; ", TRUE, _xlfn._xlws.FILTER('Model output'!G:G, 'Model output'!Z:Z=A11)),1)),ISNUMBER(SEARCH("left neck", _xlfn.TEXTJOIN("; ", TRUE, _xlfn._xlws.FILTER('Model output'!G:G, 'Model output'!Z:Z=A11)),1)),ISNUMBER(SEARCH("left anterior neck", _xlfn.TEXTJOIN("; ", TRUE, _xlfn._xlws.FILTER('Model output'!G:G, 'Model output'!Z:Z=A11)),1)),ISNUMBER(SEARCH("left posterior neck", _xlfn.TEXTJOIN("; ", TRUE, _xlfn._xlws.FILTER('Model output'!G:G, 'Model output'!Z:Z=A11)),1)),ISNUMBER(SEARCH("right neck", _xlfn.TEXTJOIN("; ", TRUE, _xlfn._xlws.FILTER('Model output'!G:G, 'Model output'!Z:Z=A11)),1)),ISNUMBER(SEARCH("right anterior neck", _xlfn.TEXTJOIN("; ", TRUE, _xlfn._xlws.FILTER('Model output'!G:G, 'Model output'!Z:Z=A11)),1)),ISNUMBER(SEARCH("right posterior neck", _xlfn.TEXTJOIN("; ", TRUE, _xlfn._xlws.FILTER('Model output'!G:G, 'Model output'!Z:Z=A11)),1)))),"lateral",IF(AND(M11=0, _xlfn.TEXTJOIN("; ", TRUE, _xlfn._xlws.FILTER('Model output'!G:G, 'Model output'!Z:Z=A11))=""),"", "central"))</f>
        <v>central</v>
      </c>
      <c r="K11" s="17" t="str" cm="1">
        <f t="array" ref="K11">IF(OR(ISNUMBER(SEARCH("lymph",_xlfn.TEXTJOIN("; ", TRUE, _xlfn._xlws.FILTER('Model output'!H:H, 'Model output'!Z:Z=A11)),1)), ISNUMBER(SEARCH("Not mentioned",_xlfn.TEXTJOIN("; ", TRUE, _xlfn._xlws.FILTER('Model output'!H:H, 'Model output'!Z:Z=A11)),1)),ISNUMBER(SEARCH("subcutaneous soft tissues",_xlfn.TEXTJOIN("; ", TRUE, _xlfn._xlws.FILTER('Model output'!H:H, 'Model output'!Z:Z=A11)),1)),ISNUMBER(SEARCH("larynx",_xlfn.TEXTJOIN("; ", TRUE, _xlfn._xlws.FILTER('Model output'!H:H, 'Model output'!Z:Z=A11)),1)),ISNUMBER(SEARCH("trachea",_xlfn.TEXTJOIN("; ", TRUE, _xlfn._xlws.FILTER('Model output'!H:H, 'Model output'!Z:Z=A11)),1)),ISNUMBER(SEARCH("esophagus",_xlfn.TEXTJOIN("; ", TRUE, _xlfn._xlws.FILTER('Model output'!H:H, 'Model output'!Z:Z=A11)),1)),ISNUMBER(SEARCH("recurrent laryngeal nerve",_xlfn.TEXTJOIN("; ", TRUE, _xlfn._xlws.FILTER('Model output'!H:H, 'Model output'!Z:Z=A11)),1)),ISNUMBER(SEARCH("RLN",_xlfn.TEXTJOIN("; ", TRUE, _xlfn._xlws.FILTER('Model output'!H:H, 'Model output'!Z:Z=A11)),1)),_xlfn.TEXTJOIN("; ", TRUE, _xlfn._xlws.FILTER('Model output'!H:H, 'Model output'!Z:Z=A11))=""),"negative","positive")</f>
        <v>negative</v>
      </c>
      <c r="L11" s="17">
        <f>IF(IFERROR(INDEX('Model output'!I:I, MATCH(A11, 'Model output'!Z:Z, 0)), "") &lt; M11, "", IFERROR(INDEX('Model output'!I:I, MATCH(A11, 'Model output'!Z:Z, 0)), ""))</f>
        <v>8</v>
      </c>
      <c r="M11" s="28">
        <f>IFERROR(INDEX('Model output'!J:J, MATCH(A11, 'Model output'!Z:Z, 0)), "")</f>
        <v>4</v>
      </c>
      <c r="N11" s="47" t="str" cm="1">
        <f t="array" ref="N11">ReplaceTo(ReplaceAnd(SUBSTITUTE(SUBSTITUTE(_xlfn.TEXTJOIN("; ", TRUE, _xlfn._xlws.FILTER('Model output'!K:K, 'Model output'!Z:Z=A11)), " ", ""), ",", ";")))</f>
        <v>1.5cm</v>
      </c>
      <c r="O11" s="45" t="str" cm="1">
        <f t="array" ref="O11">IF(LEFT(IF(RIGHT(SUBSTITUTE(FilterWithUnits(N11)&amp;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";")),1)=";",RIGHT(IF(RIGHT(SUBSTITUTE(FilterWithUnits(N11)&amp;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";")),LEN(IF(RIGHT(SUBSTITUTE(FilterWithUnits(N11)&amp;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";")))-1),IF(RIGHT(SUBSTITUTE(FilterWithUnits(N11)&amp; ";" &amp;FilterStringsWithNumericAnd(N11) &amp; ";" &amp; FilterStringsWithX(N11), ";;", ";"),1)=";",LEFT(SUBSTITUTE(FilterWithUnits(N11)&amp; ";" &amp;FilterStringsWithNumericAnd(N11) &amp; ";" &amp; FilterStringsWithX(N11), ";;", ";"),LEN(SUBSTITUTE(FilterWithUnits(N11)&amp; ";" &amp;FilterStringsWithNumericAnd(N11) &amp; ";" &amp; FilterStringsWithX(N11), ";;", ";"))-1),SUBSTITUTE(FilterWithUnits(N11)&amp; ";" &amp;FilterStringsWithNumericAnd(N11) &amp; ";" &amp; FilterStringsWithX(N11), ";;", ";")))</f>
        <v>1.5cm</v>
      </c>
      <c r="P11" s="45" cm="1">
        <f t="array" ref="P11">IF(MaxSize((SplitDimensions(O11)))=0, "", MaxSize((SplitDimensions(O11))))</f>
        <v>1.5</v>
      </c>
      <c r="Q11" t="str" cm="1">
        <f t="array" ref="Q11">IF(ISERROR(INDEX(_xlfn._xlws.FILTER('Model output'!L:L, ('Model output'!Z:Z=A11)*('Model output'!L:L&lt;&gt;"")), 1)), " ", LOWER(INDEX(_xlfn._xlws.FILTER('Model output'!L:L, ('Model output'!Z:Z=A11)*('Model output'!L:L&lt;&gt;"")), 1)))</f>
        <v>papillary carcinoma, encapsulated classic subtype</v>
      </c>
      <c r="R11" s="45" t="str" cm="1">
        <f t="array" ref="R11">IF(ISERROR(INDEX(_xlfn._xlws.FILTER('Model output'!M:M, ('Model output'!Z:Z=A11)*('Model output'!M:M&lt;&gt;"")), 1)), " ", LOWER(INDEX(_xlfn._xlws.FILTER('Model output'!M:M, ('Model output'!Z:Z=A11)*('Model output'!M:M&lt;&gt;"")), 1)))</f>
        <v xml:space="preserve"> </v>
      </c>
      <c r="S11" s="45" t="str" cm="1">
        <f t="array" ref="S11">IF(OR(ISNUMBER(SEARCH("ly",SUBSTITUTE(INDEX(_xlfn._xlws.FILTER('Model output'!N:N,('Model output'!Z:Z=A11)*('Model output'!N:N&lt;&gt;"")),1)," ",""),1)), ISNUMBER(SEARCH("pole",SUBSTITUTE(INDEX(_xlfn._xlws.FILTER('Model output'!N:N,('Model output'!Z:Z=A11)*('Model output'!N:N&lt;&gt;"")),1)," ",""),1))),"",SUBSTITUTE(INDEX(_xlfn._xlws.FILTER('Model output'!N:N,('Model output'!Z:Z=A11)*('Model output'!N:N&lt;&gt;"")),1)," ",""))</f>
        <v/>
      </c>
      <c r="T11" s="45" t="str" cm="1">
        <f t="array" ref="T11">IF(LEFT(IF(RIGHT(SUBSTITUTE(FilterWithUnits(S11)&amp;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";")),1)=";",RIGHT(IF(RIGHT(SUBSTITUTE(FilterWithUnits(S11)&amp;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";")),LEN(IF(RIGHT(SUBSTITUTE(FilterWithUnits(S11)&amp;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";")))-1),IF(RIGHT(SUBSTITUTE(FilterWithUnits(S11)&amp; ";" &amp;FilterStringsWithNumericAnd(S11) &amp; ";" &amp; FilterStringsWithX(S11), ";;", ";"),1)=";",LEFT(SUBSTITUTE(FilterWithUnits(S11)&amp; ";" &amp;FilterStringsWithNumericAnd(S11) &amp; ";" &amp; FilterStringsWithX(S11), ";;", ";"),LEN(SUBSTITUTE(FilterWithUnits(S11)&amp; ";" &amp;FilterStringsWithNumericAnd(S11) &amp; ";" &amp; FilterStringsWithX(S11), ";;", ";"))-1),SUBSTITUTE(FilterWithUnits(S11)&amp; ";" &amp;FilterStringsWithNumericAnd(S11) &amp; ";" &amp; FilterStringsWithX(S11), ";;", ";")))</f>
        <v/>
      </c>
      <c r="U11" s="45" t="str" cm="1">
        <f t="array" ref="U11">IF(MaxSize((SplitDimensions(T11)))=0, "", MaxSize((SplitDimensions(T11))))</f>
        <v/>
      </c>
      <c r="V11" s="17" t="str" cm="1">
        <f t="array" ref="V11">IF(ISERROR(INDEX(_xlfn._xlws.FILTER('Model output'!P:P,('Model output'!Z:Z=A11)*('Model output'!P:P&lt;&gt;"")),1)),"negative",IF(OR(ISNUMBER(SEARCH("foc",INDEX(_xlfn._xlws.FILTER('Model output'!P:P,('Model output'!Z:Z=A11)*('Model output'!P:P&lt;&gt;"")),1),1)),ISNUMBER(SEARCH("extensive",INDEX(_xlfn._xlws.FILTER('Model output'!P:P,('Model output'!Z:Z=A11)*('Model output'!P:P&lt;&gt;"")),1),1)),ISNUMBER(SEARCH("present",INDEX(_xlfn._xlws.FILTER('Model output'!P:P,('Model output'!Z:Z=A11)*('Model output'!P:P&lt;&gt;"")),1),1)),ISNUMBER(SEARCH("yes",INDEX(_xlfn._xlws.FILTER('Model output'!P:P,('Model output'!Z:Z=A11)*('Model output'!P:P&lt;&gt;"")),1),1))),"positive","negative"))</f>
        <v>negative</v>
      </c>
      <c r="X11" t="str" cm="1">
        <f t="array" ref="X11">IF(ISNUMBER(SEARCH("4",INDEX(_xlfn._xlws.FILTER('Model output'!P:P,('Model output'!Z:Z=A11)*('Model output'!P:P&lt;&gt;"")),1),1)),INDEX(_xlfn._xlws.FILTER('Model output'!P:P,('Model output'!Z:Z=A11)*('Model output'!P:P&lt;&gt;"")),1),"") &amp; _xlfn.TEXTJOIN("",TRUE,_xlfn._xlws.FILTER('Model output'!Q:Q,'Model output'!Z:Z=A11))</f>
        <v/>
      </c>
      <c r="Y11" t="str">
        <f t="shared" si="10"/>
        <v>no</v>
      </c>
      <c r="Z11" t="str" cm="1">
        <f t="array" ref="Z11">IF(OR(ISNUMBER(SEARCH("focal",_xlfn.TEXTJOIN("; ",TRUE,_xlfn._xlws.FILTER('Model output'!R:R,'Model output'!Z:Z=A11)),1)),ISNUMBER(SEARCH("present",_xlfn.TEXTJOIN("; ",TRUE,_xlfn._xlws.FILTER('Model output'!R:R,'Model output'!Z:Z=A11)),1))),"positive",IF(_xlfn.TEXTJOIN("; ",TRUE,_xlfn._xlws.FILTER('Model output'!R:R,'Model output'!Z:Z=A11))="","negative",IF(OR(ISNUMBER(SEARCH("no",_xlfn.TEXTJOIN("; ",TRUE,_xlfn._xlws.FILTER('Model output'!R:R,'Model output'!Z:Z=A11)),1)),ISNUMBER(SEARCH("absent",_xlfn.TEXTJOIN("; ",TRUE,_xlfn._xlws.FILTER('Model output'!R:R,'Model output'!Z:Z=A11)),1))),"negative","positive")))</f>
        <v>negative</v>
      </c>
      <c r="AA11" s="17" t="str">
        <f t="shared" si="11"/>
        <v>negative</v>
      </c>
      <c r="AE11" s="17" t="str">
        <f t="shared" si="12"/>
        <v>negative</v>
      </c>
      <c r="AF11" t="str" cm="1">
        <f t="array" ref="AF11">_xlfn.TEXTJOIN("; ",TRUE,_xlfn._xlws.FILTER('Model output'!S:S,'Model output'!Z:Z=A11))</f>
        <v>Not identified; Not mentioned</v>
      </c>
      <c r="AG11" s="17" t="str" cm="1">
        <f t="array" ref="AG11">IF(OR(ISNUMBER(SEARCH("uninvolved",_xlfn.TEXTJOIN("; ",TRUE,_xlfn._xlws.FILTER('Model output'!V:V,'Model output'!Z:Z=A11)),1)),ISNUMBER(SEARCH("clear",_xlfn.TEXTJOIN("; ",TRUE,_xlfn._xlws.FILTER('Model output'!V:V,'Model output'!Z:Z=A11)),1))*ISNUMBER(SEARCH("not mentioned",_xlfn.TEXTJOIN("; ",TRUE,_xlfn._xlws.FILTER('Model output'!V:V,'Model output'!Z:Z=A11)),1))),"negative",IF(ISNUMBER(SEARCH("cannot be assessed",_xlfn.TEXTJOIN("; ",TRUE,_xlfn._xlws.FILTER('Model output'!V:V,'Model output'!Z:Z=A11)),1)),"unknown","negative"))</f>
        <v>negative</v>
      </c>
      <c r="AI11" s="40" t="str">
        <f t="shared" si="13"/>
        <v>low</v>
      </c>
      <c r="AJ11" s="28" t="str">
        <f t="shared" si="14"/>
        <v>1a</v>
      </c>
      <c r="AK11" s="28" t="str">
        <f t="shared" si="2"/>
        <v>1a</v>
      </c>
      <c r="AL11" s="28">
        <f t="shared" si="3"/>
        <v>0</v>
      </c>
      <c r="AM11" s="28" t="str">
        <f t="shared" si="4"/>
        <v>II</v>
      </c>
      <c r="AN11" s="37" t="s">
        <v>169</v>
      </c>
      <c r="AO11" s="38" t="s">
        <v>435</v>
      </c>
      <c r="AP11" s="38" t="s">
        <v>216</v>
      </c>
      <c r="AQ11" s="38">
        <v>0</v>
      </c>
      <c r="AR11" s="38" t="s">
        <v>45</v>
      </c>
      <c r="AS11" s="37">
        <f t="shared" si="5"/>
        <v>0</v>
      </c>
      <c r="AT11" s="38">
        <f t="shared" si="6"/>
        <v>0</v>
      </c>
      <c r="AU11" s="38">
        <f t="shared" si="7"/>
        <v>1</v>
      </c>
      <c r="AV11" s="38">
        <f t="shared" si="8"/>
        <v>1</v>
      </c>
      <c r="AW11" s="39">
        <f t="shared" si="9"/>
        <v>1</v>
      </c>
    </row>
    <row r="12" spans="1:49">
      <c r="A12" s="13">
        <v>10</v>
      </c>
      <c r="B12" s="16">
        <f>_xlfn.MAXIFS('Model output'!B:B,'Model output'!Z:Z,'Classification result'!$A12)</f>
        <v>0</v>
      </c>
      <c r="C12" s="16"/>
      <c r="D12" s="16"/>
      <c r="E12" s="17">
        <f>_xlfn.MAXIFS('Model output'!C:C,'Model output'!Z:Z,'Classification result'!$A12)</f>
        <v>24</v>
      </c>
      <c r="F12" s="17" t="str" cm="1">
        <f t="array" ref="F12">LEFT(IF(ISERROR(RIGHT(IF(INDEX(_xlfn._xlws.FILTER('Model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output'!Z:Z=A12)),1),""),1))),"",(RIGHT(IF(INDEX(_xlfn._xlws.FILTER('Model output'!D:D,('Model output'!Z:Z=A12)),1)&lt;&gt;"",INDEX(_xlfn._xlws.FILTER('Model output'!D:D,('Model output'!Z:Z=A12)),1),""),LEN(IF(INDEX(_xlfn._xlws.FILTER('Model output'!D:D,('Model output'!Z:Z=A12)),1)&lt;&gt;"",INDEX(_xlfn._xlws.FILTER('Model output'!D:D,('Model output'!Z:Z=A12)),1),""))-FIND("T",IF(INDEX(_xlfn._xlws.FILTER('Model output'!D:D,('Model output'!Z:Z=A12)),1)&lt;&gt;"",INDEX(_xlfn._xlws.FILTER('Model output'!D:D,('Model output'!Z:Z=A12)),1)))))),2)</f>
        <v>1b</v>
      </c>
      <c r="G12" s="17" t="str" cm="1">
        <f t="array" ref="G12">IF(ISNUMBER(SEARCH("N",IF(ISNUMBER(SEARCH("present",IF(INDEX(_xlfn._xlws.FILTER('Model output'!E:E,('Model output'!Z:Z=A12)),1)="","",INDEX(_xlfn._xlws.FILTER('Model output'!E:E,('Model output'!Z:Z=A12)),1)),1)),"N1", IF(INDEX(_xlfn._xlws.FILTER('Model output'!E:E,('Model output'!Z:Z=A12)),1)="","",INDEX(_xlfn._xlws.FILTER('Model output'!E:E,('Model output'!Z:Z=A12)),1))),1)),RIGHT(IF(ISNUMBER(SEARCH("present",IF(INDEX(_xlfn._xlws.FILTER('Model output'!E:E,('Model output'!Z:Z=A12)),1)="","",INDEX(_xlfn._xlws.FILTER('Model output'!E:E,('Model output'!Z:Z=A12)),1)),1)),"N1", IF(INDEX(_xlfn._xlws.FILTER('Model output'!E:E,('Model output'!Z:Z=A12)),1)="","",INDEX(_xlfn._xlws.FILTER('Model output'!E:E,('Model output'!Z:Z=A12)),1))),LEN(IF(ISNUMBER(SEARCH("present",IF(INDEX(_xlfn._xlws.FILTER('Model output'!E:E,('Model output'!Z:Z=A12)),1)="","",INDEX(_xlfn._xlws.FILTER('Model output'!E:E,('Model output'!Z:Z=A12)),1)),1)),"N1", IF(INDEX(_xlfn._xlws.FILTER('Model output'!E:E,('Model output'!Z:Z=A12)),1)="","",INDEX(_xlfn._xlws.FILTER('Model output'!E:E,('Model output'!Z:Z=A12)),1))))-FIND("N",IF(ISNUMBER(SEARCH("present",IF(INDEX(_xlfn._xlws.FILTER('Model output'!E:E,('Model output'!Z:Z=A12)),1)="","",INDEX(_xlfn._xlws.FILTER('Model output'!E:E,('Model output'!Z:Z=A12)),1)),1)),"N1", IF(INDEX(_xlfn._xlws.FILTER('Model output'!E:E,('Model output'!Z:Z=A12)),1)="","",INDEX(_xlfn._xlws.FILTER('Model output'!E:E,('Model output'!Z:Z=A12)),1))),1)), "")</f>
        <v/>
      </c>
      <c r="H12" s="17" cm="1">
        <f t="array" ref="H12">IF(AND(SUBSTITUTE(_xlfn.TEXTJOIN("/", TRUE, _xlfn._xlws.FILTER('Model output'!F:F, 'Model output'!Z:Z=A12)),"M", "")="", K12="negative"),0,IF(K12="positive",1,0))</f>
        <v>0</v>
      </c>
      <c r="I12" t="str">
        <f t="shared" si="0"/>
        <v>positive</v>
      </c>
      <c r="J12" t="str" cm="1">
        <f t="array" ref="J12">IF(AND(M12&gt;0, _xlfn.TEXTJOIN("; ", TRUE, _xlfn._xlws.FILTER('Model output'!G:G, 'Model output'!Z:Z=A12)) &lt;&gt;"", OR(AND(ISNUMBER(SEARCH("level", _xlfn.TEXTJOIN("; ", TRUE, _xlfn._xlws.FILTER('Model output'!G:G, 'Model output'!Z:Z=A12)),1)),OR(ISNUMBER(SEARCH(" II", _xlfn.TEXTJOIN("; ", TRUE, _xlfn._xlws.FILTER('Model output'!G:G, 'Model output'!Z:Z=A12)),1)),ISNUMBER(SEARCH("2", _xlfn.TEXTJOIN("; ", TRUE, _xlfn._xlws.FILTER('Model output'!G:G, 'Model output'!Z:Z=A12)),1)),ISNUMBER(SEARCH("two", _xlfn.TEXTJOIN("; ", TRUE, _xlfn._xlws.FILTER('Model output'!G:G, 'Model output'!Z:Z=A12)),1)),ISNUMBER(SEARCH("III", _xlfn.TEXTJOIN("; ", TRUE, _xlfn._xlws.FILTER('Model output'!G:G, 'Model output'!Z:Z=A12)),1)),ISNUMBER(SEARCH("3", _xlfn.TEXTJOIN("; ", TRUE, _xlfn._xlws.FILTER('Model output'!G:G, 'Model output'!Z:Z=A12)),1)),ISNUMBER(SEARCH("three", _xlfn.TEXTJOIN("; ", TRUE, _xlfn._xlws.FILTER('Model output'!G:G, 'Model output'!Z:Z=A12)),1)),ISNUMBER(SEARCH("IV", _xlfn.TEXTJOIN("; ", TRUE, _xlfn._xlws.FILTER('Model output'!G:G, 'Model output'!Z:Z=A12)),1)),ISNUMBER(SEARCH("4", _xlfn.TEXTJOIN("; ", TRUE, _xlfn._xlws.FILTER('Model output'!G:G, 'Model output'!Z:Z=A12)),1)),ISNUMBER(SEARCH("five", _xlfn.TEXTJOIN("; ", TRUE, _xlfn._xlws.FILTER('Model output'!G:G, 'Model output'!Z:Z=A12)),1)),ISNUMBER(SEARCH("V ", _xlfn.TEXTJOIN("; ", TRUE, _xlfn._xlws.FILTER('Model output'!G:G, 'Model output'!Z:Z=A12)),1)),ISNUMBER(SEARCH("5", _xlfn.TEXTJOIN("; ", TRUE, _xlfn._xlws.FILTER('Model output'!G:G, 'Model output'!Z:Z=A12)),1)),ISNUMBER(SEARCH("five", _xlfn.TEXTJOIN("; ", TRUE, _xlfn._xlws.FILTER('Model output'!G:G, 'Model output'!Z:Z=A12)),1)),ISNUMBER(SEARCH(" lateral", _xlfn.TEXTJOIN("; ", TRUE, _xlfn._xlws.FILTER('Model output'!G:G, 'Model output'!Z:Z=A12)),1)))),ISNUMBER(SEARCH("cervical", _xlfn.TEXTJOIN("; ", TRUE, _xlfn._xlws.FILTER('Model output'!G:G, 'Model output'!Z:Z=A12)),1)),ISNUMBER(SEARCH("jugular", _xlfn.TEXTJOIN("; ", TRUE, _xlfn._xlws.FILTER('Model output'!G:G, 'Model output'!Z:Z=A12)),1)),ISNUMBER(SEARCH("left neck", _xlfn.TEXTJOIN("; ", TRUE, _xlfn._xlws.FILTER('Model output'!G:G, 'Model output'!Z:Z=A12)),1)),ISNUMBER(SEARCH("left anterior neck", _xlfn.TEXTJOIN("; ", TRUE, _xlfn._xlws.FILTER('Model output'!G:G, 'Model output'!Z:Z=A12)),1)),ISNUMBER(SEARCH("left posterior neck", _xlfn.TEXTJOIN("; ", TRUE, _xlfn._xlws.FILTER('Model output'!G:G, 'Model output'!Z:Z=A12)),1)),ISNUMBER(SEARCH("right neck", _xlfn.TEXTJOIN("; ", TRUE, _xlfn._xlws.FILTER('Model output'!G:G, 'Model output'!Z:Z=A12)),1)),ISNUMBER(SEARCH("right anterior neck", _xlfn.TEXTJOIN("; ", TRUE, _xlfn._xlws.FILTER('Model output'!G:G, 'Model output'!Z:Z=A12)),1)),ISNUMBER(SEARCH("right posterior neck", _xlfn.TEXTJOIN("; ", TRUE, _xlfn._xlws.FILTER('Model output'!G:G, 'Model output'!Z:Z=A12)),1)))),"lateral",IF(AND(M12=0, _xlfn.TEXTJOIN("; ", TRUE, _xlfn._xlws.FILTER('Model output'!G:G, 'Model output'!Z:Z=A12))=""),"", "central"))</f>
        <v>central</v>
      </c>
      <c r="K12" s="17" t="str" cm="1">
        <f t="array" ref="K12">IF(OR(ISNUMBER(SEARCH("lymph",_xlfn.TEXTJOIN("; ", TRUE, _xlfn._xlws.FILTER('Model output'!H:H, 'Model output'!Z:Z=A12)),1)), ISNUMBER(SEARCH("Not mentioned",_xlfn.TEXTJOIN("; ", TRUE, _xlfn._xlws.FILTER('Model output'!H:H, 'Model output'!Z:Z=A12)),1)),ISNUMBER(SEARCH("subcutaneous soft tissues",_xlfn.TEXTJOIN("; ", TRUE, _xlfn._xlws.FILTER('Model output'!H:H, 'Model output'!Z:Z=A12)),1)),ISNUMBER(SEARCH("larynx",_xlfn.TEXTJOIN("; ", TRUE, _xlfn._xlws.FILTER('Model output'!H:H, 'Model output'!Z:Z=A12)),1)),ISNUMBER(SEARCH("trachea",_xlfn.TEXTJOIN("; ", TRUE, _xlfn._xlws.FILTER('Model output'!H:H, 'Model output'!Z:Z=A12)),1)),ISNUMBER(SEARCH("esophagus",_xlfn.TEXTJOIN("; ", TRUE, _xlfn._xlws.FILTER('Model output'!H:H, 'Model output'!Z:Z=A12)),1)),ISNUMBER(SEARCH("recurrent laryngeal nerve",_xlfn.TEXTJOIN("; ", TRUE, _xlfn._xlws.FILTER('Model output'!H:H, 'Model output'!Z:Z=A12)),1)),ISNUMBER(SEARCH("RLN",_xlfn.TEXTJOIN("; ", TRUE, _xlfn._xlws.FILTER('Model output'!H:H, 'Model output'!Z:Z=A12)),1)),_xlfn.TEXTJOIN("; ", TRUE, _xlfn._xlws.FILTER('Model output'!H:H, 'Model output'!Z:Z=A12))=""),"negative","positive")</f>
        <v>negative</v>
      </c>
      <c r="L12" s="17">
        <f>IF(IFERROR(INDEX('Model output'!I:I, MATCH(A12, 'Model output'!Z:Z, 0)), "") &lt; M12, "", IFERROR(INDEX('Model output'!I:I, MATCH(A12, 'Model output'!Z:Z, 0)), ""))</f>
        <v>1</v>
      </c>
      <c r="M12" s="28">
        <f>IFERROR(INDEX('Model output'!J:J, MATCH(A12, 'Model output'!Z:Z, 0)), "")</f>
        <v>1</v>
      </c>
      <c r="N12" s="47" t="str" cm="1">
        <f t="array" ref="N12">ReplaceTo(ReplaceAnd(SUBSTITUTE(SUBSTITUTE(_xlfn.TEXTJOIN("; ", TRUE, _xlfn._xlws.FILTER('Model output'!K:K, 'Model output'!Z:Z=A12)), " ", ""), ",", ";")))</f>
        <v/>
      </c>
      <c r="O12" s="45" t="str" cm="1">
        <f t="array" ref="O12">IF(LEFT(IF(RIGHT(SUBSTITUTE(FilterWithUnits(N12)&amp;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";")),1)=";",RIGHT(IF(RIGHT(SUBSTITUTE(FilterWithUnits(N12)&amp;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";")),LEN(IF(RIGHT(SUBSTITUTE(FilterWithUnits(N12)&amp;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";")))-1),IF(RIGHT(SUBSTITUTE(FilterWithUnits(N12)&amp; ";" &amp;FilterStringsWithNumericAnd(N12) &amp; ";" &amp; FilterStringsWithX(N12), ";;", ";"),1)=";",LEFT(SUBSTITUTE(FilterWithUnits(N12)&amp; ";" &amp;FilterStringsWithNumericAnd(N12) &amp; ";" &amp; FilterStringsWithX(N12), ";;", ";"),LEN(SUBSTITUTE(FilterWithUnits(N12)&amp; ";" &amp;FilterStringsWithNumericAnd(N12) &amp; ";" &amp; FilterStringsWithX(N12), ";;", ";"))-1),SUBSTITUTE(FilterWithUnits(N12)&amp; ";" &amp;FilterStringsWithNumericAnd(N12) &amp; ";" &amp; FilterStringsWithX(N12), ";;", ";")))</f>
        <v/>
      </c>
      <c r="P12" s="45" t="str" cm="1">
        <f t="array" ref="P12">IF(MaxSize((SplitDimensions(O12)))=0, "", MaxSize((SplitDimensions(O12))))</f>
        <v/>
      </c>
      <c r="Q12" t="str" cm="1">
        <f t="array" ref="Q12">IF(ISERROR(INDEX(_xlfn._xlws.FILTER('Model output'!L:L, ('Model output'!Z:Z=A12)*('Model output'!L:L&lt;&gt;"")), 1)), " ", LOWER(INDEX(_xlfn._xlws.FILTER('Model output'!L:L, ('Model output'!Z:Z=A12)*('Model output'!L:L&lt;&gt;"")), 1)))</f>
        <v>papillary carcinoma, classic subtype</v>
      </c>
      <c r="R12" s="45" t="str" cm="1">
        <f t="array" ref="R12">IF(ISERROR(INDEX(_xlfn._xlws.FILTER('Model output'!M:M, ('Model output'!Z:Z=A12)*('Model output'!M:M&lt;&gt;"")), 1)), " ", LOWER(INDEX(_xlfn._xlws.FILTER('Model output'!M:M, ('Model output'!Z:Z=A12)*('Model output'!M:M&lt;&gt;"")), 1)))</f>
        <v xml:space="preserve"> </v>
      </c>
      <c r="S12" s="45" t="str" cm="1">
        <f t="array" ref="S12">IF(OR(ISNUMBER(SEARCH("ly",SUBSTITUTE(INDEX(_xlfn._xlws.FILTER('Model output'!N:N,('Model output'!Z:Z=A12)*('Model output'!N:N&lt;&gt;"")),1)," ",""),1)), ISNUMBER(SEARCH("pole",SUBSTITUTE(INDEX(_xlfn._xlws.FILTER('Model output'!N:N,('Model output'!Z:Z=A12)*('Model output'!N:N&lt;&gt;"")),1)," ",""),1))),"",SUBSTITUTE(INDEX(_xlfn._xlws.FILTER('Model output'!N:N,('Model output'!Z:Z=A12)*('Model output'!N:N&lt;&gt;"")),1)," ",""))</f>
        <v>1.5x0.5x0.8cm</v>
      </c>
      <c r="T12" s="45" t="str" cm="1">
        <f t="array" ref="T12">IF(LEFT(IF(RIGHT(SUBSTITUTE(FilterWithUnits(S12)&amp;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";")),1)=";",RIGHT(IF(RIGHT(SUBSTITUTE(FilterWithUnits(S12)&amp;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";")),LEN(IF(RIGHT(SUBSTITUTE(FilterWithUnits(S12)&amp;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";")))-1),IF(RIGHT(SUBSTITUTE(FilterWithUnits(S12)&amp; ";" &amp;FilterStringsWithNumericAnd(S12) &amp; ";" &amp; FilterStringsWithX(S12), ";;", ";"),1)=";",LEFT(SUBSTITUTE(FilterWithUnits(S12)&amp; ";" &amp;FilterStringsWithNumericAnd(S12) &amp; ";" &amp; FilterStringsWithX(S12), ";;", ";"),LEN(SUBSTITUTE(FilterWithUnits(S12)&amp; ";" &amp;FilterStringsWithNumericAnd(S12) &amp; ";" &amp; FilterStringsWithX(S12), ";;", ";"))-1),SUBSTITUTE(FilterWithUnits(S12)&amp; ";" &amp;FilterStringsWithNumericAnd(S12) &amp; ";" &amp; FilterStringsWithX(S12), ";;", ";")))</f>
        <v>1.5x0.5x0.8cm</v>
      </c>
      <c r="U12" s="45" cm="1">
        <f t="array" ref="U12">IF(MaxSize((SplitDimensions(T12)))=0, "", MaxSize((SplitDimensions(T12))))</f>
        <v>1.5</v>
      </c>
      <c r="V12" s="17" t="str" cm="1">
        <f t="array" ref="V12">IF(ISERROR(INDEX(_xlfn._xlws.FILTER('Model output'!P:P,('Model output'!Z:Z=A12)*('Model output'!P:P&lt;&gt;"")),1)),"negative",IF(OR(ISNUMBER(SEARCH("foc",INDEX(_xlfn._xlws.FILTER('Model output'!P:P,('Model output'!Z:Z=A12)*('Model output'!P:P&lt;&gt;"")),1),1)),ISNUMBER(SEARCH("extensive",INDEX(_xlfn._xlws.FILTER('Model output'!P:P,('Model output'!Z:Z=A12)*('Model output'!P:P&lt;&gt;"")),1),1)),ISNUMBER(SEARCH("present",INDEX(_xlfn._xlws.FILTER('Model output'!P:P,('Model output'!Z:Z=A12)*('Model output'!P:P&lt;&gt;"")),1),1)),ISNUMBER(SEARCH("yes",INDEX(_xlfn._xlws.FILTER('Model output'!P:P,('Model output'!Z:Z=A12)*('Model output'!P:P&lt;&gt;"")),1),1))),"positive","negative"))</f>
        <v>negative</v>
      </c>
      <c r="X12" t="str" cm="1">
        <f t="array" ref="X12">IF(ISNUMBER(SEARCH("4",INDEX(_xlfn._xlws.FILTER('Model output'!P:P,('Model output'!Z:Z=A12)*('Model output'!P:P&lt;&gt;"")),1),1)),INDEX(_xlfn._xlws.FILTER('Model output'!P:P,('Model output'!Z:Z=A12)*('Model output'!P:P&lt;&gt;"")),1),"") &amp; _xlfn.TEXTJOIN("",TRUE,_xlfn._xlws.FILTER('Model output'!Q:Q,'Model output'!Z:Z=A12))</f>
        <v/>
      </c>
      <c r="Y12" t="str">
        <f t="shared" si="10"/>
        <v>no</v>
      </c>
      <c r="Z12" t="str" cm="1">
        <f t="array" ref="Z12">IF(OR(ISNUMBER(SEARCH("focal",_xlfn.TEXTJOIN("; ",TRUE,_xlfn._xlws.FILTER('Model output'!R:R,'Model output'!Z:Z=A12)),1)),ISNUMBER(SEARCH("present",_xlfn.TEXTJOIN("; ",TRUE,_xlfn._xlws.FILTER('Model output'!R:R,'Model output'!Z:Z=A12)),1))),"positive",IF(_xlfn.TEXTJOIN("; ",TRUE,_xlfn._xlws.FILTER('Model output'!R:R,'Model output'!Z:Z=A12))="","negative",IF(OR(ISNUMBER(SEARCH("no",_xlfn.TEXTJOIN("; ",TRUE,_xlfn._xlws.FILTER('Model output'!R:R,'Model output'!Z:Z=A12)),1)),ISNUMBER(SEARCH("absent",_xlfn.TEXTJOIN("; ",TRUE,_xlfn._xlws.FILTER('Model output'!R:R,'Model output'!Z:Z=A12)),1))),"negative","positive")))</f>
        <v>negative</v>
      </c>
      <c r="AA12" s="17" t="str">
        <f t="shared" si="11"/>
        <v>negative</v>
      </c>
      <c r="AE12" s="17" t="str">
        <f t="shared" si="12"/>
        <v>negative</v>
      </c>
      <c r="AF12" t="str" cm="1">
        <f t="array" ref="AF12">_xlfn.TEXTJOIN("; ",TRUE,_xlfn._xlws.FILTER('Model output'!S:S,'Model output'!Z:Z=A12))</f>
        <v>Not identified</v>
      </c>
      <c r="AG12" s="17" t="str" cm="1">
        <f t="array" ref="AG12">IF(OR(ISNUMBER(SEARCH("uninvolved",_xlfn.TEXTJOIN("; ",TRUE,_xlfn._xlws.FILTER('Model output'!V:V,'Model output'!Z:Z=A12)),1)),ISNUMBER(SEARCH("clear",_xlfn.TEXTJOIN("; ",TRUE,_xlfn._xlws.FILTER('Model output'!V:V,'Model output'!Z:Z=A12)),1))*ISNUMBER(SEARCH("not mentioned",_xlfn.TEXTJOIN("; ",TRUE,_xlfn._xlws.FILTER('Model output'!V:V,'Model output'!Z:Z=A12)),1))),"negative",IF(ISNUMBER(SEARCH("cannot be assessed",_xlfn.TEXTJOIN("; ",TRUE,_xlfn._xlws.FILTER('Model output'!V:V,'Model output'!Z:Z=A12)),1)),"unknown","negative"))</f>
        <v>negative</v>
      </c>
      <c r="AI12" s="40" t="str">
        <f t="shared" si="13"/>
        <v>low</v>
      </c>
      <c r="AJ12" s="28" t="str">
        <f t="shared" si="14"/>
        <v>1b</v>
      </c>
      <c r="AK12" s="28" t="str">
        <f t="shared" si="2"/>
        <v>1a</v>
      </c>
      <c r="AL12" s="28">
        <f t="shared" si="3"/>
        <v>0</v>
      </c>
      <c r="AM12" s="28" t="str">
        <f t="shared" si="4"/>
        <v>I</v>
      </c>
      <c r="AN12" s="37" t="s">
        <v>171</v>
      </c>
      <c r="AO12" s="38" t="s">
        <v>214</v>
      </c>
      <c r="AP12" s="38" t="s">
        <v>216</v>
      </c>
      <c r="AQ12" s="38">
        <v>0</v>
      </c>
      <c r="AR12" s="38" t="s">
        <v>31</v>
      </c>
      <c r="AS12" s="37">
        <f t="shared" si="5"/>
        <v>1</v>
      </c>
      <c r="AT12" s="38">
        <f t="shared" si="6"/>
        <v>1</v>
      </c>
      <c r="AU12" s="38">
        <f t="shared" si="7"/>
        <v>1</v>
      </c>
      <c r="AV12" s="38">
        <f t="shared" si="8"/>
        <v>1</v>
      </c>
      <c r="AW12" s="39">
        <f t="shared" si="9"/>
        <v>1</v>
      </c>
    </row>
    <row r="13" spans="1:49">
      <c r="A13" s="13">
        <v>11</v>
      </c>
      <c r="B13" s="16">
        <f>_xlfn.MAXIFS('Model output'!B:B,'Model output'!Z:Z,'Classification result'!$A13)</f>
        <v>45443</v>
      </c>
      <c r="C13" s="16"/>
      <c r="D13" s="16"/>
      <c r="E13" s="17">
        <f>_xlfn.MAXIFS('Model output'!C:C,'Model output'!Z:Z,'Classification result'!$A13)</f>
        <v>70</v>
      </c>
      <c r="F13" s="17" t="str" cm="1">
        <f t="array" ref="F13">LEFT(IF(ISERROR(RIGHT(IF(INDEX(_xlfn._xlws.FILTER('Model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output'!Z:Z=A13)),1),""),1))),"",(RIGHT(IF(INDEX(_xlfn._xlws.FILTER('Model output'!D:D,('Model output'!Z:Z=A13)),1)&lt;&gt;"",INDEX(_xlfn._xlws.FILTER('Model output'!D:D,('Model output'!Z:Z=A13)),1),""),LEN(IF(INDEX(_xlfn._xlws.FILTER('Model output'!D:D,('Model output'!Z:Z=A13)),1)&lt;&gt;"",INDEX(_xlfn._xlws.FILTER('Model output'!D:D,('Model output'!Z:Z=A13)),1),""))-FIND("T",IF(INDEX(_xlfn._xlws.FILTER('Model output'!D:D,('Model output'!Z:Z=A13)),1)&lt;&gt;"",INDEX(_xlfn._xlws.FILTER('Model output'!D:D,('Model output'!Z:Z=A13)),1)))))),2)</f>
        <v>3a</v>
      </c>
      <c r="G13" s="17" t="str" cm="1">
        <f t="array" ref="G13">IF(ISNUMBER(SEARCH("N",IF(ISNUMBER(SEARCH("present",IF(INDEX(_xlfn._xlws.FILTER('Model output'!E:E,('Model output'!Z:Z=A13)),1)="","",INDEX(_xlfn._xlws.FILTER('Model output'!E:E,('Model output'!Z:Z=A13)),1)),1)),"N1", IF(INDEX(_xlfn._xlws.FILTER('Model output'!E:E,('Model output'!Z:Z=A13)),1)="","",INDEX(_xlfn._xlws.FILTER('Model output'!E:E,('Model output'!Z:Z=A13)),1))),1)),RIGHT(IF(ISNUMBER(SEARCH("present",IF(INDEX(_xlfn._xlws.FILTER('Model output'!E:E,('Model output'!Z:Z=A13)),1)="","",INDEX(_xlfn._xlws.FILTER('Model output'!E:E,('Model output'!Z:Z=A13)),1)),1)),"N1", IF(INDEX(_xlfn._xlws.FILTER('Model output'!E:E,('Model output'!Z:Z=A13)),1)="","",INDEX(_xlfn._xlws.FILTER('Model output'!E:E,('Model output'!Z:Z=A13)),1))),LEN(IF(ISNUMBER(SEARCH("present",IF(INDEX(_xlfn._xlws.FILTER('Model output'!E:E,('Model output'!Z:Z=A13)),1)="","",INDEX(_xlfn._xlws.FILTER('Model output'!E:E,('Model output'!Z:Z=A13)),1)),1)),"N1", IF(INDEX(_xlfn._xlws.FILTER('Model output'!E:E,('Model output'!Z:Z=A13)),1)="","",INDEX(_xlfn._xlws.FILTER('Model output'!E:E,('Model output'!Z:Z=A13)),1))))-FIND("N",IF(ISNUMBER(SEARCH("present",IF(INDEX(_xlfn._xlws.FILTER('Model output'!E:E,('Model output'!Z:Z=A13)),1)="","",INDEX(_xlfn._xlws.FILTER('Model output'!E:E,('Model output'!Z:Z=A13)),1)),1)),"N1", IF(INDEX(_xlfn._xlws.FILTER('Model output'!E:E,('Model output'!Z:Z=A13)),1)="","",INDEX(_xlfn._xlws.FILTER('Model output'!E:E,('Model output'!Z:Z=A13)),1))),1)), "")</f>
        <v/>
      </c>
      <c r="H13" s="17" cm="1">
        <f t="array" ref="H13">IF(AND(SUBSTITUTE(_xlfn.TEXTJOIN("/", TRUE, _xlfn._xlws.FILTER('Model output'!F:F, 'Model output'!Z:Z=A13)),"M", "")="", K13="negative"),0,IF(K13="positive",1,0))</f>
        <v>0</v>
      </c>
      <c r="I13" t="str">
        <f t="shared" si="0"/>
        <v/>
      </c>
      <c r="J13" t="str" cm="1">
        <f t="array" ref="J13">IF(AND(M13&gt;0, _xlfn.TEXTJOIN("; ", TRUE, _xlfn._xlws.FILTER('Model output'!G:G, 'Model output'!Z:Z=A13)) &lt;&gt;"", OR(AND(ISNUMBER(SEARCH("level", _xlfn.TEXTJOIN("; ", TRUE, _xlfn._xlws.FILTER('Model output'!G:G, 'Model output'!Z:Z=A13)),1)),OR(ISNUMBER(SEARCH(" II", _xlfn.TEXTJOIN("; ", TRUE, _xlfn._xlws.FILTER('Model output'!G:G, 'Model output'!Z:Z=A13)),1)),ISNUMBER(SEARCH("2", _xlfn.TEXTJOIN("; ", TRUE, _xlfn._xlws.FILTER('Model output'!G:G, 'Model output'!Z:Z=A13)),1)),ISNUMBER(SEARCH("two", _xlfn.TEXTJOIN("; ", TRUE, _xlfn._xlws.FILTER('Model output'!G:G, 'Model output'!Z:Z=A13)),1)),ISNUMBER(SEARCH("III", _xlfn.TEXTJOIN("; ", TRUE, _xlfn._xlws.FILTER('Model output'!G:G, 'Model output'!Z:Z=A13)),1)),ISNUMBER(SEARCH("3", _xlfn.TEXTJOIN("; ", TRUE, _xlfn._xlws.FILTER('Model output'!G:G, 'Model output'!Z:Z=A13)),1)),ISNUMBER(SEARCH("three", _xlfn.TEXTJOIN("; ", TRUE, _xlfn._xlws.FILTER('Model output'!G:G, 'Model output'!Z:Z=A13)),1)),ISNUMBER(SEARCH("IV", _xlfn.TEXTJOIN("; ", TRUE, _xlfn._xlws.FILTER('Model output'!G:G, 'Model output'!Z:Z=A13)),1)),ISNUMBER(SEARCH("4", _xlfn.TEXTJOIN("; ", TRUE, _xlfn._xlws.FILTER('Model output'!G:G, 'Model output'!Z:Z=A13)),1)),ISNUMBER(SEARCH("five", _xlfn.TEXTJOIN("; ", TRUE, _xlfn._xlws.FILTER('Model output'!G:G, 'Model output'!Z:Z=A13)),1)),ISNUMBER(SEARCH("V ", _xlfn.TEXTJOIN("; ", TRUE, _xlfn._xlws.FILTER('Model output'!G:G, 'Model output'!Z:Z=A13)),1)),ISNUMBER(SEARCH("5", _xlfn.TEXTJOIN("; ", TRUE, _xlfn._xlws.FILTER('Model output'!G:G, 'Model output'!Z:Z=A13)),1)),ISNUMBER(SEARCH("five", _xlfn.TEXTJOIN("; ", TRUE, _xlfn._xlws.FILTER('Model output'!G:G, 'Model output'!Z:Z=A13)),1)),ISNUMBER(SEARCH(" lateral", _xlfn.TEXTJOIN("; ", TRUE, _xlfn._xlws.FILTER('Model output'!G:G, 'Model output'!Z:Z=A13)),1)))),ISNUMBER(SEARCH("cervical", _xlfn.TEXTJOIN("; ", TRUE, _xlfn._xlws.FILTER('Model output'!G:G, 'Model output'!Z:Z=A13)),1)),ISNUMBER(SEARCH("jugular", _xlfn.TEXTJOIN("; ", TRUE, _xlfn._xlws.FILTER('Model output'!G:G, 'Model output'!Z:Z=A13)),1)),ISNUMBER(SEARCH("left neck", _xlfn.TEXTJOIN("; ", TRUE, _xlfn._xlws.FILTER('Model output'!G:G, 'Model output'!Z:Z=A13)),1)),ISNUMBER(SEARCH("left anterior neck", _xlfn.TEXTJOIN("; ", TRUE, _xlfn._xlws.FILTER('Model output'!G:G, 'Model output'!Z:Z=A13)),1)),ISNUMBER(SEARCH("left posterior neck", _xlfn.TEXTJOIN("; ", TRUE, _xlfn._xlws.FILTER('Model output'!G:G, 'Model output'!Z:Z=A13)),1)),ISNUMBER(SEARCH("right neck", _xlfn.TEXTJOIN("; ", TRUE, _xlfn._xlws.FILTER('Model output'!G:G, 'Model output'!Z:Z=A13)),1)),ISNUMBER(SEARCH("right anterior neck", _xlfn.TEXTJOIN("; ", TRUE, _xlfn._xlws.FILTER('Model output'!G:G, 'Model output'!Z:Z=A13)),1)),ISNUMBER(SEARCH("right posterior neck", _xlfn.TEXTJOIN("; ", TRUE, _xlfn._xlws.FILTER('Model output'!G:G, 'Model output'!Z:Z=A13)),1)))),"lateral",IF(AND(M13=0, _xlfn.TEXTJOIN("; ", TRUE, _xlfn._xlws.FILTER('Model output'!G:G, 'Model output'!Z:Z=A13))=""),"", "central"))</f>
        <v/>
      </c>
      <c r="K13" s="17" t="str" cm="1">
        <f t="array" ref="K13">IF(OR(ISNUMBER(SEARCH("lymph",_xlfn.TEXTJOIN("; ", TRUE, _xlfn._xlws.FILTER('Model output'!H:H, 'Model output'!Z:Z=A13)),1)), ISNUMBER(SEARCH("Not mentioned",_xlfn.TEXTJOIN("; ", TRUE, _xlfn._xlws.FILTER('Model output'!H:H, 'Model output'!Z:Z=A13)),1)),ISNUMBER(SEARCH("subcutaneous soft tissues",_xlfn.TEXTJOIN("; ", TRUE, _xlfn._xlws.FILTER('Model output'!H:H, 'Model output'!Z:Z=A13)),1)),ISNUMBER(SEARCH("larynx",_xlfn.TEXTJOIN("; ", TRUE, _xlfn._xlws.FILTER('Model output'!H:H, 'Model output'!Z:Z=A13)),1)),ISNUMBER(SEARCH("trachea",_xlfn.TEXTJOIN("; ", TRUE, _xlfn._xlws.FILTER('Model output'!H:H, 'Model output'!Z:Z=A13)),1)),ISNUMBER(SEARCH("esophagus",_xlfn.TEXTJOIN("; ", TRUE, _xlfn._xlws.FILTER('Model output'!H:H, 'Model output'!Z:Z=A13)),1)),ISNUMBER(SEARCH("recurrent laryngeal nerve",_xlfn.TEXTJOIN("; ", TRUE, _xlfn._xlws.FILTER('Model output'!H:H, 'Model output'!Z:Z=A13)),1)),ISNUMBER(SEARCH("RLN",_xlfn.TEXTJOIN("; ", TRUE, _xlfn._xlws.FILTER('Model output'!H:H, 'Model output'!Z:Z=A13)),1)),_xlfn.TEXTJOIN("; ", TRUE, _xlfn._xlws.FILTER('Model output'!H:H, 'Model output'!Z:Z=A13))=""),"negative","positive")</f>
        <v>negative</v>
      </c>
      <c r="L13" s="17">
        <f>IF(IFERROR(INDEX('Model output'!I:I, MATCH(A13, 'Model output'!Z:Z, 0)), "") &lt; M13, "", IFERROR(INDEX('Model output'!I:I, MATCH(A13, 'Model output'!Z:Z, 0)), ""))</f>
        <v>13</v>
      </c>
      <c r="M13" s="28">
        <f>IFERROR(INDEX('Model output'!J:J, MATCH(A13, 'Model output'!Z:Z, 0)), "")</f>
        <v>0</v>
      </c>
      <c r="N13" s="47" t="str" cm="1">
        <f t="array" ref="N13">ReplaceTo(ReplaceAnd(SUBSTITUTE(SUBSTITUTE(_xlfn.TEXTJOIN("; ", TRUE, _xlfn._xlws.FILTER('Model output'!K:K, 'Model output'!Z:Z=A13)), " ", ""), ",", ";")))</f>
        <v/>
      </c>
      <c r="O13" s="45" t="str" cm="1">
        <f t="array" ref="O13">IF(LEFT(IF(RIGHT(SUBSTITUTE(FilterWithUnits(N13)&amp;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";")),1)=";",RIGHT(IF(RIGHT(SUBSTITUTE(FilterWithUnits(N13)&amp;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";")),LEN(IF(RIGHT(SUBSTITUTE(FilterWithUnits(N13)&amp;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";")))-1),IF(RIGHT(SUBSTITUTE(FilterWithUnits(N13)&amp; ";" &amp;FilterStringsWithNumericAnd(N13) &amp; ";" &amp; FilterStringsWithX(N13), ";;", ";"),1)=";",LEFT(SUBSTITUTE(FilterWithUnits(N13)&amp; ";" &amp;FilterStringsWithNumericAnd(N13) &amp; ";" &amp; FilterStringsWithX(N13), ";;", ";"),LEN(SUBSTITUTE(FilterWithUnits(N13)&amp; ";" &amp;FilterStringsWithNumericAnd(N13) &amp; ";" &amp; FilterStringsWithX(N13), ";;", ";"))-1),SUBSTITUTE(FilterWithUnits(N13)&amp; ";" &amp;FilterStringsWithNumericAnd(N13) &amp; ";" &amp; FilterStringsWithX(N13), ";;", ";")))</f>
        <v/>
      </c>
      <c r="P13" s="45" t="str" cm="1">
        <f t="array" ref="P13">IF(MaxSize((SplitDimensions(O13)))=0, "", MaxSize((SplitDimensions(O13))))</f>
        <v/>
      </c>
      <c r="Q13" t="str" cm="1">
        <f t="array" ref="Q13">IF(ISERROR(INDEX(_xlfn._xlws.FILTER('Model output'!L:L, ('Model output'!Z:Z=A13)*('Model output'!L:L&lt;&gt;"")), 1)), " ", LOWER(INDEX(_xlfn._xlws.FILTER('Model output'!L:L, ('Model output'!Z:Z=A13)*('Model output'!L:L&lt;&gt;"")), 1)))</f>
        <v>minimally invasive follicular carcinoma</v>
      </c>
      <c r="R13" s="45" t="str" cm="1">
        <f t="array" ref="R13">IF(ISERROR(INDEX(_xlfn._xlws.FILTER('Model output'!M:M, ('Model output'!Z:Z=A13)*('Model output'!M:M&lt;&gt;"")), 1)), " ", LOWER(INDEX(_xlfn._xlws.FILTER('Model output'!M:M, ('Model output'!Z:Z=A13)*('Model output'!M:M&lt;&gt;"")), 1)))</f>
        <v xml:space="preserve"> </v>
      </c>
      <c r="S13" s="45" t="str" cm="1">
        <f t="array" ref="S13">IF(OR(ISNUMBER(SEARCH("ly",SUBSTITUTE(INDEX(_xlfn._xlws.FILTER('Model output'!N:N,('Model output'!Z:Z=A13)*('Model output'!N:N&lt;&gt;"")),1)," ",""),1)), ISNUMBER(SEARCH("pole",SUBSTITUTE(INDEX(_xlfn._xlws.FILTER('Model output'!N:N,('Model output'!Z:Z=A13)*('Model output'!N:N&lt;&gt;"")),1)," ",""),1))),"",SUBSTITUTE(INDEX(_xlfn._xlws.FILTER('Model output'!N:N,('Model output'!Z:Z=A13)*('Model output'!N:N&lt;&gt;"")),1)," ",""))</f>
        <v/>
      </c>
      <c r="T13" s="45" t="str" cm="1">
        <f t="array" ref="T13">IF(LEFT(IF(RIGHT(SUBSTITUTE(FilterWithUnits(S13)&amp;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";")),1)=";",RIGHT(IF(RIGHT(SUBSTITUTE(FilterWithUnits(S13)&amp;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";")),LEN(IF(RIGHT(SUBSTITUTE(FilterWithUnits(S13)&amp;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";")))-1),IF(RIGHT(SUBSTITUTE(FilterWithUnits(S13)&amp; ";" &amp;FilterStringsWithNumericAnd(S13) &amp; ";" &amp; FilterStringsWithX(S13), ";;", ";"),1)=";",LEFT(SUBSTITUTE(FilterWithUnits(S13)&amp; ";" &amp;FilterStringsWithNumericAnd(S13) &amp; ";" &amp; FilterStringsWithX(S13), ";;", ";"),LEN(SUBSTITUTE(FilterWithUnits(S13)&amp; ";" &amp;FilterStringsWithNumericAnd(S13) &amp; ";" &amp; FilterStringsWithX(S13), ";;", ";"))-1),SUBSTITUTE(FilterWithUnits(S13)&amp; ";" &amp;FilterStringsWithNumericAnd(S13) &amp; ";" &amp; FilterStringsWithX(S13), ";;", ";")))</f>
        <v/>
      </c>
      <c r="U13" s="45" t="str" cm="1">
        <f t="array" ref="U13">IF(MaxSize((SplitDimensions(T13)))=0, "", MaxSize((SplitDimensions(T13))))</f>
        <v/>
      </c>
      <c r="V13" s="17" t="str" cm="1">
        <f t="array" ref="V13">IF(ISERROR(INDEX(_xlfn._xlws.FILTER('Model output'!P:P,('Model output'!Z:Z=A13)*('Model output'!P:P&lt;&gt;"")),1)),"negative",IF(OR(ISNUMBER(SEARCH("foc",INDEX(_xlfn._xlws.FILTER('Model output'!P:P,('Model output'!Z:Z=A13)*('Model output'!P:P&lt;&gt;"")),1),1)),ISNUMBER(SEARCH("extensive",INDEX(_xlfn._xlws.FILTER('Model output'!P:P,('Model output'!Z:Z=A13)*('Model output'!P:P&lt;&gt;"")),1),1)),ISNUMBER(SEARCH("present",INDEX(_xlfn._xlws.FILTER('Model output'!P:P,('Model output'!Z:Z=A13)*('Model output'!P:P&lt;&gt;"")),1),1)),ISNUMBER(SEARCH("yes",INDEX(_xlfn._xlws.FILTER('Model output'!P:P,('Model output'!Z:Z=A13)*('Model output'!P:P&lt;&gt;"")),1),1))),"positive","negative"))</f>
        <v>negative</v>
      </c>
      <c r="X13" t="str" cm="1">
        <f t="array" ref="X13">IF(ISNUMBER(SEARCH("4",INDEX(_xlfn._xlws.FILTER('Model output'!P:P,('Model output'!Z:Z=A13)*('Model output'!P:P&lt;&gt;"")),1),1)),INDEX(_xlfn._xlws.FILTER('Model output'!P:P,('Model output'!Z:Z=A13)*('Model output'!P:P&lt;&gt;"")),1),"") &amp; _xlfn.TEXTJOIN("",TRUE,_xlfn._xlws.FILTER('Model output'!Q:Q,'Model output'!Z:Z=A13))</f>
        <v/>
      </c>
      <c r="Y13" t="str">
        <f t="shared" si="10"/>
        <v>no</v>
      </c>
      <c r="Z13" t="str" cm="1">
        <f t="array" ref="Z13">IF(OR(ISNUMBER(SEARCH("focal",_xlfn.TEXTJOIN("; ",TRUE,_xlfn._xlws.FILTER('Model output'!R:R,'Model output'!Z:Z=A13)),1)),ISNUMBER(SEARCH("present",_xlfn.TEXTJOIN("; ",TRUE,_xlfn._xlws.FILTER('Model output'!R:R,'Model output'!Z:Z=A13)),1))),"positive",IF(_xlfn.TEXTJOIN("; ",TRUE,_xlfn._xlws.FILTER('Model output'!R:R,'Model output'!Z:Z=A13))="","negative",IF(OR(ISNUMBER(SEARCH("no",_xlfn.TEXTJOIN("; ",TRUE,_xlfn._xlws.FILTER('Model output'!R:R,'Model output'!Z:Z=A13)),1)),ISNUMBER(SEARCH("absent",_xlfn.TEXTJOIN("; ",TRUE,_xlfn._xlws.FILTER('Model output'!R:R,'Model output'!Z:Z=A13)),1))),"negative","positive")))</f>
        <v>positive</v>
      </c>
      <c r="AA13" s="17" t="str">
        <f t="shared" si="11"/>
        <v>negative</v>
      </c>
      <c r="AE13" s="17" t="str">
        <f t="shared" si="12"/>
        <v>negative</v>
      </c>
      <c r="AF13" t="str" cm="1">
        <f t="array" ref="AF13">_xlfn.TEXTJOIN("; ",TRUE,_xlfn._xlws.FILTER('Model output'!S:S,'Model output'!Z:Z=A13))</f>
        <v>Not identified</v>
      </c>
      <c r="AG13" s="17" t="str" cm="1">
        <f t="array" ref="AG13">IF(OR(ISNUMBER(SEARCH("uninvolved",_xlfn.TEXTJOIN("; ",TRUE,_xlfn._xlws.FILTER('Model output'!V:V,'Model output'!Z:Z=A13)),1)),ISNUMBER(SEARCH("clear",_xlfn.TEXTJOIN("; ",TRUE,_xlfn._xlws.FILTER('Model output'!V:V,'Model output'!Z:Z=A13)),1))*ISNUMBER(SEARCH("not mentioned",_xlfn.TEXTJOIN("; ",TRUE,_xlfn._xlws.FILTER('Model output'!V:V,'Model output'!Z:Z=A13)),1))),"negative",IF(ISNUMBER(SEARCH("cannot be assessed",_xlfn.TEXTJOIN("; ",TRUE,_xlfn._xlws.FILTER('Model output'!V:V,'Model output'!Z:Z=A13)),1)),"unknown","negative"))</f>
        <v>negative</v>
      </c>
      <c r="AI13" s="40" t="str">
        <f t="shared" si="13"/>
        <v>low</v>
      </c>
      <c r="AJ13" s="28" t="str">
        <f t="shared" si="14"/>
        <v>3a</v>
      </c>
      <c r="AK13" s="28">
        <f t="shared" si="2"/>
        <v>0</v>
      </c>
      <c r="AL13" s="28">
        <f t="shared" si="3"/>
        <v>0</v>
      </c>
      <c r="AM13" s="28" t="str">
        <f t="shared" si="4"/>
        <v>II</v>
      </c>
      <c r="AN13" s="37" t="s">
        <v>171</v>
      </c>
      <c r="AO13" s="38" t="s">
        <v>218</v>
      </c>
      <c r="AP13" s="38" t="s">
        <v>215</v>
      </c>
      <c r="AQ13" s="38">
        <v>0</v>
      </c>
      <c r="AR13" s="38" t="s">
        <v>45</v>
      </c>
      <c r="AS13" s="37">
        <f t="shared" si="5"/>
        <v>1</v>
      </c>
      <c r="AT13" s="38">
        <f t="shared" si="6"/>
        <v>1</v>
      </c>
      <c r="AU13" s="38">
        <f t="shared" si="7"/>
        <v>1</v>
      </c>
      <c r="AV13" s="38">
        <f t="shared" si="8"/>
        <v>1</v>
      </c>
      <c r="AW13" s="39">
        <f t="shared" si="9"/>
        <v>1</v>
      </c>
    </row>
    <row r="14" spans="1:49">
      <c r="A14" s="13">
        <v>12</v>
      </c>
      <c r="B14" s="16">
        <f>_xlfn.MAXIFS('Model output'!B:B,'Model output'!Z:Z,'Classification result'!$A14)</f>
        <v>45356</v>
      </c>
      <c r="C14" s="16"/>
      <c r="D14" s="16"/>
      <c r="E14" s="17">
        <f>_xlfn.MAXIFS('Model output'!C:C,'Model output'!Z:Z,'Classification result'!$A14)</f>
        <v>67</v>
      </c>
      <c r="F14" s="17" t="str" cm="1">
        <f t="array" ref="F14">LEFT(IF(ISERROR(RIGHT(IF(INDEX(_xlfn._xlws.FILTER('Model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output'!Z:Z=A14)),1),""),1))),"",(RIGHT(IF(INDEX(_xlfn._xlws.FILTER('Model output'!D:D,('Model output'!Z:Z=A14)),1)&lt;&gt;"",INDEX(_xlfn._xlws.FILTER('Model output'!D:D,('Model output'!Z:Z=A14)),1),""),LEN(IF(INDEX(_xlfn._xlws.FILTER('Model output'!D:D,('Model output'!Z:Z=A14)),1)&lt;&gt;"",INDEX(_xlfn._xlws.FILTER('Model output'!D:D,('Model output'!Z:Z=A14)),1),""))-FIND("T",IF(INDEX(_xlfn._xlws.FILTER('Model output'!D:D,('Model output'!Z:Z=A14)),1)&lt;&gt;"",INDEX(_xlfn._xlws.FILTER('Model output'!D:D,('Model output'!Z:Z=A14)),1)))))),2)</f>
        <v>3a</v>
      </c>
      <c r="G14" s="17" t="str" cm="1">
        <f t="array" ref="G14">IF(ISNUMBER(SEARCH("N",IF(ISNUMBER(SEARCH("present",IF(INDEX(_xlfn._xlws.FILTER('Model output'!E:E,('Model output'!Z:Z=A14)),1)="","",INDEX(_xlfn._xlws.FILTER('Model output'!E:E,('Model output'!Z:Z=A14)),1)),1)),"N1", IF(INDEX(_xlfn._xlws.FILTER('Model output'!E:E,('Model output'!Z:Z=A14)),1)="","",INDEX(_xlfn._xlws.FILTER('Model output'!E:E,('Model output'!Z:Z=A14)),1))),1)),RIGHT(IF(ISNUMBER(SEARCH("present",IF(INDEX(_xlfn._xlws.FILTER('Model output'!E:E,('Model output'!Z:Z=A14)),1)="","",INDEX(_xlfn._xlws.FILTER('Model output'!E:E,('Model output'!Z:Z=A14)),1)),1)),"N1", IF(INDEX(_xlfn._xlws.FILTER('Model output'!E:E,('Model output'!Z:Z=A14)),1)="","",INDEX(_xlfn._xlws.FILTER('Model output'!E:E,('Model output'!Z:Z=A14)),1))),LEN(IF(ISNUMBER(SEARCH("present",IF(INDEX(_xlfn._xlws.FILTER('Model output'!E:E,('Model output'!Z:Z=A14)),1)="","",INDEX(_xlfn._xlws.FILTER('Model output'!E:E,('Model output'!Z:Z=A14)),1)),1)),"N1", IF(INDEX(_xlfn._xlws.FILTER('Model output'!E:E,('Model output'!Z:Z=A14)),1)="","",INDEX(_xlfn._xlws.FILTER('Model output'!E:E,('Model output'!Z:Z=A14)),1))))-FIND("N",IF(ISNUMBER(SEARCH("present",IF(INDEX(_xlfn._xlws.FILTER('Model output'!E:E,('Model output'!Z:Z=A14)),1)="","",INDEX(_xlfn._xlws.FILTER('Model output'!E:E,('Model output'!Z:Z=A14)),1)),1)),"N1", IF(INDEX(_xlfn._xlws.FILTER('Model output'!E:E,('Model output'!Z:Z=A14)),1)="","",INDEX(_xlfn._xlws.FILTER('Model output'!E:E,('Model output'!Z:Z=A14)),1))),1)), "")</f>
        <v/>
      </c>
      <c r="H14" s="17" cm="1">
        <f t="array" ref="H14">IF(AND(SUBSTITUTE(_xlfn.TEXTJOIN("/", TRUE, _xlfn._xlws.FILTER('Model output'!F:F, 'Model output'!Z:Z=A14)),"M", "")="", K14="negative"),0,IF(K14="positive",1,0))</f>
        <v>0</v>
      </c>
      <c r="I14" t="str">
        <f t="shared" si="0"/>
        <v>positive</v>
      </c>
      <c r="J14" t="str" cm="1">
        <f t="array" ref="J14">IF(AND(M14&gt;0, _xlfn.TEXTJOIN("; ", TRUE, _xlfn._xlws.FILTER('Model output'!G:G, 'Model output'!Z:Z=A14)) &lt;&gt;"", OR(AND(ISNUMBER(SEARCH("level", _xlfn.TEXTJOIN("; ", TRUE, _xlfn._xlws.FILTER('Model output'!G:G, 'Model output'!Z:Z=A14)),1)),OR(ISNUMBER(SEARCH(" II", _xlfn.TEXTJOIN("; ", TRUE, _xlfn._xlws.FILTER('Model output'!G:G, 'Model output'!Z:Z=A14)),1)),ISNUMBER(SEARCH("2", _xlfn.TEXTJOIN("; ", TRUE, _xlfn._xlws.FILTER('Model output'!G:G, 'Model output'!Z:Z=A14)),1)),ISNUMBER(SEARCH("two", _xlfn.TEXTJOIN("; ", TRUE, _xlfn._xlws.FILTER('Model output'!G:G, 'Model output'!Z:Z=A14)),1)),ISNUMBER(SEARCH("III", _xlfn.TEXTJOIN("; ", TRUE, _xlfn._xlws.FILTER('Model output'!G:G, 'Model output'!Z:Z=A14)),1)),ISNUMBER(SEARCH("3", _xlfn.TEXTJOIN("; ", TRUE, _xlfn._xlws.FILTER('Model output'!G:G, 'Model output'!Z:Z=A14)),1)),ISNUMBER(SEARCH("three", _xlfn.TEXTJOIN("; ", TRUE, _xlfn._xlws.FILTER('Model output'!G:G, 'Model output'!Z:Z=A14)),1)),ISNUMBER(SEARCH("IV", _xlfn.TEXTJOIN("; ", TRUE, _xlfn._xlws.FILTER('Model output'!G:G, 'Model output'!Z:Z=A14)),1)),ISNUMBER(SEARCH("4", _xlfn.TEXTJOIN("; ", TRUE, _xlfn._xlws.FILTER('Model output'!G:G, 'Model output'!Z:Z=A14)),1)),ISNUMBER(SEARCH("five", _xlfn.TEXTJOIN("; ", TRUE, _xlfn._xlws.FILTER('Model output'!G:G, 'Model output'!Z:Z=A14)),1)),ISNUMBER(SEARCH("V ", _xlfn.TEXTJOIN("; ", TRUE, _xlfn._xlws.FILTER('Model output'!G:G, 'Model output'!Z:Z=A14)),1)),ISNUMBER(SEARCH("5", _xlfn.TEXTJOIN("; ", TRUE, _xlfn._xlws.FILTER('Model output'!G:G, 'Model output'!Z:Z=A14)),1)),ISNUMBER(SEARCH("five", _xlfn.TEXTJOIN("; ", TRUE, _xlfn._xlws.FILTER('Model output'!G:G, 'Model output'!Z:Z=A14)),1)),ISNUMBER(SEARCH(" lateral", _xlfn.TEXTJOIN("; ", TRUE, _xlfn._xlws.FILTER('Model output'!G:G, 'Model output'!Z:Z=A14)),1)))),ISNUMBER(SEARCH("cervical", _xlfn.TEXTJOIN("; ", TRUE, _xlfn._xlws.FILTER('Model output'!G:G, 'Model output'!Z:Z=A14)),1)),ISNUMBER(SEARCH("jugular", _xlfn.TEXTJOIN("; ", TRUE, _xlfn._xlws.FILTER('Model output'!G:G, 'Model output'!Z:Z=A14)),1)),ISNUMBER(SEARCH("left neck", _xlfn.TEXTJOIN("; ", TRUE, _xlfn._xlws.FILTER('Model output'!G:G, 'Model output'!Z:Z=A14)),1)),ISNUMBER(SEARCH("left anterior neck", _xlfn.TEXTJOIN("; ", TRUE, _xlfn._xlws.FILTER('Model output'!G:G, 'Model output'!Z:Z=A14)),1)),ISNUMBER(SEARCH("left posterior neck", _xlfn.TEXTJOIN("; ", TRUE, _xlfn._xlws.FILTER('Model output'!G:G, 'Model output'!Z:Z=A14)),1)),ISNUMBER(SEARCH("right neck", _xlfn.TEXTJOIN("; ", TRUE, _xlfn._xlws.FILTER('Model output'!G:G, 'Model output'!Z:Z=A14)),1)),ISNUMBER(SEARCH("right anterior neck", _xlfn.TEXTJOIN("; ", TRUE, _xlfn._xlws.FILTER('Model output'!G:G, 'Model output'!Z:Z=A14)),1)),ISNUMBER(SEARCH("right posterior neck", _xlfn.TEXTJOIN("; ", TRUE, _xlfn._xlws.FILTER('Model output'!G:G, 'Model output'!Z:Z=A14)),1)))),"lateral",IF(AND(M14=0, _xlfn.TEXTJOIN("; ", TRUE, _xlfn._xlws.FILTER('Model output'!G:G, 'Model output'!Z:Z=A14))=""),"", "central"))</f>
        <v>central</v>
      </c>
      <c r="K14" s="17" t="str" cm="1">
        <f t="array" ref="K14">IF(OR(ISNUMBER(SEARCH("lymph",_xlfn.TEXTJOIN("; ", TRUE, _xlfn._xlws.FILTER('Model output'!H:H, 'Model output'!Z:Z=A14)),1)), ISNUMBER(SEARCH("Not mentioned",_xlfn.TEXTJOIN("; ", TRUE, _xlfn._xlws.FILTER('Model output'!H:H, 'Model output'!Z:Z=A14)),1)),ISNUMBER(SEARCH("subcutaneous soft tissues",_xlfn.TEXTJOIN("; ", TRUE, _xlfn._xlws.FILTER('Model output'!H:H, 'Model output'!Z:Z=A14)),1)),ISNUMBER(SEARCH("larynx",_xlfn.TEXTJOIN("; ", TRUE, _xlfn._xlws.FILTER('Model output'!H:H, 'Model output'!Z:Z=A14)),1)),ISNUMBER(SEARCH("trachea",_xlfn.TEXTJOIN("; ", TRUE, _xlfn._xlws.FILTER('Model output'!H:H, 'Model output'!Z:Z=A14)),1)),ISNUMBER(SEARCH("esophagus",_xlfn.TEXTJOIN("; ", TRUE, _xlfn._xlws.FILTER('Model output'!H:H, 'Model output'!Z:Z=A14)),1)),ISNUMBER(SEARCH("recurrent laryngeal nerve",_xlfn.TEXTJOIN("; ", TRUE, _xlfn._xlws.FILTER('Model output'!H:H, 'Model output'!Z:Z=A14)),1)),ISNUMBER(SEARCH("RLN",_xlfn.TEXTJOIN("; ", TRUE, _xlfn._xlws.FILTER('Model output'!H:H, 'Model output'!Z:Z=A14)),1)),_xlfn.TEXTJOIN("; ", TRUE, _xlfn._xlws.FILTER('Model output'!H:H, 'Model output'!Z:Z=A14))=""),"negative","positive")</f>
        <v>negative</v>
      </c>
      <c r="L14" s="17">
        <f>IF(IFERROR(INDEX('Model output'!I:I, MATCH(A14, 'Model output'!Z:Z, 0)), "") &lt; M14, "", IFERROR(INDEX('Model output'!I:I, MATCH(A14, 'Model output'!Z:Z, 0)), ""))</f>
        <v>22</v>
      </c>
      <c r="M14" s="28">
        <f>IFERROR(INDEX('Model output'!J:J, MATCH(A14, 'Model output'!Z:Z, 0)), "")</f>
        <v>1</v>
      </c>
      <c r="N14" s="47" t="str" cm="1">
        <f t="array" ref="N14">ReplaceTo(ReplaceAnd(SUBSTITUTE(SUBSTITUTE(_xlfn.TEXTJOIN("; ", TRUE, _xlfn._xlws.FILTER('Model output'!K:K, 'Model output'!Z:Z=A14)), " ", ""), ",", ";")))</f>
        <v>50mm;6.5cm</v>
      </c>
      <c r="O14" s="45" t="str" cm="1">
        <f t="array" ref="O14">IF(LEFT(IF(RIGHT(SUBSTITUTE(FilterWithUnits(N14)&amp;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";")),1)=";",RIGHT(IF(RIGHT(SUBSTITUTE(FilterWithUnits(N14)&amp;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";")),LEN(IF(RIGHT(SUBSTITUTE(FilterWithUnits(N14)&amp;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";")))-1),IF(RIGHT(SUBSTITUTE(FilterWithUnits(N14)&amp; ";" &amp;FilterStringsWithNumericAnd(N14) &amp; ";" &amp; FilterStringsWithX(N14), ";;", ";"),1)=";",LEFT(SUBSTITUTE(FilterWithUnits(N14)&amp; ";" &amp;FilterStringsWithNumericAnd(N14) &amp; ";" &amp; FilterStringsWithX(N14), ";;", ";"),LEN(SUBSTITUTE(FilterWithUnits(N14)&amp; ";" &amp;FilterStringsWithNumericAnd(N14) &amp; ";" &amp; FilterStringsWithX(N14), ";;", ";"))-1),SUBSTITUTE(FilterWithUnits(N14)&amp; ";" &amp;FilterStringsWithNumericAnd(N14) &amp; ";" &amp; FilterStringsWithX(N14), ";;", ";")))</f>
        <v>50mm;6.5cm</v>
      </c>
      <c r="P14" s="45" cm="1">
        <f t="array" ref="P14">IF(MaxSize((SplitDimensions(O14)))=0, "", MaxSize((SplitDimensions(O14))))</f>
        <v>6.5</v>
      </c>
      <c r="Q14" t="str" cm="1">
        <f t="array" ref="Q14">IF(ISERROR(INDEX(_xlfn._xlws.FILTER('Model output'!L:L, ('Model output'!Z:Z=A14)*('Model output'!L:L&lt;&gt;"")), 1)), " ", LOWER(INDEX(_xlfn._xlws.FILTER('Model output'!L:L, ('Model output'!Z:Z=A14)*('Model output'!L:L&lt;&gt;"")), 1)))</f>
        <v>minimally invasive follicular carcinoma</v>
      </c>
      <c r="R14" s="45" t="str" cm="1">
        <f t="array" ref="R14">IF(ISERROR(INDEX(_xlfn._xlws.FILTER('Model output'!M:M, ('Model output'!Z:Z=A14)*('Model output'!M:M&lt;&gt;"")), 1)), " ", LOWER(INDEX(_xlfn._xlws.FILTER('Model output'!M:M, ('Model output'!Z:Z=A14)*('Model output'!M:M&lt;&gt;"")), 1)))</f>
        <v xml:space="preserve"> </v>
      </c>
      <c r="S14" s="45" t="str" cm="1">
        <f t="array" ref="S14">IF(OR(ISNUMBER(SEARCH("ly",SUBSTITUTE(INDEX(_xlfn._xlws.FILTER('Model output'!N:N,('Model output'!Z:Z=A14)*('Model output'!N:N&lt;&gt;"")),1)," ",""),1)), ISNUMBER(SEARCH("pole",SUBSTITUTE(INDEX(_xlfn._xlws.FILTER('Model output'!N:N,('Model output'!Z:Z=A14)*('Model output'!N:N&lt;&gt;"")),1)," ",""),1))),"",SUBSTITUTE(INDEX(_xlfn._xlws.FILTER('Model output'!N:N,('Model output'!Z:Z=A14)*('Model output'!N:N&lt;&gt;"")),1)," ",""))</f>
        <v>50mm</v>
      </c>
      <c r="T14" s="45" t="str" cm="1">
        <f t="array" ref="T14">IF(LEFT(IF(RIGHT(SUBSTITUTE(FilterWithUnits(S14)&amp;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";")),1)=";",RIGHT(IF(RIGHT(SUBSTITUTE(FilterWithUnits(S14)&amp;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";")),LEN(IF(RIGHT(SUBSTITUTE(FilterWithUnits(S14)&amp;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";")))-1),IF(RIGHT(SUBSTITUTE(FilterWithUnits(S14)&amp; ";" &amp;FilterStringsWithNumericAnd(S14) &amp; ";" &amp; FilterStringsWithX(S14), ";;", ";"),1)=";",LEFT(SUBSTITUTE(FilterWithUnits(S14)&amp; ";" &amp;FilterStringsWithNumericAnd(S14) &amp; ";" &amp; FilterStringsWithX(S14), ";;", ";"),LEN(SUBSTITUTE(FilterWithUnits(S14)&amp; ";" &amp;FilterStringsWithNumericAnd(S14) &amp; ";" &amp; FilterStringsWithX(S14), ";;", ";"))-1),SUBSTITUTE(FilterWithUnits(S14)&amp; ";" &amp;FilterStringsWithNumericAnd(S14) &amp; ";" &amp; FilterStringsWithX(S14), ";;", ";")))</f>
        <v>50mm</v>
      </c>
      <c r="U14" s="45" cm="1">
        <f t="array" ref="U14">IF(MaxSize((SplitDimensions(T14)))=0, "", MaxSize((SplitDimensions(T14))))</f>
        <v>5</v>
      </c>
      <c r="V14" s="17" t="str" cm="1">
        <f t="array" ref="V14">IF(ISERROR(INDEX(_xlfn._xlws.FILTER('Model output'!P:P,('Model output'!Z:Z=A14)*('Model output'!P:P&lt;&gt;"")),1)),"negative",IF(OR(ISNUMBER(SEARCH("foc",INDEX(_xlfn._xlws.FILTER('Model output'!P:P,('Model output'!Z:Z=A14)*('Model output'!P:P&lt;&gt;"")),1),1)),ISNUMBER(SEARCH("extensive",INDEX(_xlfn._xlws.FILTER('Model output'!P:P,('Model output'!Z:Z=A14)*('Model output'!P:P&lt;&gt;"")),1),1)),ISNUMBER(SEARCH("present",INDEX(_xlfn._xlws.FILTER('Model output'!P:P,('Model output'!Z:Z=A14)*('Model output'!P:P&lt;&gt;"")),1),1)),ISNUMBER(SEARCH("yes",INDEX(_xlfn._xlws.FILTER('Model output'!P:P,('Model output'!Z:Z=A14)*('Model output'!P:P&lt;&gt;"")),1),1))),"positive","negative"))</f>
        <v>positive</v>
      </c>
      <c r="X14" t="str" cm="1">
        <f t="array" ref="X14">IF(ISNUMBER(SEARCH("4",INDEX(_xlfn._xlws.FILTER('Model output'!P:P,('Model output'!Z:Z=A14)*('Model output'!P:P&lt;&gt;"")),1),1)),INDEX(_xlfn._xlws.FILTER('Model output'!P:P,('Model output'!Z:Z=A14)*('Model output'!P:P&lt;&gt;"")),1),"") &amp; _xlfn.TEXTJOIN("",TRUE,_xlfn._xlws.FILTER('Model output'!Q:Q,'Model output'!Z:Z=A14))</f>
        <v>Focal (&lt; 4 vessels)</v>
      </c>
      <c r="Y14" t="str">
        <f t="shared" si="10"/>
        <v>minimal</v>
      </c>
      <c r="Z14" t="str" cm="1">
        <f t="array" ref="Z14">IF(OR(ISNUMBER(SEARCH("focal",_xlfn.TEXTJOIN("; ",TRUE,_xlfn._xlws.FILTER('Model output'!R:R,'Model output'!Z:Z=A14)),1)),ISNUMBER(SEARCH("present",_xlfn.TEXTJOIN("; ",TRUE,_xlfn._xlws.FILTER('Model output'!R:R,'Model output'!Z:Z=A14)),1))),"positive",IF(_xlfn.TEXTJOIN("; ",TRUE,_xlfn._xlws.FILTER('Model output'!R:R,'Model output'!Z:Z=A14))="","negative",IF(OR(ISNUMBER(SEARCH("no",_xlfn.TEXTJOIN("; ",TRUE,_xlfn._xlws.FILTER('Model output'!R:R,'Model output'!Z:Z=A14)),1)),ISNUMBER(SEARCH("absent",_xlfn.TEXTJOIN("; ",TRUE,_xlfn._xlws.FILTER('Model output'!R:R,'Model output'!Z:Z=A14)),1))),"negative","positive")))</f>
        <v>positive</v>
      </c>
      <c r="AA14" s="17" t="str">
        <f t="shared" si="11"/>
        <v>negative</v>
      </c>
      <c r="AE14" s="17" t="str">
        <f t="shared" si="12"/>
        <v>negative</v>
      </c>
      <c r="AF14" t="str" cm="1">
        <f t="array" ref="AF14">_xlfn.TEXTJOIN("; ",TRUE,_xlfn._xlws.FILTER('Model output'!S:S,'Model output'!Z:Z=A14))</f>
        <v>Not identified</v>
      </c>
      <c r="AG14" s="17" t="str" cm="1">
        <f t="array" ref="AG14">IF(OR(ISNUMBER(SEARCH("uninvolved",_xlfn.TEXTJOIN("; ",TRUE,_xlfn._xlws.FILTER('Model output'!V:V,'Model output'!Z:Z=A14)),1)),ISNUMBER(SEARCH("clear",_xlfn.TEXTJOIN("; ",TRUE,_xlfn._xlws.FILTER('Model output'!V:V,'Model output'!Z:Z=A14)),1))*ISNUMBER(SEARCH("not mentioned",_xlfn.TEXTJOIN("; ",TRUE,_xlfn._xlws.FILTER('Model output'!V:V,'Model output'!Z:Z=A14)),1))),"negative",IF(ISNUMBER(SEARCH("cannot be assessed",_xlfn.TEXTJOIN("; ",TRUE,_xlfn._xlws.FILTER('Model output'!V:V,'Model output'!Z:Z=A14)),1)),"unknown","negative"))</f>
        <v>negative</v>
      </c>
      <c r="AI14" s="40" t="str">
        <f t="shared" si="13"/>
        <v>high</v>
      </c>
      <c r="AJ14" s="28" t="str">
        <f t="shared" si="14"/>
        <v>3a</v>
      </c>
      <c r="AK14" s="28" t="str">
        <f t="shared" si="2"/>
        <v>1a</v>
      </c>
      <c r="AL14" s="28">
        <f t="shared" si="3"/>
        <v>0</v>
      </c>
      <c r="AM14" s="28" t="str">
        <f t="shared" si="4"/>
        <v>II</v>
      </c>
      <c r="AN14" s="37" t="s">
        <v>169</v>
      </c>
      <c r="AO14" s="38" t="s">
        <v>218</v>
      </c>
      <c r="AP14" s="38" t="s">
        <v>215</v>
      </c>
      <c r="AQ14" s="38">
        <v>0</v>
      </c>
      <c r="AR14" s="38" t="s">
        <v>45</v>
      </c>
      <c r="AS14" s="37">
        <f t="shared" si="5"/>
        <v>0</v>
      </c>
      <c r="AT14" s="38">
        <f t="shared" si="6"/>
        <v>1</v>
      </c>
      <c r="AU14" s="38">
        <f t="shared" si="7"/>
        <v>0</v>
      </c>
      <c r="AV14" s="38">
        <f t="shared" si="8"/>
        <v>1</v>
      </c>
      <c r="AW14" s="39">
        <f t="shared" si="9"/>
        <v>1</v>
      </c>
    </row>
    <row r="15" spans="1:49">
      <c r="A15" s="13">
        <v>13</v>
      </c>
      <c r="B15" s="16">
        <f>_xlfn.MAXIFS('Model output'!B:B,'Model output'!Z:Z,'Classification result'!$A15)</f>
        <v>45509</v>
      </c>
      <c r="C15" s="16"/>
      <c r="D15" s="16"/>
      <c r="E15" s="17">
        <f>_xlfn.MAXIFS('Model output'!C:C,'Model output'!Z:Z,'Classification result'!$A15)</f>
        <v>66</v>
      </c>
      <c r="F15" s="17" t="str" cm="1">
        <f t="array" ref="F15">LEFT(IF(ISERROR(RIGHT(IF(INDEX(_xlfn._xlws.FILTER('Model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output'!Z:Z=A15)),1),""),1))),"",(RIGHT(IF(INDEX(_xlfn._xlws.FILTER('Model output'!D:D,('Model output'!Z:Z=A15)),1)&lt;&gt;"",INDEX(_xlfn._xlws.FILTER('Model output'!D:D,('Model output'!Z:Z=A15)),1),""),LEN(IF(INDEX(_xlfn._xlws.FILTER('Model output'!D:D,('Model output'!Z:Z=A15)),1)&lt;&gt;"",INDEX(_xlfn._xlws.FILTER('Model output'!D:D,('Model output'!Z:Z=A15)),1),""))-FIND("T",IF(INDEX(_xlfn._xlws.FILTER('Model output'!D:D,('Model output'!Z:Z=A15)),1)&lt;&gt;"",INDEX(_xlfn._xlws.FILTER('Model output'!D:D,('Model output'!Z:Z=A15)),1)))))),2)</f>
        <v/>
      </c>
      <c r="G15" s="17" t="str" cm="1">
        <f t="array" ref="G15">IF(ISNUMBER(SEARCH("N",IF(ISNUMBER(SEARCH("present",IF(INDEX(_xlfn._xlws.FILTER('Model output'!E:E,('Model output'!Z:Z=A15)),1)="","",INDEX(_xlfn._xlws.FILTER('Model output'!E:E,('Model output'!Z:Z=A15)),1)),1)),"N1", IF(INDEX(_xlfn._xlws.FILTER('Model output'!E:E,('Model output'!Z:Z=A15)),1)="","",INDEX(_xlfn._xlws.FILTER('Model output'!E:E,('Model output'!Z:Z=A15)),1))),1)),RIGHT(IF(ISNUMBER(SEARCH("present",IF(INDEX(_xlfn._xlws.FILTER('Model output'!E:E,('Model output'!Z:Z=A15)),1)="","",INDEX(_xlfn._xlws.FILTER('Model output'!E:E,('Model output'!Z:Z=A15)),1)),1)),"N1", IF(INDEX(_xlfn._xlws.FILTER('Model output'!E:E,('Model output'!Z:Z=A15)),1)="","",INDEX(_xlfn._xlws.FILTER('Model output'!E:E,('Model output'!Z:Z=A15)),1))),LEN(IF(ISNUMBER(SEARCH("present",IF(INDEX(_xlfn._xlws.FILTER('Model output'!E:E,('Model output'!Z:Z=A15)),1)="","",INDEX(_xlfn._xlws.FILTER('Model output'!E:E,('Model output'!Z:Z=A15)),1)),1)),"N1", IF(INDEX(_xlfn._xlws.FILTER('Model output'!E:E,('Model output'!Z:Z=A15)),1)="","",INDEX(_xlfn._xlws.FILTER('Model output'!E:E,('Model output'!Z:Z=A15)),1))))-FIND("N",IF(ISNUMBER(SEARCH("present",IF(INDEX(_xlfn._xlws.FILTER('Model output'!E:E,('Model output'!Z:Z=A15)),1)="","",INDEX(_xlfn._xlws.FILTER('Model output'!E:E,('Model output'!Z:Z=A15)),1)),1)),"N1", IF(INDEX(_xlfn._xlws.FILTER('Model output'!E:E,('Model output'!Z:Z=A15)),1)="","",INDEX(_xlfn._xlws.FILTER('Model output'!E:E,('Model output'!Z:Z=A15)),1))),1)), "")</f>
        <v>1b</v>
      </c>
      <c r="H15" s="17" cm="1">
        <f t="array" ref="H15">IF(AND(SUBSTITUTE(_xlfn.TEXTJOIN("/", TRUE, _xlfn._xlws.FILTER('Model output'!F:F, 'Model output'!Z:Z=A15)),"M", "")="", K15="negative"),0,IF(K15="positive",1,0))</f>
        <v>0</v>
      </c>
      <c r="I15" t="str">
        <f t="shared" si="0"/>
        <v>positive</v>
      </c>
      <c r="J15" t="str" cm="1">
        <f t="array" ref="J15">IF(AND(M15&gt;0, _xlfn.TEXTJOIN("; ", TRUE, _xlfn._xlws.FILTER('Model output'!G:G, 'Model output'!Z:Z=A15)) &lt;&gt;"", OR(AND(ISNUMBER(SEARCH("level", _xlfn.TEXTJOIN("; ", TRUE, _xlfn._xlws.FILTER('Model output'!G:G, 'Model output'!Z:Z=A15)),1)),OR(ISNUMBER(SEARCH(" II", _xlfn.TEXTJOIN("; ", TRUE, _xlfn._xlws.FILTER('Model output'!G:G, 'Model output'!Z:Z=A15)),1)),ISNUMBER(SEARCH("2", _xlfn.TEXTJOIN("; ", TRUE, _xlfn._xlws.FILTER('Model output'!G:G, 'Model output'!Z:Z=A15)),1)),ISNUMBER(SEARCH("two", _xlfn.TEXTJOIN("; ", TRUE, _xlfn._xlws.FILTER('Model output'!G:G, 'Model output'!Z:Z=A15)),1)),ISNUMBER(SEARCH("III", _xlfn.TEXTJOIN("; ", TRUE, _xlfn._xlws.FILTER('Model output'!G:G, 'Model output'!Z:Z=A15)),1)),ISNUMBER(SEARCH("3", _xlfn.TEXTJOIN("; ", TRUE, _xlfn._xlws.FILTER('Model output'!G:G, 'Model output'!Z:Z=A15)),1)),ISNUMBER(SEARCH("three", _xlfn.TEXTJOIN("; ", TRUE, _xlfn._xlws.FILTER('Model output'!G:G, 'Model output'!Z:Z=A15)),1)),ISNUMBER(SEARCH("IV", _xlfn.TEXTJOIN("; ", TRUE, _xlfn._xlws.FILTER('Model output'!G:G, 'Model output'!Z:Z=A15)),1)),ISNUMBER(SEARCH("4", _xlfn.TEXTJOIN("; ", TRUE, _xlfn._xlws.FILTER('Model output'!G:G, 'Model output'!Z:Z=A15)),1)),ISNUMBER(SEARCH("five", _xlfn.TEXTJOIN("; ", TRUE, _xlfn._xlws.FILTER('Model output'!G:G, 'Model output'!Z:Z=A15)),1)),ISNUMBER(SEARCH("V ", _xlfn.TEXTJOIN("; ", TRUE, _xlfn._xlws.FILTER('Model output'!G:G, 'Model output'!Z:Z=A15)),1)),ISNUMBER(SEARCH("5", _xlfn.TEXTJOIN("; ", TRUE, _xlfn._xlws.FILTER('Model output'!G:G, 'Model output'!Z:Z=A15)),1)),ISNUMBER(SEARCH("five", _xlfn.TEXTJOIN("; ", TRUE, _xlfn._xlws.FILTER('Model output'!G:G, 'Model output'!Z:Z=A15)),1)),ISNUMBER(SEARCH(" lateral", _xlfn.TEXTJOIN("; ", TRUE, _xlfn._xlws.FILTER('Model output'!G:G, 'Model output'!Z:Z=A15)),1)))),ISNUMBER(SEARCH("cervical", _xlfn.TEXTJOIN("; ", TRUE, _xlfn._xlws.FILTER('Model output'!G:G, 'Model output'!Z:Z=A15)),1)),ISNUMBER(SEARCH("jugular", _xlfn.TEXTJOIN("; ", TRUE, _xlfn._xlws.FILTER('Model output'!G:G, 'Model output'!Z:Z=A15)),1)),ISNUMBER(SEARCH("left neck", _xlfn.TEXTJOIN("; ", TRUE, _xlfn._xlws.FILTER('Model output'!G:G, 'Model output'!Z:Z=A15)),1)),ISNUMBER(SEARCH("left anterior neck", _xlfn.TEXTJOIN("; ", TRUE, _xlfn._xlws.FILTER('Model output'!G:G, 'Model output'!Z:Z=A15)),1)),ISNUMBER(SEARCH("left posterior neck", _xlfn.TEXTJOIN("; ", TRUE, _xlfn._xlws.FILTER('Model output'!G:G, 'Model output'!Z:Z=A15)),1)),ISNUMBER(SEARCH("right neck", _xlfn.TEXTJOIN("; ", TRUE, _xlfn._xlws.FILTER('Model output'!G:G, 'Model output'!Z:Z=A15)),1)),ISNUMBER(SEARCH("right anterior neck", _xlfn.TEXTJOIN("; ", TRUE, _xlfn._xlws.FILTER('Model output'!G:G, 'Model output'!Z:Z=A15)),1)),ISNUMBER(SEARCH("right posterior neck", _xlfn.TEXTJOIN("; ", TRUE, _xlfn._xlws.FILTER('Model output'!G:G, 'Model output'!Z:Z=A15)),1)))),"lateral",IF(AND(M15=0, _xlfn.TEXTJOIN("; ", TRUE, _xlfn._xlws.FILTER('Model output'!G:G, 'Model output'!Z:Z=A15))=""),"", "central"))</f>
        <v>central</v>
      </c>
      <c r="K15" s="17" t="str" cm="1">
        <f t="array" ref="K15">IF(OR(ISNUMBER(SEARCH("lymph",_xlfn.TEXTJOIN("; ", TRUE, _xlfn._xlws.FILTER('Model output'!H:H, 'Model output'!Z:Z=A15)),1)), ISNUMBER(SEARCH("Not mentioned",_xlfn.TEXTJOIN("; ", TRUE, _xlfn._xlws.FILTER('Model output'!H:H, 'Model output'!Z:Z=A15)),1)),ISNUMBER(SEARCH("subcutaneous soft tissues",_xlfn.TEXTJOIN("; ", TRUE, _xlfn._xlws.FILTER('Model output'!H:H, 'Model output'!Z:Z=A15)),1)),ISNUMBER(SEARCH("larynx",_xlfn.TEXTJOIN("; ", TRUE, _xlfn._xlws.FILTER('Model output'!H:H, 'Model output'!Z:Z=A15)),1)),ISNUMBER(SEARCH("trachea",_xlfn.TEXTJOIN("; ", TRUE, _xlfn._xlws.FILTER('Model output'!H:H, 'Model output'!Z:Z=A15)),1)),ISNUMBER(SEARCH("esophagus",_xlfn.TEXTJOIN("; ", TRUE, _xlfn._xlws.FILTER('Model output'!H:H, 'Model output'!Z:Z=A15)),1)),ISNUMBER(SEARCH("recurrent laryngeal nerve",_xlfn.TEXTJOIN("; ", TRUE, _xlfn._xlws.FILTER('Model output'!H:H, 'Model output'!Z:Z=A15)),1)),ISNUMBER(SEARCH("RLN",_xlfn.TEXTJOIN("; ", TRUE, _xlfn._xlws.FILTER('Model output'!H:H, 'Model output'!Z:Z=A15)),1)),_xlfn.TEXTJOIN("; ", TRUE, _xlfn._xlws.FILTER('Model output'!H:H, 'Model output'!Z:Z=A15))=""),"negative","positive")</f>
        <v>negative</v>
      </c>
      <c r="L15" s="17">
        <f>IF(IFERROR(INDEX('Model output'!I:I, MATCH(A15, 'Model output'!Z:Z, 0)), "") &lt; M15, "", IFERROR(INDEX('Model output'!I:I, MATCH(A15, 'Model output'!Z:Z, 0)), ""))</f>
        <v>19</v>
      </c>
      <c r="M15" s="28">
        <f>IFERROR(INDEX('Model output'!J:J, MATCH(A15, 'Model output'!Z:Z, 0)), "")</f>
        <v>2</v>
      </c>
      <c r="N15" s="47" t="str" cm="1">
        <f t="array" ref="N15">ReplaceTo(ReplaceAnd(SUBSTITUTE(SUBSTITUTE(_xlfn.TEXTJOIN("; ", TRUE, _xlfn._xlws.FILTER('Model output'!K:K, 'Model output'!Z:Z=A15)), " ", ""), ",", ";")))</f>
        <v>4x3x2.1cm</v>
      </c>
      <c r="O15" s="45" t="str" cm="1">
        <f t="array" ref="O15">IF(LEFT(IF(RIGHT(SUBSTITUTE(FilterWithUnits(N15)&amp;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";")),1)=";",RIGHT(IF(RIGHT(SUBSTITUTE(FilterWithUnits(N15)&amp;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";")),LEN(IF(RIGHT(SUBSTITUTE(FilterWithUnits(N15)&amp;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";")))-1),IF(RIGHT(SUBSTITUTE(FilterWithUnits(N15)&amp; ";" &amp;FilterStringsWithNumericAnd(N15) &amp; ";" &amp; FilterStringsWithX(N15), ";;", ";"),1)=";",LEFT(SUBSTITUTE(FilterWithUnits(N15)&amp; ";" &amp;FilterStringsWithNumericAnd(N15) &amp; ";" &amp; FilterStringsWithX(N15), ";;", ";"),LEN(SUBSTITUTE(FilterWithUnits(N15)&amp; ";" &amp;FilterStringsWithNumericAnd(N15) &amp; ";" &amp; FilterStringsWithX(N15), ";;", ";"))-1),SUBSTITUTE(FilterWithUnits(N15)&amp; ";" &amp;FilterStringsWithNumericAnd(N15) &amp; ";" &amp; FilterStringsWithX(N15), ";;", ";")))</f>
        <v>4x3x2.1cm</v>
      </c>
      <c r="P15" s="45" cm="1">
        <f t="array" ref="P15">IF(MaxSize((SplitDimensions(O15)))=0, "", MaxSize((SplitDimensions(O15))))</f>
        <v>4</v>
      </c>
      <c r="Q15" t="str" cm="1">
        <f t="array" ref="Q15">IF(ISERROR(INDEX(_xlfn._xlws.FILTER('Model output'!L:L, ('Model output'!Z:Z=A15)*('Model output'!L:L&lt;&gt;"")), 1)), " ", LOWER(INDEX(_xlfn._xlws.FILTER('Model output'!L:L, ('Model output'!Z:Z=A15)*('Model output'!L:L&lt;&gt;"")), 1)))</f>
        <v>papillary carcinoma, classic subtype</v>
      </c>
      <c r="R15" s="45" t="str" cm="1">
        <f t="array" ref="R15">IF(ISERROR(INDEX(_xlfn._xlws.FILTER('Model output'!M:M, ('Model output'!Z:Z=A15)*('Model output'!M:M&lt;&gt;"")), 1)), " ", LOWER(INDEX(_xlfn._xlws.FILTER('Model output'!M:M, ('Model output'!Z:Z=A15)*('Model output'!M:M&lt;&gt;"")), 1)))</f>
        <v xml:space="preserve"> </v>
      </c>
      <c r="S15" s="45" t="str" cm="1">
        <f t="array" ref="S15">IF(OR(ISNUMBER(SEARCH("ly",SUBSTITUTE(INDEX(_xlfn._xlws.FILTER('Model output'!N:N,('Model output'!Z:Z=A15)*('Model output'!N:N&lt;&gt;"")),1)," ",""),1)), ISNUMBER(SEARCH("pole",SUBSTITUTE(INDEX(_xlfn._xlws.FILTER('Model output'!N:N,('Model output'!Z:Z=A15)*('Model output'!N:N&lt;&gt;"")),1)," ",""),1))),"",SUBSTITUTE(INDEX(_xlfn._xlws.FILTER('Model output'!N:N,('Model output'!Z:Z=A15)*('Model output'!N:N&lt;&gt;"")),1)," ",""))</f>
        <v>63mm(macroscopic)</v>
      </c>
      <c r="T15" s="45" t="str" cm="1">
        <f t="array" ref="T15">IF(LEFT(IF(RIGHT(SUBSTITUTE(FilterWithUnits(S15)&amp;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";")),1)=";",RIGHT(IF(RIGHT(SUBSTITUTE(FilterWithUnits(S15)&amp;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";")),LEN(IF(RIGHT(SUBSTITUTE(FilterWithUnits(S15)&amp;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";")))-1),IF(RIGHT(SUBSTITUTE(FilterWithUnits(S15)&amp; ";" &amp;FilterStringsWithNumericAnd(S15) &amp; ";" &amp; FilterStringsWithX(S15), ";;", ";"),1)=";",LEFT(SUBSTITUTE(FilterWithUnits(S15)&amp; ";" &amp;FilterStringsWithNumericAnd(S15) &amp; ";" &amp; FilterStringsWithX(S15), ";;", ";"),LEN(SUBSTITUTE(FilterWithUnits(S15)&amp; ";" &amp;FilterStringsWithNumericAnd(S15) &amp; ";" &amp; FilterStringsWithX(S15), ";;", ";"))-1),SUBSTITUTE(FilterWithUnits(S15)&amp; ";" &amp;FilterStringsWithNumericAnd(S15) &amp; ";" &amp; FilterStringsWithX(S15), ";;", ";")))</f>
        <v>63mm</v>
      </c>
      <c r="U15" s="45" cm="1">
        <f t="array" ref="U15">IF(MaxSize((SplitDimensions(T15)))=0, "", MaxSize((SplitDimensions(T15))))</f>
        <v>6.3</v>
      </c>
      <c r="V15" s="17" t="str" cm="1">
        <f t="array" ref="V15">IF(ISERROR(INDEX(_xlfn._xlws.FILTER('Model output'!P:P,('Model output'!Z:Z=A15)*('Model output'!P:P&lt;&gt;"")),1)),"negative",IF(OR(ISNUMBER(SEARCH("foc",INDEX(_xlfn._xlws.FILTER('Model output'!P:P,('Model output'!Z:Z=A15)*('Model output'!P:P&lt;&gt;"")),1),1)),ISNUMBER(SEARCH("extensive",INDEX(_xlfn._xlws.FILTER('Model output'!P:P,('Model output'!Z:Z=A15)*('Model output'!P:P&lt;&gt;"")),1),1)),ISNUMBER(SEARCH("present",INDEX(_xlfn._xlws.FILTER('Model output'!P:P,('Model output'!Z:Z=A15)*('Model output'!P:P&lt;&gt;"")),1),1)),ISNUMBER(SEARCH("yes",INDEX(_xlfn._xlws.FILTER('Model output'!P:P,('Model output'!Z:Z=A15)*('Model output'!P:P&lt;&gt;"")),1),1))),"positive","negative"))</f>
        <v>positive</v>
      </c>
      <c r="X15" t="str" cm="1">
        <f t="array" ref="X15">IF(ISNUMBER(SEARCH("4",INDEX(_xlfn._xlws.FILTER('Model output'!P:P,('Model output'!Z:Z=A15)*('Model output'!P:P&lt;&gt;"")),1),1)),INDEX(_xlfn._xlws.FILTER('Model output'!P:P,('Model output'!Z:Z=A15)*('Model output'!P:P&lt;&gt;"")),1),"") &amp; _xlfn.TEXTJOIN("",TRUE,_xlfn._xlws.FILTER('Model output'!Q:Q,'Model output'!Z:Z=A15))</f>
        <v>into the surrounding skeletal muscleGross ETE to surrounding muscles, posteriorly adherent to trachea and esophagus at cricoid level</v>
      </c>
      <c r="Y15" t="str">
        <f t="shared" si="10"/>
        <v>minimal</v>
      </c>
      <c r="Z15" t="str" cm="1">
        <f t="array" ref="Z15">IF(OR(ISNUMBER(SEARCH("focal",_xlfn.TEXTJOIN("; ",TRUE,_xlfn._xlws.FILTER('Model output'!R:R,'Model output'!Z:Z=A15)),1)),ISNUMBER(SEARCH("present",_xlfn.TEXTJOIN("; ",TRUE,_xlfn._xlws.FILTER('Model output'!R:R,'Model output'!Z:Z=A15)),1))),"positive",IF(_xlfn.TEXTJOIN("; ",TRUE,_xlfn._xlws.FILTER('Model output'!R:R,'Model output'!Z:Z=A15))="","negative",IF(OR(ISNUMBER(SEARCH("no",_xlfn.TEXTJOIN("; ",TRUE,_xlfn._xlws.FILTER('Model output'!R:R,'Model output'!Z:Z=A15)),1)),ISNUMBER(SEARCH("absent",_xlfn.TEXTJOIN("; ",TRUE,_xlfn._xlws.FILTER('Model output'!R:R,'Model output'!Z:Z=A15)),1))),"negative","positive")))</f>
        <v>positive</v>
      </c>
      <c r="AA15" s="17" t="str">
        <f t="shared" si="11"/>
        <v>positive</v>
      </c>
      <c r="AE15" s="17" t="str">
        <f t="shared" si="12"/>
        <v>negative</v>
      </c>
      <c r="AF15" t="str" cm="1">
        <f t="array" ref="AF15">_xlfn.TEXTJOIN("; ",TRUE,_xlfn._xlws.FILTER('Model output'!S:S,'Model output'!Z:Z=A15))</f>
        <v>Yes; Yes</v>
      </c>
      <c r="AG15" s="17" t="str" cm="1">
        <f t="array" ref="AG15">IF(OR(ISNUMBER(SEARCH("uninvolved",_xlfn.TEXTJOIN("; ",TRUE,_xlfn._xlws.FILTER('Model output'!V:V,'Model output'!Z:Z=A15)),1)),ISNUMBER(SEARCH("clear",_xlfn.TEXTJOIN("; ",TRUE,_xlfn._xlws.FILTER('Model output'!V:V,'Model output'!Z:Z=A15)),1))*ISNUMBER(SEARCH("not mentioned",_xlfn.TEXTJOIN("; ",TRUE,_xlfn._xlws.FILTER('Model output'!V:V,'Model output'!Z:Z=A15)),1))),"negative",IF(ISNUMBER(SEARCH("cannot be assessed",_xlfn.TEXTJOIN("; ",TRUE,_xlfn._xlws.FILTER('Model output'!V:V,'Model output'!Z:Z=A15)),1)),"unknown","negative"))</f>
        <v>negative</v>
      </c>
      <c r="AI15" s="40" t="str">
        <f t="shared" si="13"/>
        <v>high</v>
      </c>
      <c r="AJ15" s="28" t="str">
        <f t="shared" si="14"/>
        <v>3a</v>
      </c>
      <c r="AK15" s="28" t="str">
        <f t="shared" si="2"/>
        <v>1a</v>
      </c>
      <c r="AL15" s="28">
        <f t="shared" si="3"/>
        <v>0</v>
      </c>
      <c r="AM15" s="28" t="str">
        <f t="shared" si="4"/>
        <v>II</v>
      </c>
      <c r="AN15" s="37" t="s">
        <v>170</v>
      </c>
      <c r="AO15" s="38" t="s">
        <v>219</v>
      </c>
      <c r="AP15" s="38" t="s">
        <v>214</v>
      </c>
      <c r="AQ15" s="38">
        <v>0</v>
      </c>
      <c r="AR15" s="38" t="s">
        <v>70</v>
      </c>
      <c r="AS15" s="37">
        <f t="shared" si="5"/>
        <v>1</v>
      </c>
      <c r="AT15" s="38">
        <f t="shared" si="6"/>
        <v>0</v>
      </c>
      <c r="AU15" s="38">
        <f t="shared" si="7"/>
        <v>0</v>
      </c>
      <c r="AV15" s="38">
        <f t="shared" si="8"/>
        <v>1</v>
      </c>
      <c r="AW15" s="39">
        <f t="shared" si="9"/>
        <v>0</v>
      </c>
    </row>
    <row r="16" spans="1:49">
      <c r="A16" s="13">
        <v>14</v>
      </c>
      <c r="B16" s="16">
        <f>_xlfn.MAXIFS('Model output'!B:B,'Model output'!Z:Z,'Classification result'!$A16)</f>
        <v>45630</v>
      </c>
      <c r="C16" s="16"/>
      <c r="D16" s="16"/>
      <c r="E16" s="17">
        <f>_xlfn.MAXIFS('Model output'!C:C,'Model output'!Z:Z,'Classification result'!$A16)</f>
        <v>51</v>
      </c>
      <c r="F16" s="17" t="str" cm="1">
        <f t="array" ref="F16">LEFT(IF(ISERROR(RIGHT(IF(INDEX(_xlfn._xlws.FILTER('Model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output'!Z:Z=A16)),1),""),1))),"",(RIGHT(IF(INDEX(_xlfn._xlws.FILTER('Model output'!D:D,('Model output'!Z:Z=A16)),1)&lt;&gt;"",INDEX(_xlfn._xlws.FILTER('Model output'!D:D,('Model output'!Z:Z=A16)),1),""),LEN(IF(INDEX(_xlfn._xlws.FILTER('Model output'!D:D,('Model output'!Z:Z=A16)),1)&lt;&gt;"",INDEX(_xlfn._xlws.FILTER('Model output'!D:D,('Model output'!Z:Z=A16)),1),""))-FIND("T",IF(INDEX(_xlfn._xlws.FILTER('Model output'!D:D,('Model output'!Z:Z=A16)),1)&lt;&gt;"",INDEX(_xlfn._xlws.FILTER('Model output'!D:D,('Model output'!Z:Z=A16)),1)))))),2)</f>
        <v>3b</v>
      </c>
      <c r="G16" s="17" t="str" cm="1">
        <f t="array" ref="G16">IF(ISNUMBER(SEARCH("N",IF(ISNUMBER(SEARCH("present",IF(INDEX(_xlfn._xlws.FILTER('Model output'!E:E,('Model output'!Z:Z=A16)),1)="","",INDEX(_xlfn._xlws.FILTER('Model output'!E:E,('Model output'!Z:Z=A16)),1)),1)),"N1", IF(INDEX(_xlfn._xlws.FILTER('Model output'!E:E,('Model output'!Z:Z=A16)),1)="","",INDEX(_xlfn._xlws.FILTER('Model output'!E:E,('Model output'!Z:Z=A16)),1))),1)),RIGHT(IF(ISNUMBER(SEARCH("present",IF(INDEX(_xlfn._xlws.FILTER('Model output'!E:E,('Model output'!Z:Z=A16)),1)="","",INDEX(_xlfn._xlws.FILTER('Model output'!E:E,('Model output'!Z:Z=A16)),1)),1)),"N1", IF(INDEX(_xlfn._xlws.FILTER('Model output'!E:E,('Model output'!Z:Z=A16)),1)="","",INDEX(_xlfn._xlws.FILTER('Model output'!E:E,('Model output'!Z:Z=A16)),1))),LEN(IF(ISNUMBER(SEARCH("present",IF(INDEX(_xlfn._xlws.FILTER('Model output'!E:E,('Model output'!Z:Z=A16)),1)="","",INDEX(_xlfn._xlws.FILTER('Model output'!E:E,('Model output'!Z:Z=A16)),1)),1)),"N1", IF(INDEX(_xlfn._xlws.FILTER('Model output'!E:E,('Model output'!Z:Z=A16)),1)="","",INDEX(_xlfn._xlws.FILTER('Model output'!E:E,('Model output'!Z:Z=A16)),1))))-FIND("N",IF(ISNUMBER(SEARCH("present",IF(INDEX(_xlfn._xlws.FILTER('Model output'!E:E,('Model output'!Z:Z=A16)),1)="","",INDEX(_xlfn._xlws.FILTER('Model output'!E:E,('Model output'!Z:Z=A16)),1)),1)),"N1", IF(INDEX(_xlfn._xlws.FILTER('Model output'!E:E,('Model output'!Z:Z=A16)),1)="","",INDEX(_xlfn._xlws.FILTER('Model output'!E:E,('Model output'!Z:Z=A16)),1))),1)), "")</f>
        <v/>
      </c>
      <c r="H16" s="17" cm="1">
        <f t="array" ref="H16">IF(AND(SUBSTITUTE(_xlfn.TEXTJOIN("/", TRUE, _xlfn._xlws.FILTER('Model output'!F:F, 'Model output'!Z:Z=A16)),"M", "")="", K16="negative"),0,IF(K16="positive",1,0))</f>
        <v>0</v>
      </c>
      <c r="I16" t="str">
        <f t="shared" si="0"/>
        <v>positive</v>
      </c>
      <c r="J16" t="str" cm="1">
        <f t="array" ref="J16">IF(AND(M16&gt;0, _xlfn.TEXTJOIN("; ", TRUE, _xlfn._xlws.FILTER('Model output'!G:G, 'Model output'!Z:Z=A16)) &lt;&gt;"", OR(AND(ISNUMBER(SEARCH("level", _xlfn.TEXTJOIN("; ", TRUE, _xlfn._xlws.FILTER('Model output'!G:G, 'Model output'!Z:Z=A16)),1)),OR(ISNUMBER(SEARCH(" II", _xlfn.TEXTJOIN("; ", TRUE, _xlfn._xlws.FILTER('Model output'!G:G, 'Model output'!Z:Z=A16)),1)),ISNUMBER(SEARCH("2", _xlfn.TEXTJOIN("; ", TRUE, _xlfn._xlws.FILTER('Model output'!G:G, 'Model output'!Z:Z=A16)),1)),ISNUMBER(SEARCH("two", _xlfn.TEXTJOIN("; ", TRUE, _xlfn._xlws.FILTER('Model output'!G:G, 'Model output'!Z:Z=A16)),1)),ISNUMBER(SEARCH("III", _xlfn.TEXTJOIN("; ", TRUE, _xlfn._xlws.FILTER('Model output'!G:G, 'Model output'!Z:Z=A16)),1)),ISNUMBER(SEARCH("3", _xlfn.TEXTJOIN("; ", TRUE, _xlfn._xlws.FILTER('Model output'!G:G, 'Model output'!Z:Z=A16)),1)),ISNUMBER(SEARCH("three", _xlfn.TEXTJOIN("; ", TRUE, _xlfn._xlws.FILTER('Model output'!G:G, 'Model output'!Z:Z=A16)),1)),ISNUMBER(SEARCH("IV", _xlfn.TEXTJOIN("; ", TRUE, _xlfn._xlws.FILTER('Model output'!G:G, 'Model output'!Z:Z=A16)),1)),ISNUMBER(SEARCH("4", _xlfn.TEXTJOIN("; ", TRUE, _xlfn._xlws.FILTER('Model output'!G:G, 'Model output'!Z:Z=A16)),1)),ISNUMBER(SEARCH("five", _xlfn.TEXTJOIN("; ", TRUE, _xlfn._xlws.FILTER('Model output'!G:G, 'Model output'!Z:Z=A16)),1)),ISNUMBER(SEARCH("V ", _xlfn.TEXTJOIN("; ", TRUE, _xlfn._xlws.FILTER('Model output'!G:G, 'Model output'!Z:Z=A16)),1)),ISNUMBER(SEARCH("5", _xlfn.TEXTJOIN("; ", TRUE, _xlfn._xlws.FILTER('Model output'!G:G, 'Model output'!Z:Z=A16)),1)),ISNUMBER(SEARCH("five", _xlfn.TEXTJOIN("; ", TRUE, _xlfn._xlws.FILTER('Model output'!G:G, 'Model output'!Z:Z=A16)),1)),ISNUMBER(SEARCH(" lateral", _xlfn.TEXTJOIN("; ", TRUE, _xlfn._xlws.FILTER('Model output'!G:G, 'Model output'!Z:Z=A16)),1)))),ISNUMBER(SEARCH("cervical", _xlfn.TEXTJOIN("; ", TRUE, _xlfn._xlws.FILTER('Model output'!G:G, 'Model output'!Z:Z=A16)),1)),ISNUMBER(SEARCH("jugular", _xlfn.TEXTJOIN("; ", TRUE, _xlfn._xlws.FILTER('Model output'!G:G, 'Model output'!Z:Z=A16)),1)),ISNUMBER(SEARCH("left neck", _xlfn.TEXTJOIN("; ", TRUE, _xlfn._xlws.FILTER('Model output'!G:G, 'Model output'!Z:Z=A16)),1)),ISNUMBER(SEARCH("left anterior neck", _xlfn.TEXTJOIN("; ", TRUE, _xlfn._xlws.FILTER('Model output'!G:G, 'Model output'!Z:Z=A16)),1)),ISNUMBER(SEARCH("left posterior neck", _xlfn.TEXTJOIN("; ", TRUE, _xlfn._xlws.FILTER('Model output'!G:G, 'Model output'!Z:Z=A16)),1)),ISNUMBER(SEARCH("right neck", _xlfn.TEXTJOIN("; ", TRUE, _xlfn._xlws.FILTER('Model output'!G:G, 'Model output'!Z:Z=A16)),1)),ISNUMBER(SEARCH("right anterior neck", _xlfn.TEXTJOIN("; ", TRUE, _xlfn._xlws.FILTER('Model output'!G:G, 'Model output'!Z:Z=A16)),1)),ISNUMBER(SEARCH("right posterior neck", _xlfn.TEXTJOIN("; ", TRUE, _xlfn._xlws.FILTER('Model output'!G:G, 'Model output'!Z:Z=A16)),1)))),"lateral",IF(AND(M16=0, _xlfn.TEXTJOIN("; ", TRUE, _xlfn._xlws.FILTER('Model output'!G:G, 'Model output'!Z:Z=A16))=""),"", "central"))</f>
        <v>central</v>
      </c>
      <c r="K16" s="17" t="str" cm="1">
        <f t="array" ref="K16">IF(OR(ISNUMBER(SEARCH("lymph",_xlfn.TEXTJOIN("; ", TRUE, _xlfn._xlws.FILTER('Model output'!H:H, 'Model output'!Z:Z=A16)),1)), ISNUMBER(SEARCH("Not mentioned",_xlfn.TEXTJOIN("; ", TRUE, _xlfn._xlws.FILTER('Model output'!H:H, 'Model output'!Z:Z=A16)),1)),ISNUMBER(SEARCH("subcutaneous soft tissues",_xlfn.TEXTJOIN("; ", TRUE, _xlfn._xlws.FILTER('Model output'!H:H, 'Model output'!Z:Z=A16)),1)),ISNUMBER(SEARCH("larynx",_xlfn.TEXTJOIN("; ", TRUE, _xlfn._xlws.FILTER('Model output'!H:H, 'Model output'!Z:Z=A16)),1)),ISNUMBER(SEARCH("trachea",_xlfn.TEXTJOIN("; ", TRUE, _xlfn._xlws.FILTER('Model output'!H:H, 'Model output'!Z:Z=A16)),1)),ISNUMBER(SEARCH("esophagus",_xlfn.TEXTJOIN("; ", TRUE, _xlfn._xlws.FILTER('Model output'!H:H, 'Model output'!Z:Z=A16)),1)),ISNUMBER(SEARCH("recurrent laryngeal nerve",_xlfn.TEXTJOIN("; ", TRUE, _xlfn._xlws.FILTER('Model output'!H:H, 'Model output'!Z:Z=A16)),1)),ISNUMBER(SEARCH("RLN",_xlfn.TEXTJOIN("; ", TRUE, _xlfn._xlws.FILTER('Model output'!H:H, 'Model output'!Z:Z=A16)),1)),_xlfn.TEXTJOIN("; ", TRUE, _xlfn._xlws.FILTER('Model output'!H:H, 'Model output'!Z:Z=A16))=""),"negative","positive")</f>
        <v>negative</v>
      </c>
      <c r="L16" s="17">
        <f>IF(IFERROR(INDEX('Model output'!I:I, MATCH(A16, 'Model output'!Z:Z, 0)), "") &lt; M16, "", IFERROR(INDEX('Model output'!I:I, MATCH(A16, 'Model output'!Z:Z, 0)), ""))</f>
        <v>0</v>
      </c>
      <c r="M16" s="28">
        <f>IFERROR(INDEX('Model output'!J:J, MATCH(A16, 'Model output'!Z:Z, 0)), "")</f>
        <v>0</v>
      </c>
      <c r="N16" s="47" t="str" cm="1">
        <f t="array" ref="N16">ReplaceTo(ReplaceAnd(SUBSTITUTE(SUBSTITUTE(_xlfn.TEXTJOIN("; ", TRUE, _xlfn._xlws.FILTER('Model output'!K:K, 'Model output'!Z:Z=A16)), " ", ""), ",", ";")))</f>
        <v/>
      </c>
      <c r="O16" s="45" t="str" cm="1">
        <f t="array" ref="O16">IF(LEFT(IF(RIGHT(SUBSTITUTE(FilterWithUnits(N16)&amp;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";")),1)=";",RIGHT(IF(RIGHT(SUBSTITUTE(FilterWithUnits(N16)&amp;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";")),LEN(IF(RIGHT(SUBSTITUTE(FilterWithUnits(N16)&amp;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";")))-1),IF(RIGHT(SUBSTITUTE(FilterWithUnits(N16)&amp; ";" &amp;FilterStringsWithNumericAnd(N16) &amp; ";" &amp; FilterStringsWithX(N16), ";;", ";"),1)=";",LEFT(SUBSTITUTE(FilterWithUnits(N16)&amp; ";" &amp;FilterStringsWithNumericAnd(N16) &amp; ";" &amp; FilterStringsWithX(N16), ";;", ";"),LEN(SUBSTITUTE(FilterWithUnits(N16)&amp; ";" &amp;FilterStringsWithNumericAnd(N16) &amp; ";" &amp; FilterStringsWithX(N16), ";;", ";"))-1),SUBSTITUTE(FilterWithUnits(N16)&amp; ";" &amp;FilterStringsWithNumericAnd(N16) &amp; ";" &amp; FilterStringsWithX(N16), ";;", ";")))</f>
        <v/>
      </c>
      <c r="P16" s="45" t="str" cm="1">
        <f t="array" ref="P16">IF(MaxSize((SplitDimensions(O16)))=0, "", MaxSize((SplitDimensions(O16))))</f>
        <v/>
      </c>
      <c r="Q16" t="str" cm="1">
        <f t="array" ref="Q16">IF(ISERROR(INDEX(_xlfn._xlws.FILTER('Model output'!L:L, ('Model output'!Z:Z=A16)*('Model output'!L:L&lt;&gt;"")), 1)), " ", LOWER(INDEX(_xlfn._xlws.FILTER('Model output'!L:L, ('Model output'!Z:Z=A16)*('Model output'!L:L&lt;&gt;"")), 1)))</f>
        <v>papillary carcinoma</v>
      </c>
      <c r="R16" s="45" t="str" cm="1">
        <f t="array" ref="R16">IF(ISERROR(INDEX(_xlfn._xlws.FILTER('Model output'!M:M, ('Model output'!Z:Z=A16)*('Model output'!M:M&lt;&gt;"")), 1)), " ", LOWER(INDEX(_xlfn._xlws.FILTER('Model output'!M:M, ('Model output'!Z:Z=A16)*('Model output'!M:M&lt;&gt;"")), 1)))</f>
        <v>encapsulated classic subtype</v>
      </c>
      <c r="S16" s="45" t="str" cm="1">
        <f t="array" ref="S16">IF(OR(ISNUMBER(SEARCH("ly",SUBSTITUTE(INDEX(_xlfn._xlws.FILTER('Model output'!N:N,('Model output'!Z:Z=A16)*('Model output'!N:N&lt;&gt;"")),1)," ",""),1)), ISNUMBER(SEARCH("pole",SUBSTITUTE(INDEX(_xlfn._xlws.FILTER('Model output'!N:N,('Model output'!Z:Z=A16)*('Model output'!N:N&lt;&gt;"")),1)," ",""),1))),"",SUBSTITUTE(INDEX(_xlfn._xlws.FILTER('Model output'!N:N,('Model output'!Z:Z=A16)*('Model output'!N:N&lt;&gt;"")),1)," ",""))</f>
        <v>3.9cm</v>
      </c>
      <c r="T16" s="45" t="str" cm="1">
        <f t="array" ref="T16">IF(LEFT(IF(RIGHT(SUBSTITUTE(FilterWithUnits(S16)&amp;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";")),1)=";",RIGHT(IF(RIGHT(SUBSTITUTE(FilterWithUnits(S16)&amp;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";")),LEN(IF(RIGHT(SUBSTITUTE(FilterWithUnits(S16)&amp;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";")))-1),IF(RIGHT(SUBSTITUTE(FilterWithUnits(S16)&amp; ";" &amp;FilterStringsWithNumericAnd(S16) &amp; ";" &amp; FilterStringsWithX(S16), ";;", ";"),1)=";",LEFT(SUBSTITUTE(FilterWithUnits(S16)&amp; ";" &amp;FilterStringsWithNumericAnd(S16) &amp; ";" &amp; FilterStringsWithX(S16), ";;", ";"),LEN(SUBSTITUTE(FilterWithUnits(S16)&amp; ";" &amp;FilterStringsWithNumericAnd(S16) &amp; ";" &amp; FilterStringsWithX(S16), ";;", ";"))-1),SUBSTITUTE(FilterWithUnits(S16)&amp; ";" &amp;FilterStringsWithNumericAnd(S16) &amp; ";" &amp; FilterStringsWithX(S16), ";;", ";")))</f>
        <v>3.9cm</v>
      </c>
      <c r="U16" s="45" cm="1">
        <f t="array" ref="U16">IF(MaxSize((SplitDimensions(T16)))=0, "", MaxSize((SplitDimensions(T16))))</f>
        <v>3.9</v>
      </c>
      <c r="V16" s="17" t="str" cm="1">
        <f t="array" ref="V16">IF(ISERROR(INDEX(_xlfn._xlws.FILTER('Model output'!P:P,('Model output'!Z:Z=A16)*('Model output'!P:P&lt;&gt;"")),1)),"negative",IF(OR(ISNUMBER(SEARCH("foc",INDEX(_xlfn._xlws.FILTER('Model output'!P:P,('Model output'!Z:Z=A16)*('Model output'!P:P&lt;&gt;"")),1),1)),ISNUMBER(SEARCH("extensive",INDEX(_xlfn._xlws.FILTER('Model output'!P:P,('Model output'!Z:Z=A16)*('Model output'!P:P&lt;&gt;"")),1),1)),ISNUMBER(SEARCH("present",INDEX(_xlfn._xlws.FILTER('Model output'!P:P,('Model output'!Z:Z=A16)*('Model output'!P:P&lt;&gt;"")),1),1)),ISNUMBER(SEARCH("yes",INDEX(_xlfn._xlws.FILTER('Model output'!P:P,('Model output'!Z:Z=A16)*('Model output'!P:P&lt;&gt;"")),1),1))),"positive","negative"))</f>
        <v>positive</v>
      </c>
      <c r="X16" t="str" cm="1">
        <f t="array" ref="X16">IF(ISNUMBER(SEARCH("4",INDEX(_xlfn._xlws.FILTER('Model output'!P:P,('Model output'!Z:Z=A16)*('Model output'!P:P&lt;&gt;"")),1),1)),INDEX(_xlfn._xlws.FILTER('Model output'!P:P,('Model output'!Z:Z=A16)*('Model output'!P:P&lt;&gt;"")),1),"") &amp; _xlfn.TEXTJOIN("",TRUE,_xlfn._xlws.FILTER('Model output'!Q:Q,'Model output'!Z:Z=A16))</f>
        <v>Focal (&lt; 4 vessels)Gross ETE at upper pole</v>
      </c>
      <c r="Y16" t="str">
        <f t="shared" si="10"/>
        <v>minimal</v>
      </c>
      <c r="Z16" t="str" cm="1">
        <f t="array" ref="Z16">IF(OR(ISNUMBER(SEARCH("focal",_xlfn.TEXTJOIN("; ",TRUE,_xlfn._xlws.FILTER('Model output'!R:R,'Model output'!Z:Z=A16)),1)),ISNUMBER(SEARCH("present",_xlfn.TEXTJOIN("; ",TRUE,_xlfn._xlws.FILTER('Model output'!R:R,'Model output'!Z:Z=A16)),1))),"positive",IF(_xlfn.TEXTJOIN("; ",TRUE,_xlfn._xlws.FILTER('Model output'!R:R,'Model output'!Z:Z=A16))="","negative",IF(OR(ISNUMBER(SEARCH("no",_xlfn.TEXTJOIN("; ",TRUE,_xlfn._xlws.FILTER('Model output'!R:R,'Model output'!Z:Z=A16)),1)),ISNUMBER(SEARCH("absent",_xlfn.TEXTJOIN("; ",TRUE,_xlfn._xlws.FILTER('Model output'!R:R,'Model output'!Z:Z=A16)),1))),"negative","positive")))</f>
        <v>positive</v>
      </c>
      <c r="AA16" s="17" t="str">
        <f t="shared" si="11"/>
        <v>positive</v>
      </c>
      <c r="AE16" s="17" t="str">
        <f t="shared" si="12"/>
        <v>positive</v>
      </c>
      <c r="AF16" t="str" cm="1">
        <f t="array" ref="AF16">_xlfn.TEXTJOIN("; ",TRUE,_xlfn._xlws.FILTER('Model output'!S:S,'Model output'!Z:Z=A16))</f>
        <v>Invading only strap muscles; Yes</v>
      </c>
      <c r="AG16" s="17" t="str" cm="1">
        <f t="array" ref="AG16">IF(OR(ISNUMBER(SEARCH("uninvolved",_xlfn.TEXTJOIN("; ",TRUE,_xlfn._xlws.FILTER('Model output'!V:V,'Model output'!Z:Z=A16)),1)),ISNUMBER(SEARCH("clear",_xlfn.TEXTJOIN("; ",TRUE,_xlfn._xlws.FILTER('Model output'!V:V,'Model output'!Z:Z=A16)),1))*ISNUMBER(SEARCH("not mentioned",_xlfn.TEXTJOIN("; ",TRUE,_xlfn._xlws.FILTER('Model output'!V:V,'Model output'!Z:Z=A16)),1))),"negative",IF(ISNUMBER(SEARCH("cannot be assessed",_xlfn.TEXTJOIN("; ",TRUE,_xlfn._xlws.FILTER('Model output'!V:V,'Model output'!Z:Z=A16)),1)),"unknown","negative"))</f>
        <v>negative</v>
      </c>
      <c r="AI16" s="40" t="str">
        <f t="shared" si="13"/>
        <v>high</v>
      </c>
      <c r="AJ16" s="28" t="str">
        <f t="shared" si="14"/>
        <v>3b</v>
      </c>
      <c r="AK16" s="28" t="str">
        <f t="shared" si="2"/>
        <v>x</v>
      </c>
      <c r="AL16" s="28">
        <f t="shared" si="3"/>
        <v>0</v>
      </c>
      <c r="AM16" s="28" t="str">
        <f t="shared" si="4"/>
        <v>I</v>
      </c>
      <c r="AN16" s="37" t="s">
        <v>170</v>
      </c>
      <c r="AO16" s="38" t="s">
        <v>217</v>
      </c>
      <c r="AP16" s="38" t="s">
        <v>215</v>
      </c>
      <c r="AQ16" s="38">
        <v>0</v>
      </c>
      <c r="AR16" s="38" t="s">
        <v>31</v>
      </c>
      <c r="AS16" s="37">
        <f t="shared" si="5"/>
        <v>1</v>
      </c>
      <c r="AT16" s="38">
        <f t="shared" si="6"/>
        <v>1</v>
      </c>
      <c r="AU16" s="38">
        <f t="shared" si="7"/>
        <v>1</v>
      </c>
      <c r="AV16" s="38">
        <f t="shared" si="8"/>
        <v>1</v>
      </c>
      <c r="AW16" s="39">
        <f t="shared" si="9"/>
        <v>1</v>
      </c>
    </row>
    <row r="17" spans="1:49">
      <c r="A17" s="13">
        <v>15</v>
      </c>
      <c r="B17" s="16">
        <f>_xlfn.MAXIFS('Model output'!B:B,'Model output'!Z:Z,'Classification result'!$A17)</f>
        <v>0</v>
      </c>
      <c r="C17" s="16"/>
      <c r="D17" s="16"/>
      <c r="E17" s="17">
        <f>_xlfn.MAXIFS('Model output'!C:C,'Model output'!Z:Z,'Classification result'!$A17)</f>
        <v>64</v>
      </c>
      <c r="F17" s="17" t="str" cm="1">
        <f t="array" ref="F17">LEFT(IF(ISERROR(RIGHT(IF(INDEX(_xlfn._xlws.FILTER('Model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output'!Z:Z=A17)),1),""),1))),"",(RIGHT(IF(INDEX(_xlfn._xlws.FILTER('Model output'!D:D,('Model output'!Z:Z=A17)),1)&lt;&gt;"",INDEX(_xlfn._xlws.FILTER('Model output'!D:D,('Model output'!Z:Z=A17)),1),""),LEN(IF(INDEX(_xlfn._xlws.FILTER('Model output'!D:D,('Model output'!Z:Z=A17)),1)&lt;&gt;"",INDEX(_xlfn._xlws.FILTER('Model output'!D:D,('Model output'!Z:Z=A17)),1),""))-FIND("T",IF(INDEX(_xlfn._xlws.FILTER('Model output'!D:D,('Model output'!Z:Z=A17)),1)&lt;&gt;"",INDEX(_xlfn._xlws.FILTER('Model output'!D:D,('Model output'!Z:Z=A17)),1)))))),2)</f>
        <v/>
      </c>
      <c r="G17" s="17" t="str" cm="1">
        <f t="array" ref="G17">IF(ISNUMBER(SEARCH("N",IF(ISNUMBER(SEARCH("present",IF(INDEX(_xlfn._xlws.FILTER('Model output'!E:E,('Model output'!Z:Z=A17)),1)="","",INDEX(_xlfn._xlws.FILTER('Model output'!E:E,('Model output'!Z:Z=A17)),1)),1)),"N1", IF(INDEX(_xlfn._xlws.FILTER('Model output'!E:E,('Model output'!Z:Z=A17)),1)="","",INDEX(_xlfn._xlws.FILTER('Model output'!E:E,('Model output'!Z:Z=A17)),1))),1)),RIGHT(IF(ISNUMBER(SEARCH("present",IF(INDEX(_xlfn._xlws.FILTER('Model output'!E:E,('Model output'!Z:Z=A17)),1)="","",INDEX(_xlfn._xlws.FILTER('Model output'!E:E,('Model output'!Z:Z=A17)),1)),1)),"N1", IF(INDEX(_xlfn._xlws.FILTER('Model output'!E:E,('Model output'!Z:Z=A17)),1)="","",INDEX(_xlfn._xlws.FILTER('Model output'!E:E,('Model output'!Z:Z=A17)),1))),LEN(IF(ISNUMBER(SEARCH("present",IF(INDEX(_xlfn._xlws.FILTER('Model output'!E:E,('Model output'!Z:Z=A17)),1)="","",INDEX(_xlfn._xlws.FILTER('Model output'!E:E,('Model output'!Z:Z=A17)),1)),1)),"N1", IF(INDEX(_xlfn._xlws.FILTER('Model output'!E:E,('Model output'!Z:Z=A17)),1)="","",INDEX(_xlfn._xlws.FILTER('Model output'!E:E,('Model output'!Z:Z=A17)),1))))-FIND("N",IF(ISNUMBER(SEARCH("present",IF(INDEX(_xlfn._xlws.FILTER('Model output'!E:E,('Model output'!Z:Z=A17)),1)="","",INDEX(_xlfn._xlws.FILTER('Model output'!E:E,('Model output'!Z:Z=A17)),1)),1)),"N1", IF(INDEX(_xlfn._xlws.FILTER('Model output'!E:E,('Model output'!Z:Z=A17)),1)="","",INDEX(_xlfn._xlws.FILTER('Model output'!E:E,('Model output'!Z:Z=A17)),1))),1)), "")</f>
        <v/>
      </c>
      <c r="H17" s="17" cm="1">
        <f t="array" ref="H17">IF(AND(SUBSTITUTE(_xlfn.TEXTJOIN("/", TRUE, _xlfn._xlws.FILTER('Model output'!F:F, 'Model output'!Z:Z=A17)),"M", "")="", K17="negative"),0,IF(K17="positive",1,0))</f>
        <v>0</v>
      </c>
      <c r="I17" t="str">
        <f t="shared" si="0"/>
        <v/>
      </c>
      <c r="J17" t="str" cm="1">
        <f t="array" ref="J17">IF(AND(M17&gt;0, _xlfn.TEXTJOIN("; ", TRUE, _xlfn._xlws.FILTER('Model output'!G:G, 'Model output'!Z:Z=A17)) &lt;&gt;"", OR(AND(ISNUMBER(SEARCH("level", _xlfn.TEXTJOIN("; ", TRUE, _xlfn._xlws.FILTER('Model output'!G:G, 'Model output'!Z:Z=A17)),1)),OR(ISNUMBER(SEARCH(" II", _xlfn.TEXTJOIN("; ", TRUE, _xlfn._xlws.FILTER('Model output'!G:G, 'Model output'!Z:Z=A17)),1)),ISNUMBER(SEARCH("2", _xlfn.TEXTJOIN("; ", TRUE, _xlfn._xlws.FILTER('Model output'!G:G, 'Model output'!Z:Z=A17)),1)),ISNUMBER(SEARCH("two", _xlfn.TEXTJOIN("; ", TRUE, _xlfn._xlws.FILTER('Model output'!G:G, 'Model output'!Z:Z=A17)),1)),ISNUMBER(SEARCH("III", _xlfn.TEXTJOIN("; ", TRUE, _xlfn._xlws.FILTER('Model output'!G:G, 'Model output'!Z:Z=A17)),1)),ISNUMBER(SEARCH("3", _xlfn.TEXTJOIN("; ", TRUE, _xlfn._xlws.FILTER('Model output'!G:G, 'Model output'!Z:Z=A17)),1)),ISNUMBER(SEARCH("three", _xlfn.TEXTJOIN("; ", TRUE, _xlfn._xlws.FILTER('Model output'!G:G, 'Model output'!Z:Z=A17)),1)),ISNUMBER(SEARCH("IV", _xlfn.TEXTJOIN("; ", TRUE, _xlfn._xlws.FILTER('Model output'!G:G, 'Model output'!Z:Z=A17)),1)),ISNUMBER(SEARCH("4", _xlfn.TEXTJOIN("; ", TRUE, _xlfn._xlws.FILTER('Model output'!G:G, 'Model output'!Z:Z=A17)),1)),ISNUMBER(SEARCH("five", _xlfn.TEXTJOIN("; ", TRUE, _xlfn._xlws.FILTER('Model output'!G:G, 'Model output'!Z:Z=A17)),1)),ISNUMBER(SEARCH("V ", _xlfn.TEXTJOIN("; ", TRUE, _xlfn._xlws.FILTER('Model output'!G:G, 'Model output'!Z:Z=A17)),1)),ISNUMBER(SEARCH("5", _xlfn.TEXTJOIN("; ", TRUE, _xlfn._xlws.FILTER('Model output'!G:G, 'Model output'!Z:Z=A17)),1)),ISNUMBER(SEARCH("five", _xlfn.TEXTJOIN("; ", TRUE, _xlfn._xlws.FILTER('Model output'!G:G, 'Model output'!Z:Z=A17)),1)),ISNUMBER(SEARCH(" lateral", _xlfn.TEXTJOIN("; ", TRUE, _xlfn._xlws.FILTER('Model output'!G:G, 'Model output'!Z:Z=A17)),1)))),ISNUMBER(SEARCH("cervical", _xlfn.TEXTJOIN("; ", TRUE, _xlfn._xlws.FILTER('Model output'!G:G, 'Model output'!Z:Z=A17)),1)),ISNUMBER(SEARCH("jugular", _xlfn.TEXTJOIN("; ", TRUE, _xlfn._xlws.FILTER('Model output'!G:G, 'Model output'!Z:Z=A17)),1)),ISNUMBER(SEARCH("left neck", _xlfn.TEXTJOIN("; ", TRUE, _xlfn._xlws.FILTER('Model output'!G:G, 'Model output'!Z:Z=A17)),1)),ISNUMBER(SEARCH("left anterior neck", _xlfn.TEXTJOIN("; ", TRUE, _xlfn._xlws.FILTER('Model output'!G:G, 'Model output'!Z:Z=A17)),1)),ISNUMBER(SEARCH("left posterior neck", _xlfn.TEXTJOIN("; ", TRUE, _xlfn._xlws.FILTER('Model output'!G:G, 'Model output'!Z:Z=A17)),1)),ISNUMBER(SEARCH("right neck", _xlfn.TEXTJOIN("; ", TRUE, _xlfn._xlws.FILTER('Model output'!G:G, 'Model output'!Z:Z=A17)),1)),ISNUMBER(SEARCH("right anterior neck", _xlfn.TEXTJOIN("; ", TRUE, _xlfn._xlws.FILTER('Model output'!G:G, 'Model output'!Z:Z=A17)),1)),ISNUMBER(SEARCH("right posterior neck", _xlfn.TEXTJOIN("; ", TRUE, _xlfn._xlws.FILTER('Model output'!G:G, 'Model output'!Z:Z=A17)),1)))),"lateral",IF(AND(M17=0, _xlfn.TEXTJOIN("; ", TRUE, _xlfn._xlws.FILTER('Model output'!G:G, 'Model output'!Z:Z=A17))=""),"", "central"))</f>
        <v/>
      </c>
      <c r="K17" s="17" t="str" cm="1">
        <f t="array" ref="K17">IF(OR(ISNUMBER(SEARCH("lymph",_xlfn.TEXTJOIN("; ", TRUE, _xlfn._xlws.FILTER('Model output'!H:H, 'Model output'!Z:Z=A17)),1)), ISNUMBER(SEARCH("Not mentioned",_xlfn.TEXTJOIN("; ", TRUE, _xlfn._xlws.FILTER('Model output'!H:H, 'Model output'!Z:Z=A17)),1)),ISNUMBER(SEARCH("subcutaneous soft tissues",_xlfn.TEXTJOIN("; ", TRUE, _xlfn._xlws.FILTER('Model output'!H:H, 'Model output'!Z:Z=A17)),1)),ISNUMBER(SEARCH("larynx",_xlfn.TEXTJOIN("; ", TRUE, _xlfn._xlws.FILTER('Model output'!H:H, 'Model output'!Z:Z=A17)),1)),ISNUMBER(SEARCH("trachea",_xlfn.TEXTJOIN("; ", TRUE, _xlfn._xlws.FILTER('Model output'!H:H, 'Model output'!Z:Z=A17)),1)),ISNUMBER(SEARCH("esophagus",_xlfn.TEXTJOIN("; ", TRUE, _xlfn._xlws.FILTER('Model output'!H:H, 'Model output'!Z:Z=A17)),1)),ISNUMBER(SEARCH("recurrent laryngeal nerve",_xlfn.TEXTJOIN("; ", TRUE, _xlfn._xlws.FILTER('Model output'!H:H, 'Model output'!Z:Z=A17)),1)),ISNUMBER(SEARCH("RLN",_xlfn.TEXTJOIN("; ", TRUE, _xlfn._xlws.FILTER('Model output'!H:H, 'Model output'!Z:Z=A17)),1)),_xlfn.TEXTJOIN("; ", TRUE, _xlfn._xlws.FILTER('Model output'!H:H, 'Model output'!Z:Z=A17))=""),"negative","positive")</f>
        <v>negative</v>
      </c>
      <c r="L17" s="17">
        <f>IF(IFERROR(INDEX('Model output'!I:I, MATCH(A17, 'Model output'!Z:Z, 0)), "") &lt; M17, "", IFERROR(INDEX('Model output'!I:I, MATCH(A17, 'Model output'!Z:Z, 0)), ""))</f>
        <v>7</v>
      </c>
      <c r="M17" s="28">
        <f>IFERROR(INDEX('Model output'!J:J, MATCH(A17, 'Model output'!Z:Z, 0)), "")</f>
        <v>0</v>
      </c>
      <c r="N17" s="47" t="str" cm="1">
        <f t="array" ref="N17">ReplaceTo(ReplaceAnd(SUBSTITUTE(SUBSTITUTE(_xlfn.TEXTJOIN("; ", TRUE, _xlfn._xlws.FILTER('Model output'!K:K, 'Model output'!Z:Z=A17)), " ", ""), ",", ";")))</f>
        <v/>
      </c>
      <c r="O17" s="45" t="str" cm="1">
        <f t="array" ref="O17">IF(LEFT(IF(RIGHT(SUBSTITUTE(FilterWithUnits(N17)&amp;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";")),1)=";",RIGHT(IF(RIGHT(SUBSTITUTE(FilterWithUnits(N17)&amp;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";")),LEN(IF(RIGHT(SUBSTITUTE(FilterWithUnits(N17)&amp;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";")))-1),IF(RIGHT(SUBSTITUTE(FilterWithUnits(N17)&amp; ";" &amp;FilterStringsWithNumericAnd(N17) &amp; ";" &amp; FilterStringsWithX(N17), ";;", ";"),1)=";",LEFT(SUBSTITUTE(FilterWithUnits(N17)&amp; ";" &amp;FilterStringsWithNumericAnd(N17) &amp; ";" &amp; FilterStringsWithX(N17), ";;", ";"),LEN(SUBSTITUTE(FilterWithUnits(N17)&amp; ";" &amp;FilterStringsWithNumericAnd(N17) &amp; ";" &amp; FilterStringsWithX(N17), ";;", ";"))-1),SUBSTITUTE(FilterWithUnits(N17)&amp; ";" &amp;FilterStringsWithNumericAnd(N17) &amp; ";" &amp; FilterStringsWithX(N17), ";;", ";")))</f>
        <v/>
      </c>
      <c r="P17" s="45" t="str" cm="1">
        <f t="array" ref="P17">IF(MaxSize((SplitDimensions(O17)))=0, "", MaxSize((SplitDimensions(O17))))</f>
        <v/>
      </c>
      <c r="Q17" t="str" cm="1">
        <f t="array" ref="Q17">IF(ISERROR(INDEX(_xlfn._xlws.FILTER('Model output'!L:L, ('Model output'!Z:Z=A17)*('Model output'!L:L&lt;&gt;"")), 1)), " ", LOWER(INDEX(_xlfn._xlws.FILTER('Model output'!L:L, ('Model output'!Z:Z=A17)*('Model output'!L:L&lt;&gt;"")), 1)))</f>
        <v>non-invasive follicular thyroid neoplasm</v>
      </c>
      <c r="R17" s="45" t="str" cm="1">
        <f t="array" ref="R17">IF(ISERROR(INDEX(_xlfn._xlws.FILTER('Model output'!M:M, ('Model output'!Z:Z=A17)*('Model output'!M:M&lt;&gt;"")), 1)), " ", LOWER(INDEX(_xlfn._xlws.FILTER('Model output'!M:M, ('Model output'!Z:Z=A17)*('Model output'!M:M&lt;&gt;"")), 1)))</f>
        <v xml:space="preserve"> </v>
      </c>
      <c r="S17" s="45" t="str" cm="1">
        <f t="array" ref="S17">IF(OR(ISNUMBER(SEARCH("ly",SUBSTITUTE(INDEX(_xlfn._xlws.FILTER('Model output'!N:N,('Model output'!Z:Z=A17)*('Model output'!N:N&lt;&gt;"")),1)," ",""),1)), ISNUMBER(SEARCH("pole",SUBSTITUTE(INDEX(_xlfn._xlws.FILTER('Model output'!N:N,('Model output'!Z:Z=A17)*('Model output'!N:N&lt;&gt;"")),1)," ",""),1))),"",SUBSTITUTE(INDEX(_xlfn._xlws.FILTER('Model output'!N:N,('Model output'!Z:Z=A17)*('Model output'!N:N&lt;&gt;"")),1)," ",""))</f>
        <v>40x20x20mm(leftthyroidlobe)and50x15x5mm(isthmusandpyramidallobe)</v>
      </c>
      <c r="T17" s="45" t="str" cm="1">
        <f t="array" ref="T17">IF(LEFT(IF(RIGHT(SUBSTITUTE(FilterWithUnits(S17)&amp;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";")),1)=";",RIGHT(IF(RIGHT(SUBSTITUTE(FilterWithUnits(S17)&amp;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";")),LEN(IF(RIGHT(SUBSTITUTE(FilterWithUnits(S17)&amp;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";")))-1),IF(RIGHT(SUBSTITUTE(FilterWithUnits(S17)&amp; ";" &amp;FilterStringsWithNumericAnd(S17) &amp; ";" &amp; FilterStringsWithX(S17), ";;", ";"),1)=";",LEFT(SUBSTITUTE(FilterWithUnits(S17)&amp; ";" &amp;FilterStringsWithNumericAnd(S17) &amp; ";" &amp; FilterStringsWithX(S17), ";;", ";"),LEN(SUBSTITUTE(FilterWithUnits(S17)&amp; ";" &amp;FilterStringsWithNumericAnd(S17) &amp; ";" &amp; FilterStringsWithX(S17), ";;", ";"))-1),SUBSTITUTE(FilterWithUnits(S17)&amp; ";" &amp;FilterStringsWithNumericAnd(S17) &amp; ";" &amp; FilterStringsWithX(S17), ";;", ";")))</f>
        <v>40x20x20mm(leftthyroidlobe)and50x15x5mm(isthmusandpyramidallobe)</v>
      </c>
      <c r="U17" s="45" t="str" cm="1">
        <f t="array" ref="U17">IF(MaxSize((SplitDimensions(T17)))=0, "", MaxSize((SplitDimensions(T17))))</f>
        <v/>
      </c>
      <c r="V17" s="17" t="str" cm="1">
        <f t="array" ref="V17">IF(ISERROR(INDEX(_xlfn._xlws.FILTER('Model output'!P:P,('Model output'!Z:Z=A17)*('Model output'!P:P&lt;&gt;"")),1)),"negative",IF(OR(ISNUMBER(SEARCH("foc",INDEX(_xlfn._xlws.FILTER('Model output'!P:P,('Model output'!Z:Z=A17)*('Model output'!P:P&lt;&gt;"")),1),1)),ISNUMBER(SEARCH("extensive",INDEX(_xlfn._xlws.FILTER('Model output'!P:P,('Model output'!Z:Z=A17)*('Model output'!P:P&lt;&gt;"")),1),1)),ISNUMBER(SEARCH("present",INDEX(_xlfn._xlws.FILTER('Model output'!P:P,('Model output'!Z:Z=A17)*('Model output'!P:P&lt;&gt;"")),1),1)),ISNUMBER(SEARCH("yes",INDEX(_xlfn._xlws.FILTER('Model output'!P:P,('Model output'!Z:Z=A17)*('Model output'!P:P&lt;&gt;"")),1),1))),"positive","negative"))</f>
        <v>negative</v>
      </c>
      <c r="X17" t="str" cm="1">
        <f t="array" ref="X17">IF(ISNUMBER(SEARCH("4",INDEX(_xlfn._xlws.FILTER('Model output'!P:P,('Model output'!Z:Z=A17)*('Model output'!P:P&lt;&gt;"")),1),1)),INDEX(_xlfn._xlws.FILTER('Model output'!P:P,('Model output'!Z:Z=A17)*('Model output'!P:P&lt;&gt;"")),1),"") &amp; _xlfn.TEXTJOIN("",TRUE,_xlfn._xlws.FILTER('Model output'!Q:Q,'Model output'!Z:Z=A17))</f>
        <v/>
      </c>
      <c r="Y17" t="str">
        <f t="shared" si="10"/>
        <v>no</v>
      </c>
      <c r="Z17" t="str" cm="1">
        <f t="array" ref="Z17">IF(OR(ISNUMBER(SEARCH("focal",_xlfn.TEXTJOIN("; ",TRUE,_xlfn._xlws.FILTER('Model output'!R:R,'Model output'!Z:Z=A17)),1)),ISNUMBER(SEARCH("present",_xlfn.TEXTJOIN("; ",TRUE,_xlfn._xlws.FILTER('Model output'!R:R,'Model output'!Z:Z=A17)),1))),"positive",IF(_xlfn.TEXTJOIN("; ",TRUE,_xlfn._xlws.FILTER('Model output'!R:R,'Model output'!Z:Z=A17))="","negative",IF(OR(ISNUMBER(SEARCH("no",_xlfn.TEXTJOIN("; ",TRUE,_xlfn._xlws.FILTER('Model output'!R:R,'Model output'!Z:Z=A17)),1)),ISNUMBER(SEARCH("absent",_xlfn.TEXTJOIN("; ",TRUE,_xlfn._xlws.FILTER('Model output'!R:R,'Model output'!Z:Z=A17)),1))),"negative","positive")))</f>
        <v>negative</v>
      </c>
      <c r="AA17" s="17" t="str">
        <f t="shared" si="11"/>
        <v>negative</v>
      </c>
      <c r="AE17" s="17" t="str">
        <f t="shared" si="12"/>
        <v>negative</v>
      </c>
      <c r="AF17" t="str" cm="1">
        <f t="array" ref="AF17">_xlfn.TEXTJOIN("; ",TRUE,_xlfn._xlws.FILTER('Model output'!S:S,'Model output'!Z:Z=A17))</f>
        <v>No</v>
      </c>
      <c r="AG17" s="17" t="str" cm="1">
        <f t="array" ref="AG17">IF(OR(ISNUMBER(SEARCH("uninvolved",_xlfn.TEXTJOIN("; ",TRUE,_xlfn._xlws.FILTER('Model output'!V:V,'Model output'!Z:Z=A17)),1)),ISNUMBER(SEARCH("clear",_xlfn.TEXTJOIN("; ",TRUE,_xlfn._xlws.FILTER('Model output'!V:V,'Model output'!Z:Z=A17)),1))*ISNUMBER(SEARCH("not mentioned",_xlfn.TEXTJOIN("; ",TRUE,_xlfn._xlws.FILTER('Model output'!V:V,'Model output'!Z:Z=A17)),1))),"negative",IF(ISNUMBER(SEARCH("cannot be assessed",_xlfn.TEXTJOIN("; ",TRUE,_xlfn._xlws.FILTER('Model output'!V:V,'Model output'!Z:Z=A17)),1)),"unknown","negative"))</f>
        <v>negative</v>
      </c>
      <c r="AI17" s="40" t="str">
        <f t="shared" si="13"/>
        <v>NIFTP</v>
      </c>
      <c r="AJ17" s="28" t="str">
        <f t="shared" si="14"/>
        <v>NIFTP</v>
      </c>
      <c r="AK17" s="28" t="str">
        <f t="shared" si="2"/>
        <v>NIFTP</v>
      </c>
      <c r="AL17" s="28" t="str">
        <f t="shared" si="3"/>
        <v>NIFTP</v>
      </c>
      <c r="AM17" s="28" t="str">
        <f t="shared" si="4"/>
        <v>NIFTP</v>
      </c>
      <c r="AN17" s="37" t="s">
        <v>77</v>
      </c>
      <c r="AO17" s="38" t="s">
        <v>77</v>
      </c>
      <c r="AP17" s="38" t="s">
        <v>77</v>
      </c>
      <c r="AQ17" s="38" t="s">
        <v>77</v>
      </c>
      <c r="AR17" s="38" t="s">
        <v>77</v>
      </c>
      <c r="AS17" s="37">
        <f t="shared" si="5"/>
        <v>1</v>
      </c>
      <c r="AT17" s="38">
        <f t="shared" si="6"/>
        <v>1</v>
      </c>
      <c r="AU17" s="38">
        <f t="shared" si="7"/>
        <v>1</v>
      </c>
      <c r="AV17" s="38">
        <f t="shared" si="8"/>
        <v>1</v>
      </c>
      <c r="AW17" s="39">
        <f t="shared" si="9"/>
        <v>1</v>
      </c>
    </row>
    <row r="18" spans="1:49">
      <c r="A18" s="13">
        <v>16</v>
      </c>
      <c r="B18" s="16">
        <f>_xlfn.MAXIFS('Model output'!B:B,'Model output'!Z:Z,'Classification result'!$A18)</f>
        <v>45537</v>
      </c>
      <c r="C18" s="16"/>
      <c r="D18" s="16"/>
      <c r="E18" s="17">
        <f>_xlfn.MAXIFS('Model output'!C:C,'Model output'!Z:Z,'Classification result'!$A18)</f>
        <v>43</v>
      </c>
      <c r="F18" s="17" t="str" cm="1">
        <f t="array" ref="F18">LEFT(IF(ISERROR(RIGHT(IF(INDEX(_xlfn._xlws.FILTER('Model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output'!Z:Z=A18)),1),""),1))),"",(RIGHT(IF(INDEX(_xlfn._xlws.FILTER('Model output'!D:D,('Model output'!Z:Z=A18)),1)&lt;&gt;"",INDEX(_xlfn._xlws.FILTER('Model output'!D:D,('Model output'!Z:Z=A18)),1),""),LEN(IF(INDEX(_xlfn._xlws.FILTER('Model output'!D:D,('Model output'!Z:Z=A18)),1)&lt;&gt;"",INDEX(_xlfn._xlws.FILTER('Model output'!D:D,('Model output'!Z:Z=A18)),1),""))-FIND("T",IF(INDEX(_xlfn._xlws.FILTER('Model output'!D:D,('Model output'!Z:Z=A18)),1)&lt;&gt;"",INDEX(_xlfn._xlws.FILTER('Model output'!D:D,('Model output'!Z:Z=A18)),1)))))),2)</f>
        <v>2</v>
      </c>
      <c r="G18" s="17" t="str" cm="1">
        <f t="array" ref="G18">IF(ISNUMBER(SEARCH("N",IF(ISNUMBER(SEARCH("present",IF(INDEX(_xlfn._xlws.FILTER('Model output'!E:E,('Model output'!Z:Z=A18)),1)="","",INDEX(_xlfn._xlws.FILTER('Model output'!E:E,('Model output'!Z:Z=A18)),1)),1)),"N1", IF(INDEX(_xlfn._xlws.FILTER('Model output'!E:E,('Model output'!Z:Z=A18)),1)="","",INDEX(_xlfn._xlws.FILTER('Model output'!E:E,('Model output'!Z:Z=A18)),1))),1)),RIGHT(IF(ISNUMBER(SEARCH("present",IF(INDEX(_xlfn._xlws.FILTER('Model output'!E:E,('Model output'!Z:Z=A18)),1)="","",INDEX(_xlfn._xlws.FILTER('Model output'!E:E,('Model output'!Z:Z=A18)),1)),1)),"N1", IF(INDEX(_xlfn._xlws.FILTER('Model output'!E:E,('Model output'!Z:Z=A18)),1)="","",INDEX(_xlfn._xlws.FILTER('Model output'!E:E,('Model output'!Z:Z=A18)),1))),LEN(IF(ISNUMBER(SEARCH("present",IF(INDEX(_xlfn._xlws.FILTER('Model output'!E:E,('Model output'!Z:Z=A18)),1)="","",INDEX(_xlfn._xlws.FILTER('Model output'!E:E,('Model output'!Z:Z=A18)),1)),1)),"N1", IF(INDEX(_xlfn._xlws.FILTER('Model output'!E:E,('Model output'!Z:Z=A18)),1)="","",INDEX(_xlfn._xlws.FILTER('Model output'!E:E,('Model output'!Z:Z=A18)),1))))-FIND("N",IF(ISNUMBER(SEARCH("present",IF(INDEX(_xlfn._xlws.FILTER('Model output'!E:E,('Model output'!Z:Z=A18)),1)="","",INDEX(_xlfn._xlws.FILTER('Model output'!E:E,('Model output'!Z:Z=A18)),1)),1)),"N1", IF(INDEX(_xlfn._xlws.FILTER('Model output'!E:E,('Model output'!Z:Z=A18)),1)="","",INDEX(_xlfn._xlws.FILTER('Model output'!E:E,('Model output'!Z:Z=A18)),1))),1)), "")</f>
        <v/>
      </c>
      <c r="H18" s="17" cm="1">
        <f t="array" ref="H18">IF(AND(SUBSTITUTE(_xlfn.TEXTJOIN("/", TRUE, _xlfn._xlws.FILTER('Model output'!F:F, 'Model output'!Z:Z=A18)),"M", "")="", K18="negative"),0,IF(K18="positive",1,0))</f>
        <v>0</v>
      </c>
      <c r="I18" t="str">
        <f t="shared" si="0"/>
        <v>positive</v>
      </c>
      <c r="J18" t="str" cm="1">
        <f t="array" ref="J18">IF(AND(M18&gt;0, _xlfn.TEXTJOIN("; ", TRUE, _xlfn._xlws.FILTER('Model output'!G:G, 'Model output'!Z:Z=A18)) &lt;&gt;"", OR(AND(ISNUMBER(SEARCH("level", _xlfn.TEXTJOIN("; ", TRUE, _xlfn._xlws.FILTER('Model output'!G:G, 'Model output'!Z:Z=A18)),1)),OR(ISNUMBER(SEARCH(" II", _xlfn.TEXTJOIN("; ", TRUE, _xlfn._xlws.FILTER('Model output'!G:G, 'Model output'!Z:Z=A18)),1)),ISNUMBER(SEARCH("2", _xlfn.TEXTJOIN("; ", TRUE, _xlfn._xlws.FILTER('Model output'!G:G, 'Model output'!Z:Z=A18)),1)),ISNUMBER(SEARCH("two", _xlfn.TEXTJOIN("; ", TRUE, _xlfn._xlws.FILTER('Model output'!G:G, 'Model output'!Z:Z=A18)),1)),ISNUMBER(SEARCH("III", _xlfn.TEXTJOIN("; ", TRUE, _xlfn._xlws.FILTER('Model output'!G:G, 'Model output'!Z:Z=A18)),1)),ISNUMBER(SEARCH("3", _xlfn.TEXTJOIN("; ", TRUE, _xlfn._xlws.FILTER('Model output'!G:G, 'Model output'!Z:Z=A18)),1)),ISNUMBER(SEARCH("three", _xlfn.TEXTJOIN("; ", TRUE, _xlfn._xlws.FILTER('Model output'!G:G, 'Model output'!Z:Z=A18)),1)),ISNUMBER(SEARCH("IV", _xlfn.TEXTJOIN("; ", TRUE, _xlfn._xlws.FILTER('Model output'!G:G, 'Model output'!Z:Z=A18)),1)),ISNUMBER(SEARCH("4", _xlfn.TEXTJOIN("; ", TRUE, _xlfn._xlws.FILTER('Model output'!G:G, 'Model output'!Z:Z=A18)),1)),ISNUMBER(SEARCH("five", _xlfn.TEXTJOIN("; ", TRUE, _xlfn._xlws.FILTER('Model output'!G:G, 'Model output'!Z:Z=A18)),1)),ISNUMBER(SEARCH("V ", _xlfn.TEXTJOIN("; ", TRUE, _xlfn._xlws.FILTER('Model output'!G:G, 'Model output'!Z:Z=A18)),1)),ISNUMBER(SEARCH("5", _xlfn.TEXTJOIN("; ", TRUE, _xlfn._xlws.FILTER('Model output'!G:G, 'Model output'!Z:Z=A18)),1)),ISNUMBER(SEARCH("five", _xlfn.TEXTJOIN("; ", TRUE, _xlfn._xlws.FILTER('Model output'!G:G, 'Model output'!Z:Z=A18)),1)),ISNUMBER(SEARCH(" lateral", _xlfn.TEXTJOIN("; ", TRUE, _xlfn._xlws.FILTER('Model output'!G:G, 'Model output'!Z:Z=A18)),1)))),ISNUMBER(SEARCH("cervical", _xlfn.TEXTJOIN("; ", TRUE, _xlfn._xlws.FILTER('Model output'!G:G, 'Model output'!Z:Z=A18)),1)),ISNUMBER(SEARCH("jugular", _xlfn.TEXTJOIN("; ", TRUE, _xlfn._xlws.FILTER('Model output'!G:G, 'Model output'!Z:Z=A18)),1)),ISNUMBER(SEARCH("left neck", _xlfn.TEXTJOIN("; ", TRUE, _xlfn._xlws.FILTER('Model output'!G:G, 'Model output'!Z:Z=A18)),1)),ISNUMBER(SEARCH("left anterior neck", _xlfn.TEXTJOIN("; ", TRUE, _xlfn._xlws.FILTER('Model output'!G:G, 'Model output'!Z:Z=A18)),1)),ISNUMBER(SEARCH("left posterior neck", _xlfn.TEXTJOIN("; ", TRUE, _xlfn._xlws.FILTER('Model output'!G:G, 'Model output'!Z:Z=A18)),1)),ISNUMBER(SEARCH("right neck", _xlfn.TEXTJOIN("; ", TRUE, _xlfn._xlws.FILTER('Model output'!G:G, 'Model output'!Z:Z=A18)),1)),ISNUMBER(SEARCH("right anterior neck", _xlfn.TEXTJOIN("; ", TRUE, _xlfn._xlws.FILTER('Model output'!G:G, 'Model output'!Z:Z=A18)),1)),ISNUMBER(SEARCH("right posterior neck", _xlfn.TEXTJOIN("; ", TRUE, _xlfn._xlws.FILTER('Model output'!G:G, 'Model output'!Z:Z=A18)),1)))),"lateral",IF(AND(M18=0, _xlfn.TEXTJOIN("; ", TRUE, _xlfn._xlws.FILTER('Model output'!G:G, 'Model output'!Z:Z=A18))=""),"", "central"))</f>
        <v>central</v>
      </c>
      <c r="K18" s="17" t="str" cm="1">
        <f t="array" ref="K18">IF(OR(ISNUMBER(SEARCH("lymph",_xlfn.TEXTJOIN("; ", TRUE, _xlfn._xlws.FILTER('Model output'!H:H, 'Model output'!Z:Z=A18)),1)), ISNUMBER(SEARCH("Not mentioned",_xlfn.TEXTJOIN("; ", TRUE, _xlfn._xlws.FILTER('Model output'!H:H, 'Model output'!Z:Z=A18)),1)),ISNUMBER(SEARCH("subcutaneous soft tissues",_xlfn.TEXTJOIN("; ", TRUE, _xlfn._xlws.FILTER('Model output'!H:H, 'Model output'!Z:Z=A18)),1)),ISNUMBER(SEARCH("larynx",_xlfn.TEXTJOIN("; ", TRUE, _xlfn._xlws.FILTER('Model output'!H:H, 'Model output'!Z:Z=A18)),1)),ISNUMBER(SEARCH("trachea",_xlfn.TEXTJOIN("; ", TRUE, _xlfn._xlws.FILTER('Model output'!H:H, 'Model output'!Z:Z=A18)),1)),ISNUMBER(SEARCH("esophagus",_xlfn.TEXTJOIN("; ", TRUE, _xlfn._xlws.FILTER('Model output'!H:H, 'Model output'!Z:Z=A18)),1)),ISNUMBER(SEARCH("recurrent laryngeal nerve",_xlfn.TEXTJOIN("; ", TRUE, _xlfn._xlws.FILTER('Model output'!H:H, 'Model output'!Z:Z=A18)),1)),ISNUMBER(SEARCH("RLN",_xlfn.TEXTJOIN("; ", TRUE, _xlfn._xlws.FILTER('Model output'!H:H, 'Model output'!Z:Z=A18)),1)),_xlfn.TEXTJOIN("; ", TRUE, _xlfn._xlws.FILTER('Model output'!H:H, 'Model output'!Z:Z=A18))=""),"negative","positive")</f>
        <v>negative</v>
      </c>
      <c r="L18" s="17">
        <f>IF(IFERROR(INDEX('Model output'!I:I, MATCH(A18, 'Model output'!Z:Z, 0)), "") &lt; M18, "", IFERROR(INDEX('Model output'!I:I, MATCH(A18, 'Model output'!Z:Z, 0)), ""))</f>
        <v>4</v>
      </c>
      <c r="M18" s="28">
        <f>IFERROR(INDEX('Model output'!J:J, MATCH(A18, 'Model output'!Z:Z, 0)), "")</f>
        <v>2</v>
      </c>
      <c r="N18" s="47" t="str" cm="1">
        <f t="array" ref="N18">ReplaceTo(ReplaceAnd(SUBSTITUTE(SUBSTITUTE(_xlfn.TEXTJOIN("; ", TRUE, _xlfn._xlws.FILTER('Model output'!K:K, 'Model output'!Z:Z=A18)), " ", ""), ",", ";")))</f>
        <v/>
      </c>
      <c r="O18" s="45" t="str" cm="1">
        <f t="array" ref="O18">IF(LEFT(IF(RIGHT(SUBSTITUTE(FilterWithUnits(N18)&amp;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";")),1)=";",RIGHT(IF(RIGHT(SUBSTITUTE(FilterWithUnits(N18)&amp;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";")),LEN(IF(RIGHT(SUBSTITUTE(FilterWithUnits(N18)&amp;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";")))-1),IF(RIGHT(SUBSTITUTE(FilterWithUnits(N18)&amp; ";" &amp;FilterStringsWithNumericAnd(N18) &amp; ";" &amp; FilterStringsWithX(N18), ";;", ";"),1)=";",LEFT(SUBSTITUTE(FilterWithUnits(N18)&amp; ";" &amp;FilterStringsWithNumericAnd(N18) &amp; ";" &amp; FilterStringsWithX(N18), ";;", ";"),LEN(SUBSTITUTE(FilterWithUnits(N18)&amp; ";" &amp;FilterStringsWithNumericAnd(N18) &amp; ";" &amp; FilterStringsWithX(N18), ";;", ";"))-1),SUBSTITUTE(FilterWithUnits(N18)&amp; ";" &amp;FilterStringsWithNumericAnd(N18) &amp; ";" &amp; FilterStringsWithX(N18), ";;", ";")))</f>
        <v/>
      </c>
      <c r="P18" s="45" t="str" cm="1">
        <f t="array" ref="P18">IF(MaxSize((SplitDimensions(O18)))=0, "", MaxSize((SplitDimensions(O18))))</f>
        <v/>
      </c>
      <c r="Q18" t="str" cm="1">
        <f t="array" ref="Q18">IF(ISERROR(INDEX(_xlfn._xlws.FILTER('Model output'!L:L, ('Model output'!Z:Z=A18)*('Model output'!L:L&lt;&gt;"")), 1)), " ", LOWER(INDEX(_xlfn._xlws.FILTER('Model output'!L:L, ('Model output'!Z:Z=A18)*('Model output'!L:L&lt;&gt;"")), 1)))</f>
        <v>papillary carcinoma, classic subtype</v>
      </c>
      <c r="R18" s="45" t="str" cm="1">
        <f t="array" ref="R18">IF(ISERROR(INDEX(_xlfn._xlws.FILTER('Model output'!M:M, ('Model output'!Z:Z=A18)*('Model output'!M:M&lt;&gt;"")), 1)), " ", LOWER(INDEX(_xlfn._xlws.FILTER('Model output'!M:M, ('Model output'!Z:Z=A18)*('Model output'!M:M&lt;&gt;"")), 1)))</f>
        <v xml:space="preserve"> </v>
      </c>
      <c r="S18" s="45" t="str" cm="1">
        <f t="array" ref="S18">IF(OR(ISNUMBER(SEARCH("ly",SUBSTITUTE(INDEX(_xlfn._xlws.FILTER('Model output'!N:N,('Model output'!Z:Z=A18)*('Model output'!N:N&lt;&gt;"")),1)," ",""),1)), ISNUMBER(SEARCH("pole",SUBSTITUTE(INDEX(_xlfn._xlws.FILTER('Model output'!N:N,('Model output'!Z:Z=A18)*('Model output'!N:N&lt;&gt;"")),1)," ",""),1))),"",SUBSTITUTE(INDEX(_xlfn._xlws.FILTER('Model output'!N:N,('Model output'!Z:Z=A18)*('Model output'!N:N&lt;&gt;"")),1)," ",""))</f>
        <v/>
      </c>
      <c r="T18" s="45" t="str" cm="1">
        <f t="array" ref="T18">IF(LEFT(IF(RIGHT(SUBSTITUTE(FilterWithUnits(S18)&amp;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";")),1)=";",RIGHT(IF(RIGHT(SUBSTITUTE(FilterWithUnits(S18)&amp;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";")),LEN(IF(RIGHT(SUBSTITUTE(FilterWithUnits(S18)&amp;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";")))-1),IF(RIGHT(SUBSTITUTE(FilterWithUnits(S18)&amp; ";" &amp;FilterStringsWithNumericAnd(S18) &amp; ";" &amp; FilterStringsWithX(S18), ";;", ";"),1)=";",LEFT(SUBSTITUTE(FilterWithUnits(S18)&amp; ";" &amp;FilterStringsWithNumericAnd(S18) &amp; ";" &amp; FilterStringsWithX(S18), ";;", ";"),LEN(SUBSTITUTE(FilterWithUnits(S18)&amp; ";" &amp;FilterStringsWithNumericAnd(S18) &amp; ";" &amp; FilterStringsWithX(S18), ";;", ";"))-1),SUBSTITUTE(FilterWithUnits(S18)&amp; ";" &amp;FilterStringsWithNumericAnd(S18) &amp; ";" &amp; FilterStringsWithX(S18), ";;", ";")))</f>
        <v/>
      </c>
      <c r="U18" s="45" t="str" cm="1">
        <f t="array" ref="U18">IF(MaxSize((SplitDimensions(T18)))=0, "", MaxSize((SplitDimensions(T18))))</f>
        <v/>
      </c>
      <c r="V18" s="17" t="str" cm="1">
        <f t="array" ref="V18">IF(ISERROR(INDEX(_xlfn._xlws.FILTER('Model output'!P:P,('Model output'!Z:Z=A18)*('Model output'!P:P&lt;&gt;"")),1)),"negative",IF(OR(ISNUMBER(SEARCH("foc",INDEX(_xlfn._xlws.FILTER('Model output'!P:P,('Model output'!Z:Z=A18)*('Model output'!P:P&lt;&gt;"")),1),1)),ISNUMBER(SEARCH("extensive",INDEX(_xlfn._xlws.FILTER('Model output'!P:P,('Model output'!Z:Z=A18)*('Model output'!P:P&lt;&gt;"")),1),1)),ISNUMBER(SEARCH("present",INDEX(_xlfn._xlws.FILTER('Model output'!P:P,('Model output'!Z:Z=A18)*('Model output'!P:P&lt;&gt;"")),1),1)),ISNUMBER(SEARCH("yes",INDEX(_xlfn._xlws.FILTER('Model output'!P:P,('Model output'!Z:Z=A18)*('Model output'!P:P&lt;&gt;"")),1),1))),"positive","negative"))</f>
        <v>positive</v>
      </c>
      <c r="X18" t="str" cm="1">
        <f t="array" ref="X18">IF(ISNUMBER(SEARCH("4",INDEX(_xlfn._xlws.FILTER('Model output'!P:P,('Model output'!Z:Z=A18)*('Model output'!P:P&lt;&gt;"")),1),1)),INDEX(_xlfn._xlws.FILTER('Model output'!P:P,('Model output'!Z:Z=A18)*('Model output'!P:P&lt;&gt;"")),1),"") &amp; _xlfn.TEXTJOIN("",TRUE,_xlfn._xlws.FILTER('Model output'!Q:Q,'Model output'!Z:Z=A18))</f>
        <v>Extrathyroidal extension</v>
      </c>
      <c r="Y18" t="str">
        <f t="shared" si="10"/>
        <v>minimal</v>
      </c>
      <c r="Z18" t="str" cm="1">
        <f t="array" ref="Z18">IF(OR(ISNUMBER(SEARCH("focal",_xlfn.TEXTJOIN("; ",TRUE,_xlfn._xlws.FILTER('Model output'!R:R,'Model output'!Z:Z=A18)),1)),ISNUMBER(SEARCH("present",_xlfn.TEXTJOIN("; ",TRUE,_xlfn._xlws.FILTER('Model output'!R:R,'Model output'!Z:Z=A18)),1))),"positive",IF(_xlfn.TEXTJOIN("; ",TRUE,_xlfn._xlws.FILTER('Model output'!R:R,'Model output'!Z:Z=A18))="","negative",IF(OR(ISNUMBER(SEARCH("no",_xlfn.TEXTJOIN("; ",TRUE,_xlfn._xlws.FILTER('Model output'!R:R,'Model output'!Z:Z=A18)),1)),ISNUMBER(SEARCH("absent",_xlfn.TEXTJOIN("; ",TRUE,_xlfn._xlws.FILTER('Model output'!R:R,'Model output'!Z:Z=A18)),1))),"negative","positive")))</f>
        <v>positive</v>
      </c>
      <c r="AA18" s="17" t="str">
        <f t="shared" si="11"/>
        <v>positive</v>
      </c>
      <c r="AE18" s="17" t="str">
        <f t="shared" si="12"/>
        <v>negative</v>
      </c>
      <c r="AF18" t="str" cm="1">
        <f t="array" ref="AF18">_xlfn.TEXTJOIN("; ",TRUE,_xlfn._xlws.FILTER('Model output'!S:S,'Model output'!Z:Z=A18))</f>
        <v>Not identified; Yes</v>
      </c>
      <c r="AG18" s="17" t="str" cm="1">
        <f t="array" ref="AG18">IF(OR(ISNUMBER(SEARCH("uninvolved",_xlfn.TEXTJOIN("; ",TRUE,_xlfn._xlws.FILTER('Model output'!V:V,'Model output'!Z:Z=A18)),1)),ISNUMBER(SEARCH("clear",_xlfn.TEXTJOIN("; ",TRUE,_xlfn._xlws.FILTER('Model output'!V:V,'Model output'!Z:Z=A18)),1))*ISNUMBER(SEARCH("not mentioned",_xlfn.TEXTJOIN("; ",TRUE,_xlfn._xlws.FILTER('Model output'!V:V,'Model output'!Z:Z=A18)),1))),"negative",IF(ISNUMBER(SEARCH("cannot be assessed",_xlfn.TEXTJOIN("; ",TRUE,_xlfn._xlws.FILTER('Model output'!V:V,'Model output'!Z:Z=A18)),1)),"unknown","negative"))</f>
        <v>negative</v>
      </c>
      <c r="AI18" s="40" t="str">
        <f t="shared" si="13"/>
        <v>intermediate</v>
      </c>
      <c r="AJ18" s="28" t="str">
        <f t="shared" si="14"/>
        <v>1a</v>
      </c>
      <c r="AK18" s="28" t="str">
        <f t="shared" si="2"/>
        <v>1a</v>
      </c>
      <c r="AL18" s="28">
        <f t="shared" si="3"/>
        <v>0</v>
      </c>
      <c r="AM18" s="28" t="str">
        <f t="shared" si="4"/>
        <v>I</v>
      </c>
      <c r="AN18" s="37" t="s">
        <v>169</v>
      </c>
      <c r="AO18" s="38" t="s">
        <v>435</v>
      </c>
      <c r="AP18" s="38">
        <v>0</v>
      </c>
      <c r="AQ18" s="38">
        <v>0</v>
      </c>
      <c r="AR18" s="38" t="s">
        <v>31</v>
      </c>
      <c r="AS18" s="37">
        <f t="shared" si="5"/>
        <v>1</v>
      </c>
      <c r="AT18" s="38">
        <f t="shared" si="6"/>
        <v>0</v>
      </c>
      <c r="AU18" s="38">
        <f t="shared" si="7"/>
        <v>0</v>
      </c>
      <c r="AV18" s="38">
        <f t="shared" si="8"/>
        <v>1</v>
      </c>
      <c r="AW18" s="39">
        <f t="shared" si="9"/>
        <v>1</v>
      </c>
    </row>
    <row r="19" spans="1:49">
      <c r="A19" s="13">
        <v>17</v>
      </c>
      <c r="B19" s="16">
        <f>_xlfn.MAXIFS('Model output'!B:B,'Model output'!Z:Z,'Classification result'!$A19)</f>
        <v>0</v>
      </c>
      <c r="C19" s="16"/>
      <c r="D19" s="16"/>
      <c r="E19" s="17">
        <f>_xlfn.MAXIFS('Model output'!C:C,'Model output'!Z:Z,'Classification result'!$A19)</f>
        <v>49</v>
      </c>
      <c r="F19" s="17" t="str" cm="1">
        <f t="array" ref="F19">LEFT(IF(ISERROR(RIGHT(IF(INDEX(_xlfn._xlws.FILTER('Model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output'!Z:Z=A19)),1),""),1))),"",(RIGHT(IF(INDEX(_xlfn._xlws.FILTER('Model output'!D:D,('Model output'!Z:Z=A19)),1)&lt;&gt;"",INDEX(_xlfn._xlws.FILTER('Model output'!D:D,('Model output'!Z:Z=A19)),1),""),LEN(IF(INDEX(_xlfn._xlws.FILTER('Model output'!D:D,('Model output'!Z:Z=A19)),1)&lt;&gt;"",INDEX(_xlfn._xlws.FILTER('Model output'!D:D,('Model output'!Z:Z=A19)),1),""))-FIND("T",IF(INDEX(_xlfn._xlws.FILTER('Model output'!D:D,('Model output'!Z:Z=A19)),1)&lt;&gt;"",INDEX(_xlfn._xlws.FILTER('Model output'!D:D,('Model output'!Z:Z=A19)),1)))))),2)</f>
        <v>1b</v>
      </c>
      <c r="G19" s="17" t="str" cm="1">
        <f t="array" ref="G19">IF(ISNUMBER(SEARCH("N",IF(ISNUMBER(SEARCH("present",IF(INDEX(_xlfn._xlws.FILTER('Model output'!E:E,('Model output'!Z:Z=A19)),1)="","",INDEX(_xlfn._xlws.FILTER('Model output'!E:E,('Model output'!Z:Z=A19)),1)),1)),"N1", IF(INDEX(_xlfn._xlws.FILTER('Model output'!E:E,('Model output'!Z:Z=A19)),1)="","",INDEX(_xlfn._xlws.FILTER('Model output'!E:E,('Model output'!Z:Z=A19)),1))),1)),RIGHT(IF(ISNUMBER(SEARCH("present",IF(INDEX(_xlfn._xlws.FILTER('Model output'!E:E,('Model output'!Z:Z=A19)),1)="","",INDEX(_xlfn._xlws.FILTER('Model output'!E:E,('Model output'!Z:Z=A19)),1)),1)),"N1", IF(INDEX(_xlfn._xlws.FILTER('Model output'!E:E,('Model output'!Z:Z=A19)),1)="","",INDEX(_xlfn._xlws.FILTER('Model output'!E:E,('Model output'!Z:Z=A19)),1))),LEN(IF(ISNUMBER(SEARCH("present",IF(INDEX(_xlfn._xlws.FILTER('Model output'!E:E,('Model output'!Z:Z=A19)),1)="","",INDEX(_xlfn._xlws.FILTER('Model output'!E:E,('Model output'!Z:Z=A19)),1)),1)),"N1", IF(INDEX(_xlfn._xlws.FILTER('Model output'!E:E,('Model output'!Z:Z=A19)),1)="","",INDEX(_xlfn._xlws.FILTER('Model output'!E:E,('Model output'!Z:Z=A19)),1))))-FIND("N",IF(ISNUMBER(SEARCH("present",IF(INDEX(_xlfn._xlws.FILTER('Model output'!E:E,('Model output'!Z:Z=A19)),1)="","",INDEX(_xlfn._xlws.FILTER('Model output'!E:E,('Model output'!Z:Z=A19)),1)),1)),"N1", IF(INDEX(_xlfn._xlws.FILTER('Model output'!E:E,('Model output'!Z:Z=A19)),1)="","",INDEX(_xlfn._xlws.FILTER('Model output'!E:E,('Model output'!Z:Z=A19)),1))),1)), "")</f>
        <v>1b</v>
      </c>
      <c r="H19" s="17" cm="1">
        <f t="array" ref="H19">IF(AND(SUBSTITUTE(_xlfn.TEXTJOIN("/", TRUE, _xlfn._xlws.FILTER('Model output'!F:F, 'Model output'!Z:Z=A19)),"M", "")="", K19="negative"),0,IF(K19="positive",1,0))</f>
        <v>0</v>
      </c>
      <c r="I19" t="str">
        <f t="shared" si="0"/>
        <v>positive</v>
      </c>
      <c r="J19" t="str" cm="1">
        <f t="array" ref="J19">IF(AND(M19&gt;0, _xlfn.TEXTJOIN("; ", TRUE, _xlfn._xlws.FILTER('Model output'!G:G, 'Model output'!Z:Z=A19)) &lt;&gt;"", OR(AND(ISNUMBER(SEARCH("level", _xlfn.TEXTJOIN("; ", TRUE, _xlfn._xlws.FILTER('Model output'!G:G, 'Model output'!Z:Z=A19)),1)),OR(ISNUMBER(SEARCH(" II", _xlfn.TEXTJOIN("; ", TRUE, _xlfn._xlws.FILTER('Model output'!G:G, 'Model output'!Z:Z=A19)),1)),ISNUMBER(SEARCH("2", _xlfn.TEXTJOIN("; ", TRUE, _xlfn._xlws.FILTER('Model output'!G:G, 'Model output'!Z:Z=A19)),1)),ISNUMBER(SEARCH("two", _xlfn.TEXTJOIN("; ", TRUE, _xlfn._xlws.FILTER('Model output'!G:G, 'Model output'!Z:Z=A19)),1)),ISNUMBER(SEARCH("III", _xlfn.TEXTJOIN("; ", TRUE, _xlfn._xlws.FILTER('Model output'!G:G, 'Model output'!Z:Z=A19)),1)),ISNUMBER(SEARCH("3", _xlfn.TEXTJOIN("; ", TRUE, _xlfn._xlws.FILTER('Model output'!G:G, 'Model output'!Z:Z=A19)),1)),ISNUMBER(SEARCH("three", _xlfn.TEXTJOIN("; ", TRUE, _xlfn._xlws.FILTER('Model output'!G:G, 'Model output'!Z:Z=A19)),1)),ISNUMBER(SEARCH("IV", _xlfn.TEXTJOIN("; ", TRUE, _xlfn._xlws.FILTER('Model output'!G:G, 'Model output'!Z:Z=A19)),1)),ISNUMBER(SEARCH("4", _xlfn.TEXTJOIN("; ", TRUE, _xlfn._xlws.FILTER('Model output'!G:G, 'Model output'!Z:Z=A19)),1)),ISNUMBER(SEARCH("five", _xlfn.TEXTJOIN("; ", TRUE, _xlfn._xlws.FILTER('Model output'!G:G, 'Model output'!Z:Z=A19)),1)),ISNUMBER(SEARCH("V ", _xlfn.TEXTJOIN("; ", TRUE, _xlfn._xlws.FILTER('Model output'!G:G, 'Model output'!Z:Z=A19)),1)),ISNUMBER(SEARCH("5", _xlfn.TEXTJOIN("; ", TRUE, _xlfn._xlws.FILTER('Model output'!G:G, 'Model output'!Z:Z=A19)),1)),ISNUMBER(SEARCH("five", _xlfn.TEXTJOIN("; ", TRUE, _xlfn._xlws.FILTER('Model output'!G:G, 'Model output'!Z:Z=A19)),1)),ISNUMBER(SEARCH(" lateral", _xlfn.TEXTJOIN("; ", TRUE, _xlfn._xlws.FILTER('Model output'!G:G, 'Model output'!Z:Z=A19)),1)))),ISNUMBER(SEARCH("cervical", _xlfn.TEXTJOIN("; ", TRUE, _xlfn._xlws.FILTER('Model output'!G:G, 'Model output'!Z:Z=A19)),1)),ISNUMBER(SEARCH("jugular", _xlfn.TEXTJOIN("; ", TRUE, _xlfn._xlws.FILTER('Model output'!G:G, 'Model output'!Z:Z=A19)),1)),ISNUMBER(SEARCH("left neck", _xlfn.TEXTJOIN("; ", TRUE, _xlfn._xlws.FILTER('Model output'!G:G, 'Model output'!Z:Z=A19)),1)),ISNUMBER(SEARCH("left anterior neck", _xlfn.TEXTJOIN("; ", TRUE, _xlfn._xlws.FILTER('Model output'!G:G, 'Model output'!Z:Z=A19)),1)),ISNUMBER(SEARCH("left posterior neck", _xlfn.TEXTJOIN("; ", TRUE, _xlfn._xlws.FILTER('Model output'!G:G, 'Model output'!Z:Z=A19)),1)),ISNUMBER(SEARCH("right neck", _xlfn.TEXTJOIN("; ", TRUE, _xlfn._xlws.FILTER('Model output'!G:G, 'Model output'!Z:Z=A19)),1)),ISNUMBER(SEARCH("right anterior neck", _xlfn.TEXTJOIN("; ", TRUE, _xlfn._xlws.FILTER('Model output'!G:G, 'Model output'!Z:Z=A19)),1)),ISNUMBER(SEARCH("right posterior neck", _xlfn.TEXTJOIN("; ", TRUE, _xlfn._xlws.FILTER('Model output'!G:G, 'Model output'!Z:Z=A19)),1)))),"lateral",IF(AND(M19=0, _xlfn.TEXTJOIN("; ", TRUE, _xlfn._xlws.FILTER('Model output'!G:G, 'Model output'!Z:Z=A19))=""),"", "central"))</f>
        <v>lateral</v>
      </c>
      <c r="K19" s="17" t="str" cm="1">
        <f t="array" ref="K19">IF(OR(ISNUMBER(SEARCH("lymph",_xlfn.TEXTJOIN("; ", TRUE, _xlfn._xlws.FILTER('Model output'!H:H, 'Model output'!Z:Z=A19)),1)), ISNUMBER(SEARCH("Not mentioned",_xlfn.TEXTJOIN("; ", TRUE, _xlfn._xlws.FILTER('Model output'!H:H, 'Model output'!Z:Z=A19)),1)),ISNUMBER(SEARCH("subcutaneous soft tissues",_xlfn.TEXTJOIN("; ", TRUE, _xlfn._xlws.FILTER('Model output'!H:H, 'Model output'!Z:Z=A19)),1)),ISNUMBER(SEARCH("larynx",_xlfn.TEXTJOIN("; ", TRUE, _xlfn._xlws.FILTER('Model output'!H:H, 'Model output'!Z:Z=A19)),1)),ISNUMBER(SEARCH("trachea",_xlfn.TEXTJOIN("; ", TRUE, _xlfn._xlws.FILTER('Model output'!H:H, 'Model output'!Z:Z=A19)),1)),ISNUMBER(SEARCH("esophagus",_xlfn.TEXTJOIN("; ", TRUE, _xlfn._xlws.FILTER('Model output'!H:H, 'Model output'!Z:Z=A19)),1)),ISNUMBER(SEARCH("recurrent laryngeal nerve",_xlfn.TEXTJOIN("; ", TRUE, _xlfn._xlws.FILTER('Model output'!H:H, 'Model output'!Z:Z=A19)),1)),ISNUMBER(SEARCH("RLN",_xlfn.TEXTJOIN("; ", TRUE, _xlfn._xlws.FILTER('Model output'!H:H, 'Model output'!Z:Z=A19)),1)),_xlfn.TEXTJOIN("; ", TRUE, _xlfn._xlws.FILTER('Model output'!H:H, 'Model output'!Z:Z=A19))=""),"negative","positive")</f>
        <v>negative</v>
      </c>
      <c r="L19" s="17">
        <f>IF(IFERROR(INDEX('Model output'!I:I, MATCH(A19, 'Model output'!Z:Z, 0)), "") &lt; M19, "", IFERROR(INDEX('Model output'!I:I, MATCH(A19, 'Model output'!Z:Z, 0)), ""))</f>
        <v>21</v>
      </c>
      <c r="M19" s="28">
        <f>IFERROR(INDEX('Model output'!J:J, MATCH(A19, 'Model output'!Z:Z, 0)), "")</f>
        <v>5</v>
      </c>
      <c r="N19" s="47" t="str" cm="1">
        <f t="array" ref="N19">ReplaceTo(ReplaceAnd(SUBSTITUTE(SUBSTITUTE(_xlfn.TEXTJOIN("; ", TRUE, _xlfn._xlws.FILTER('Model output'!K:K, 'Model output'!Z:Z=A19)), " ", ""), ",", ";")))</f>
        <v>8;Notmentioned</v>
      </c>
      <c r="O19" s="45" t="str" cm="1">
        <f t="array" ref="O19">IF(LEFT(IF(RIGHT(SUBSTITUTE(FilterWithUnits(N19)&amp;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";")),1)=";",RIGHT(IF(RIGHT(SUBSTITUTE(FilterWithUnits(N19)&amp;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";")),LEN(IF(RIGHT(SUBSTITUTE(FilterWithUnits(N19)&amp;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";")))-1),IF(RIGHT(SUBSTITUTE(FilterWithUnits(N19)&amp; ";" &amp;FilterStringsWithNumericAnd(N19) &amp; ";" &amp; FilterStringsWithX(N19), ";;", ";"),1)=";",LEFT(SUBSTITUTE(FilterWithUnits(N19)&amp; ";" &amp;FilterStringsWithNumericAnd(N19) &amp; ";" &amp; FilterStringsWithX(N19), ";;", ";"),LEN(SUBSTITUTE(FilterWithUnits(N19)&amp; ";" &amp;FilterStringsWithNumericAnd(N19) &amp; ";" &amp; FilterStringsWithX(N19), ";;", ";"))-1),SUBSTITUTE(FilterWithUnits(N19)&amp; ";" &amp;FilterStringsWithNumericAnd(N19) &amp; ";" &amp; FilterStringsWithX(N19), ";;", ";")))</f>
        <v/>
      </c>
      <c r="P19" s="45" t="str" cm="1">
        <f t="array" ref="P19">IF(MaxSize((SplitDimensions(O19)))=0, "", MaxSize((SplitDimensions(O19))))</f>
        <v/>
      </c>
      <c r="Q19" t="str" cm="1">
        <f t="array" ref="Q19">IF(ISERROR(INDEX(_xlfn._xlws.FILTER('Model output'!L:L, ('Model output'!Z:Z=A19)*('Model output'!L:L&lt;&gt;"")), 1)), " ", LOWER(INDEX(_xlfn._xlws.FILTER('Model output'!L:L, ('Model output'!Z:Z=A19)*('Model output'!L:L&lt;&gt;"")), 1)))</f>
        <v>papillary carcinoma, classic subtype</v>
      </c>
      <c r="R19" s="45" t="str" cm="1">
        <f t="array" ref="R19">IF(ISERROR(INDEX(_xlfn._xlws.FILTER('Model output'!M:M, ('Model output'!Z:Z=A19)*('Model output'!M:M&lt;&gt;"")), 1)), " ", LOWER(INDEX(_xlfn._xlws.FILTER('Model output'!M:M, ('Model output'!Z:Z=A19)*('Model output'!M:M&lt;&gt;"")), 1)))</f>
        <v>not mentioned</v>
      </c>
      <c r="S19" s="45" t="str" cm="1">
        <f t="array" ref="S19">IF(OR(ISNUMBER(SEARCH("ly",SUBSTITUTE(INDEX(_xlfn._xlws.FILTER('Model output'!N:N,('Model output'!Z:Z=A19)*('Model output'!N:N&lt;&gt;"")),1)," ",""),1)), ISNUMBER(SEARCH("pole",SUBSTITUTE(INDEX(_xlfn._xlws.FILTER('Model output'!N:N,('Model output'!Z:Z=A19)*('Model output'!N:N&lt;&gt;"")),1)," ",""),1))),"",SUBSTITUTE(INDEX(_xlfn._xlws.FILTER('Model output'!N:N,('Model output'!Z:Z=A19)*('Model output'!N:N&lt;&gt;"")),1)," ",""))</f>
        <v>11mm</v>
      </c>
      <c r="T19" s="45" t="str" cm="1">
        <f t="array" ref="T19">IF(LEFT(IF(RIGHT(SUBSTITUTE(FilterWithUnits(S19)&amp;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";")),1)=";",RIGHT(IF(RIGHT(SUBSTITUTE(FilterWithUnits(S19)&amp;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";")),LEN(IF(RIGHT(SUBSTITUTE(FilterWithUnits(S19)&amp;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";")))-1),IF(RIGHT(SUBSTITUTE(FilterWithUnits(S19)&amp; ";" &amp;FilterStringsWithNumericAnd(S19) &amp; ";" &amp; FilterStringsWithX(S19), ";;", ";"),1)=";",LEFT(SUBSTITUTE(FilterWithUnits(S19)&amp; ";" &amp;FilterStringsWithNumericAnd(S19) &amp; ";" &amp; FilterStringsWithX(S19), ";;", ";"),LEN(SUBSTITUTE(FilterWithUnits(S19)&amp; ";" &amp;FilterStringsWithNumericAnd(S19) &amp; ";" &amp; FilterStringsWithX(S19), ";;", ";"))-1),SUBSTITUTE(FilterWithUnits(S19)&amp; ";" &amp;FilterStringsWithNumericAnd(S19) &amp; ";" &amp; FilterStringsWithX(S19), ";;", ";")))</f>
        <v>11mm</v>
      </c>
      <c r="U19" s="45" cm="1">
        <f t="array" ref="U19">IF(MaxSize((SplitDimensions(T19)))=0, "", MaxSize((SplitDimensions(T19))))</f>
        <v>1.1000000000000001</v>
      </c>
      <c r="V19" s="17" t="str" cm="1">
        <f t="array" ref="V19">IF(ISERROR(INDEX(_xlfn._xlws.FILTER('Model output'!P:P,('Model output'!Z:Z=A19)*('Model output'!P:P&lt;&gt;"")),1)),"negative",IF(OR(ISNUMBER(SEARCH("foc",INDEX(_xlfn._xlws.FILTER('Model output'!P:P,('Model output'!Z:Z=A19)*('Model output'!P:P&lt;&gt;"")),1),1)),ISNUMBER(SEARCH("extensive",INDEX(_xlfn._xlws.FILTER('Model output'!P:P,('Model output'!Z:Z=A19)*('Model output'!P:P&lt;&gt;"")),1),1)),ISNUMBER(SEARCH("present",INDEX(_xlfn._xlws.FILTER('Model output'!P:P,('Model output'!Z:Z=A19)*('Model output'!P:P&lt;&gt;"")),1),1)),ISNUMBER(SEARCH("yes",INDEX(_xlfn._xlws.FILTER('Model output'!P:P,('Model output'!Z:Z=A19)*('Model output'!P:P&lt;&gt;"")),1),1))),"positive","negative"))</f>
        <v>negative</v>
      </c>
      <c r="X19" t="str" cm="1">
        <f t="array" ref="X19">IF(ISNUMBER(SEARCH("4",INDEX(_xlfn._xlws.FILTER('Model output'!P:P,('Model output'!Z:Z=A19)*('Model output'!P:P&lt;&gt;"")),1),1)),INDEX(_xlfn._xlws.FILTER('Model output'!P:P,('Model output'!Z:Z=A19)*('Model output'!P:P&lt;&gt;"")),1),"") &amp; _xlfn.TEXTJOIN("",TRUE,_xlfn._xlws.FILTER('Model output'!Q:Q,'Model output'!Z:Z=A19))</f>
        <v>Not mentioned</v>
      </c>
      <c r="Y19" t="str">
        <f t="shared" si="10"/>
        <v>no</v>
      </c>
      <c r="Z19" t="str" cm="1">
        <f t="array" ref="Z19">IF(OR(ISNUMBER(SEARCH("focal",_xlfn.TEXTJOIN("; ",TRUE,_xlfn._xlws.FILTER('Model output'!R:R,'Model output'!Z:Z=A19)),1)),ISNUMBER(SEARCH("present",_xlfn.TEXTJOIN("; ",TRUE,_xlfn._xlws.FILTER('Model output'!R:R,'Model output'!Z:Z=A19)),1))),"positive",IF(_xlfn.TEXTJOIN("; ",TRUE,_xlfn._xlws.FILTER('Model output'!R:R,'Model output'!Z:Z=A19))="","negative",IF(OR(ISNUMBER(SEARCH("no",_xlfn.TEXTJOIN("; ",TRUE,_xlfn._xlws.FILTER('Model output'!R:R,'Model output'!Z:Z=A19)),1)),ISNUMBER(SEARCH("absent",_xlfn.TEXTJOIN("; ",TRUE,_xlfn._xlws.FILTER('Model output'!R:R,'Model output'!Z:Z=A19)),1))),"negative","positive")))</f>
        <v>negative</v>
      </c>
      <c r="AA19" s="17" t="str">
        <f t="shared" si="11"/>
        <v>negative</v>
      </c>
      <c r="AE19" s="17" t="str">
        <f t="shared" si="12"/>
        <v>negative</v>
      </c>
      <c r="AF19" t="str" cm="1">
        <f t="array" ref="AF19">_xlfn.TEXTJOIN("; ",TRUE,_xlfn._xlws.FILTER('Model output'!S:S,'Model output'!Z:Z=A19))</f>
        <v>Not identified; Not mentioned</v>
      </c>
      <c r="AG19" s="17" t="str" cm="1">
        <f t="array" ref="AG19">IF(OR(ISNUMBER(SEARCH("uninvolved",_xlfn.TEXTJOIN("; ",TRUE,_xlfn._xlws.FILTER('Model output'!V:V,'Model output'!Z:Z=A19)),1)),ISNUMBER(SEARCH("clear",_xlfn.TEXTJOIN("; ",TRUE,_xlfn._xlws.FILTER('Model output'!V:V,'Model output'!Z:Z=A19)),1))*ISNUMBER(SEARCH("not mentioned",_xlfn.TEXTJOIN("; ",TRUE,_xlfn._xlws.FILTER('Model output'!V:V,'Model output'!Z:Z=A19)),1))),"negative",IF(ISNUMBER(SEARCH("cannot be assessed",_xlfn.TEXTJOIN("; ",TRUE,_xlfn._xlws.FILTER('Model output'!V:V,'Model output'!Z:Z=A19)),1)),"unknown","negative"))</f>
        <v>negative</v>
      </c>
      <c r="AI19" s="40" t="str">
        <f t="shared" si="13"/>
        <v>intermediate</v>
      </c>
      <c r="AJ19" s="28" t="str">
        <f t="shared" si="14"/>
        <v>1b</v>
      </c>
      <c r="AK19" s="28" t="str">
        <f t="shared" si="2"/>
        <v>1b</v>
      </c>
      <c r="AL19" s="28">
        <f t="shared" si="3"/>
        <v>0</v>
      </c>
      <c r="AM19" s="28" t="str">
        <f t="shared" si="4"/>
        <v>I</v>
      </c>
      <c r="AN19" s="37" t="s">
        <v>169</v>
      </c>
      <c r="AO19" s="38" t="s">
        <v>214</v>
      </c>
      <c r="AP19" s="38" t="s">
        <v>214</v>
      </c>
      <c r="AQ19" s="38">
        <v>0</v>
      </c>
      <c r="AR19" s="38" t="s">
        <v>31</v>
      </c>
      <c r="AS19" s="37">
        <f t="shared" si="5"/>
        <v>1</v>
      </c>
      <c r="AT19" s="38">
        <f t="shared" si="6"/>
        <v>1</v>
      </c>
      <c r="AU19" s="38">
        <f t="shared" si="7"/>
        <v>1</v>
      </c>
      <c r="AV19" s="38">
        <f t="shared" si="8"/>
        <v>1</v>
      </c>
      <c r="AW19" s="39">
        <f t="shared" si="9"/>
        <v>1</v>
      </c>
    </row>
    <row r="20" spans="1:49">
      <c r="A20" s="13">
        <v>18</v>
      </c>
      <c r="B20" s="16">
        <f>_xlfn.MAXIFS('Model output'!B:B,'Model output'!Z:Z,'Classification result'!$A20)</f>
        <v>45385</v>
      </c>
      <c r="C20" s="16"/>
      <c r="D20" s="16"/>
      <c r="E20" s="17">
        <f>_xlfn.MAXIFS('Model output'!C:C,'Model output'!Z:Z,'Classification result'!$A20)</f>
        <v>55</v>
      </c>
      <c r="F20" s="17" t="str" cm="1">
        <f t="array" ref="F20">LEFT(IF(ISERROR(RIGHT(IF(INDEX(_xlfn._xlws.FILTER('Model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output'!Z:Z=A20)),1),""),1))),"",(RIGHT(IF(INDEX(_xlfn._xlws.FILTER('Model output'!D:D,('Model output'!Z:Z=A20)),1)&lt;&gt;"",INDEX(_xlfn._xlws.FILTER('Model output'!D:D,('Model output'!Z:Z=A20)),1),""),LEN(IF(INDEX(_xlfn._xlws.FILTER('Model output'!D:D,('Model output'!Z:Z=A20)),1)&lt;&gt;"",INDEX(_xlfn._xlws.FILTER('Model output'!D:D,('Model output'!Z:Z=A20)),1),""))-FIND("T",IF(INDEX(_xlfn._xlws.FILTER('Model output'!D:D,('Model output'!Z:Z=A20)),1)&lt;&gt;"",INDEX(_xlfn._xlws.FILTER('Model output'!D:D,('Model output'!Z:Z=A20)),1)))))),2)</f>
        <v>4a</v>
      </c>
      <c r="G20" s="17" t="str" cm="1">
        <f t="array" ref="G20">IF(ISNUMBER(SEARCH("N",IF(ISNUMBER(SEARCH("present",IF(INDEX(_xlfn._xlws.FILTER('Model output'!E:E,('Model output'!Z:Z=A20)),1)="","",INDEX(_xlfn._xlws.FILTER('Model output'!E:E,('Model output'!Z:Z=A20)),1)),1)),"N1", IF(INDEX(_xlfn._xlws.FILTER('Model output'!E:E,('Model output'!Z:Z=A20)),1)="","",INDEX(_xlfn._xlws.FILTER('Model output'!E:E,('Model output'!Z:Z=A20)),1))),1)),RIGHT(IF(ISNUMBER(SEARCH("present",IF(INDEX(_xlfn._xlws.FILTER('Model output'!E:E,('Model output'!Z:Z=A20)),1)="","",INDEX(_xlfn._xlws.FILTER('Model output'!E:E,('Model output'!Z:Z=A20)),1)),1)),"N1", IF(INDEX(_xlfn._xlws.FILTER('Model output'!E:E,('Model output'!Z:Z=A20)),1)="","",INDEX(_xlfn._xlws.FILTER('Model output'!E:E,('Model output'!Z:Z=A20)),1))),LEN(IF(ISNUMBER(SEARCH("present",IF(INDEX(_xlfn._xlws.FILTER('Model output'!E:E,('Model output'!Z:Z=A20)),1)="","",INDEX(_xlfn._xlws.FILTER('Model output'!E:E,('Model output'!Z:Z=A20)),1)),1)),"N1", IF(INDEX(_xlfn._xlws.FILTER('Model output'!E:E,('Model output'!Z:Z=A20)),1)="","",INDEX(_xlfn._xlws.FILTER('Model output'!E:E,('Model output'!Z:Z=A20)),1))))-FIND("N",IF(ISNUMBER(SEARCH("present",IF(INDEX(_xlfn._xlws.FILTER('Model output'!E:E,('Model output'!Z:Z=A20)),1)="","",INDEX(_xlfn._xlws.FILTER('Model output'!E:E,('Model output'!Z:Z=A20)),1)),1)),"N1", IF(INDEX(_xlfn._xlws.FILTER('Model output'!E:E,('Model output'!Z:Z=A20)),1)="","",INDEX(_xlfn._xlws.FILTER('Model output'!E:E,('Model output'!Z:Z=A20)),1))),1)), "")</f>
        <v>1a</v>
      </c>
      <c r="H20" s="17" cm="1">
        <f t="array" ref="H20">IF(AND(SUBSTITUTE(_xlfn.TEXTJOIN("/", TRUE, _xlfn._xlws.FILTER('Model output'!F:F, 'Model output'!Z:Z=A20)),"M", "")="", K20="negative"),0,IF(K20="positive",1,0))</f>
        <v>0</v>
      </c>
      <c r="I20" t="str">
        <f t="shared" si="0"/>
        <v>positive</v>
      </c>
      <c r="J20" t="str" cm="1">
        <f t="array" ref="J20">IF(AND(M20&gt;0, _xlfn.TEXTJOIN("; ", TRUE, _xlfn._xlws.FILTER('Model output'!G:G, 'Model output'!Z:Z=A20)) &lt;&gt;"", OR(AND(ISNUMBER(SEARCH("level", _xlfn.TEXTJOIN("; ", TRUE, _xlfn._xlws.FILTER('Model output'!G:G, 'Model output'!Z:Z=A20)),1)),OR(ISNUMBER(SEARCH(" II", _xlfn.TEXTJOIN("; ", TRUE, _xlfn._xlws.FILTER('Model output'!G:G, 'Model output'!Z:Z=A20)),1)),ISNUMBER(SEARCH("2", _xlfn.TEXTJOIN("; ", TRUE, _xlfn._xlws.FILTER('Model output'!G:G, 'Model output'!Z:Z=A20)),1)),ISNUMBER(SEARCH("two", _xlfn.TEXTJOIN("; ", TRUE, _xlfn._xlws.FILTER('Model output'!G:G, 'Model output'!Z:Z=A20)),1)),ISNUMBER(SEARCH("III", _xlfn.TEXTJOIN("; ", TRUE, _xlfn._xlws.FILTER('Model output'!G:G, 'Model output'!Z:Z=A20)),1)),ISNUMBER(SEARCH("3", _xlfn.TEXTJOIN("; ", TRUE, _xlfn._xlws.FILTER('Model output'!G:G, 'Model output'!Z:Z=A20)),1)),ISNUMBER(SEARCH("three", _xlfn.TEXTJOIN("; ", TRUE, _xlfn._xlws.FILTER('Model output'!G:G, 'Model output'!Z:Z=A20)),1)),ISNUMBER(SEARCH("IV", _xlfn.TEXTJOIN("; ", TRUE, _xlfn._xlws.FILTER('Model output'!G:G, 'Model output'!Z:Z=A20)),1)),ISNUMBER(SEARCH("4", _xlfn.TEXTJOIN("; ", TRUE, _xlfn._xlws.FILTER('Model output'!G:G, 'Model output'!Z:Z=A20)),1)),ISNUMBER(SEARCH("five", _xlfn.TEXTJOIN("; ", TRUE, _xlfn._xlws.FILTER('Model output'!G:G, 'Model output'!Z:Z=A20)),1)),ISNUMBER(SEARCH("V ", _xlfn.TEXTJOIN("; ", TRUE, _xlfn._xlws.FILTER('Model output'!G:G, 'Model output'!Z:Z=A20)),1)),ISNUMBER(SEARCH("5", _xlfn.TEXTJOIN("; ", TRUE, _xlfn._xlws.FILTER('Model output'!G:G, 'Model output'!Z:Z=A20)),1)),ISNUMBER(SEARCH("five", _xlfn.TEXTJOIN("; ", TRUE, _xlfn._xlws.FILTER('Model output'!G:G, 'Model output'!Z:Z=A20)),1)),ISNUMBER(SEARCH(" lateral", _xlfn.TEXTJOIN("; ", TRUE, _xlfn._xlws.FILTER('Model output'!G:G, 'Model output'!Z:Z=A20)),1)))),ISNUMBER(SEARCH("cervical", _xlfn.TEXTJOIN("; ", TRUE, _xlfn._xlws.FILTER('Model output'!G:G, 'Model output'!Z:Z=A20)),1)),ISNUMBER(SEARCH("jugular", _xlfn.TEXTJOIN("; ", TRUE, _xlfn._xlws.FILTER('Model output'!G:G, 'Model output'!Z:Z=A20)),1)),ISNUMBER(SEARCH("left neck", _xlfn.TEXTJOIN("; ", TRUE, _xlfn._xlws.FILTER('Model output'!G:G, 'Model output'!Z:Z=A20)),1)),ISNUMBER(SEARCH("left anterior neck", _xlfn.TEXTJOIN("; ", TRUE, _xlfn._xlws.FILTER('Model output'!G:G, 'Model output'!Z:Z=A20)),1)),ISNUMBER(SEARCH("left posterior neck", _xlfn.TEXTJOIN("; ", TRUE, _xlfn._xlws.FILTER('Model output'!G:G, 'Model output'!Z:Z=A20)),1)),ISNUMBER(SEARCH("right neck", _xlfn.TEXTJOIN("; ", TRUE, _xlfn._xlws.FILTER('Model output'!G:G, 'Model output'!Z:Z=A20)),1)),ISNUMBER(SEARCH("right anterior neck", _xlfn.TEXTJOIN("; ", TRUE, _xlfn._xlws.FILTER('Model output'!G:G, 'Model output'!Z:Z=A20)),1)),ISNUMBER(SEARCH("right posterior neck", _xlfn.TEXTJOIN("; ", TRUE, _xlfn._xlws.FILTER('Model output'!G:G, 'Model output'!Z:Z=A20)),1)))),"lateral",IF(AND(M20=0, _xlfn.TEXTJOIN("; ", TRUE, _xlfn._xlws.FILTER('Model output'!G:G, 'Model output'!Z:Z=A20))=""),"", "central"))</f>
        <v>central</v>
      </c>
      <c r="K20" s="17" t="str" cm="1">
        <f t="array" ref="K20">IF(OR(ISNUMBER(SEARCH("lymph",_xlfn.TEXTJOIN("; ", TRUE, _xlfn._xlws.FILTER('Model output'!H:H, 'Model output'!Z:Z=A20)),1)), ISNUMBER(SEARCH("Not mentioned",_xlfn.TEXTJOIN("; ", TRUE, _xlfn._xlws.FILTER('Model output'!H:H, 'Model output'!Z:Z=A20)),1)),ISNUMBER(SEARCH("subcutaneous soft tissues",_xlfn.TEXTJOIN("; ", TRUE, _xlfn._xlws.FILTER('Model output'!H:H, 'Model output'!Z:Z=A20)),1)),ISNUMBER(SEARCH("larynx",_xlfn.TEXTJOIN("; ", TRUE, _xlfn._xlws.FILTER('Model output'!H:H, 'Model output'!Z:Z=A20)),1)),ISNUMBER(SEARCH("trachea",_xlfn.TEXTJOIN("; ", TRUE, _xlfn._xlws.FILTER('Model output'!H:H, 'Model output'!Z:Z=A20)),1)),ISNUMBER(SEARCH("esophagus",_xlfn.TEXTJOIN("; ", TRUE, _xlfn._xlws.FILTER('Model output'!H:H, 'Model output'!Z:Z=A20)),1)),ISNUMBER(SEARCH("recurrent laryngeal nerve",_xlfn.TEXTJOIN("; ", TRUE, _xlfn._xlws.FILTER('Model output'!H:H, 'Model output'!Z:Z=A20)),1)),ISNUMBER(SEARCH("RLN",_xlfn.TEXTJOIN("; ", TRUE, _xlfn._xlws.FILTER('Model output'!H:H, 'Model output'!Z:Z=A20)),1)),_xlfn.TEXTJOIN("; ", TRUE, _xlfn._xlws.FILTER('Model output'!H:H, 'Model output'!Z:Z=A20))=""),"negative","positive")</f>
        <v>negative</v>
      </c>
      <c r="L20" s="17">
        <f>IF(IFERROR(INDEX('Model output'!I:I, MATCH(A20, 'Model output'!Z:Z, 0)), "") &lt; M20, "", IFERROR(INDEX('Model output'!I:I, MATCH(A20, 'Model output'!Z:Z, 0)), ""))</f>
        <v>4</v>
      </c>
      <c r="M20" s="28">
        <f>IFERROR(INDEX('Model output'!J:J, MATCH(A20, 'Model output'!Z:Z, 0)), "")</f>
        <v>4</v>
      </c>
      <c r="N20" s="47" t="str" cm="1">
        <f t="array" ref="N20">ReplaceTo(ReplaceAnd(SUBSTITUTE(SUBSTITUTE(_xlfn.TEXTJOIN("; ", TRUE, _xlfn._xlws.FILTER('Model output'!K:K, 'Model output'!Z:Z=A20)), " ", ""), ",", ";")))</f>
        <v>Notmentioned</v>
      </c>
      <c r="O20" s="45" t="str" cm="1">
        <f t="array" ref="O20">IF(LEFT(IF(RIGHT(SUBSTITUTE(FilterWithUnits(N20)&amp;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";")),1)=";",RIGHT(IF(RIGHT(SUBSTITUTE(FilterWithUnits(N20)&amp;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";")),LEN(IF(RIGHT(SUBSTITUTE(FilterWithUnits(N20)&amp;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";")))-1),IF(RIGHT(SUBSTITUTE(FilterWithUnits(N20)&amp; ";" &amp;FilterStringsWithNumericAnd(N20) &amp; ";" &amp; FilterStringsWithX(N20), ";;", ";"),1)=";",LEFT(SUBSTITUTE(FilterWithUnits(N20)&amp; ";" &amp;FilterStringsWithNumericAnd(N20) &amp; ";" &amp; FilterStringsWithX(N20), ";;", ";"),LEN(SUBSTITUTE(FilterWithUnits(N20)&amp; ";" &amp;FilterStringsWithNumericAnd(N20) &amp; ";" &amp; FilterStringsWithX(N20), ";;", ";"))-1),SUBSTITUTE(FilterWithUnits(N20)&amp; ";" &amp;FilterStringsWithNumericAnd(N20) &amp; ";" &amp; FilterStringsWithX(N20), ";;", ";")))</f>
        <v/>
      </c>
      <c r="P20" s="45" t="str" cm="1">
        <f t="array" ref="P20">IF(MaxSize((SplitDimensions(O20)))=0, "", MaxSize((SplitDimensions(O20))))</f>
        <v/>
      </c>
      <c r="Q20" t="str" cm="1">
        <f t="array" ref="Q20">IF(ISERROR(INDEX(_xlfn._xlws.FILTER('Model output'!L:L, ('Model output'!Z:Z=A20)*('Model output'!L:L&lt;&gt;"")), 1)), " ", LOWER(INDEX(_xlfn._xlws.FILTER('Model output'!L:L, ('Model output'!Z:Z=A20)*('Model output'!L:L&lt;&gt;"")), 1)))</f>
        <v>papillary carcinoma, classic subtype</v>
      </c>
      <c r="R20" s="45" t="str" cm="1">
        <f t="array" ref="R20">IF(ISERROR(INDEX(_xlfn._xlws.FILTER('Model output'!M:M, ('Model output'!Z:Z=A20)*('Model output'!M:M&lt;&gt;"")), 1)), " ", LOWER(INDEX(_xlfn._xlws.FILTER('Model output'!M:M, ('Model output'!Z:Z=A20)*('Model output'!M:M&lt;&gt;"")), 1)))</f>
        <v xml:space="preserve"> </v>
      </c>
      <c r="S20" s="45" t="str" cm="1">
        <f t="array" ref="S20">IF(OR(ISNUMBER(SEARCH("ly",SUBSTITUTE(INDEX(_xlfn._xlws.FILTER('Model output'!N:N,('Model output'!Z:Z=A20)*('Model output'!N:N&lt;&gt;"")),1)," ",""),1)), ISNUMBER(SEARCH("pole",SUBSTITUTE(INDEX(_xlfn._xlws.FILTER('Model output'!N:N,('Model output'!Z:Z=A20)*('Model output'!N:N&lt;&gt;"")),1)," ",""),1))),"",SUBSTITUTE(INDEX(_xlfn._xlws.FILTER('Model output'!N:N,('Model output'!Z:Z=A20)*('Model output'!N:N&lt;&gt;"")),1)," ",""))</f>
        <v>30mm</v>
      </c>
      <c r="T20" s="45" t="str" cm="1">
        <f t="array" ref="T20">IF(LEFT(IF(RIGHT(SUBSTITUTE(FilterWithUnits(S20)&amp;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";")),1)=";",RIGHT(IF(RIGHT(SUBSTITUTE(FilterWithUnits(S20)&amp;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";")),LEN(IF(RIGHT(SUBSTITUTE(FilterWithUnits(S20)&amp;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";")))-1),IF(RIGHT(SUBSTITUTE(FilterWithUnits(S20)&amp; ";" &amp;FilterStringsWithNumericAnd(S20) &amp; ";" &amp; FilterStringsWithX(S20), ";;", ";"),1)=";",LEFT(SUBSTITUTE(FilterWithUnits(S20)&amp; ";" &amp;FilterStringsWithNumericAnd(S20) &amp; ";" &amp; FilterStringsWithX(S20), ";;", ";"),LEN(SUBSTITUTE(FilterWithUnits(S20)&amp; ";" &amp;FilterStringsWithNumericAnd(S20) &amp; ";" &amp; FilterStringsWithX(S20), ";;", ";"))-1),SUBSTITUTE(FilterWithUnits(S20)&amp; ";" &amp;FilterStringsWithNumericAnd(S20) &amp; ";" &amp; FilterStringsWithX(S20), ";;", ";")))</f>
        <v>30mm</v>
      </c>
      <c r="U20" s="45" cm="1">
        <f t="array" ref="U20">IF(MaxSize((SplitDimensions(T20)))=0, "", MaxSize((SplitDimensions(T20))))</f>
        <v>3</v>
      </c>
      <c r="V20" s="17" t="str" cm="1">
        <f t="array" ref="V20">IF(ISERROR(INDEX(_xlfn._xlws.FILTER('Model output'!P:P,('Model output'!Z:Z=A20)*('Model output'!P:P&lt;&gt;"")),1)),"negative",IF(OR(ISNUMBER(SEARCH("foc",INDEX(_xlfn._xlws.FILTER('Model output'!P:P,('Model output'!Z:Z=A20)*('Model output'!P:P&lt;&gt;"")),1),1)),ISNUMBER(SEARCH("extensive",INDEX(_xlfn._xlws.FILTER('Model output'!P:P,('Model output'!Z:Z=A20)*('Model output'!P:P&lt;&gt;"")),1),1)),ISNUMBER(SEARCH("present",INDEX(_xlfn._xlws.FILTER('Model output'!P:P,('Model output'!Z:Z=A20)*('Model output'!P:P&lt;&gt;"")),1),1)),ISNUMBER(SEARCH("yes",INDEX(_xlfn._xlws.FILTER('Model output'!P:P,('Model output'!Z:Z=A20)*('Model output'!P:P&lt;&gt;"")),1),1))),"positive","negative"))</f>
        <v>positive</v>
      </c>
      <c r="X20" t="str" cm="1">
        <f t="array" ref="X20">IF(ISNUMBER(SEARCH("4",INDEX(_xlfn._xlws.FILTER('Model output'!P:P,('Model output'!Z:Z=A20)*('Model output'!P:P&lt;&gt;"")),1),1)),INDEX(_xlfn._xlws.FILTER('Model output'!P:P,('Model output'!Z:Z=A20)*('Model output'!P:P&lt;&gt;"")),1),"") &amp; _xlfn.TEXTJOIN("",TRUE,_xlfn._xlws.FILTER('Model output'!Q:Q,'Model output'!Z:Z=A20))</f>
        <v>Invading only strap musclesInvolvement of right cricothyroid and inferior constrictor muscle</v>
      </c>
      <c r="Y20" t="str">
        <f t="shared" si="10"/>
        <v>minimal</v>
      </c>
      <c r="Z20" t="str" cm="1">
        <f t="array" ref="Z20">IF(OR(ISNUMBER(SEARCH("focal",_xlfn.TEXTJOIN("; ",TRUE,_xlfn._xlws.FILTER('Model output'!R:R,'Model output'!Z:Z=A20)),1)),ISNUMBER(SEARCH("present",_xlfn.TEXTJOIN("; ",TRUE,_xlfn._xlws.FILTER('Model output'!R:R,'Model output'!Z:Z=A20)),1))),"positive",IF(_xlfn.TEXTJOIN("; ",TRUE,_xlfn._xlws.FILTER('Model output'!R:R,'Model output'!Z:Z=A20))="","negative",IF(OR(ISNUMBER(SEARCH("no",_xlfn.TEXTJOIN("; ",TRUE,_xlfn._xlws.FILTER('Model output'!R:R,'Model output'!Z:Z=A20)),1)),ISNUMBER(SEARCH("absent",_xlfn.TEXTJOIN("; ",TRUE,_xlfn._xlws.FILTER('Model output'!R:R,'Model output'!Z:Z=A20)),1))),"negative","positive")))</f>
        <v>positive</v>
      </c>
      <c r="AA20" s="17" t="str">
        <f t="shared" si="11"/>
        <v>positive</v>
      </c>
      <c r="AE20" s="17" t="str">
        <f t="shared" si="12"/>
        <v>negative</v>
      </c>
      <c r="AF20" t="str" cm="1">
        <f t="array" ref="AF20">_xlfn.TEXTJOIN("; ",TRUE,_xlfn._xlws.FILTER('Model output'!S:S,'Model output'!Z:Z=A20))</f>
        <v>Yes; Yes</v>
      </c>
      <c r="AG20" s="17" t="str" cm="1">
        <f t="array" ref="AG20">IF(OR(ISNUMBER(SEARCH("uninvolved",_xlfn.TEXTJOIN("; ",TRUE,_xlfn._xlws.FILTER('Model output'!V:V,'Model output'!Z:Z=A20)),1)),ISNUMBER(SEARCH("clear",_xlfn.TEXTJOIN("; ",TRUE,_xlfn._xlws.FILTER('Model output'!V:V,'Model output'!Z:Z=A20)),1))*ISNUMBER(SEARCH("not mentioned",_xlfn.TEXTJOIN("; ",TRUE,_xlfn._xlws.FILTER('Model output'!V:V,'Model output'!Z:Z=A20)),1))),"negative",IF(ISNUMBER(SEARCH("cannot be assessed",_xlfn.TEXTJOIN("; ",TRUE,_xlfn._xlws.FILTER('Model output'!V:V,'Model output'!Z:Z=A20)),1)),"unknown","negative"))</f>
        <v>negative</v>
      </c>
      <c r="AI20" s="40" t="str">
        <f t="shared" si="13"/>
        <v>intermediate</v>
      </c>
      <c r="AJ20" s="28" t="str">
        <f t="shared" si="14"/>
        <v>4a</v>
      </c>
      <c r="AK20" s="28" t="str">
        <f t="shared" si="2"/>
        <v>1a</v>
      </c>
      <c r="AL20" s="28">
        <f t="shared" si="3"/>
        <v>0</v>
      </c>
      <c r="AM20" s="28" t="str">
        <f t="shared" si="4"/>
        <v>III</v>
      </c>
      <c r="AN20" s="37" t="s">
        <v>170</v>
      </c>
      <c r="AO20" s="38" t="s">
        <v>219</v>
      </c>
      <c r="AP20" s="38" t="s">
        <v>216</v>
      </c>
      <c r="AQ20" s="38">
        <v>0</v>
      </c>
      <c r="AR20" s="38" t="s">
        <v>70</v>
      </c>
      <c r="AS20" s="37">
        <f t="shared" si="5"/>
        <v>0</v>
      </c>
      <c r="AT20" s="38">
        <f t="shared" si="6"/>
        <v>1</v>
      </c>
      <c r="AU20" s="38">
        <f t="shared" si="7"/>
        <v>1</v>
      </c>
      <c r="AV20" s="38">
        <f t="shared" si="8"/>
        <v>1</v>
      </c>
      <c r="AW20" s="39">
        <f t="shared" si="9"/>
        <v>1</v>
      </c>
    </row>
    <row r="21" spans="1:49">
      <c r="A21" s="13">
        <v>19</v>
      </c>
      <c r="B21" s="16">
        <f>_xlfn.MAXIFS('Model output'!B:B,'Model output'!Z:Z,'Classification result'!$A21)</f>
        <v>0</v>
      </c>
      <c r="C21" s="16"/>
      <c r="D21" s="16"/>
      <c r="E21" s="17">
        <f>_xlfn.MAXIFS('Model output'!C:C,'Model output'!Z:Z,'Classification result'!$A21)</f>
        <v>23</v>
      </c>
      <c r="F21" s="17" t="str" cm="1">
        <f t="array" ref="F21">LEFT(IF(ISERROR(RIGHT(IF(INDEX(_xlfn._xlws.FILTER('Model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output'!Z:Z=A21)),1),""),1))),"",(RIGHT(IF(INDEX(_xlfn._xlws.FILTER('Model output'!D:D,('Model output'!Z:Z=A21)),1)&lt;&gt;"",INDEX(_xlfn._xlws.FILTER('Model output'!D:D,('Model output'!Z:Z=A21)),1),""),LEN(IF(INDEX(_xlfn._xlws.FILTER('Model output'!D:D,('Model output'!Z:Z=A21)),1)&lt;&gt;"",INDEX(_xlfn._xlws.FILTER('Model output'!D:D,('Model output'!Z:Z=A21)),1),""))-FIND("T",IF(INDEX(_xlfn._xlws.FILTER('Model output'!D:D,('Model output'!Z:Z=A21)),1)&lt;&gt;"",INDEX(_xlfn._xlws.FILTER('Model output'!D:D,('Model output'!Z:Z=A21)),1)))))),2)</f>
        <v/>
      </c>
      <c r="G21" s="17" t="str" cm="1">
        <f t="array" ref="G21">IF(ISNUMBER(SEARCH("N",IF(ISNUMBER(SEARCH("present",IF(INDEX(_xlfn._xlws.FILTER('Model output'!E:E,('Model output'!Z:Z=A21)),1)="","",INDEX(_xlfn._xlws.FILTER('Model output'!E:E,('Model output'!Z:Z=A21)),1)),1)),"N1", IF(INDEX(_xlfn._xlws.FILTER('Model output'!E:E,('Model output'!Z:Z=A21)),1)="","",INDEX(_xlfn._xlws.FILTER('Model output'!E:E,('Model output'!Z:Z=A21)),1))),1)),RIGHT(IF(ISNUMBER(SEARCH("present",IF(INDEX(_xlfn._xlws.FILTER('Model output'!E:E,('Model output'!Z:Z=A21)),1)="","",INDEX(_xlfn._xlws.FILTER('Model output'!E:E,('Model output'!Z:Z=A21)),1)),1)),"N1", IF(INDEX(_xlfn._xlws.FILTER('Model output'!E:E,('Model output'!Z:Z=A21)),1)="","",INDEX(_xlfn._xlws.FILTER('Model output'!E:E,('Model output'!Z:Z=A21)),1))),LEN(IF(ISNUMBER(SEARCH("present",IF(INDEX(_xlfn._xlws.FILTER('Model output'!E:E,('Model output'!Z:Z=A21)),1)="","",INDEX(_xlfn._xlws.FILTER('Model output'!E:E,('Model output'!Z:Z=A21)),1)),1)),"N1", IF(INDEX(_xlfn._xlws.FILTER('Model output'!E:E,('Model output'!Z:Z=A21)),1)="","",INDEX(_xlfn._xlws.FILTER('Model output'!E:E,('Model output'!Z:Z=A21)),1))))-FIND("N",IF(ISNUMBER(SEARCH("present",IF(INDEX(_xlfn._xlws.FILTER('Model output'!E:E,('Model output'!Z:Z=A21)),1)="","",INDEX(_xlfn._xlws.FILTER('Model output'!E:E,('Model output'!Z:Z=A21)),1)),1)),"N1", IF(INDEX(_xlfn._xlws.FILTER('Model output'!E:E,('Model output'!Z:Z=A21)),1)="","",INDEX(_xlfn._xlws.FILTER('Model output'!E:E,('Model output'!Z:Z=A21)),1))),1)), "")</f>
        <v/>
      </c>
      <c r="H21" s="17" cm="1">
        <f t="array" ref="H21">IF(AND(SUBSTITUTE(_xlfn.TEXTJOIN("/", TRUE, _xlfn._xlws.FILTER('Model output'!F:F, 'Model output'!Z:Z=A21)),"M", "")="", K21="negative"),0,IF(K21="positive",1,0))</f>
        <v>0</v>
      </c>
      <c r="I21" t="str">
        <f t="shared" si="0"/>
        <v/>
      </c>
      <c r="J21" t="str" cm="1">
        <f t="array" ref="J21">IF(AND(M21&gt;0, _xlfn.TEXTJOIN("; ", TRUE, _xlfn._xlws.FILTER('Model output'!G:G, 'Model output'!Z:Z=A21)) &lt;&gt;"", OR(AND(ISNUMBER(SEARCH("level", _xlfn.TEXTJOIN("; ", TRUE, _xlfn._xlws.FILTER('Model output'!G:G, 'Model output'!Z:Z=A21)),1)),OR(ISNUMBER(SEARCH(" II", _xlfn.TEXTJOIN("; ", TRUE, _xlfn._xlws.FILTER('Model output'!G:G, 'Model output'!Z:Z=A21)),1)),ISNUMBER(SEARCH("2", _xlfn.TEXTJOIN("; ", TRUE, _xlfn._xlws.FILTER('Model output'!G:G, 'Model output'!Z:Z=A21)),1)),ISNUMBER(SEARCH("two", _xlfn.TEXTJOIN("; ", TRUE, _xlfn._xlws.FILTER('Model output'!G:G, 'Model output'!Z:Z=A21)),1)),ISNUMBER(SEARCH("III", _xlfn.TEXTJOIN("; ", TRUE, _xlfn._xlws.FILTER('Model output'!G:G, 'Model output'!Z:Z=A21)),1)),ISNUMBER(SEARCH("3", _xlfn.TEXTJOIN("; ", TRUE, _xlfn._xlws.FILTER('Model output'!G:G, 'Model output'!Z:Z=A21)),1)),ISNUMBER(SEARCH("three", _xlfn.TEXTJOIN("; ", TRUE, _xlfn._xlws.FILTER('Model output'!G:G, 'Model output'!Z:Z=A21)),1)),ISNUMBER(SEARCH("IV", _xlfn.TEXTJOIN("; ", TRUE, _xlfn._xlws.FILTER('Model output'!G:G, 'Model output'!Z:Z=A21)),1)),ISNUMBER(SEARCH("4", _xlfn.TEXTJOIN("; ", TRUE, _xlfn._xlws.FILTER('Model output'!G:G, 'Model output'!Z:Z=A21)),1)),ISNUMBER(SEARCH("five", _xlfn.TEXTJOIN("; ", TRUE, _xlfn._xlws.FILTER('Model output'!G:G, 'Model output'!Z:Z=A21)),1)),ISNUMBER(SEARCH("V ", _xlfn.TEXTJOIN("; ", TRUE, _xlfn._xlws.FILTER('Model output'!G:G, 'Model output'!Z:Z=A21)),1)),ISNUMBER(SEARCH("5", _xlfn.TEXTJOIN("; ", TRUE, _xlfn._xlws.FILTER('Model output'!G:G, 'Model output'!Z:Z=A21)),1)),ISNUMBER(SEARCH("five", _xlfn.TEXTJOIN("; ", TRUE, _xlfn._xlws.FILTER('Model output'!G:G, 'Model output'!Z:Z=A21)),1)),ISNUMBER(SEARCH(" lateral", _xlfn.TEXTJOIN("; ", TRUE, _xlfn._xlws.FILTER('Model output'!G:G, 'Model output'!Z:Z=A21)),1)))),ISNUMBER(SEARCH("cervical", _xlfn.TEXTJOIN("; ", TRUE, _xlfn._xlws.FILTER('Model output'!G:G, 'Model output'!Z:Z=A21)),1)),ISNUMBER(SEARCH("jugular", _xlfn.TEXTJOIN("; ", TRUE, _xlfn._xlws.FILTER('Model output'!G:G, 'Model output'!Z:Z=A21)),1)),ISNUMBER(SEARCH("left neck", _xlfn.TEXTJOIN("; ", TRUE, _xlfn._xlws.FILTER('Model output'!G:G, 'Model output'!Z:Z=A21)),1)),ISNUMBER(SEARCH("left anterior neck", _xlfn.TEXTJOIN("; ", TRUE, _xlfn._xlws.FILTER('Model output'!G:G, 'Model output'!Z:Z=A21)),1)),ISNUMBER(SEARCH("left posterior neck", _xlfn.TEXTJOIN("; ", TRUE, _xlfn._xlws.FILTER('Model output'!G:G, 'Model output'!Z:Z=A21)),1)),ISNUMBER(SEARCH("right neck", _xlfn.TEXTJOIN("; ", TRUE, _xlfn._xlws.FILTER('Model output'!G:G, 'Model output'!Z:Z=A21)),1)),ISNUMBER(SEARCH("right anterior neck", _xlfn.TEXTJOIN("; ", TRUE, _xlfn._xlws.FILTER('Model output'!G:G, 'Model output'!Z:Z=A21)),1)),ISNUMBER(SEARCH("right posterior neck", _xlfn.TEXTJOIN("; ", TRUE, _xlfn._xlws.FILTER('Model output'!G:G, 'Model output'!Z:Z=A21)),1)))),"lateral",IF(AND(M21=0, _xlfn.TEXTJOIN("; ", TRUE, _xlfn._xlws.FILTER('Model output'!G:G, 'Model output'!Z:Z=A21))=""),"", "central"))</f>
        <v/>
      </c>
      <c r="K21" s="17" t="str" cm="1">
        <f t="array" ref="K21">IF(OR(ISNUMBER(SEARCH("lymph",_xlfn.TEXTJOIN("; ", TRUE, _xlfn._xlws.FILTER('Model output'!H:H, 'Model output'!Z:Z=A21)),1)), ISNUMBER(SEARCH("Not mentioned",_xlfn.TEXTJOIN("; ", TRUE, _xlfn._xlws.FILTER('Model output'!H:H, 'Model output'!Z:Z=A21)),1)),ISNUMBER(SEARCH("subcutaneous soft tissues",_xlfn.TEXTJOIN("; ", TRUE, _xlfn._xlws.FILTER('Model output'!H:H, 'Model output'!Z:Z=A21)),1)),ISNUMBER(SEARCH("larynx",_xlfn.TEXTJOIN("; ", TRUE, _xlfn._xlws.FILTER('Model output'!H:H, 'Model output'!Z:Z=A21)),1)),ISNUMBER(SEARCH("trachea",_xlfn.TEXTJOIN("; ", TRUE, _xlfn._xlws.FILTER('Model output'!H:H, 'Model output'!Z:Z=A21)),1)),ISNUMBER(SEARCH("esophagus",_xlfn.TEXTJOIN("; ", TRUE, _xlfn._xlws.FILTER('Model output'!H:H, 'Model output'!Z:Z=A21)),1)),ISNUMBER(SEARCH("recurrent laryngeal nerve",_xlfn.TEXTJOIN("; ", TRUE, _xlfn._xlws.FILTER('Model output'!H:H, 'Model output'!Z:Z=A21)),1)),ISNUMBER(SEARCH("RLN",_xlfn.TEXTJOIN("; ", TRUE, _xlfn._xlws.FILTER('Model output'!H:H, 'Model output'!Z:Z=A21)),1)),_xlfn.TEXTJOIN("; ", TRUE, _xlfn._xlws.FILTER('Model output'!H:H, 'Model output'!Z:Z=A21))=""),"negative","positive")</f>
        <v>negative</v>
      </c>
      <c r="L21" s="17">
        <f>IF(IFERROR(INDEX('Model output'!I:I, MATCH(A21, 'Model output'!Z:Z, 0)), "") &lt; M21, "", IFERROR(INDEX('Model output'!I:I, MATCH(A21, 'Model output'!Z:Z, 0)), ""))</f>
        <v>1</v>
      </c>
      <c r="M21" s="28">
        <f>IFERROR(INDEX('Model output'!J:J, MATCH(A21, 'Model output'!Z:Z, 0)), "")</f>
        <v>0</v>
      </c>
      <c r="N21" s="47" t="str" cm="1">
        <f t="array" ref="N21">ReplaceTo(ReplaceAnd(SUBSTITUTE(SUBSTITUTE(_xlfn.TEXTJOIN("; ", TRUE, _xlfn._xlws.FILTER('Model output'!K:K, 'Model output'!Z:Z=A21)), " ", ""), ",", ";")))</f>
        <v/>
      </c>
      <c r="O21" s="45" t="str" cm="1">
        <f t="array" ref="O21">IF(LEFT(IF(RIGHT(SUBSTITUTE(FilterWithUnits(N21)&amp;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";")),1)=";",RIGHT(IF(RIGHT(SUBSTITUTE(FilterWithUnits(N21)&amp;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";")),LEN(IF(RIGHT(SUBSTITUTE(FilterWithUnits(N21)&amp;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";")))-1),IF(RIGHT(SUBSTITUTE(FilterWithUnits(N21)&amp; ";" &amp;FilterStringsWithNumericAnd(N21) &amp; ";" &amp; FilterStringsWithX(N21), ";;", ";"),1)=";",LEFT(SUBSTITUTE(FilterWithUnits(N21)&amp; ";" &amp;FilterStringsWithNumericAnd(N21) &amp; ";" &amp; FilterStringsWithX(N21), ";;", ";"),LEN(SUBSTITUTE(FilterWithUnits(N21)&amp; ";" &amp;FilterStringsWithNumericAnd(N21) &amp; ";" &amp; FilterStringsWithX(N21), ";;", ";"))-1),SUBSTITUTE(FilterWithUnits(N21)&amp; ";" &amp;FilterStringsWithNumericAnd(N21) &amp; ";" &amp; FilterStringsWithX(N21), ";;", ";")))</f>
        <v/>
      </c>
      <c r="P21" s="45" t="str" cm="1">
        <f t="array" ref="P21">IF(MaxSize((SplitDimensions(O21)))=0, "", MaxSize((SplitDimensions(O21))))</f>
        <v/>
      </c>
      <c r="Q21" t="str" cm="1">
        <f t="array" ref="Q21">IF(ISERROR(INDEX(_xlfn._xlws.FILTER('Model output'!L:L, ('Model output'!Z:Z=A21)*('Model output'!L:L&lt;&gt;"")), 1)), " ", LOWER(INDEX(_xlfn._xlws.FILTER('Model output'!L:L, ('Model output'!Z:Z=A21)*('Model output'!L:L&lt;&gt;"")), 1)))</f>
        <v>papillary carcinoma</v>
      </c>
      <c r="R21" s="45" t="str" cm="1">
        <f t="array" ref="R21">IF(ISERROR(INDEX(_xlfn._xlws.FILTER('Model output'!M:M, ('Model output'!Z:Z=A21)*('Model output'!M:M&lt;&gt;"")), 1)), " ", LOWER(INDEX(_xlfn._xlws.FILTER('Model output'!M:M, ('Model output'!Z:Z=A21)*('Model output'!M:M&lt;&gt;"")), 1)))</f>
        <v>classic subtype</v>
      </c>
      <c r="S21" s="45" t="str" cm="1">
        <f t="array" ref="S21">IF(OR(ISNUMBER(SEARCH("ly",SUBSTITUTE(INDEX(_xlfn._xlws.FILTER('Model output'!N:N,('Model output'!Z:Z=A21)*('Model output'!N:N&lt;&gt;"")),1)," ",""),1)), ISNUMBER(SEARCH("pole",SUBSTITUTE(INDEX(_xlfn._xlws.FILTER('Model output'!N:N,('Model output'!Z:Z=A21)*('Model output'!N:N&lt;&gt;"")),1)," ",""),1))),"",SUBSTITUTE(INDEX(_xlfn._xlws.FILTER('Model output'!N:N,('Model output'!Z:Z=A21)*('Model output'!N:N&lt;&gt;"")),1)," ",""))</f>
        <v>2mm</v>
      </c>
      <c r="T21" s="45" t="str" cm="1">
        <f t="array" ref="T21">IF(LEFT(IF(RIGHT(SUBSTITUTE(FilterWithUnits(S21)&amp;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";")),1)=";",RIGHT(IF(RIGHT(SUBSTITUTE(FilterWithUnits(S21)&amp;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";")),LEN(IF(RIGHT(SUBSTITUTE(FilterWithUnits(S21)&amp;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";")))-1),IF(RIGHT(SUBSTITUTE(FilterWithUnits(S21)&amp; ";" &amp;FilterStringsWithNumericAnd(S21) &amp; ";" &amp; FilterStringsWithX(S21), ";;", ";"),1)=";",LEFT(SUBSTITUTE(FilterWithUnits(S21)&amp; ";" &amp;FilterStringsWithNumericAnd(S21) &amp; ";" &amp; FilterStringsWithX(S21), ";;", ";"),LEN(SUBSTITUTE(FilterWithUnits(S21)&amp; ";" &amp;FilterStringsWithNumericAnd(S21) &amp; ";" &amp; FilterStringsWithX(S21), ";;", ";"))-1),SUBSTITUTE(FilterWithUnits(S21)&amp; ";" &amp;FilterStringsWithNumericAnd(S21) &amp; ";" &amp; FilterStringsWithX(S21), ";;", ";")))</f>
        <v>2mm</v>
      </c>
      <c r="U21" s="45" cm="1">
        <f t="array" ref="U21">IF(MaxSize((SplitDimensions(T21)))=0, "", MaxSize((SplitDimensions(T21))))</f>
        <v>0.2</v>
      </c>
      <c r="V21" s="17" t="str" cm="1">
        <f t="array" ref="V21">IF(ISERROR(INDEX(_xlfn._xlws.FILTER('Model output'!P:P,('Model output'!Z:Z=A21)*('Model output'!P:P&lt;&gt;"")),1)),"negative",IF(OR(ISNUMBER(SEARCH("foc",INDEX(_xlfn._xlws.FILTER('Model output'!P:P,('Model output'!Z:Z=A21)*('Model output'!P:P&lt;&gt;"")),1),1)),ISNUMBER(SEARCH("extensive",INDEX(_xlfn._xlws.FILTER('Model output'!P:P,('Model output'!Z:Z=A21)*('Model output'!P:P&lt;&gt;"")),1),1)),ISNUMBER(SEARCH("present",INDEX(_xlfn._xlws.FILTER('Model output'!P:P,('Model output'!Z:Z=A21)*('Model output'!P:P&lt;&gt;"")),1),1)),ISNUMBER(SEARCH("yes",INDEX(_xlfn._xlws.FILTER('Model output'!P:P,('Model output'!Z:Z=A21)*('Model output'!P:P&lt;&gt;"")),1),1))),"positive","negative"))</f>
        <v>negative</v>
      </c>
      <c r="X21" t="str" cm="1">
        <f t="array" ref="X21">IF(ISNUMBER(SEARCH("4",INDEX(_xlfn._xlws.FILTER('Model output'!P:P,('Model output'!Z:Z=A21)*('Model output'!P:P&lt;&gt;"")),1),1)),INDEX(_xlfn._xlws.FILTER('Model output'!P:P,('Model output'!Z:Z=A21)*('Model output'!P:P&lt;&gt;"")),1),"") &amp; _xlfn.TEXTJOIN("",TRUE,_xlfn._xlws.FILTER('Model output'!Q:Q,'Model output'!Z:Z=A21))</f>
        <v/>
      </c>
      <c r="Y21" t="str">
        <f t="shared" si="10"/>
        <v>no</v>
      </c>
      <c r="Z21" t="str" cm="1">
        <f t="array" ref="Z21">IF(OR(ISNUMBER(SEARCH("focal",_xlfn.TEXTJOIN("; ",TRUE,_xlfn._xlws.FILTER('Model output'!R:R,'Model output'!Z:Z=A21)),1)),ISNUMBER(SEARCH("present",_xlfn.TEXTJOIN("; ",TRUE,_xlfn._xlws.FILTER('Model output'!R:R,'Model output'!Z:Z=A21)),1))),"positive",IF(_xlfn.TEXTJOIN("; ",TRUE,_xlfn._xlws.FILTER('Model output'!R:R,'Model output'!Z:Z=A21))="","negative",IF(OR(ISNUMBER(SEARCH("no",_xlfn.TEXTJOIN("; ",TRUE,_xlfn._xlws.FILTER('Model output'!R:R,'Model output'!Z:Z=A21)),1)),ISNUMBER(SEARCH("absent",_xlfn.TEXTJOIN("; ",TRUE,_xlfn._xlws.FILTER('Model output'!R:R,'Model output'!Z:Z=A21)),1))),"negative","positive")))</f>
        <v>negative</v>
      </c>
      <c r="AA21" s="17" t="str">
        <f t="shared" si="11"/>
        <v>negative</v>
      </c>
      <c r="AE21" s="17" t="str">
        <f t="shared" si="12"/>
        <v>negative</v>
      </c>
      <c r="AF21" t="str" cm="1">
        <f t="array" ref="AF21">_xlfn.TEXTJOIN("; ",TRUE,_xlfn._xlws.FILTER('Model output'!S:S,'Model output'!Z:Z=A21))</f>
        <v>Not identified</v>
      </c>
      <c r="AG21" s="17" t="str" cm="1">
        <f t="array" ref="AG21">IF(OR(ISNUMBER(SEARCH("uninvolved",_xlfn.TEXTJOIN("; ",TRUE,_xlfn._xlws.FILTER('Model output'!V:V,'Model output'!Z:Z=A21)),1)),ISNUMBER(SEARCH("clear",_xlfn.TEXTJOIN("; ",TRUE,_xlfn._xlws.FILTER('Model output'!V:V,'Model output'!Z:Z=A21)),1))*ISNUMBER(SEARCH("not mentioned",_xlfn.TEXTJOIN("; ",TRUE,_xlfn._xlws.FILTER('Model output'!V:V,'Model output'!Z:Z=A21)),1))),"negative",IF(ISNUMBER(SEARCH("cannot be assessed",_xlfn.TEXTJOIN("; ",TRUE,_xlfn._xlws.FILTER('Model output'!V:V,'Model output'!Z:Z=A21)),1)),"unknown","negative"))</f>
        <v>negative</v>
      </c>
      <c r="AI21" s="40" t="str">
        <f t="shared" si="13"/>
        <v>low</v>
      </c>
      <c r="AJ21" s="28" t="str">
        <f t="shared" si="14"/>
        <v>1a</v>
      </c>
      <c r="AK21" s="28">
        <f t="shared" si="2"/>
        <v>0</v>
      </c>
      <c r="AL21" s="28">
        <f t="shared" si="3"/>
        <v>0</v>
      </c>
      <c r="AM21" s="28" t="str">
        <f t="shared" si="4"/>
        <v>I</v>
      </c>
      <c r="AN21" s="37" t="s">
        <v>171</v>
      </c>
      <c r="AO21" s="38" t="s">
        <v>216</v>
      </c>
      <c r="AP21" s="38">
        <v>0</v>
      </c>
      <c r="AQ21" s="38">
        <v>0</v>
      </c>
      <c r="AR21" s="38" t="s">
        <v>31</v>
      </c>
      <c r="AS21" s="37">
        <f t="shared" si="5"/>
        <v>1</v>
      </c>
      <c r="AT21" s="38">
        <f t="shared" si="6"/>
        <v>1</v>
      </c>
      <c r="AU21" s="38">
        <f t="shared" si="7"/>
        <v>1</v>
      </c>
      <c r="AV21" s="38">
        <f t="shared" si="8"/>
        <v>1</v>
      </c>
      <c r="AW21" s="39">
        <f t="shared" si="9"/>
        <v>1</v>
      </c>
    </row>
    <row r="22" spans="1:49">
      <c r="A22" s="13">
        <v>20</v>
      </c>
      <c r="B22" s="16">
        <f>_xlfn.MAXIFS('Model output'!B:B,'Model output'!Z:Z,'Classification result'!$A22)</f>
        <v>0</v>
      </c>
      <c r="C22" s="16"/>
      <c r="D22" s="16"/>
      <c r="E22" s="17">
        <f>_xlfn.MAXIFS('Model output'!C:C,'Model output'!Z:Z,'Classification result'!$A22)</f>
        <v>61</v>
      </c>
      <c r="F22" s="17" t="str" cm="1">
        <f t="array" ref="F22">LEFT(IF(ISERROR(RIGHT(IF(INDEX(_xlfn._xlws.FILTER('Model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output'!Z:Z=A22)),1),""),1))),"",(RIGHT(IF(INDEX(_xlfn._xlws.FILTER('Model output'!D:D,('Model output'!Z:Z=A22)),1)&lt;&gt;"",INDEX(_xlfn._xlws.FILTER('Model output'!D:D,('Model output'!Z:Z=A22)),1),""),LEN(IF(INDEX(_xlfn._xlws.FILTER('Model output'!D:D,('Model output'!Z:Z=A22)),1)&lt;&gt;"",INDEX(_xlfn._xlws.FILTER('Model output'!D:D,('Model output'!Z:Z=A22)),1),""))-FIND("T",IF(INDEX(_xlfn._xlws.FILTER('Model output'!D:D,('Model output'!Z:Z=A22)),1)&lt;&gt;"",INDEX(_xlfn._xlws.FILTER('Model output'!D:D,('Model output'!Z:Z=A22)),1)))))),2)</f>
        <v xml:space="preserve">1 </v>
      </c>
      <c r="G22" s="17" t="str" cm="1">
        <f t="array" ref="G22">IF(ISNUMBER(SEARCH("N",IF(ISNUMBER(SEARCH("present",IF(INDEX(_xlfn._xlws.FILTER('Model output'!E:E,('Model output'!Z:Z=A22)),1)="","",INDEX(_xlfn._xlws.FILTER('Model output'!E:E,('Model output'!Z:Z=A22)),1)),1)),"N1", IF(INDEX(_xlfn._xlws.FILTER('Model output'!E:E,('Model output'!Z:Z=A22)),1)="","",INDEX(_xlfn._xlws.FILTER('Model output'!E:E,('Model output'!Z:Z=A22)),1))),1)),RIGHT(IF(ISNUMBER(SEARCH("present",IF(INDEX(_xlfn._xlws.FILTER('Model output'!E:E,('Model output'!Z:Z=A22)),1)="","",INDEX(_xlfn._xlws.FILTER('Model output'!E:E,('Model output'!Z:Z=A22)),1)),1)),"N1", IF(INDEX(_xlfn._xlws.FILTER('Model output'!E:E,('Model output'!Z:Z=A22)),1)="","",INDEX(_xlfn._xlws.FILTER('Model output'!E:E,('Model output'!Z:Z=A22)),1))),LEN(IF(ISNUMBER(SEARCH("present",IF(INDEX(_xlfn._xlws.FILTER('Model output'!E:E,('Model output'!Z:Z=A22)),1)="","",INDEX(_xlfn._xlws.FILTER('Model output'!E:E,('Model output'!Z:Z=A22)),1)),1)),"N1", IF(INDEX(_xlfn._xlws.FILTER('Model output'!E:E,('Model output'!Z:Z=A22)),1)="","",INDEX(_xlfn._xlws.FILTER('Model output'!E:E,('Model output'!Z:Z=A22)),1))))-FIND("N",IF(ISNUMBER(SEARCH("present",IF(INDEX(_xlfn._xlws.FILTER('Model output'!E:E,('Model output'!Z:Z=A22)),1)="","",INDEX(_xlfn._xlws.FILTER('Model output'!E:E,('Model output'!Z:Z=A22)),1)),1)),"N1", IF(INDEX(_xlfn._xlws.FILTER('Model output'!E:E,('Model output'!Z:Z=A22)),1)="","",INDEX(_xlfn._xlws.FILTER('Model output'!E:E,('Model output'!Z:Z=A22)),1))),1)), "")</f>
        <v>1 for the left thyroid</v>
      </c>
      <c r="H22" s="17" cm="1">
        <f t="array" ref="H22">IF(AND(SUBSTITUTE(_xlfn.TEXTJOIN("/", TRUE, _xlfn._xlws.FILTER('Model output'!F:F, 'Model output'!Z:Z=A22)),"M", "")="", K22="negative"),0,IF(K22="positive",1,0))</f>
        <v>0</v>
      </c>
      <c r="I22" t="str">
        <f t="shared" si="0"/>
        <v>positive</v>
      </c>
      <c r="J22" t="str" cm="1">
        <f t="array" ref="J22">IF(AND(M22&gt;0, _xlfn.TEXTJOIN("; ", TRUE, _xlfn._xlws.FILTER('Model output'!G:G, 'Model output'!Z:Z=A22)) &lt;&gt;"", OR(AND(ISNUMBER(SEARCH("level", _xlfn.TEXTJOIN("; ", TRUE, _xlfn._xlws.FILTER('Model output'!G:G, 'Model output'!Z:Z=A22)),1)),OR(ISNUMBER(SEARCH(" II", _xlfn.TEXTJOIN("; ", TRUE, _xlfn._xlws.FILTER('Model output'!G:G, 'Model output'!Z:Z=A22)),1)),ISNUMBER(SEARCH("2", _xlfn.TEXTJOIN("; ", TRUE, _xlfn._xlws.FILTER('Model output'!G:G, 'Model output'!Z:Z=A22)),1)),ISNUMBER(SEARCH("two", _xlfn.TEXTJOIN("; ", TRUE, _xlfn._xlws.FILTER('Model output'!G:G, 'Model output'!Z:Z=A22)),1)),ISNUMBER(SEARCH("III", _xlfn.TEXTJOIN("; ", TRUE, _xlfn._xlws.FILTER('Model output'!G:G, 'Model output'!Z:Z=A22)),1)),ISNUMBER(SEARCH("3", _xlfn.TEXTJOIN("; ", TRUE, _xlfn._xlws.FILTER('Model output'!G:G, 'Model output'!Z:Z=A22)),1)),ISNUMBER(SEARCH("three", _xlfn.TEXTJOIN("; ", TRUE, _xlfn._xlws.FILTER('Model output'!G:G, 'Model output'!Z:Z=A22)),1)),ISNUMBER(SEARCH("IV", _xlfn.TEXTJOIN("; ", TRUE, _xlfn._xlws.FILTER('Model output'!G:G, 'Model output'!Z:Z=A22)),1)),ISNUMBER(SEARCH("4", _xlfn.TEXTJOIN("; ", TRUE, _xlfn._xlws.FILTER('Model output'!G:G, 'Model output'!Z:Z=A22)),1)),ISNUMBER(SEARCH("five", _xlfn.TEXTJOIN("; ", TRUE, _xlfn._xlws.FILTER('Model output'!G:G, 'Model output'!Z:Z=A22)),1)),ISNUMBER(SEARCH("V ", _xlfn.TEXTJOIN("; ", TRUE, _xlfn._xlws.FILTER('Model output'!G:G, 'Model output'!Z:Z=A22)),1)),ISNUMBER(SEARCH("5", _xlfn.TEXTJOIN("; ", TRUE, _xlfn._xlws.FILTER('Model output'!G:G, 'Model output'!Z:Z=A22)),1)),ISNUMBER(SEARCH("five", _xlfn.TEXTJOIN("; ", TRUE, _xlfn._xlws.FILTER('Model output'!G:G, 'Model output'!Z:Z=A22)),1)),ISNUMBER(SEARCH(" lateral", _xlfn.TEXTJOIN("; ", TRUE, _xlfn._xlws.FILTER('Model output'!G:G, 'Model output'!Z:Z=A22)),1)))),ISNUMBER(SEARCH("cervical", _xlfn.TEXTJOIN("; ", TRUE, _xlfn._xlws.FILTER('Model output'!G:G, 'Model output'!Z:Z=A22)),1)),ISNUMBER(SEARCH("jugular", _xlfn.TEXTJOIN("; ", TRUE, _xlfn._xlws.FILTER('Model output'!G:G, 'Model output'!Z:Z=A22)),1)),ISNUMBER(SEARCH("left neck", _xlfn.TEXTJOIN("; ", TRUE, _xlfn._xlws.FILTER('Model output'!G:G, 'Model output'!Z:Z=A22)),1)),ISNUMBER(SEARCH("left anterior neck", _xlfn.TEXTJOIN("; ", TRUE, _xlfn._xlws.FILTER('Model output'!G:G, 'Model output'!Z:Z=A22)),1)),ISNUMBER(SEARCH("left posterior neck", _xlfn.TEXTJOIN("; ", TRUE, _xlfn._xlws.FILTER('Model output'!G:G, 'Model output'!Z:Z=A22)),1)),ISNUMBER(SEARCH("right neck", _xlfn.TEXTJOIN("; ", TRUE, _xlfn._xlws.FILTER('Model output'!G:G, 'Model output'!Z:Z=A22)),1)),ISNUMBER(SEARCH("right anterior neck", _xlfn.TEXTJOIN("; ", TRUE, _xlfn._xlws.FILTER('Model output'!G:G, 'Model output'!Z:Z=A22)),1)),ISNUMBER(SEARCH("right posterior neck", _xlfn.TEXTJOIN("; ", TRUE, _xlfn._xlws.FILTER('Model output'!G:G, 'Model output'!Z:Z=A22)),1)))),"lateral",IF(AND(M22=0, _xlfn.TEXTJOIN("; ", TRUE, _xlfn._xlws.FILTER('Model output'!G:G, 'Model output'!Z:Z=A22))=""),"", "central"))</f>
        <v>central</v>
      </c>
      <c r="K22" s="17" t="str" cm="1">
        <f t="array" ref="K22">IF(OR(ISNUMBER(SEARCH("lymph",_xlfn.TEXTJOIN("; ", TRUE, _xlfn._xlws.FILTER('Model output'!H:H, 'Model output'!Z:Z=A22)),1)), ISNUMBER(SEARCH("Not mentioned",_xlfn.TEXTJOIN("; ", TRUE, _xlfn._xlws.FILTER('Model output'!H:H, 'Model output'!Z:Z=A22)),1)),ISNUMBER(SEARCH("subcutaneous soft tissues",_xlfn.TEXTJOIN("; ", TRUE, _xlfn._xlws.FILTER('Model output'!H:H, 'Model output'!Z:Z=A22)),1)),ISNUMBER(SEARCH("larynx",_xlfn.TEXTJOIN("; ", TRUE, _xlfn._xlws.FILTER('Model output'!H:H, 'Model output'!Z:Z=A22)),1)),ISNUMBER(SEARCH("trachea",_xlfn.TEXTJOIN("; ", TRUE, _xlfn._xlws.FILTER('Model output'!H:H, 'Model output'!Z:Z=A22)),1)),ISNUMBER(SEARCH("esophagus",_xlfn.TEXTJOIN("; ", TRUE, _xlfn._xlws.FILTER('Model output'!H:H, 'Model output'!Z:Z=A22)),1)),ISNUMBER(SEARCH("recurrent laryngeal nerve",_xlfn.TEXTJOIN("; ", TRUE, _xlfn._xlws.FILTER('Model output'!H:H, 'Model output'!Z:Z=A22)),1)),ISNUMBER(SEARCH("RLN",_xlfn.TEXTJOIN("; ", TRUE, _xlfn._xlws.FILTER('Model output'!H:H, 'Model output'!Z:Z=A22)),1)),_xlfn.TEXTJOIN("; ", TRUE, _xlfn._xlws.FILTER('Model output'!H:H, 'Model output'!Z:Z=A22))=""),"negative","positive")</f>
        <v>negative</v>
      </c>
      <c r="L22" s="17">
        <f>IF(IFERROR(INDEX('Model output'!I:I, MATCH(A22, 'Model output'!Z:Z, 0)), "") &lt; M22, "", IFERROR(INDEX('Model output'!I:I, MATCH(A22, 'Model output'!Z:Z, 0)), ""))</f>
        <v>4</v>
      </c>
      <c r="M22" s="28">
        <f>IFERROR(INDEX('Model output'!J:J, MATCH(A22, 'Model output'!Z:Z, 0)), "")</f>
        <v>3</v>
      </c>
      <c r="N22" s="47" t="str" cm="1">
        <f t="array" ref="N22">ReplaceTo(ReplaceAnd(SUBSTITUTE(SUBSTITUTE(_xlfn.TEXTJOIN("; ", TRUE, _xlfn._xlws.FILTER('Model output'!K:K, 'Model output'!Z:Z=A22)), " ", ""), ",", ";")))</f>
        <v/>
      </c>
      <c r="O22" s="45" t="str" cm="1">
        <f t="array" ref="O22">IF(LEFT(IF(RIGHT(SUBSTITUTE(FilterWithUnits(N22)&amp;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";")),1)=";",RIGHT(IF(RIGHT(SUBSTITUTE(FilterWithUnits(N22)&amp;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";")),LEN(IF(RIGHT(SUBSTITUTE(FilterWithUnits(N22)&amp;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";")))-1),IF(RIGHT(SUBSTITUTE(FilterWithUnits(N22)&amp; ";" &amp;FilterStringsWithNumericAnd(N22) &amp; ";" &amp; FilterStringsWithX(N22), ";;", ";"),1)=";",LEFT(SUBSTITUTE(FilterWithUnits(N22)&amp; ";" &amp;FilterStringsWithNumericAnd(N22) &amp; ";" &amp; FilterStringsWithX(N22), ";;", ";"),LEN(SUBSTITUTE(FilterWithUnits(N22)&amp; ";" &amp;FilterStringsWithNumericAnd(N22) &amp; ";" &amp; FilterStringsWithX(N22), ";;", ";"))-1),SUBSTITUTE(FilterWithUnits(N22)&amp; ";" &amp;FilterStringsWithNumericAnd(N22) &amp; ";" &amp; FilterStringsWithX(N22), ";;", ";")))</f>
        <v/>
      </c>
      <c r="P22" s="45" t="str" cm="1">
        <f t="array" ref="P22">IF(MaxSize((SplitDimensions(O22)))=0, "", MaxSize((SplitDimensions(O22))))</f>
        <v/>
      </c>
      <c r="Q22" t="str" cm="1">
        <f t="array" ref="Q22">IF(ISERROR(INDEX(_xlfn._xlws.FILTER('Model output'!L:L, ('Model output'!Z:Z=A22)*('Model output'!L:L&lt;&gt;"")), 1)), " ", LOWER(INDEX(_xlfn._xlws.FILTER('Model output'!L:L, ('Model output'!Z:Z=A22)*('Model output'!L:L&lt;&gt;"")), 1)))</f>
        <v>papillary carcinoma</v>
      </c>
      <c r="R22" s="45" t="str" cm="1">
        <f t="array" ref="R22">IF(ISERROR(INDEX(_xlfn._xlws.FILTER('Model output'!M:M, ('Model output'!Z:Z=A22)*('Model output'!M:M&lt;&gt;"")), 1)), " ", LOWER(INDEX(_xlfn._xlws.FILTER('Model output'!M:M, ('Model output'!Z:Z=A22)*('Model output'!M:M&lt;&gt;"")), 1)))</f>
        <v xml:space="preserve"> </v>
      </c>
      <c r="S22" s="45" t="str" cm="1">
        <f t="array" ref="S22">IF(OR(ISNUMBER(SEARCH("ly",SUBSTITUTE(INDEX(_xlfn._xlws.FILTER('Model output'!N:N,('Model output'!Z:Z=A22)*('Model output'!N:N&lt;&gt;"")),1)," ",""),1)), ISNUMBER(SEARCH("pole",SUBSTITUTE(INDEX(_xlfn._xlws.FILTER('Model output'!N:N,('Model output'!Z:Z=A22)*('Model output'!N:N&lt;&gt;"")),1)," ",""),1))),"",SUBSTITUTE(INDEX(_xlfn._xlws.FILTER('Model output'!N:N,('Model output'!Z:Z=A22)*('Model output'!N:N&lt;&gt;"")),1)," ",""))</f>
        <v>6cmfortherightthyroidand11cmfortheleftthyroid</v>
      </c>
      <c r="T22" s="45" t="str" cm="1">
        <f t="array" ref="T22">IF(LEFT(IF(RIGHT(SUBSTITUTE(FilterWithUnits(S22)&amp;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";")),1)=";",RIGHT(IF(RIGHT(SUBSTITUTE(FilterWithUnits(S22)&amp;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";")),LEN(IF(RIGHT(SUBSTITUTE(FilterWithUnits(S22)&amp;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";")))-1),IF(RIGHT(SUBSTITUTE(FilterWithUnits(S22)&amp; ";" &amp;FilterStringsWithNumericAnd(S22) &amp; ";" &amp; FilterStringsWithX(S22), ";;", ";"),1)=";",LEFT(SUBSTITUTE(FilterWithUnits(S22)&amp; ";" &amp;FilterStringsWithNumericAnd(S22) &amp; ";" &amp; FilterStringsWithX(S22), ";;", ";"),LEN(SUBSTITUTE(FilterWithUnits(S22)&amp; ";" &amp;FilterStringsWithNumericAnd(S22) &amp; ";" &amp; FilterStringsWithX(S22), ";;", ";"))-1),SUBSTITUTE(FilterWithUnits(S22)&amp; ";" &amp;FilterStringsWithNumericAnd(S22) &amp; ";" &amp; FilterStringsWithX(S22), ";;", ";")))</f>
        <v>6cm</v>
      </c>
      <c r="U22" s="45" cm="1">
        <f t="array" ref="U22">IF(MaxSize((SplitDimensions(T22)))=0, "", MaxSize((SplitDimensions(T22))))</f>
        <v>6</v>
      </c>
      <c r="V22" s="17" t="str" cm="1">
        <f t="array" ref="V22">IF(ISERROR(INDEX(_xlfn._xlws.FILTER('Model output'!P:P,('Model output'!Z:Z=A22)*('Model output'!P:P&lt;&gt;"")),1)),"negative",IF(OR(ISNUMBER(SEARCH("foc",INDEX(_xlfn._xlws.FILTER('Model output'!P:P,('Model output'!Z:Z=A22)*('Model output'!P:P&lt;&gt;"")),1),1)),ISNUMBER(SEARCH("extensive",INDEX(_xlfn._xlws.FILTER('Model output'!P:P,('Model output'!Z:Z=A22)*('Model output'!P:P&lt;&gt;"")),1),1)),ISNUMBER(SEARCH("present",INDEX(_xlfn._xlws.FILTER('Model output'!P:P,('Model output'!Z:Z=A22)*('Model output'!P:P&lt;&gt;"")),1),1)),ISNUMBER(SEARCH("yes",INDEX(_xlfn._xlws.FILTER('Model output'!P:P,('Model output'!Z:Z=A22)*('Model output'!P:P&lt;&gt;"")),1),1))),"positive","negative"))</f>
        <v>positive</v>
      </c>
      <c r="X22" t="str" cm="1">
        <f t="array" ref="X22">IF(ISNUMBER(SEARCH("4",INDEX(_xlfn._xlws.FILTER('Model output'!P:P,('Model output'!Z:Z=A22)*('Model output'!P:P&lt;&gt;"")),1),1)),INDEX(_xlfn._xlws.FILTER('Model output'!P:P,('Model output'!Z:Z=A22)*('Model output'!P:P&lt;&gt;"")),1),"") &amp; _xlfn.TEXTJOIN("",TRUE,_xlfn._xlws.FILTER('Model output'!Q:Q,'Model output'!Z:Z=A22))</f>
        <v>Present</v>
      </c>
      <c r="Y22" t="str">
        <f t="shared" si="10"/>
        <v>minimal</v>
      </c>
      <c r="Z22" t="str" cm="1">
        <f t="array" ref="Z22">IF(OR(ISNUMBER(SEARCH("focal",_xlfn.TEXTJOIN("; ",TRUE,_xlfn._xlws.FILTER('Model output'!R:R,'Model output'!Z:Z=A22)),1)),ISNUMBER(SEARCH("present",_xlfn.TEXTJOIN("; ",TRUE,_xlfn._xlws.FILTER('Model output'!R:R,'Model output'!Z:Z=A22)),1))),"positive",IF(_xlfn.TEXTJOIN("; ",TRUE,_xlfn._xlws.FILTER('Model output'!R:R,'Model output'!Z:Z=A22))="","negative",IF(OR(ISNUMBER(SEARCH("no",_xlfn.TEXTJOIN("; ",TRUE,_xlfn._xlws.FILTER('Model output'!R:R,'Model output'!Z:Z=A22)),1)),ISNUMBER(SEARCH("absent",_xlfn.TEXTJOIN("; ",TRUE,_xlfn._xlws.FILTER('Model output'!R:R,'Model output'!Z:Z=A22)),1))),"negative","positive")))</f>
        <v>negative</v>
      </c>
      <c r="AA22" s="17" t="str">
        <f t="shared" si="11"/>
        <v>positive</v>
      </c>
      <c r="AE22" s="17" t="str">
        <f t="shared" si="12"/>
        <v>negative</v>
      </c>
      <c r="AF22" t="str" cm="1">
        <f t="array" ref="AF22">_xlfn.TEXTJOIN("; ",TRUE,_xlfn._xlws.FILTER('Model output'!S:S,'Model output'!Z:Z=A22))</f>
        <v>Yes</v>
      </c>
      <c r="AG22" s="17" t="str" cm="1">
        <f t="array" ref="AG22">IF(OR(ISNUMBER(SEARCH("uninvolved",_xlfn.TEXTJOIN("; ",TRUE,_xlfn._xlws.FILTER('Model output'!V:V,'Model output'!Z:Z=A22)),1)),ISNUMBER(SEARCH("clear",_xlfn.TEXTJOIN("; ",TRUE,_xlfn._xlws.FILTER('Model output'!V:V,'Model output'!Z:Z=A22)),1))*ISNUMBER(SEARCH("not mentioned",_xlfn.TEXTJOIN("; ",TRUE,_xlfn._xlws.FILTER('Model output'!V:V,'Model output'!Z:Z=A22)),1))),"negative",IF(ISNUMBER(SEARCH("cannot be assessed",_xlfn.TEXTJOIN("; ",TRUE,_xlfn._xlws.FILTER('Model output'!V:V,'Model output'!Z:Z=A22)),1)),"unknown","negative"))</f>
        <v>negative</v>
      </c>
      <c r="AI22" s="40" t="str">
        <f t="shared" si="13"/>
        <v>intermediate</v>
      </c>
      <c r="AJ22" s="28" t="str">
        <f t="shared" si="14"/>
        <v>3a</v>
      </c>
      <c r="AK22" s="28" t="str">
        <f t="shared" si="2"/>
        <v>1a</v>
      </c>
      <c r="AL22" s="28">
        <f t="shared" si="3"/>
        <v>0</v>
      </c>
      <c r="AM22" s="28" t="str">
        <f t="shared" si="4"/>
        <v>II</v>
      </c>
      <c r="AN22" s="37" t="s">
        <v>169</v>
      </c>
      <c r="AO22" s="38" t="s">
        <v>214</v>
      </c>
      <c r="AP22" s="38" t="s">
        <v>216</v>
      </c>
      <c r="AQ22" s="38">
        <v>0</v>
      </c>
      <c r="AR22" s="38" t="s">
        <v>45</v>
      </c>
      <c r="AS22" s="37">
        <f t="shared" si="5"/>
        <v>1</v>
      </c>
      <c r="AT22" s="38">
        <f t="shared" si="6"/>
        <v>0</v>
      </c>
      <c r="AU22" s="38">
        <f t="shared" si="7"/>
        <v>1</v>
      </c>
      <c r="AV22" s="38">
        <f t="shared" si="8"/>
        <v>1</v>
      </c>
      <c r="AW22" s="39">
        <f t="shared" si="9"/>
        <v>1</v>
      </c>
    </row>
    <row r="23" spans="1:49">
      <c r="A23" s="13">
        <v>21</v>
      </c>
      <c r="B23" s="16">
        <f>_xlfn.MAXIFS('Model output'!B:B,'Model output'!Z:Z,'Classification result'!$A23)</f>
        <v>45413</v>
      </c>
      <c r="C23" s="16"/>
      <c r="D23" s="16"/>
      <c r="E23" s="17">
        <f>_xlfn.MAXIFS('Model output'!C:C,'Model output'!Z:Z,'Classification result'!$A23)</f>
        <v>51</v>
      </c>
      <c r="F23" s="17" t="str" cm="1">
        <f t="array" ref="F23">LEFT(IF(ISERROR(RIGHT(IF(INDEX(_xlfn._xlws.FILTER('Model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output'!Z:Z=A23)),1),""),1))),"",(RIGHT(IF(INDEX(_xlfn._xlws.FILTER('Model output'!D:D,('Model output'!Z:Z=A23)),1)&lt;&gt;"",INDEX(_xlfn._xlws.FILTER('Model output'!D:D,('Model output'!Z:Z=A23)),1),""),LEN(IF(INDEX(_xlfn._xlws.FILTER('Model output'!D:D,('Model output'!Z:Z=A23)),1)&lt;&gt;"",INDEX(_xlfn._xlws.FILTER('Model output'!D:D,('Model output'!Z:Z=A23)),1),""))-FIND("T",IF(INDEX(_xlfn._xlws.FILTER('Model output'!D:D,('Model output'!Z:Z=A23)),1)&lt;&gt;"",INDEX(_xlfn._xlws.FILTER('Model output'!D:D,('Model output'!Z:Z=A23)),1)))))),2)</f>
        <v>1</v>
      </c>
      <c r="G23" s="17" t="str" cm="1">
        <f t="array" ref="G23">IF(ISNUMBER(SEARCH("N",IF(ISNUMBER(SEARCH("present",IF(INDEX(_xlfn._xlws.FILTER('Model output'!E:E,('Model output'!Z:Z=A23)),1)="","",INDEX(_xlfn._xlws.FILTER('Model output'!E:E,('Model output'!Z:Z=A23)),1)),1)),"N1", IF(INDEX(_xlfn._xlws.FILTER('Model output'!E:E,('Model output'!Z:Z=A23)),1)="","",INDEX(_xlfn._xlws.FILTER('Model output'!E:E,('Model output'!Z:Z=A23)),1))),1)),RIGHT(IF(ISNUMBER(SEARCH("present",IF(INDEX(_xlfn._xlws.FILTER('Model output'!E:E,('Model output'!Z:Z=A23)),1)="","",INDEX(_xlfn._xlws.FILTER('Model output'!E:E,('Model output'!Z:Z=A23)),1)),1)),"N1", IF(INDEX(_xlfn._xlws.FILTER('Model output'!E:E,('Model output'!Z:Z=A23)),1)="","",INDEX(_xlfn._xlws.FILTER('Model output'!E:E,('Model output'!Z:Z=A23)),1))),LEN(IF(ISNUMBER(SEARCH("present",IF(INDEX(_xlfn._xlws.FILTER('Model output'!E:E,('Model output'!Z:Z=A23)),1)="","",INDEX(_xlfn._xlws.FILTER('Model output'!E:E,('Model output'!Z:Z=A23)),1)),1)),"N1", IF(INDEX(_xlfn._xlws.FILTER('Model output'!E:E,('Model output'!Z:Z=A23)),1)="","",INDEX(_xlfn._xlws.FILTER('Model output'!E:E,('Model output'!Z:Z=A23)),1))))-FIND("N",IF(ISNUMBER(SEARCH("present",IF(INDEX(_xlfn._xlws.FILTER('Model output'!E:E,('Model output'!Z:Z=A23)),1)="","",INDEX(_xlfn._xlws.FILTER('Model output'!E:E,('Model output'!Z:Z=A23)),1)),1)),"N1", IF(INDEX(_xlfn._xlws.FILTER('Model output'!E:E,('Model output'!Z:Z=A23)),1)="","",INDEX(_xlfn._xlws.FILTER('Model output'!E:E,('Model output'!Z:Z=A23)),1))),1)), "")</f>
        <v>1</v>
      </c>
      <c r="H23" s="17" cm="1">
        <f t="array" ref="H23">IF(AND(SUBSTITUTE(_xlfn.TEXTJOIN("/", TRUE, _xlfn._xlws.FILTER('Model output'!F:F, 'Model output'!Z:Z=A23)),"M", "")="", K23="negative"),0,IF(K23="positive",1,0))</f>
        <v>0</v>
      </c>
      <c r="I23" t="str">
        <f t="shared" si="0"/>
        <v>positive</v>
      </c>
      <c r="J23" t="str" cm="1">
        <f t="array" ref="J23">IF(AND(M23&gt;0, _xlfn.TEXTJOIN("; ", TRUE, _xlfn._xlws.FILTER('Model output'!G:G, 'Model output'!Z:Z=A23)) &lt;&gt;"", OR(AND(ISNUMBER(SEARCH("level", _xlfn.TEXTJOIN("; ", TRUE, _xlfn._xlws.FILTER('Model output'!G:G, 'Model output'!Z:Z=A23)),1)),OR(ISNUMBER(SEARCH(" II", _xlfn.TEXTJOIN("; ", TRUE, _xlfn._xlws.FILTER('Model output'!G:G, 'Model output'!Z:Z=A23)),1)),ISNUMBER(SEARCH("2", _xlfn.TEXTJOIN("; ", TRUE, _xlfn._xlws.FILTER('Model output'!G:G, 'Model output'!Z:Z=A23)),1)),ISNUMBER(SEARCH("two", _xlfn.TEXTJOIN("; ", TRUE, _xlfn._xlws.FILTER('Model output'!G:G, 'Model output'!Z:Z=A23)),1)),ISNUMBER(SEARCH("III", _xlfn.TEXTJOIN("; ", TRUE, _xlfn._xlws.FILTER('Model output'!G:G, 'Model output'!Z:Z=A23)),1)),ISNUMBER(SEARCH("3", _xlfn.TEXTJOIN("; ", TRUE, _xlfn._xlws.FILTER('Model output'!G:G, 'Model output'!Z:Z=A23)),1)),ISNUMBER(SEARCH("three", _xlfn.TEXTJOIN("; ", TRUE, _xlfn._xlws.FILTER('Model output'!G:G, 'Model output'!Z:Z=A23)),1)),ISNUMBER(SEARCH("IV", _xlfn.TEXTJOIN("; ", TRUE, _xlfn._xlws.FILTER('Model output'!G:G, 'Model output'!Z:Z=A23)),1)),ISNUMBER(SEARCH("4", _xlfn.TEXTJOIN("; ", TRUE, _xlfn._xlws.FILTER('Model output'!G:G, 'Model output'!Z:Z=A23)),1)),ISNUMBER(SEARCH("five", _xlfn.TEXTJOIN("; ", TRUE, _xlfn._xlws.FILTER('Model output'!G:G, 'Model output'!Z:Z=A23)),1)),ISNUMBER(SEARCH("V ", _xlfn.TEXTJOIN("; ", TRUE, _xlfn._xlws.FILTER('Model output'!G:G, 'Model output'!Z:Z=A23)),1)),ISNUMBER(SEARCH("5", _xlfn.TEXTJOIN("; ", TRUE, _xlfn._xlws.FILTER('Model output'!G:G, 'Model output'!Z:Z=A23)),1)),ISNUMBER(SEARCH("five", _xlfn.TEXTJOIN("; ", TRUE, _xlfn._xlws.FILTER('Model output'!G:G, 'Model output'!Z:Z=A23)),1)),ISNUMBER(SEARCH(" lateral", _xlfn.TEXTJOIN("; ", TRUE, _xlfn._xlws.FILTER('Model output'!G:G, 'Model output'!Z:Z=A23)),1)))),ISNUMBER(SEARCH("cervical", _xlfn.TEXTJOIN("; ", TRUE, _xlfn._xlws.FILTER('Model output'!G:G, 'Model output'!Z:Z=A23)),1)),ISNUMBER(SEARCH("jugular", _xlfn.TEXTJOIN("; ", TRUE, _xlfn._xlws.FILTER('Model output'!G:G, 'Model output'!Z:Z=A23)),1)),ISNUMBER(SEARCH("left neck", _xlfn.TEXTJOIN("; ", TRUE, _xlfn._xlws.FILTER('Model output'!G:G, 'Model output'!Z:Z=A23)),1)),ISNUMBER(SEARCH("left anterior neck", _xlfn.TEXTJOIN("; ", TRUE, _xlfn._xlws.FILTER('Model output'!G:G, 'Model output'!Z:Z=A23)),1)),ISNUMBER(SEARCH("left posterior neck", _xlfn.TEXTJOIN("; ", TRUE, _xlfn._xlws.FILTER('Model output'!G:G, 'Model output'!Z:Z=A23)),1)),ISNUMBER(SEARCH("right neck", _xlfn.TEXTJOIN("; ", TRUE, _xlfn._xlws.FILTER('Model output'!G:G, 'Model output'!Z:Z=A23)),1)),ISNUMBER(SEARCH("right anterior neck", _xlfn.TEXTJOIN("; ", TRUE, _xlfn._xlws.FILTER('Model output'!G:G, 'Model output'!Z:Z=A23)),1)),ISNUMBER(SEARCH("right posterior neck", _xlfn.TEXTJOIN("; ", TRUE, _xlfn._xlws.FILTER('Model output'!G:G, 'Model output'!Z:Z=A23)),1)))),"lateral",IF(AND(M23=0, _xlfn.TEXTJOIN("; ", TRUE, _xlfn._xlws.FILTER('Model output'!G:G, 'Model output'!Z:Z=A23))=""),"", "central"))</f>
        <v>central</v>
      </c>
      <c r="K23" s="17" t="str" cm="1">
        <f t="array" ref="K23">IF(OR(ISNUMBER(SEARCH("lymph",_xlfn.TEXTJOIN("; ", TRUE, _xlfn._xlws.FILTER('Model output'!H:H, 'Model output'!Z:Z=A23)),1)), ISNUMBER(SEARCH("Not mentioned",_xlfn.TEXTJOIN("; ", TRUE, _xlfn._xlws.FILTER('Model output'!H:H, 'Model output'!Z:Z=A23)),1)),ISNUMBER(SEARCH("subcutaneous soft tissues",_xlfn.TEXTJOIN("; ", TRUE, _xlfn._xlws.FILTER('Model output'!H:H, 'Model output'!Z:Z=A23)),1)),ISNUMBER(SEARCH("larynx",_xlfn.TEXTJOIN("; ", TRUE, _xlfn._xlws.FILTER('Model output'!H:H, 'Model output'!Z:Z=A23)),1)),ISNUMBER(SEARCH("trachea",_xlfn.TEXTJOIN("; ", TRUE, _xlfn._xlws.FILTER('Model output'!H:H, 'Model output'!Z:Z=A23)),1)),ISNUMBER(SEARCH("esophagus",_xlfn.TEXTJOIN("; ", TRUE, _xlfn._xlws.FILTER('Model output'!H:H, 'Model output'!Z:Z=A23)),1)),ISNUMBER(SEARCH("recurrent laryngeal nerve",_xlfn.TEXTJOIN("; ", TRUE, _xlfn._xlws.FILTER('Model output'!H:H, 'Model output'!Z:Z=A23)),1)),ISNUMBER(SEARCH("RLN",_xlfn.TEXTJOIN("; ", TRUE, _xlfn._xlws.FILTER('Model output'!H:H, 'Model output'!Z:Z=A23)),1)),_xlfn.TEXTJOIN("; ", TRUE, _xlfn._xlws.FILTER('Model output'!H:H, 'Model output'!Z:Z=A23))=""),"negative","positive")</f>
        <v>negative</v>
      </c>
      <c r="L23" s="17">
        <f>IF(IFERROR(INDEX('Model output'!I:I, MATCH(A23, 'Model output'!Z:Z, 0)), "") &lt; M23, "", IFERROR(INDEX('Model output'!I:I, MATCH(A23, 'Model output'!Z:Z, 0)), ""))</f>
        <v>7</v>
      </c>
      <c r="M23" s="28">
        <f>IFERROR(INDEX('Model output'!J:J, MATCH(A23, 'Model output'!Z:Z, 0)), "")</f>
        <v>4</v>
      </c>
      <c r="N23" s="47" t="str" cm="1">
        <f t="array" ref="N23">ReplaceTo(ReplaceAnd(SUBSTITUTE(SUBSTITUTE(_xlfn.TEXTJOIN("; ", TRUE, _xlfn._xlws.FILTER('Model output'!K:K, 'Model output'!Z:Z=A23)), " ", ""), ",", ";")))</f>
        <v>Notmentioned</v>
      </c>
      <c r="O23" s="45" t="str" cm="1">
        <f t="array" ref="O23">IF(LEFT(IF(RIGHT(SUBSTITUTE(FilterWithUnits(N23)&amp;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";")),1)=";",RIGHT(IF(RIGHT(SUBSTITUTE(FilterWithUnits(N23)&amp;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";")),LEN(IF(RIGHT(SUBSTITUTE(FilterWithUnits(N23)&amp;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";")))-1),IF(RIGHT(SUBSTITUTE(FilterWithUnits(N23)&amp; ";" &amp;FilterStringsWithNumericAnd(N23) &amp; ";" &amp; FilterStringsWithX(N23), ";;", ";"),1)=";",LEFT(SUBSTITUTE(FilterWithUnits(N23)&amp; ";" &amp;FilterStringsWithNumericAnd(N23) &amp; ";" &amp; FilterStringsWithX(N23), ";;", ";"),LEN(SUBSTITUTE(FilterWithUnits(N23)&amp; ";" &amp;FilterStringsWithNumericAnd(N23) &amp; ";" &amp; FilterStringsWithX(N23), ";;", ";"))-1),SUBSTITUTE(FilterWithUnits(N23)&amp; ";" &amp;FilterStringsWithNumericAnd(N23) &amp; ";" &amp; FilterStringsWithX(N23), ";;", ";")))</f>
        <v/>
      </c>
      <c r="P23" s="45" t="str" cm="1">
        <f t="array" ref="P23">IF(MaxSize((SplitDimensions(O23)))=0, "", MaxSize((SplitDimensions(O23))))</f>
        <v/>
      </c>
      <c r="Q23" t="str" cm="1">
        <f t="array" ref="Q23">IF(ISERROR(INDEX(_xlfn._xlws.FILTER('Model output'!L:L, ('Model output'!Z:Z=A23)*('Model output'!L:L&lt;&gt;"")), 1)), " ", LOWER(INDEX(_xlfn._xlws.FILTER('Model output'!L:L, ('Model output'!Z:Z=A23)*('Model output'!L:L&lt;&gt;"")), 1)))</f>
        <v>papillary thyroid carcinoma, classic type</v>
      </c>
      <c r="R23" s="45" t="str" cm="1">
        <f t="array" ref="R23">IF(ISERROR(INDEX(_xlfn._xlws.FILTER('Model output'!M:M, ('Model output'!Z:Z=A23)*('Model output'!M:M&lt;&gt;"")), 1)), " ", LOWER(INDEX(_xlfn._xlws.FILTER('Model output'!M:M, ('Model output'!Z:Z=A23)*('Model output'!M:M&lt;&gt;"")), 1)))</f>
        <v xml:space="preserve"> </v>
      </c>
      <c r="S23" s="45" t="str" cm="1">
        <f t="array" ref="S23">IF(OR(ISNUMBER(SEARCH("ly",SUBSTITUTE(INDEX(_xlfn._xlws.FILTER('Model output'!N:N,('Model output'!Z:Z=A23)*('Model output'!N:N&lt;&gt;"")),1)," ",""),1)), ISNUMBER(SEARCH("pole",SUBSTITUTE(INDEX(_xlfn._xlws.FILTER('Model output'!N:N,('Model output'!Z:Z=A23)*('Model output'!N:N&lt;&gt;"")),1)," ",""),1))),"",SUBSTITUTE(INDEX(_xlfn._xlws.FILTER('Model output'!N:N,('Model output'!Z:Z=A23)*('Model output'!N:N&lt;&gt;"")),1)," ",""))</f>
        <v/>
      </c>
      <c r="T23" s="45" t="str" cm="1">
        <f t="array" ref="T23">IF(LEFT(IF(RIGHT(SUBSTITUTE(FilterWithUnits(S23)&amp;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";")),1)=";",RIGHT(IF(RIGHT(SUBSTITUTE(FilterWithUnits(S23)&amp;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";")),LEN(IF(RIGHT(SUBSTITUTE(FilterWithUnits(S23)&amp;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";")))-1),IF(RIGHT(SUBSTITUTE(FilterWithUnits(S23)&amp; ";" &amp;FilterStringsWithNumericAnd(S23) &amp; ";" &amp; FilterStringsWithX(S23), ";;", ";"),1)=";",LEFT(SUBSTITUTE(FilterWithUnits(S23)&amp; ";" &amp;FilterStringsWithNumericAnd(S23) &amp; ";" &amp; FilterStringsWithX(S23), ";;", ";"),LEN(SUBSTITUTE(FilterWithUnits(S23)&amp; ";" &amp;FilterStringsWithNumericAnd(S23) &amp; ";" &amp; FilterStringsWithX(S23), ";;", ";"))-1),SUBSTITUTE(FilterWithUnits(S23)&amp; ";" &amp;FilterStringsWithNumericAnd(S23) &amp; ";" &amp; FilterStringsWithX(S23), ";;", ";")))</f>
        <v/>
      </c>
      <c r="U23" s="45" t="str" cm="1">
        <f t="array" ref="U23">IF(MaxSize((SplitDimensions(T23)))=0, "", MaxSize((SplitDimensions(T23))))</f>
        <v/>
      </c>
      <c r="V23" s="17" t="str" cm="1">
        <f t="array" ref="V23">IF(ISERROR(INDEX(_xlfn._xlws.FILTER('Model output'!P:P,('Model output'!Z:Z=A23)*('Model output'!P:P&lt;&gt;"")),1)),"negative",IF(OR(ISNUMBER(SEARCH("foc",INDEX(_xlfn._xlws.FILTER('Model output'!P:P,('Model output'!Z:Z=A23)*('Model output'!P:P&lt;&gt;"")),1),1)),ISNUMBER(SEARCH("extensive",INDEX(_xlfn._xlws.FILTER('Model output'!P:P,('Model output'!Z:Z=A23)*('Model output'!P:P&lt;&gt;"")),1),1)),ISNUMBER(SEARCH("present",INDEX(_xlfn._xlws.FILTER('Model output'!P:P,('Model output'!Z:Z=A23)*('Model output'!P:P&lt;&gt;"")),1),1)),ISNUMBER(SEARCH("yes",INDEX(_xlfn._xlws.FILTER('Model output'!P:P,('Model output'!Z:Z=A23)*('Model output'!P:P&lt;&gt;"")),1),1))),"positive","negative"))</f>
        <v>positive</v>
      </c>
      <c r="X23" t="str" cm="1">
        <f t="array" ref="X23">IF(ISNUMBER(SEARCH("4",INDEX(_xlfn._xlws.FILTER('Model output'!P:P,('Model output'!Z:Z=A23)*('Model output'!P:P&lt;&gt;"")),1),1)),INDEX(_xlfn._xlws.FILTER('Model output'!P:P,('Model output'!Z:Z=A23)*('Model output'!P:P&lt;&gt;"")),1),"") &amp; _xlfn.TEXTJOIN("",TRUE,_xlfn._xlws.FILTER('Model output'!Q:Q,'Model output'!Z:Z=A23))</f>
        <v>Extrathyroidal extension</v>
      </c>
      <c r="Y23" t="str">
        <f t="shared" si="10"/>
        <v>minimal</v>
      </c>
      <c r="Z23" t="str" cm="1">
        <f t="array" ref="Z23">IF(OR(ISNUMBER(SEARCH("focal",_xlfn.TEXTJOIN("; ",TRUE,_xlfn._xlws.FILTER('Model output'!R:R,'Model output'!Z:Z=A23)),1)),ISNUMBER(SEARCH("present",_xlfn.TEXTJOIN("; ",TRUE,_xlfn._xlws.FILTER('Model output'!R:R,'Model output'!Z:Z=A23)),1))),"positive",IF(_xlfn.TEXTJOIN("; ",TRUE,_xlfn._xlws.FILTER('Model output'!R:R,'Model output'!Z:Z=A23))="","negative",IF(OR(ISNUMBER(SEARCH("no",_xlfn.TEXTJOIN("; ",TRUE,_xlfn._xlws.FILTER('Model output'!R:R,'Model output'!Z:Z=A23)),1)),ISNUMBER(SEARCH("absent",_xlfn.TEXTJOIN("; ",TRUE,_xlfn._xlws.FILTER('Model output'!R:R,'Model output'!Z:Z=A23)),1))),"negative","positive")))</f>
        <v>negative</v>
      </c>
      <c r="AA23" s="17" t="str">
        <f t="shared" si="11"/>
        <v>positive</v>
      </c>
      <c r="AE23" s="17" t="str">
        <f t="shared" si="12"/>
        <v>negative</v>
      </c>
      <c r="AF23" t="str" cm="1">
        <f t="array" ref="AF23">_xlfn.TEXTJOIN("; ",TRUE,_xlfn._xlws.FILTER('Model output'!S:S,'Model output'!Z:Z=A23))</f>
        <v>Yes</v>
      </c>
      <c r="AG23" s="17" t="str" cm="1">
        <f t="array" ref="AG23">IF(OR(ISNUMBER(SEARCH("uninvolved",_xlfn.TEXTJOIN("; ",TRUE,_xlfn._xlws.FILTER('Model output'!V:V,'Model output'!Z:Z=A23)),1)),ISNUMBER(SEARCH("clear",_xlfn.TEXTJOIN("; ",TRUE,_xlfn._xlws.FILTER('Model output'!V:V,'Model output'!Z:Z=A23)),1))*ISNUMBER(SEARCH("not mentioned",_xlfn.TEXTJOIN("; ",TRUE,_xlfn._xlws.FILTER('Model output'!V:V,'Model output'!Z:Z=A23)),1))),"negative",IF(ISNUMBER(SEARCH("cannot be assessed",_xlfn.TEXTJOIN("; ",TRUE,_xlfn._xlws.FILTER('Model output'!V:V,'Model output'!Z:Z=A23)),1)),"unknown","negative"))</f>
        <v>negative</v>
      </c>
      <c r="AI23" s="40" t="str">
        <f t="shared" si="13"/>
        <v>intermediate</v>
      </c>
      <c r="AJ23" s="28" t="str">
        <f t="shared" si="14"/>
        <v>1a</v>
      </c>
      <c r="AK23" s="28" t="str">
        <f t="shared" si="2"/>
        <v>1a</v>
      </c>
      <c r="AL23" s="28">
        <f t="shared" si="3"/>
        <v>0</v>
      </c>
      <c r="AM23" s="28" t="str">
        <f t="shared" si="4"/>
        <v>I</v>
      </c>
      <c r="AN23" s="37" t="s">
        <v>169</v>
      </c>
      <c r="AO23" s="38" t="s">
        <v>214</v>
      </c>
      <c r="AP23" s="38" t="s">
        <v>216</v>
      </c>
      <c r="AQ23" s="38">
        <v>0</v>
      </c>
      <c r="AR23" s="38" t="s">
        <v>31</v>
      </c>
      <c r="AS23" s="37">
        <f t="shared" si="5"/>
        <v>1</v>
      </c>
      <c r="AT23" s="38">
        <f t="shared" si="6"/>
        <v>0</v>
      </c>
      <c r="AU23" s="38">
        <f t="shared" si="7"/>
        <v>1</v>
      </c>
      <c r="AV23" s="38">
        <f t="shared" si="8"/>
        <v>1</v>
      </c>
      <c r="AW23" s="39">
        <f t="shared" si="9"/>
        <v>1</v>
      </c>
    </row>
    <row r="24" spans="1:49">
      <c r="A24" s="13">
        <v>22</v>
      </c>
      <c r="B24" s="16">
        <f>_xlfn.MAXIFS('Model output'!B:B,'Model output'!Z:Z,'Classification result'!$A24)</f>
        <v>45505</v>
      </c>
      <c r="C24" s="16"/>
      <c r="D24" s="16"/>
      <c r="E24" s="17">
        <f>_xlfn.MAXIFS('Model output'!C:C,'Model output'!Z:Z,'Classification result'!$A24)</f>
        <v>50</v>
      </c>
      <c r="F24" s="17" t="str" cm="1">
        <f t="array" ref="F24">LEFT(IF(ISERROR(RIGHT(IF(INDEX(_xlfn._xlws.FILTER('Model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output'!Z:Z=A24)),1),""),1))),"",(RIGHT(IF(INDEX(_xlfn._xlws.FILTER('Model output'!D:D,('Model output'!Z:Z=A24)),1)&lt;&gt;"",INDEX(_xlfn._xlws.FILTER('Model output'!D:D,('Model output'!Z:Z=A24)),1),""),LEN(IF(INDEX(_xlfn._xlws.FILTER('Model output'!D:D,('Model output'!Z:Z=A24)),1)&lt;&gt;"",INDEX(_xlfn._xlws.FILTER('Model output'!D:D,('Model output'!Z:Z=A24)),1),""))-FIND("T",IF(INDEX(_xlfn._xlws.FILTER('Model output'!D:D,('Model output'!Z:Z=A24)),1)&lt;&gt;"",INDEX(_xlfn._xlws.FILTER('Model output'!D:D,('Model output'!Z:Z=A24)),1)))))),2)</f>
        <v>1a</v>
      </c>
      <c r="G24" s="17" t="str" cm="1">
        <f t="array" ref="G24">IF(ISNUMBER(SEARCH("N",IF(ISNUMBER(SEARCH("present",IF(INDEX(_xlfn._xlws.FILTER('Model output'!E:E,('Model output'!Z:Z=A24)),1)="","",INDEX(_xlfn._xlws.FILTER('Model output'!E:E,('Model output'!Z:Z=A24)),1)),1)),"N1", IF(INDEX(_xlfn._xlws.FILTER('Model output'!E:E,('Model output'!Z:Z=A24)),1)="","",INDEX(_xlfn._xlws.FILTER('Model output'!E:E,('Model output'!Z:Z=A24)),1))),1)),RIGHT(IF(ISNUMBER(SEARCH("present",IF(INDEX(_xlfn._xlws.FILTER('Model output'!E:E,('Model output'!Z:Z=A24)),1)="","",INDEX(_xlfn._xlws.FILTER('Model output'!E:E,('Model output'!Z:Z=A24)),1)),1)),"N1", IF(INDEX(_xlfn._xlws.FILTER('Model output'!E:E,('Model output'!Z:Z=A24)),1)="","",INDEX(_xlfn._xlws.FILTER('Model output'!E:E,('Model output'!Z:Z=A24)),1))),LEN(IF(ISNUMBER(SEARCH("present",IF(INDEX(_xlfn._xlws.FILTER('Model output'!E:E,('Model output'!Z:Z=A24)),1)="","",INDEX(_xlfn._xlws.FILTER('Model output'!E:E,('Model output'!Z:Z=A24)),1)),1)),"N1", IF(INDEX(_xlfn._xlws.FILTER('Model output'!E:E,('Model output'!Z:Z=A24)),1)="","",INDEX(_xlfn._xlws.FILTER('Model output'!E:E,('Model output'!Z:Z=A24)),1))))-FIND("N",IF(ISNUMBER(SEARCH("present",IF(INDEX(_xlfn._xlws.FILTER('Model output'!E:E,('Model output'!Z:Z=A24)),1)="","",INDEX(_xlfn._xlws.FILTER('Model output'!E:E,('Model output'!Z:Z=A24)),1)),1)),"N1", IF(INDEX(_xlfn._xlws.FILTER('Model output'!E:E,('Model output'!Z:Z=A24)),1)="","",INDEX(_xlfn._xlws.FILTER('Model output'!E:E,('Model output'!Z:Z=A24)),1))),1)), "")</f>
        <v/>
      </c>
      <c r="H24" s="17" cm="1">
        <f t="array" ref="H24">IF(AND(SUBSTITUTE(_xlfn.TEXTJOIN("/", TRUE, _xlfn._xlws.FILTER('Model output'!F:F, 'Model output'!Z:Z=A24)),"M", "")="", K24="negative"),0,IF(K24="positive",1,0))</f>
        <v>0</v>
      </c>
      <c r="I24" t="str">
        <f t="shared" si="0"/>
        <v/>
      </c>
      <c r="J24" t="str" cm="1">
        <f t="array" ref="J24">IF(AND(M24&gt;0, _xlfn.TEXTJOIN("; ", TRUE, _xlfn._xlws.FILTER('Model output'!G:G, 'Model output'!Z:Z=A24)) &lt;&gt;"", OR(AND(ISNUMBER(SEARCH("level", _xlfn.TEXTJOIN("; ", TRUE, _xlfn._xlws.FILTER('Model output'!G:G, 'Model output'!Z:Z=A24)),1)),OR(ISNUMBER(SEARCH(" II", _xlfn.TEXTJOIN("; ", TRUE, _xlfn._xlws.FILTER('Model output'!G:G, 'Model output'!Z:Z=A24)),1)),ISNUMBER(SEARCH("2", _xlfn.TEXTJOIN("; ", TRUE, _xlfn._xlws.FILTER('Model output'!G:G, 'Model output'!Z:Z=A24)),1)),ISNUMBER(SEARCH("two", _xlfn.TEXTJOIN("; ", TRUE, _xlfn._xlws.FILTER('Model output'!G:G, 'Model output'!Z:Z=A24)),1)),ISNUMBER(SEARCH("III", _xlfn.TEXTJOIN("; ", TRUE, _xlfn._xlws.FILTER('Model output'!G:G, 'Model output'!Z:Z=A24)),1)),ISNUMBER(SEARCH("3", _xlfn.TEXTJOIN("; ", TRUE, _xlfn._xlws.FILTER('Model output'!G:G, 'Model output'!Z:Z=A24)),1)),ISNUMBER(SEARCH("three", _xlfn.TEXTJOIN("; ", TRUE, _xlfn._xlws.FILTER('Model output'!G:G, 'Model output'!Z:Z=A24)),1)),ISNUMBER(SEARCH("IV", _xlfn.TEXTJOIN("; ", TRUE, _xlfn._xlws.FILTER('Model output'!G:G, 'Model output'!Z:Z=A24)),1)),ISNUMBER(SEARCH("4", _xlfn.TEXTJOIN("; ", TRUE, _xlfn._xlws.FILTER('Model output'!G:G, 'Model output'!Z:Z=A24)),1)),ISNUMBER(SEARCH("five", _xlfn.TEXTJOIN("; ", TRUE, _xlfn._xlws.FILTER('Model output'!G:G, 'Model output'!Z:Z=A24)),1)),ISNUMBER(SEARCH("V ", _xlfn.TEXTJOIN("; ", TRUE, _xlfn._xlws.FILTER('Model output'!G:G, 'Model output'!Z:Z=A24)),1)),ISNUMBER(SEARCH("5", _xlfn.TEXTJOIN("; ", TRUE, _xlfn._xlws.FILTER('Model output'!G:G, 'Model output'!Z:Z=A24)),1)),ISNUMBER(SEARCH("five", _xlfn.TEXTJOIN("; ", TRUE, _xlfn._xlws.FILTER('Model output'!G:G, 'Model output'!Z:Z=A24)),1)),ISNUMBER(SEARCH(" lateral", _xlfn.TEXTJOIN("; ", TRUE, _xlfn._xlws.FILTER('Model output'!G:G, 'Model output'!Z:Z=A24)),1)))),ISNUMBER(SEARCH("cervical", _xlfn.TEXTJOIN("; ", TRUE, _xlfn._xlws.FILTER('Model output'!G:G, 'Model output'!Z:Z=A24)),1)),ISNUMBER(SEARCH("jugular", _xlfn.TEXTJOIN("; ", TRUE, _xlfn._xlws.FILTER('Model output'!G:G, 'Model output'!Z:Z=A24)),1)),ISNUMBER(SEARCH("left neck", _xlfn.TEXTJOIN("; ", TRUE, _xlfn._xlws.FILTER('Model output'!G:G, 'Model output'!Z:Z=A24)),1)),ISNUMBER(SEARCH("left anterior neck", _xlfn.TEXTJOIN("; ", TRUE, _xlfn._xlws.FILTER('Model output'!G:G, 'Model output'!Z:Z=A24)),1)),ISNUMBER(SEARCH("left posterior neck", _xlfn.TEXTJOIN("; ", TRUE, _xlfn._xlws.FILTER('Model output'!G:G, 'Model output'!Z:Z=A24)),1)),ISNUMBER(SEARCH("right neck", _xlfn.TEXTJOIN("; ", TRUE, _xlfn._xlws.FILTER('Model output'!G:G, 'Model output'!Z:Z=A24)),1)),ISNUMBER(SEARCH("right anterior neck", _xlfn.TEXTJOIN("; ", TRUE, _xlfn._xlws.FILTER('Model output'!G:G, 'Model output'!Z:Z=A24)),1)),ISNUMBER(SEARCH("right posterior neck", _xlfn.TEXTJOIN("; ", TRUE, _xlfn._xlws.FILTER('Model output'!G:G, 'Model output'!Z:Z=A24)),1)))),"lateral",IF(AND(M24=0, _xlfn.TEXTJOIN("; ", TRUE, _xlfn._xlws.FILTER('Model output'!G:G, 'Model output'!Z:Z=A24))=""),"", "central"))</f>
        <v/>
      </c>
      <c r="K24" s="17" t="str" cm="1">
        <f t="array" ref="K24">IF(OR(ISNUMBER(SEARCH("lymph",_xlfn.TEXTJOIN("; ", TRUE, _xlfn._xlws.FILTER('Model output'!H:H, 'Model output'!Z:Z=A24)),1)), ISNUMBER(SEARCH("Not mentioned",_xlfn.TEXTJOIN("; ", TRUE, _xlfn._xlws.FILTER('Model output'!H:H, 'Model output'!Z:Z=A24)),1)),ISNUMBER(SEARCH("subcutaneous soft tissues",_xlfn.TEXTJOIN("; ", TRUE, _xlfn._xlws.FILTER('Model output'!H:H, 'Model output'!Z:Z=A24)),1)),ISNUMBER(SEARCH("larynx",_xlfn.TEXTJOIN("; ", TRUE, _xlfn._xlws.FILTER('Model output'!H:H, 'Model output'!Z:Z=A24)),1)),ISNUMBER(SEARCH("trachea",_xlfn.TEXTJOIN("; ", TRUE, _xlfn._xlws.FILTER('Model output'!H:H, 'Model output'!Z:Z=A24)),1)),ISNUMBER(SEARCH("esophagus",_xlfn.TEXTJOIN("; ", TRUE, _xlfn._xlws.FILTER('Model output'!H:H, 'Model output'!Z:Z=A24)),1)),ISNUMBER(SEARCH("recurrent laryngeal nerve",_xlfn.TEXTJOIN("; ", TRUE, _xlfn._xlws.FILTER('Model output'!H:H, 'Model output'!Z:Z=A24)),1)),ISNUMBER(SEARCH("RLN",_xlfn.TEXTJOIN("; ", TRUE, _xlfn._xlws.FILTER('Model output'!H:H, 'Model output'!Z:Z=A24)),1)),_xlfn.TEXTJOIN("; ", TRUE, _xlfn._xlws.FILTER('Model output'!H:H, 'Model output'!Z:Z=A24))=""),"negative","positive")</f>
        <v>negative</v>
      </c>
      <c r="L24" s="17">
        <f>IF(IFERROR(INDEX('Model output'!I:I, MATCH(A24, 'Model output'!Z:Z, 0)), "") &lt; M24, "", IFERROR(INDEX('Model output'!I:I, MATCH(A24, 'Model output'!Z:Z, 0)), ""))</f>
        <v>1</v>
      </c>
      <c r="M24" s="28">
        <f>IFERROR(INDEX('Model output'!J:J, MATCH(A24, 'Model output'!Z:Z, 0)), "")</f>
        <v>0</v>
      </c>
      <c r="N24" s="47" t="str" cm="1">
        <f t="array" ref="N24">ReplaceTo(ReplaceAnd(SUBSTITUTE(SUBSTITUTE(_xlfn.TEXTJOIN("; ", TRUE, _xlfn._xlws.FILTER('Model output'!K:K, 'Model output'!Z:Z=A24)), " ", ""), ",", ";")))</f>
        <v/>
      </c>
      <c r="O24" s="45" t="str" cm="1">
        <f t="array" ref="O24">IF(LEFT(IF(RIGHT(SUBSTITUTE(FilterWithUnits(N24)&amp;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";")),1)=";",RIGHT(IF(RIGHT(SUBSTITUTE(FilterWithUnits(N24)&amp;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";")),LEN(IF(RIGHT(SUBSTITUTE(FilterWithUnits(N24)&amp;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";")))-1),IF(RIGHT(SUBSTITUTE(FilterWithUnits(N24)&amp; ";" &amp;FilterStringsWithNumericAnd(N24) &amp; ";" &amp; FilterStringsWithX(N24), ";;", ";"),1)=";",LEFT(SUBSTITUTE(FilterWithUnits(N24)&amp; ";" &amp;FilterStringsWithNumericAnd(N24) &amp; ";" &amp; FilterStringsWithX(N24), ";;", ";"),LEN(SUBSTITUTE(FilterWithUnits(N24)&amp; ";" &amp;FilterStringsWithNumericAnd(N24) &amp; ";" &amp; FilterStringsWithX(N24), ";;", ";"))-1),SUBSTITUTE(FilterWithUnits(N24)&amp; ";" &amp;FilterStringsWithNumericAnd(N24) &amp; ";" &amp; FilterStringsWithX(N24), ";;", ";")))</f>
        <v/>
      </c>
      <c r="P24" s="45" t="str" cm="1">
        <f t="array" ref="P24">IF(MaxSize((SplitDimensions(O24)))=0, "", MaxSize((SplitDimensions(O24))))</f>
        <v/>
      </c>
      <c r="Q24" t="str" cm="1">
        <f t="array" ref="Q24">IF(ISERROR(INDEX(_xlfn._xlws.FILTER('Model output'!L:L, ('Model output'!Z:Z=A24)*('Model output'!L:L&lt;&gt;"")), 1)), " ", LOWER(INDEX(_xlfn._xlws.FILTER('Model output'!L:L, ('Model output'!Z:Z=A24)*('Model output'!L:L&lt;&gt;"")), 1)))</f>
        <v>papillary carcinoma, classic subtype</v>
      </c>
      <c r="R24" s="45" t="str" cm="1">
        <f t="array" ref="R24">IF(ISERROR(INDEX(_xlfn._xlws.FILTER('Model output'!M:M, ('Model output'!Z:Z=A24)*('Model output'!M:M&lt;&gt;"")), 1)), " ", LOWER(INDEX(_xlfn._xlws.FILTER('Model output'!M:M, ('Model output'!Z:Z=A24)*('Model output'!M:M&lt;&gt;"")), 1)))</f>
        <v xml:space="preserve"> </v>
      </c>
      <c r="S24" s="45" t="str" cm="1">
        <f t="array" ref="S24">IF(OR(ISNUMBER(SEARCH("ly",SUBSTITUTE(INDEX(_xlfn._xlws.FILTER('Model output'!N:N,('Model output'!Z:Z=A24)*('Model output'!N:N&lt;&gt;"")),1)," ",""),1)), ISNUMBER(SEARCH("pole",SUBSTITUTE(INDEX(_xlfn._xlws.FILTER('Model output'!N:N,('Model output'!Z:Z=A24)*('Model output'!N:N&lt;&gt;"")),1)," ",""),1))),"",SUBSTITUTE(INDEX(_xlfn._xlws.FILTER('Model output'!N:N,('Model output'!Z:Z=A24)*('Model output'!N:N&lt;&gt;"")),1)," ",""))</f>
        <v>10mm</v>
      </c>
      <c r="T24" s="45" t="str" cm="1">
        <f t="array" ref="T24">IF(LEFT(IF(RIGHT(SUBSTITUTE(FilterWithUnits(S24)&amp;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";")),1)=";",RIGHT(IF(RIGHT(SUBSTITUTE(FilterWithUnits(S24)&amp;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";")),LEN(IF(RIGHT(SUBSTITUTE(FilterWithUnits(S24)&amp;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";")))-1),IF(RIGHT(SUBSTITUTE(FilterWithUnits(S24)&amp; ";" &amp;FilterStringsWithNumericAnd(S24) &amp; ";" &amp; FilterStringsWithX(S24), ";;", ";"),1)=";",LEFT(SUBSTITUTE(FilterWithUnits(S24)&amp; ";" &amp;FilterStringsWithNumericAnd(S24) &amp; ";" &amp; FilterStringsWithX(S24), ";;", ";"),LEN(SUBSTITUTE(FilterWithUnits(S24)&amp; ";" &amp;FilterStringsWithNumericAnd(S24) &amp; ";" &amp; FilterStringsWithX(S24), ";;", ";"))-1),SUBSTITUTE(FilterWithUnits(S24)&amp; ";" &amp;FilterStringsWithNumericAnd(S24) &amp; ";" &amp; FilterStringsWithX(S24), ";;", ";")))</f>
        <v>10mm</v>
      </c>
      <c r="U24" s="45" cm="1">
        <f t="array" ref="U24">IF(MaxSize((SplitDimensions(T24)))=0, "", MaxSize((SplitDimensions(T24))))</f>
        <v>1</v>
      </c>
      <c r="V24" s="17" t="str" cm="1">
        <f t="array" ref="V24">IF(ISERROR(INDEX(_xlfn._xlws.FILTER('Model output'!P:P,('Model output'!Z:Z=A24)*('Model output'!P:P&lt;&gt;"")),1)),"negative",IF(OR(ISNUMBER(SEARCH("foc",INDEX(_xlfn._xlws.FILTER('Model output'!P:P,('Model output'!Z:Z=A24)*('Model output'!P:P&lt;&gt;"")),1),1)),ISNUMBER(SEARCH("extensive",INDEX(_xlfn._xlws.FILTER('Model output'!P:P,('Model output'!Z:Z=A24)*('Model output'!P:P&lt;&gt;"")),1),1)),ISNUMBER(SEARCH("present",INDEX(_xlfn._xlws.FILTER('Model output'!P:P,('Model output'!Z:Z=A24)*('Model output'!P:P&lt;&gt;"")),1),1)),ISNUMBER(SEARCH("yes",INDEX(_xlfn._xlws.FILTER('Model output'!P:P,('Model output'!Z:Z=A24)*('Model output'!P:P&lt;&gt;"")),1),1))),"positive","negative"))</f>
        <v>negative</v>
      </c>
      <c r="X24" t="str" cm="1">
        <f t="array" ref="X24">IF(ISNUMBER(SEARCH("4",INDEX(_xlfn._xlws.FILTER('Model output'!P:P,('Model output'!Z:Z=A24)*('Model output'!P:P&lt;&gt;"")),1),1)),INDEX(_xlfn._xlws.FILTER('Model output'!P:P,('Model output'!Z:Z=A24)*('Model output'!P:P&lt;&gt;"")),1),"") &amp; _xlfn.TEXTJOIN("",TRUE,_xlfn._xlws.FILTER('Model output'!Q:Q,'Model output'!Z:Z=A24))</f>
        <v>Not mentioned</v>
      </c>
      <c r="Y24" t="str">
        <f t="shared" si="10"/>
        <v>no</v>
      </c>
      <c r="Z24" t="str" cm="1">
        <f t="array" ref="Z24">IF(OR(ISNUMBER(SEARCH("focal",_xlfn.TEXTJOIN("; ",TRUE,_xlfn._xlws.FILTER('Model output'!R:R,'Model output'!Z:Z=A24)),1)),ISNUMBER(SEARCH("present",_xlfn.TEXTJOIN("; ",TRUE,_xlfn._xlws.FILTER('Model output'!R:R,'Model output'!Z:Z=A24)),1))),"positive",IF(_xlfn.TEXTJOIN("; ",TRUE,_xlfn._xlws.FILTER('Model output'!R:R,'Model output'!Z:Z=A24))="","negative",IF(OR(ISNUMBER(SEARCH("no",_xlfn.TEXTJOIN("; ",TRUE,_xlfn._xlws.FILTER('Model output'!R:R,'Model output'!Z:Z=A24)),1)),ISNUMBER(SEARCH("absent",_xlfn.TEXTJOIN("; ",TRUE,_xlfn._xlws.FILTER('Model output'!R:R,'Model output'!Z:Z=A24)),1))),"negative","positive")))</f>
        <v>negative</v>
      </c>
      <c r="AA24" s="17" t="str">
        <f t="shared" si="11"/>
        <v>negative</v>
      </c>
      <c r="AE24" s="17" t="str">
        <f t="shared" si="12"/>
        <v>negative</v>
      </c>
      <c r="AF24" t="str" cm="1">
        <f t="array" ref="AF24">_xlfn.TEXTJOIN("; ",TRUE,_xlfn._xlws.FILTER('Model output'!S:S,'Model output'!Z:Z=A24))</f>
        <v>Not identified; Not mentioned</v>
      </c>
      <c r="AG24" s="17" t="str" cm="1">
        <f t="array" ref="AG24">IF(OR(ISNUMBER(SEARCH("uninvolved",_xlfn.TEXTJOIN("; ",TRUE,_xlfn._xlws.FILTER('Model output'!V:V,'Model output'!Z:Z=A24)),1)),ISNUMBER(SEARCH("clear",_xlfn.TEXTJOIN("; ",TRUE,_xlfn._xlws.FILTER('Model output'!V:V,'Model output'!Z:Z=A24)),1))*ISNUMBER(SEARCH("not mentioned",_xlfn.TEXTJOIN("; ",TRUE,_xlfn._xlws.FILTER('Model output'!V:V,'Model output'!Z:Z=A24)),1))),"negative",IF(ISNUMBER(SEARCH("cannot be assessed",_xlfn.TEXTJOIN("; ",TRUE,_xlfn._xlws.FILTER('Model output'!V:V,'Model output'!Z:Z=A24)),1)),"unknown","negative"))</f>
        <v>negative</v>
      </c>
      <c r="AI24" s="40" t="str">
        <f t="shared" si="13"/>
        <v>low</v>
      </c>
      <c r="AJ24" s="28" t="str">
        <f t="shared" si="14"/>
        <v>1a</v>
      </c>
      <c r="AK24" s="28">
        <f t="shared" si="2"/>
        <v>0</v>
      </c>
      <c r="AL24" s="28">
        <f t="shared" si="3"/>
        <v>0</v>
      </c>
      <c r="AM24" s="28" t="str">
        <f t="shared" si="4"/>
        <v>I</v>
      </c>
      <c r="AN24" s="37" t="s">
        <v>171</v>
      </c>
      <c r="AO24" s="38" t="s">
        <v>216</v>
      </c>
      <c r="AP24" s="38">
        <v>0</v>
      </c>
      <c r="AQ24" s="38">
        <v>0</v>
      </c>
      <c r="AR24" s="38" t="s">
        <v>31</v>
      </c>
      <c r="AS24" s="37">
        <f t="shared" si="5"/>
        <v>1</v>
      </c>
      <c r="AT24" s="38">
        <f t="shared" si="6"/>
        <v>1</v>
      </c>
      <c r="AU24" s="38">
        <f t="shared" si="7"/>
        <v>1</v>
      </c>
      <c r="AV24" s="38">
        <f t="shared" si="8"/>
        <v>1</v>
      </c>
      <c r="AW24" s="39">
        <f t="shared" si="9"/>
        <v>1</v>
      </c>
    </row>
    <row r="25" spans="1:49">
      <c r="A25" s="13">
        <v>23</v>
      </c>
      <c r="B25" s="16">
        <f>_xlfn.MAXIFS('Model output'!B:B,'Model output'!Z:Z,'Classification result'!$A25)</f>
        <v>45413</v>
      </c>
      <c r="C25" s="16"/>
      <c r="D25" s="16"/>
      <c r="E25" s="17">
        <f>_xlfn.MAXIFS('Model output'!C:C,'Model output'!Z:Z,'Classification result'!$A25)</f>
        <v>61</v>
      </c>
      <c r="F25" s="17" t="str" cm="1">
        <f t="array" ref="F25">LEFT(IF(ISERROR(RIGHT(IF(INDEX(_xlfn._xlws.FILTER('Model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output'!Z:Z=A25)),1),""),1))),"",(RIGHT(IF(INDEX(_xlfn._xlws.FILTER('Model output'!D:D,('Model output'!Z:Z=A25)),1)&lt;&gt;"",INDEX(_xlfn._xlws.FILTER('Model output'!D:D,('Model output'!Z:Z=A25)),1),""),LEN(IF(INDEX(_xlfn._xlws.FILTER('Model output'!D:D,('Model output'!Z:Z=A25)),1)&lt;&gt;"",INDEX(_xlfn._xlws.FILTER('Model output'!D:D,('Model output'!Z:Z=A25)),1),""))-FIND("T",IF(INDEX(_xlfn._xlws.FILTER('Model output'!D:D,('Model output'!Z:Z=A25)),1)&lt;&gt;"",INDEX(_xlfn._xlws.FILTER('Model output'!D:D,('Model output'!Z:Z=A25)),1)))))),2)</f>
        <v>1</v>
      </c>
      <c r="G25" s="17" t="str" cm="1">
        <f t="array" ref="G25">IF(ISNUMBER(SEARCH("N",IF(ISNUMBER(SEARCH("present",IF(INDEX(_xlfn._xlws.FILTER('Model output'!E:E,('Model output'!Z:Z=A25)),1)="","",INDEX(_xlfn._xlws.FILTER('Model output'!E:E,('Model output'!Z:Z=A25)),1)),1)),"N1", IF(INDEX(_xlfn._xlws.FILTER('Model output'!E:E,('Model output'!Z:Z=A25)),1)="","",INDEX(_xlfn._xlws.FILTER('Model output'!E:E,('Model output'!Z:Z=A25)),1))),1)),RIGHT(IF(ISNUMBER(SEARCH("present",IF(INDEX(_xlfn._xlws.FILTER('Model output'!E:E,('Model output'!Z:Z=A25)),1)="","",INDEX(_xlfn._xlws.FILTER('Model output'!E:E,('Model output'!Z:Z=A25)),1)),1)),"N1", IF(INDEX(_xlfn._xlws.FILTER('Model output'!E:E,('Model output'!Z:Z=A25)),1)="","",INDEX(_xlfn._xlws.FILTER('Model output'!E:E,('Model output'!Z:Z=A25)),1))),LEN(IF(ISNUMBER(SEARCH("present",IF(INDEX(_xlfn._xlws.FILTER('Model output'!E:E,('Model output'!Z:Z=A25)),1)="","",INDEX(_xlfn._xlws.FILTER('Model output'!E:E,('Model output'!Z:Z=A25)),1)),1)),"N1", IF(INDEX(_xlfn._xlws.FILTER('Model output'!E:E,('Model output'!Z:Z=A25)),1)="","",INDEX(_xlfn._xlws.FILTER('Model output'!E:E,('Model output'!Z:Z=A25)),1))))-FIND("N",IF(ISNUMBER(SEARCH("present",IF(INDEX(_xlfn._xlws.FILTER('Model output'!E:E,('Model output'!Z:Z=A25)),1)="","",INDEX(_xlfn._xlws.FILTER('Model output'!E:E,('Model output'!Z:Z=A25)),1)),1)),"N1", IF(INDEX(_xlfn._xlws.FILTER('Model output'!E:E,('Model output'!Z:Z=A25)),1)="","",INDEX(_xlfn._xlws.FILTER('Model output'!E:E,('Model output'!Z:Z=A25)),1))),1)), "")</f>
        <v>0</v>
      </c>
      <c r="H25" s="17" cm="1">
        <f t="array" ref="H25">IF(AND(SUBSTITUTE(_xlfn.TEXTJOIN("/", TRUE, _xlfn._xlws.FILTER('Model output'!F:F, 'Model output'!Z:Z=A25)),"M", "")="", K25="negative"),0,IF(K25="positive",1,0))</f>
        <v>0</v>
      </c>
      <c r="I25" t="str">
        <f t="shared" si="0"/>
        <v/>
      </c>
      <c r="J25" t="str" cm="1">
        <f t="array" ref="J25">IF(AND(M25&gt;0, _xlfn.TEXTJOIN("; ", TRUE, _xlfn._xlws.FILTER('Model output'!G:G, 'Model output'!Z:Z=A25)) &lt;&gt;"", OR(AND(ISNUMBER(SEARCH("level", _xlfn.TEXTJOIN("; ", TRUE, _xlfn._xlws.FILTER('Model output'!G:G, 'Model output'!Z:Z=A25)),1)),OR(ISNUMBER(SEARCH(" II", _xlfn.TEXTJOIN("; ", TRUE, _xlfn._xlws.FILTER('Model output'!G:G, 'Model output'!Z:Z=A25)),1)),ISNUMBER(SEARCH("2", _xlfn.TEXTJOIN("; ", TRUE, _xlfn._xlws.FILTER('Model output'!G:G, 'Model output'!Z:Z=A25)),1)),ISNUMBER(SEARCH("two", _xlfn.TEXTJOIN("; ", TRUE, _xlfn._xlws.FILTER('Model output'!G:G, 'Model output'!Z:Z=A25)),1)),ISNUMBER(SEARCH("III", _xlfn.TEXTJOIN("; ", TRUE, _xlfn._xlws.FILTER('Model output'!G:G, 'Model output'!Z:Z=A25)),1)),ISNUMBER(SEARCH("3", _xlfn.TEXTJOIN("; ", TRUE, _xlfn._xlws.FILTER('Model output'!G:G, 'Model output'!Z:Z=A25)),1)),ISNUMBER(SEARCH("three", _xlfn.TEXTJOIN("; ", TRUE, _xlfn._xlws.FILTER('Model output'!G:G, 'Model output'!Z:Z=A25)),1)),ISNUMBER(SEARCH("IV", _xlfn.TEXTJOIN("; ", TRUE, _xlfn._xlws.FILTER('Model output'!G:G, 'Model output'!Z:Z=A25)),1)),ISNUMBER(SEARCH("4", _xlfn.TEXTJOIN("; ", TRUE, _xlfn._xlws.FILTER('Model output'!G:G, 'Model output'!Z:Z=A25)),1)),ISNUMBER(SEARCH("five", _xlfn.TEXTJOIN("; ", TRUE, _xlfn._xlws.FILTER('Model output'!G:G, 'Model output'!Z:Z=A25)),1)),ISNUMBER(SEARCH("V ", _xlfn.TEXTJOIN("; ", TRUE, _xlfn._xlws.FILTER('Model output'!G:G, 'Model output'!Z:Z=A25)),1)),ISNUMBER(SEARCH("5", _xlfn.TEXTJOIN("; ", TRUE, _xlfn._xlws.FILTER('Model output'!G:G, 'Model output'!Z:Z=A25)),1)),ISNUMBER(SEARCH("five", _xlfn.TEXTJOIN("; ", TRUE, _xlfn._xlws.FILTER('Model output'!G:G, 'Model output'!Z:Z=A25)),1)),ISNUMBER(SEARCH(" lateral", _xlfn.TEXTJOIN("; ", TRUE, _xlfn._xlws.FILTER('Model output'!G:G, 'Model output'!Z:Z=A25)),1)))),ISNUMBER(SEARCH("cervical", _xlfn.TEXTJOIN("; ", TRUE, _xlfn._xlws.FILTER('Model output'!G:G, 'Model output'!Z:Z=A25)),1)),ISNUMBER(SEARCH("jugular", _xlfn.TEXTJOIN("; ", TRUE, _xlfn._xlws.FILTER('Model output'!G:G, 'Model output'!Z:Z=A25)),1)),ISNUMBER(SEARCH("left neck", _xlfn.TEXTJOIN("; ", TRUE, _xlfn._xlws.FILTER('Model output'!G:G, 'Model output'!Z:Z=A25)),1)),ISNUMBER(SEARCH("left anterior neck", _xlfn.TEXTJOIN("; ", TRUE, _xlfn._xlws.FILTER('Model output'!G:G, 'Model output'!Z:Z=A25)),1)),ISNUMBER(SEARCH("left posterior neck", _xlfn.TEXTJOIN("; ", TRUE, _xlfn._xlws.FILTER('Model output'!G:G, 'Model output'!Z:Z=A25)),1)),ISNUMBER(SEARCH("right neck", _xlfn.TEXTJOIN("; ", TRUE, _xlfn._xlws.FILTER('Model output'!G:G, 'Model output'!Z:Z=A25)),1)),ISNUMBER(SEARCH("right anterior neck", _xlfn.TEXTJOIN("; ", TRUE, _xlfn._xlws.FILTER('Model output'!G:G, 'Model output'!Z:Z=A25)),1)),ISNUMBER(SEARCH("right posterior neck", _xlfn.TEXTJOIN("; ", TRUE, _xlfn._xlws.FILTER('Model output'!G:G, 'Model output'!Z:Z=A25)),1)))),"lateral",IF(AND(M25=0, _xlfn.TEXTJOIN("; ", TRUE, _xlfn._xlws.FILTER('Model output'!G:G, 'Model output'!Z:Z=A25))=""),"", "central"))</f>
        <v/>
      </c>
      <c r="K25" s="17" t="str" cm="1">
        <f t="array" ref="K25">IF(OR(ISNUMBER(SEARCH("lymph",_xlfn.TEXTJOIN("; ", TRUE, _xlfn._xlws.FILTER('Model output'!H:H, 'Model output'!Z:Z=A25)),1)), ISNUMBER(SEARCH("Not mentioned",_xlfn.TEXTJOIN("; ", TRUE, _xlfn._xlws.FILTER('Model output'!H:H, 'Model output'!Z:Z=A25)),1)),ISNUMBER(SEARCH("subcutaneous soft tissues",_xlfn.TEXTJOIN("; ", TRUE, _xlfn._xlws.FILTER('Model output'!H:H, 'Model output'!Z:Z=A25)),1)),ISNUMBER(SEARCH("larynx",_xlfn.TEXTJOIN("; ", TRUE, _xlfn._xlws.FILTER('Model output'!H:H, 'Model output'!Z:Z=A25)),1)),ISNUMBER(SEARCH("trachea",_xlfn.TEXTJOIN("; ", TRUE, _xlfn._xlws.FILTER('Model output'!H:H, 'Model output'!Z:Z=A25)),1)),ISNUMBER(SEARCH("esophagus",_xlfn.TEXTJOIN("; ", TRUE, _xlfn._xlws.FILTER('Model output'!H:H, 'Model output'!Z:Z=A25)),1)),ISNUMBER(SEARCH("recurrent laryngeal nerve",_xlfn.TEXTJOIN("; ", TRUE, _xlfn._xlws.FILTER('Model output'!H:H, 'Model output'!Z:Z=A25)),1)),ISNUMBER(SEARCH("RLN",_xlfn.TEXTJOIN("; ", TRUE, _xlfn._xlws.FILTER('Model output'!H:H, 'Model output'!Z:Z=A25)),1)),_xlfn.TEXTJOIN("; ", TRUE, _xlfn._xlws.FILTER('Model output'!H:H, 'Model output'!Z:Z=A25))=""),"negative","positive")</f>
        <v>negative</v>
      </c>
      <c r="L25" s="17">
        <f>IF(IFERROR(INDEX('Model output'!I:I, MATCH(A25, 'Model output'!Z:Z, 0)), "") &lt; M25, "", IFERROR(INDEX('Model output'!I:I, MATCH(A25, 'Model output'!Z:Z, 0)), ""))</f>
        <v>1</v>
      </c>
      <c r="M25" s="28">
        <f>IFERROR(INDEX('Model output'!J:J, MATCH(A25, 'Model output'!Z:Z, 0)), "")</f>
        <v>0</v>
      </c>
      <c r="N25" s="47" t="str" cm="1">
        <f t="array" ref="N25">ReplaceTo(ReplaceAnd(SUBSTITUTE(SUBSTITUTE(_xlfn.TEXTJOIN("; ", TRUE, _xlfn._xlws.FILTER('Model output'!K:K, 'Model output'!Z:Z=A25)), " ", ""), ",", ";")))</f>
        <v/>
      </c>
      <c r="O25" s="45" t="str" cm="1">
        <f t="array" ref="O25">IF(LEFT(IF(RIGHT(SUBSTITUTE(FilterWithUnits(N25)&amp;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";")),1)=";",RIGHT(IF(RIGHT(SUBSTITUTE(FilterWithUnits(N25)&amp;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";")),LEN(IF(RIGHT(SUBSTITUTE(FilterWithUnits(N25)&amp;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";")))-1),IF(RIGHT(SUBSTITUTE(FilterWithUnits(N25)&amp; ";" &amp;FilterStringsWithNumericAnd(N25) &amp; ";" &amp; FilterStringsWithX(N25), ";;", ";"),1)=";",LEFT(SUBSTITUTE(FilterWithUnits(N25)&amp; ";" &amp;FilterStringsWithNumericAnd(N25) &amp; ";" &amp; FilterStringsWithX(N25), ";;", ";"),LEN(SUBSTITUTE(FilterWithUnits(N25)&amp; ";" &amp;FilterStringsWithNumericAnd(N25) &amp; ";" &amp; FilterStringsWithX(N25), ";;", ";"))-1),SUBSTITUTE(FilterWithUnits(N25)&amp; ";" &amp;FilterStringsWithNumericAnd(N25) &amp; ";" &amp; FilterStringsWithX(N25), ";;", ";")))</f>
        <v/>
      </c>
      <c r="P25" s="45" t="str" cm="1">
        <f t="array" ref="P25">IF(MaxSize((SplitDimensions(O25)))=0, "", MaxSize((SplitDimensions(O25))))</f>
        <v/>
      </c>
      <c r="Q25" t="str" cm="1">
        <f t="array" ref="Q25">IF(ISERROR(INDEX(_xlfn._xlws.FILTER('Model output'!L:L, ('Model output'!Z:Z=A25)*('Model output'!L:L&lt;&gt;"")), 1)), " ", LOWER(INDEX(_xlfn._xlws.FILTER('Model output'!L:L, ('Model output'!Z:Z=A25)*('Model output'!L:L&lt;&gt;"")), 1)))</f>
        <v>papillary carcinoma</v>
      </c>
      <c r="R25" s="45" t="str" cm="1">
        <f t="array" ref="R25">IF(ISERROR(INDEX(_xlfn._xlws.FILTER('Model output'!M:M, ('Model output'!Z:Z=A25)*('Model output'!M:M&lt;&gt;"")), 1)), " ", LOWER(INDEX(_xlfn._xlws.FILTER('Model output'!M:M, ('Model output'!Z:Z=A25)*('Model output'!M:M&lt;&gt;"")), 1)))</f>
        <v>infiltrative follicular</v>
      </c>
      <c r="S25" s="45" t="str" cm="1">
        <f t="array" ref="S25">IF(OR(ISNUMBER(SEARCH("ly",SUBSTITUTE(INDEX(_xlfn._xlws.FILTER('Model output'!N:N,('Model output'!Z:Z=A25)*('Model output'!N:N&lt;&gt;"")),1)," ",""),1)), ISNUMBER(SEARCH("pole",SUBSTITUTE(INDEX(_xlfn._xlws.FILTER('Model output'!N:N,('Model output'!Z:Z=A25)*('Model output'!N:N&lt;&gt;"")),1)," ",""),1))),"",SUBSTITUTE(INDEX(_xlfn._xlws.FILTER('Model output'!N:N,('Model output'!Z:Z=A25)*('Model output'!N:N&lt;&gt;"")),1)," ",""))</f>
        <v>4.3cm(superoinferior)</v>
      </c>
      <c r="T25" s="45" t="str" cm="1">
        <f t="array" ref="T25">IF(LEFT(IF(RIGHT(SUBSTITUTE(FilterWithUnits(S25)&amp;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";")),1)=";",RIGHT(IF(RIGHT(SUBSTITUTE(FilterWithUnits(S25)&amp;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";")),LEN(IF(RIGHT(SUBSTITUTE(FilterWithUnits(S25)&amp;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";")))-1),IF(RIGHT(SUBSTITUTE(FilterWithUnits(S25)&amp; ";" &amp;FilterStringsWithNumericAnd(S25) &amp; ";" &amp; FilterStringsWithX(S25), ";;", ";"),1)=";",LEFT(SUBSTITUTE(FilterWithUnits(S25)&amp; ";" &amp;FilterStringsWithNumericAnd(S25) &amp; ";" &amp; FilterStringsWithX(S25), ";;", ";"),LEN(SUBSTITUTE(FilterWithUnits(S25)&amp; ";" &amp;FilterStringsWithNumericAnd(S25) &amp; ";" &amp; FilterStringsWithX(S25), ";;", ";"))-1),SUBSTITUTE(FilterWithUnits(S25)&amp; ";" &amp;FilterStringsWithNumericAnd(S25) &amp; ";" &amp; FilterStringsWithX(S25), ";;", ";")))</f>
        <v>4.3cm</v>
      </c>
      <c r="U25" s="45" cm="1">
        <f t="array" ref="U25">IF(MaxSize((SplitDimensions(T25)))=0, "", MaxSize((SplitDimensions(T25))))</f>
        <v>4.3</v>
      </c>
      <c r="V25" s="17" t="str" cm="1">
        <f t="array" ref="V25">IF(ISERROR(INDEX(_xlfn._xlws.FILTER('Model output'!P:P,('Model output'!Z:Z=A25)*('Model output'!P:P&lt;&gt;"")),1)),"negative",IF(OR(ISNUMBER(SEARCH("foc",INDEX(_xlfn._xlws.FILTER('Model output'!P:P,('Model output'!Z:Z=A25)*('Model output'!P:P&lt;&gt;"")),1),1)),ISNUMBER(SEARCH("extensive",INDEX(_xlfn._xlws.FILTER('Model output'!P:P,('Model output'!Z:Z=A25)*('Model output'!P:P&lt;&gt;"")),1),1)),ISNUMBER(SEARCH("present",INDEX(_xlfn._xlws.FILTER('Model output'!P:P,('Model output'!Z:Z=A25)*('Model output'!P:P&lt;&gt;"")),1),1)),ISNUMBER(SEARCH("yes",INDEX(_xlfn._xlws.FILTER('Model output'!P:P,('Model output'!Z:Z=A25)*('Model output'!P:P&lt;&gt;"")),1),1))),"positive","negative"))</f>
        <v>negative</v>
      </c>
      <c r="X25" t="str" cm="1">
        <f t="array" ref="X25">IF(ISNUMBER(SEARCH("4",INDEX(_xlfn._xlws.FILTER('Model output'!P:P,('Model output'!Z:Z=A25)*('Model output'!P:P&lt;&gt;"")),1),1)),INDEX(_xlfn._xlws.FILTER('Model output'!P:P,('Model output'!Z:Z=A25)*('Model output'!P:P&lt;&gt;"")),1),"") &amp; _xlfn.TEXTJOIN("",TRUE,_xlfn._xlws.FILTER('Model output'!Q:Q,'Model output'!Z:Z=A25))</f>
        <v>Not mentioned</v>
      </c>
      <c r="Y25" t="str">
        <f t="shared" si="10"/>
        <v>no</v>
      </c>
      <c r="Z25" t="str" cm="1">
        <f t="array" ref="Z25">IF(OR(ISNUMBER(SEARCH("focal",_xlfn.TEXTJOIN("; ",TRUE,_xlfn._xlws.FILTER('Model output'!R:R,'Model output'!Z:Z=A25)),1)),ISNUMBER(SEARCH("present",_xlfn.TEXTJOIN("; ",TRUE,_xlfn._xlws.FILTER('Model output'!R:R,'Model output'!Z:Z=A25)),1))),"positive",IF(_xlfn.TEXTJOIN("; ",TRUE,_xlfn._xlws.FILTER('Model output'!R:R,'Model output'!Z:Z=A25))="","negative",IF(OR(ISNUMBER(SEARCH("no",_xlfn.TEXTJOIN("; ",TRUE,_xlfn._xlws.FILTER('Model output'!R:R,'Model output'!Z:Z=A25)),1)),ISNUMBER(SEARCH("absent",_xlfn.TEXTJOIN("; ",TRUE,_xlfn._xlws.FILTER('Model output'!R:R,'Model output'!Z:Z=A25)),1))),"negative","positive")))</f>
        <v>negative</v>
      </c>
      <c r="AA25" s="17" t="str">
        <f t="shared" si="11"/>
        <v>positive</v>
      </c>
      <c r="AE25" s="17" t="str">
        <f t="shared" si="12"/>
        <v>negative</v>
      </c>
      <c r="AF25" t="str" cm="1">
        <f t="array" ref="AF25">_xlfn.TEXTJOIN("; ",TRUE,_xlfn._xlws.FILTER('Model output'!S:S,'Model output'!Z:Z=A25))</f>
        <v>Yes; Not mentioned</v>
      </c>
      <c r="AG25" s="17" t="str" cm="1">
        <f t="array" ref="AG25">IF(OR(ISNUMBER(SEARCH("uninvolved",_xlfn.TEXTJOIN("; ",TRUE,_xlfn._xlws.FILTER('Model output'!V:V,'Model output'!Z:Z=A25)),1)),ISNUMBER(SEARCH("clear",_xlfn.TEXTJOIN("; ",TRUE,_xlfn._xlws.FILTER('Model output'!V:V,'Model output'!Z:Z=A25)),1))*ISNUMBER(SEARCH("not mentioned",_xlfn.TEXTJOIN("; ",TRUE,_xlfn._xlws.FILTER('Model output'!V:V,'Model output'!Z:Z=A25)),1))),"negative",IF(ISNUMBER(SEARCH("cannot be assessed",_xlfn.TEXTJOIN("; ",TRUE,_xlfn._xlws.FILTER('Model output'!V:V,'Model output'!Z:Z=A25)),1)),"unknown","negative"))</f>
        <v>negative</v>
      </c>
      <c r="AI25" s="40" t="str">
        <f t="shared" si="13"/>
        <v>intermediate</v>
      </c>
      <c r="AJ25" s="28" t="str">
        <f t="shared" si="14"/>
        <v>3a</v>
      </c>
      <c r="AK25" s="28">
        <f t="shared" si="2"/>
        <v>0</v>
      </c>
      <c r="AL25" s="28">
        <f t="shared" si="3"/>
        <v>0</v>
      </c>
      <c r="AM25" s="28" t="str">
        <f t="shared" si="4"/>
        <v>II</v>
      </c>
      <c r="AN25" s="37" t="s">
        <v>169</v>
      </c>
      <c r="AO25" s="38" t="s">
        <v>214</v>
      </c>
      <c r="AP25" s="38">
        <v>0</v>
      </c>
      <c r="AQ25" s="38">
        <v>0</v>
      </c>
      <c r="AR25" s="38" t="s">
        <v>31</v>
      </c>
      <c r="AS25" s="37">
        <f t="shared" si="5"/>
        <v>1</v>
      </c>
      <c r="AT25" s="38">
        <f t="shared" si="6"/>
        <v>0</v>
      </c>
      <c r="AU25" s="38">
        <f t="shared" si="7"/>
        <v>1</v>
      </c>
      <c r="AV25" s="38">
        <f t="shared" si="8"/>
        <v>1</v>
      </c>
      <c r="AW25" s="39">
        <f t="shared" si="9"/>
        <v>0</v>
      </c>
    </row>
    <row r="26" spans="1:49">
      <c r="A26" s="13">
        <v>24</v>
      </c>
      <c r="B26" s="16">
        <f>_xlfn.MAXIFS('Model output'!B:B,'Model output'!Z:Z,'Classification result'!$A26)</f>
        <v>45566</v>
      </c>
      <c r="C26" s="16"/>
      <c r="D26" s="16"/>
      <c r="E26" s="17">
        <f>_xlfn.MAXIFS('Model output'!C:C,'Model output'!Z:Z,'Classification result'!$A26)</f>
        <v>55</v>
      </c>
      <c r="F26" s="17" t="str" cm="1">
        <f t="array" ref="F26">LEFT(IF(ISERROR(RIGHT(IF(INDEX(_xlfn._xlws.FILTER('Model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output'!Z:Z=A26)),1),""),1))),"",(RIGHT(IF(INDEX(_xlfn._xlws.FILTER('Model output'!D:D,('Model output'!Z:Z=A26)),1)&lt;&gt;"",INDEX(_xlfn._xlws.FILTER('Model output'!D:D,('Model output'!Z:Z=A26)),1),""),LEN(IF(INDEX(_xlfn._xlws.FILTER('Model output'!D:D,('Model output'!Z:Z=A26)),1)&lt;&gt;"",INDEX(_xlfn._xlws.FILTER('Model output'!D:D,('Model output'!Z:Z=A26)),1),""))-FIND("T",IF(INDEX(_xlfn._xlws.FILTER('Model output'!D:D,('Model output'!Z:Z=A26)),1)&lt;&gt;"",INDEX(_xlfn._xlws.FILTER('Model output'!D:D,('Model output'!Z:Z=A26)),1)))))),2)</f>
        <v>4a</v>
      </c>
      <c r="G26" s="17" t="str" cm="1">
        <f t="array" ref="G26">IF(ISNUMBER(SEARCH("N",IF(ISNUMBER(SEARCH("present",IF(INDEX(_xlfn._xlws.FILTER('Model output'!E:E,('Model output'!Z:Z=A26)),1)="","",INDEX(_xlfn._xlws.FILTER('Model output'!E:E,('Model output'!Z:Z=A26)),1)),1)),"N1", IF(INDEX(_xlfn._xlws.FILTER('Model output'!E:E,('Model output'!Z:Z=A26)),1)="","",INDEX(_xlfn._xlws.FILTER('Model output'!E:E,('Model output'!Z:Z=A26)),1))),1)),RIGHT(IF(ISNUMBER(SEARCH("present",IF(INDEX(_xlfn._xlws.FILTER('Model output'!E:E,('Model output'!Z:Z=A26)),1)="","",INDEX(_xlfn._xlws.FILTER('Model output'!E:E,('Model output'!Z:Z=A26)),1)),1)),"N1", IF(INDEX(_xlfn._xlws.FILTER('Model output'!E:E,('Model output'!Z:Z=A26)),1)="","",INDEX(_xlfn._xlws.FILTER('Model output'!E:E,('Model output'!Z:Z=A26)),1))),LEN(IF(ISNUMBER(SEARCH("present",IF(INDEX(_xlfn._xlws.FILTER('Model output'!E:E,('Model output'!Z:Z=A26)),1)="","",INDEX(_xlfn._xlws.FILTER('Model output'!E:E,('Model output'!Z:Z=A26)),1)),1)),"N1", IF(INDEX(_xlfn._xlws.FILTER('Model output'!E:E,('Model output'!Z:Z=A26)),1)="","",INDEX(_xlfn._xlws.FILTER('Model output'!E:E,('Model output'!Z:Z=A26)),1))))-FIND("N",IF(ISNUMBER(SEARCH("present",IF(INDEX(_xlfn._xlws.FILTER('Model output'!E:E,('Model output'!Z:Z=A26)),1)="","",INDEX(_xlfn._xlws.FILTER('Model output'!E:E,('Model output'!Z:Z=A26)),1)),1)),"N1", IF(INDEX(_xlfn._xlws.FILTER('Model output'!E:E,('Model output'!Z:Z=A26)),1)="","",INDEX(_xlfn._xlws.FILTER('Model output'!E:E,('Model output'!Z:Z=A26)),1))),1)), "")</f>
        <v/>
      </c>
      <c r="H26" s="17" cm="1">
        <f t="array" ref="H26">IF(AND(SUBSTITUTE(_xlfn.TEXTJOIN("/", TRUE, _xlfn._xlws.FILTER('Model output'!F:F, 'Model output'!Z:Z=A26)),"M", "")="", K26="negative"),0,IF(K26="positive",1,0))</f>
        <v>0</v>
      </c>
      <c r="I26" t="str">
        <f t="shared" si="0"/>
        <v>positive</v>
      </c>
      <c r="J26" t="str" cm="1">
        <f t="array" ref="J26">IF(AND(M26&gt;0, _xlfn.TEXTJOIN("; ", TRUE, _xlfn._xlws.FILTER('Model output'!G:G, 'Model output'!Z:Z=A26)) &lt;&gt;"", OR(AND(ISNUMBER(SEARCH("level", _xlfn.TEXTJOIN("; ", TRUE, _xlfn._xlws.FILTER('Model output'!G:G, 'Model output'!Z:Z=A26)),1)),OR(ISNUMBER(SEARCH(" II", _xlfn.TEXTJOIN("; ", TRUE, _xlfn._xlws.FILTER('Model output'!G:G, 'Model output'!Z:Z=A26)),1)),ISNUMBER(SEARCH("2", _xlfn.TEXTJOIN("; ", TRUE, _xlfn._xlws.FILTER('Model output'!G:G, 'Model output'!Z:Z=A26)),1)),ISNUMBER(SEARCH("two", _xlfn.TEXTJOIN("; ", TRUE, _xlfn._xlws.FILTER('Model output'!G:G, 'Model output'!Z:Z=A26)),1)),ISNUMBER(SEARCH("III", _xlfn.TEXTJOIN("; ", TRUE, _xlfn._xlws.FILTER('Model output'!G:G, 'Model output'!Z:Z=A26)),1)),ISNUMBER(SEARCH("3", _xlfn.TEXTJOIN("; ", TRUE, _xlfn._xlws.FILTER('Model output'!G:G, 'Model output'!Z:Z=A26)),1)),ISNUMBER(SEARCH("three", _xlfn.TEXTJOIN("; ", TRUE, _xlfn._xlws.FILTER('Model output'!G:G, 'Model output'!Z:Z=A26)),1)),ISNUMBER(SEARCH("IV", _xlfn.TEXTJOIN("; ", TRUE, _xlfn._xlws.FILTER('Model output'!G:G, 'Model output'!Z:Z=A26)),1)),ISNUMBER(SEARCH("4", _xlfn.TEXTJOIN("; ", TRUE, _xlfn._xlws.FILTER('Model output'!G:G, 'Model output'!Z:Z=A26)),1)),ISNUMBER(SEARCH("five", _xlfn.TEXTJOIN("; ", TRUE, _xlfn._xlws.FILTER('Model output'!G:G, 'Model output'!Z:Z=A26)),1)),ISNUMBER(SEARCH("V ", _xlfn.TEXTJOIN("; ", TRUE, _xlfn._xlws.FILTER('Model output'!G:G, 'Model output'!Z:Z=A26)),1)),ISNUMBER(SEARCH("5", _xlfn.TEXTJOIN("; ", TRUE, _xlfn._xlws.FILTER('Model output'!G:G, 'Model output'!Z:Z=A26)),1)),ISNUMBER(SEARCH("five", _xlfn.TEXTJOIN("; ", TRUE, _xlfn._xlws.FILTER('Model output'!G:G, 'Model output'!Z:Z=A26)),1)),ISNUMBER(SEARCH(" lateral", _xlfn.TEXTJOIN("; ", TRUE, _xlfn._xlws.FILTER('Model output'!G:G, 'Model output'!Z:Z=A26)),1)))),ISNUMBER(SEARCH("cervical", _xlfn.TEXTJOIN("; ", TRUE, _xlfn._xlws.FILTER('Model output'!G:G, 'Model output'!Z:Z=A26)),1)),ISNUMBER(SEARCH("jugular", _xlfn.TEXTJOIN("; ", TRUE, _xlfn._xlws.FILTER('Model output'!G:G, 'Model output'!Z:Z=A26)),1)),ISNUMBER(SEARCH("left neck", _xlfn.TEXTJOIN("; ", TRUE, _xlfn._xlws.FILTER('Model output'!G:G, 'Model output'!Z:Z=A26)),1)),ISNUMBER(SEARCH("left anterior neck", _xlfn.TEXTJOIN("; ", TRUE, _xlfn._xlws.FILTER('Model output'!G:G, 'Model output'!Z:Z=A26)),1)),ISNUMBER(SEARCH("left posterior neck", _xlfn.TEXTJOIN("; ", TRUE, _xlfn._xlws.FILTER('Model output'!G:G, 'Model output'!Z:Z=A26)),1)),ISNUMBER(SEARCH("right neck", _xlfn.TEXTJOIN("; ", TRUE, _xlfn._xlws.FILTER('Model output'!G:G, 'Model output'!Z:Z=A26)),1)),ISNUMBER(SEARCH("right anterior neck", _xlfn.TEXTJOIN("; ", TRUE, _xlfn._xlws.FILTER('Model output'!G:G, 'Model output'!Z:Z=A26)),1)),ISNUMBER(SEARCH("right posterior neck", _xlfn.TEXTJOIN("; ", TRUE, _xlfn._xlws.FILTER('Model output'!G:G, 'Model output'!Z:Z=A26)),1)))),"lateral",IF(AND(M26=0, _xlfn.TEXTJOIN("; ", TRUE, _xlfn._xlws.FILTER('Model output'!G:G, 'Model output'!Z:Z=A26))=""),"", "central"))</f>
        <v>central</v>
      </c>
      <c r="K26" s="17" t="str" cm="1">
        <f t="array" ref="K26">IF(OR(ISNUMBER(SEARCH("lymph",_xlfn.TEXTJOIN("; ", TRUE, _xlfn._xlws.FILTER('Model output'!H:H, 'Model output'!Z:Z=A26)),1)), ISNUMBER(SEARCH("Not mentioned",_xlfn.TEXTJOIN("; ", TRUE, _xlfn._xlws.FILTER('Model output'!H:H, 'Model output'!Z:Z=A26)),1)),ISNUMBER(SEARCH("subcutaneous soft tissues",_xlfn.TEXTJOIN("; ", TRUE, _xlfn._xlws.FILTER('Model output'!H:H, 'Model output'!Z:Z=A26)),1)),ISNUMBER(SEARCH("larynx",_xlfn.TEXTJOIN("; ", TRUE, _xlfn._xlws.FILTER('Model output'!H:H, 'Model output'!Z:Z=A26)),1)),ISNUMBER(SEARCH("trachea",_xlfn.TEXTJOIN("; ", TRUE, _xlfn._xlws.FILTER('Model output'!H:H, 'Model output'!Z:Z=A26)),1)),ISNUMBER(SEARCH("esophagus",_xlfn.TEXTJOIN("; ", TRUE, _xlfn._xlws.FILTER('Model output'!H:H, 'Model output'!Z:Z=A26)),1)),ISNUMBER(SEARCH("recurrent laryngeal nerve",_xlfn.TEXTJOIN("; ", TRUE, _xlfn._xlws.FILTER('Model output'!H:H, 'Model output'!Z:Z=A26)),1)),ISNUMBER(SEARCH("RLN",_xlfn.TEXTJOIN("; ", TRUE, _xlfn._xlws.FILTER('Model output'!H:H, 'Model output'!Z:Z=A26)),1)),_xlfn.TEXTJOIN("; ", TRUE, _xlfn._xlws.FILTER('Model output'!H:H, 'Model output'!Z:Z=A26))=""),"negative","positive")</f>
        <v>negative</v>
      </c>
      <c r="L26" s="17">
        <f>IF(IFERROR(INDEX('Model output'!I:I, MATCH(A26, 'Model output'!Z:Z, 0)), "") &lt; M26, "", IFERROR(INDEX('Model output'!I:I, MATCH(A26, 'Model output'!Z:Z, 0)), ""))</f>
        <v>15</v>
      </c>
      <c r="M26" s="28">
        <f>IFERROR(INDEX('Model output'!J:J, MATCH(A26, 'Model output'!Z:Z, 0)), "")</f>
        <v>9</v>
      </c>
      <c r="N26" s="47" t="str" cm="1">
        <f t="array" ref="N26">ReplaceTo(ReplaceAnd(SUBSTITUTE(SUBSTITUTE(_xlfn.TEXTJOIN("; ", TRUE, _xlfn._xlws.FILTER('Model output'!K:K, 'Model output'!Z:Z=A26)), " ", ""), ",", ";")))</f>
        <v>~9mm;2.5cm</v>
      </c>
      <c r="O26" s="45" t="str" cm="1">
        <f t="array" ref="O26">IF(LEFT(IF(RIGHT(SUBSTITUTE(FilterWithUnits(N26)&amp;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";")),1)=";",RIGHT(IF(RIGHT(SUBSTITUTE(FilterWithUnits(N26)&amp;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";")),LEN(IF(RIGHT(SUBSTITUTE(FilterWithUnits(N26)&amp;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";")))-1),IF(RIGHT(SUBSTITUTE(FilterWithUnits(N26)&amp; ";" &amp;FilterStringsWithNumericAnd(N26) &amp; ";" &amp; FilterStringsWithX(N26), ";;", ";"),1)=";",LEFT(SUBSTITUTE(FilterWithUnits(N26)&amp; ";" &amp;FilterStringsWithNumericAnd(N26) &amp; ";" &amp; FilterStringsWithX(N26), ";;", ";"),LEN(SUBSTITUTE(FilterWithUnits(N26)&amp; ";" &amp;FilterStringsWithNumericAnd(N26) &amp; ";" &amp; FilterStringsWithX(N26), ";;", ";"))-1),SUBSTITUTE(FilterWithUnits(N26)&amp; ";" &amp;FilterStringsWithNumericAnd(N26) &amp; ";" &amp; FilterStringsWithX(N26), ";;", ";")))</f>
        <v>9mm;2.5cm</v>
      </c>
      <c r="P26" s="45" cm="1">
        <f t="array" ref="P26">IF(MaxSize((SplitDimensions(O26)))=0, "", MaxSize((SplitDimensions(O26))))</f>
        <v>2.5</v>
      </c>
      <c r="Q26" t="str" cm="1">
        <f t="array" ref="Q26">IF(ISERROR(INDEX(_xlfn._xlws.FILTER('Model output'!L:L, ('Model output'!Z:Z=A26)*('Model output'!L:L&lt;&gt;"")), 1)), " ", LOWER(INDEX(_xlfn._xlws.FILTER('Model output'!L:L, ('Model output'!Z:Z=A26)*('Model output'!L:L&lt;&gt;"")), 1)))</f>
        <v>papillary carcinoma: classic (usual, conventional)</v>
      </c>
      <c r="R26" s="45" t="str" cm="1">
        <f t="array" ref="R26">IF(ISERROR(INDEX(_xlfn._xlws.FILTER('Model output'!M:M, ('Model output'!Z:Z=A26)*('Model output'!M:M&lt;&gt;"")), 1)), " ", LOWER(INDEX(_xlfn._xlws.FILTER('Model output'!M:M, ('Model output'!Z:Z=A26)*('Model output'!M:M&lt;&gt;"")), 1)))</f>
        <v>not mentioned</v>
      </c>
      <c r="S26" s="45" t="str" cm="1">
        <f t="array" ref="S26">IF(OR(ISNUMBER(SEARCH("ly",SUBSTITUTE(INDEX(_xlfn._xlws.FILTER('Model output'!N:N,('Model output'!Z:Z=A26)*('Model output'!N:N&lt;&gt;"")),1)," ",""),1)), ISNUMBER(SEARCH("pole",SUBSTITUTE(INDEX(_xlfn._xlws.FILTER('Model output'!N:N,('Model output'!Z:Z=A26)*('Model output'!N:N&lt;&gt;"")),1)," ",""),1))),"",SUBSTITUTE(INDEX(_xlfn._xlws.FILTER('Model output'!N:N,('Model output'!Z:Z=A26)*('Model output'!N:N&lt;&gt;"")),1)," ",""))</f>
        <v>5x3x2cm</v>
      </c>
      <c r="T26" s="45" t="str" cm="1">
        <f t="array" ref="T26">IF(LEFT(IF(RIGHT(SUBSTITUTE(FilterWithUnits(S26)&amp;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";")),1)=";",RIGHT(IF(RIGHT(SUBSTITUTE(FilterWithUnits(S26)&amp;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";")),LEN(IF(RIGHT(SUBSTITUTE(FilterWithUnits(S26)&amp;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";")))-1),IF(RIGHT(SUBSTITUTE(FilterWithUnits(S26)&amp; ";" &amp;FilterStringsWithNumericAnd(S26) &amp; ";" &amp; FilterStringsWithX(S26), ";;", ";"),1)=";",LEFT(SUBSTITUTE(FilterWithUnits(S26)&amp; ";" &amp;FilterStringsWithNumericAnd(S26) &amp; ";" &amp; FilterStringsWithX(S26), ";;", ";"),LEN(SUBSTITUTE(FilterWithUnits(S26)&amp; ";" &amp;FilterStringsWithNumericAnd(S26) &amp; ";" &amp; FilterStringsWithX(S26), ";;", ";"))-1),SUBSTITUTE(FilterWithUnits(S26)&amp; ";" &amp;FilterStringsWithNumericAnd(S26) &amp; ";" &amp; FilterStringsWithX(S26), ";;", ";")))</f>
        <v>5x3x2cm</v>
      </c>
      <c r="U26" s="45" cm="1">
        <f t="array" ref="U26">IF(MaxSize((SplitDimensions(T26)))=0, "", MaxSize((SplitDimensions(T26))))</f>
        <v>5</v>
      </c>
      <c r="V26" s="17" t="str" cm="1">
        <f t="array" ref="V26">IF(ISERROR(INDEX(_xlfn._xlws.FILTER('Model output'!P:P,('Model output'!Z:Z=A26)*('Model output'!P:P&lt;&gt;"")),1)),"negative",IF(OR(ISNUMBER(SEARCH("foc",INDEX(_xlfn._xlws.FILTER('Model output'!P:P,('Model output'!Z:Z=A26)*('Model output'!P:P&lt;&gt;"")),1),1)),ISNUMBER(SEARCH("extensive",INDEX(_xlfn._xlws.FILTER('Model output'!P:P,('Model output'!Z:Z=A26)*('Model output'!P:P&lt;&gt;"")),1),1)),ISNUMBER(SEARCH("present",INDEX(_xlfn._xlws.FILTER('Model output'!P:P,('Model output'!Z:Z=A26)*('Model output'!P:P&lt;&gt;"")),1),1)),ISNUMBER(SEARCH("yes",INDEX(_xlfn._xlws.FILTER('Model output'!P:P,('Model output'!Z:Z=A26)*('Model output'!P:P&lt;&gt;"")),1),1))),"positive","negative"))</f>
        <v>positive</v>
      </c>
      <c r="X26" t="str" cm="1">
        <f t="array" ref="X26">IF(ISNUMBER(SEARCH("4",INDEX(_xlfn._xlws.FILTER('Model output'!P:P,('Model output'!Z:Z=A26)*('Model output'!P:P&lt;&gt;"")),1),1)),INDEX(_xlfn._xlws.FILTER('Model output'!P:P,('Model output'!Z:Z=A26)*('Model output'!P:P&lt;&gt;"")),1),"") &amp; _xlfn.TEXTJOIN("",TRUE,_xlfn._xlws.FILTER('Model output'!Q:Q,'Model output'!Z:Z=A26))</f>
        <v>MinimalComplete encasement of 2.5cm length of right RLN</v>
      </c>
      <c r="Y26" t="str">
        <f t="shared" si="10"/>
        <v>minimal</v>
      </c>
      <c r="Z26" t="str" cm="1">
        <f t="array" ref="Z26">IF(OR(ISNUMBER(SEARCH("focal",_xlfn.TEXTJOIN("; ",TRUE,_xlfn._xlws.FILTER('Model output'!R:R,'Model output'!Z:Z=A26)),1)),ISNUMBER(SEARCH("present",_xlfn.TEXTJOIN("; ",TRUE,_xlfn._xlws.FILTER('Model output'!R:R,'Model output'!Z:Z=A26)),1))),"positive",IF(_xlfn.TEXTJOIN("; ",TRUE,_xlfn._xlws.FILTER('Model output'!R:R,'Model output'!Z:Z=A26))="","negative",IF(OR(ISNUMBER(SEARCH("no",_xlfn.TEXTJOIN("; ",TRUE,_xlfn._xlws.FILTER('Model output'!R:R,'Model output'!Z:Z=A26)),1)),ISNUMBER(SEARCH("absent",_xlfn.TEXTJOIN("; ",TRUE,_xlfn._xlws.FILTER('Model output'!R:R,'Model output'!Z:Z=A26)),1))),"negative","positive")))</f>
        <v>positive</v>
      </c>
      <c r="AA26" s="17" t="str">
        <f t="shared" si="11"/>
        <v>positive</v>
      </c>
      <c r="AE26" s="17" t="str">
        <f t="shared" si="12"/>
        <v>positive</v>
      </c>
      <c r="AF26" t="str" cm="1">
        <f t="array" ref="AF26">_xlfn.TEXTJOIN("; ",TRUE,_xlfn._xlws.FILTER('Model output'!S:S,'Model output'!Z:Z=A26))</f>
        <v>Present (minimal); Yes (lower pole tumour completely encased right RLN)</v>
      </c>
      <c r="AG26" s="17" t="str" cm="1">
        <f t="array" ref="AG26">IF(OR(ISNUMBER(SEARCH("uninvolved",_xlfn.TEXTJOIN("; ",TRUE,_xlfn._xlws.FILTER('Model output'!V:V,'Model output'!Z:Z=A26)),1)),ISNUMBER(SEARCH("clear",_xlfn.TEXTJOIN("; ",TRUE,_xlfn._xlws.FILTER('Model output'!V:V,'Model output'!Z:Z=A26)),1))*ISNUMBER(SEARCH("not mentioned",_xlfn.TEXTJOIN("; ",TRUE,_xlfn._xlws.FILTER('Model output'!V:V,'Model output'!Z:Z=A26)),1))),"negative",IF(ISNUMBER(SEARCH("cannot be assessed",_xlfn.TEXTJOIN("; ",TRUE,_xlfn._xlws.FILTER('Model output'!V:V,'Model output'!Z:Z=A26)),1)),"unknown","negative"))</f>
        <v>negative</v>
      </c>
      <c r="AI26" s="40" t="str">
        <f t="shared" si="13"/>
        <v>high</v>
      </c>
      <c r="AJ26" s="28" t="str">
        <f t="shared" si="14"/>
        <v>4a</v>
      </c>
      <c r="AK26" s="28" t="str">
        <f t="shared" si="2"/>
        <v>1a</v>
      </c>
      <c r="AL26" s="28">
        <f t="shared" si="3"/>
        <v>0</v>
      </c>
      <c r="AM26" s="28" t="str">
        <f t="shared" si="4"/>
        <v>III</v>
      </c>
      <c r="AN26" s="37" t="s">
        <v>170</v>
      </c>
      <c r="AO26" s="38" t="s">
        <v>219</v>
      </c>
      <c r="AP26" s="38" t="s">
        <v>214</v>
      </c>
      <c r="AQ26" s="38">
        <v>0</v>
      </c>
      <c r="AR26" s="38" t="s">
        <v>70</v>
      </c>
      <c r="AS26" s="37">
        <f t="shared" si="5"/>
        <v>1</v>
      </c>
      <c r="AT26" s="38">
        <f t="shared" si="6"/>
        <v>1</v>
      </c>
      <c r="AU26" s="38">
        <f t="shared" si="7"/>
        <v>0</v>
      </c>
      <c r="AV26" s="38">
        <f t="shared" si="8"/>
        <v>1</v>
      </c>
      <c r="AW26" s="39">
        <f t="shared" si="9"/>
        <v>1</v>
      </c>
    </row>
    <row r="27" spans="1:49">
      <c r="A27" s="13">
        <v>25</v>
      </c>
      <c r="B27" s="16">
        <f>_xlfn.MAXIFS('Model output'!B:B,'Model output'!Z:Z,'Classification result'!$A27)</f>
        <v>0</v>
      </c>
      <c r="C27" s="16"/>
      <c r="D27" s="16"/>
      <c r="E27" s="17">
        <f>_xlfn.MAXIFS('Model output'!C:C,'Model output'!Z:Z,'Classification result'!$A27)</f>
        <v>42</v>
      </c>
      <c r="F27" s="17" t="str" cm="1">
        <f t="array" ref="F27">LEFT(IF(ISERROR(RIGHT(IF(INDEX(_xlfn._xlws.FILTER('Model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output'!Z:Z=A27)),1),""),1))),"",(RIGHT(IF(INDEX(_xlfn._xlws.FILTER('Model output'!D:D,('Model output'!Z:Z=A27)),1)&lt;&gt;"",INDEX(_xlfn._xlws.FILTER('Model output'!D:D,('Model output'!Z:Z=A27)),1),""),LEN(IF(INDEX(_xlfn._xlws.FILTER('Model output'!D:D,('Model output'!Z:Z=A27)),1)&lt;&gt;"",INDEX(_xlfn._xlws.FILTER('Model output'!D:D,('Model output'!Z:Z=A27)),1),""))-FIND("T",IF(INDEX(_xlfn._xlws.FILTER('Model output'!D:D,('Model output'!Z:Z=A27)),1)&lt;&gt;"",INDEX(_xlfn._xlws.FILTER('Model output'!D:D,('Model output'!Z:Z=A27)),1)))))),2)</f>
        <v>1b</v>
      </c>
      <c r="G27" s="17" t="str" cm="1">
        <f t="array" ref="G27">IF(ISNUMBER(SEARCH("N",IF(ISNUMBER(SEARCH("present",IF(INDEX(_xlfn._xlws.FILTER('Model output'!E:E,('Model output'!Z:Z=A27)),1)="","",INDEX(_xlfn._xlws.FILTER('Model output'!E:E,('Model output'!Z:Z=A27)),1)),1)),"N1", IF(INDEX(_xlfn._xlws.FILTER('Model output'!E:E,('Model output'!Z:Z=A27)),1)="","",INDEX(_xlfn._xlws.FILTER('Model output'!E:E,('Model output'!Z:Z=A27)),1))),1)),RIGHT(IF(ISNUMBER(SEARCH("present",IF(INDEX(_xlfn._xlws.FILTER('Model output'!E:E,('Model output'!Z:Z=A27)),1)="","",INDEX(_xlfn._xlws.FILTER('Model output'!E:E,('Model output'!Z:Z=A27)),1)),1)),"N1", IF(INDEX(_xlfn._xlws.FILTER('Model output'!E:E,('Model output'!Z:Z=A27)),1)="","",INDEX(_xlfn._xlws.FILTER('Model output'!E:E,('Model output'!Z:Z=A27)),1))),LEN(IF(ISNUMBER(SEARCH("present",IF(INDEX(_xlfn._xlws.FILTER('Model output'!E:E,('Model output'!Z:Z=A27)),1)="","",INDEX(_xlfn._xlws.FILTER('Model output'!E:E,('Model output'!Z:Z=A27)),1)),1)),"N1", IF(INDEX(_xlfn._xlws.FILTER('Model output'!E:E,('Model output'!Z:Z=A27)),1)="","",INDEX(_xlfn._xlws.FILTER('Model output'!E:E,('Model output'!Z:Z=A27)),1))))-FIND("N",IF(ISNUMBER(SEARCH("present",IF(INDEX(_xlfn._xlws.FILTER('Model output'!E:E,('Model output'!Z:Z=A27)),1)="","",INDEX(_xlfn._xlws.FILTER('Model output'!E:E,('Model output'!Z:Z=A27)),1)),1)),"N1", IF(INDEX(_xlfn._xlws.FILTER('Model output'!E:E,('Model output'!Z:Z=A27)),1)="","",INDEX(_xlfn._xlws.FILTER('Model output'!E:E,('Model output'!Z:Z=A27)),1))),1)), "")</f>
        <v/>
      </c>
      <c r="H27" s="17" cm="1">
        <f t="array" ref="H27">IF(AND(SUBSTITUTE(_xlfn.TEXTJOIN("/", TRUE, _xlfn._xlws.FILTER('Model output'!F:F, 'Model output'!Z:Z=A27)),"M", "")="", K27="negative"),0,IF(K27="positive",1,0))</f>
        <v>0</v>
      </c>
      <c r="I27" t="str">
        <f t="shared" si="0"/>
        <v>positive</v>
      </c>
      <c r="J27" t="str" cm="1">
        <f t="array" ref="J27">IF(AND(M27&gt;0, _xlfn.TEXTJOIN("; ", TRUE, _xlfn._xlws.FILTER('Model output'!G:G, 'Model output'!Z:Z=A27)) &lt;&gt;"", OR(AND(ISNUMBER(SEARCH("level", _xlfn.TEXTJOIN("; ", TRUE, _xlfn._xlws.FILTER('Model output'!G:G, 'Model output'!Z:Z=A27)),1)),OR(ISNUMBER(SEARCH(" II", _xlfn.TEXTJOIN("; ", TRUE, _xlfn._xlws.FILTER('Model output'!G:G, 'Model output'!Z:Z=A27)),1)),ISNUMBER(SEARCH("2", _xlfn.TEXTJOIN("; ", TRUE, _xlfn._xlws.FILTER('Model output'!G:G, 'Model output'!Z:Z=A27)),1)),ISNUMBER(SEARCH("two", _xlfn.TEXTJOIN("; ", TRUE, _xlfn._xlws.FILTER('Model output'!G:G, 'Model output'!Z:Z=A27)),1)),ISNUMBER(SEARCH("III", _xlfn.TEXTJOIN("; ", TRUE, _xlfn._xlws.FILTER('Model output'!G:G, 'Model output'!Z:Z=A27)),1)),ISNUMBER(SEARCH("3", _xlfn.TEXTJOIN("; ", TRUE, _xlfn._xlws.FILTER('Model output'!G:G, 'Model output'!Z:Z=A27)),1)),ISNUMBER(SEARCH("three", _xlfn.TEXTJOIN("; ", TRUE, _xlfn._xlws.FILTER('Model output'!G:G, 'Model output'!Z:Z=A27)),1)),ISNUMBER(SEARCH("IV", _xlfn.TEXTJOIN("; ", TRUE, _xlfn._xlws.FILTER('Model output'!G:G, 'Model output'!Z:Z=A27)),1)),ISNUMBER(SEARCH("4", _xlfn.TEXTJOIN("; ", TRUE, _xlfn._xlws.FILTER('Model output'!G:G, 'Model output'!Z:Z=A27)),1)),ISNUMBER(SEARCH("five", _xlfn.TEXTJOIN("; ", TRUE, _xlfn._xlws.FILTER('Model output'!G:G, 'Model output'!Z:Z=A27)),1)),ISNUMBER(SEARCH("V ", _xlfn.TEXTJOIN("; ", TRUE, _xlfn._xlws.FILTER('Model output'!G:G, 'Model output'!Z:Z=A27)),1)),ISNUMBER(SEARCH("5", _xlfn.TEXTJOIN("; ", TRUE, _xlfn._xlws.FILTER('Model output'!G:G, 'Model output'!Z:Z=A27)),1)),ISNUMBER(SEARCH("five", _xlfn.TEXTJOIN("; ", TRUE, _xlfn._xlws.FILTER('Model output'!G:G, 'Model output'!Z:Z=A27)),1)),ISNUMBER(SEARCH(" lateral", _xlfn.TEXTJOIN("; ", TRUE, _xlfn._xlws.FILTER('Model output'!G:G, 'Model output'!Z:Z=A27)),1)))),ISNUMBER(SEARCH("cervical", _xlfn.TEXTJOIN("; ", TRUE, _xlfn._xlws.FILTER('Model output'!G:G, 'Model output'!Z:Z=A27)),1)),ISNUMBER(SEARCH("jugular", _xlfn.TEXTJOIN("; ", TRUE, _xlfn._xlws.FILTER('Model output'!G:G, 'Model output'!Z:Z=A27)),1)),ISNUMBER(SEARCH("left neck", _xlfn.TEXTJOIN("; ", TRUE, _xlfn._xlws.FILTER('Model output'!G:G, 'Model output'!Z:Z=A27)),1)),ISNUMBER(SEARCH("left anterior neck", _xlfn.TEXTJOIN("; ", TRUE, _xlfn._xlws.FILTER('Model output'!G:G, 'Model output'!Z:Z=A27)),1)),ISNUMBER(SEARCH("left posterior neck", _xlfn.TEXTJOIN("; ", TRUE, _xlfn._xlws.FILTER('Model output'!G:G, 'Model output'!Z:Z=A27)),1)),ISNUMBER(SEARCH("right neck", _xlfn.TEXTJOIN("; ", TRUE, _xlfn._xlws.FILTER('Model output'!G:G, 'Model output'!Z:Z=A27)),1)),ISNUMBER(SEARCH("right anterior neck", _xlfn.TEXTJOIN("; ", TRUE, _xlfn._xlws.FILTER('Model output'!G:G, 'Model output'!Z:Z=A27)),1)),ISNUMBER(SEARCH("right posterior neck", _xlfn.TEXTJOIN("; ", TRUE, _xlfn._xlws.FILTER('Model output'!G:G, 'Model output'!Z:Z=A27)),1)))),"lateral",IF(AND(M27=0, _xlfn.TEXTJOIN("; ", TRUE, _xlfn._xlws.FILTER('Model output'!G:G, 'Model output'!Z:Z=A27))=""),"", "central"))</f>
        <v>central</v>
      </c>
      <c r="K27" s="17" t="str" cm="1">
        <f t="array" ref="K27">IF(OR(ISNUMBER(SEARCH("lymph",_xlfn.TEXTJOIN("; ", TRUE, _xlfn._xlws.FILTER('Model output'!H:H, 'Model output'!Z:Z=A27)),1)), ISNUMBER(SEARCH("Not mentioned",_xlfn.TEXTJOIN("; ", TRUE, _xlfn._xlws.FILTER('Model output'!H:H, 'Model output'!Z:Z=A27)),1)),ISNUMBER(SEARCH("subcutaneous soft tissues",_xlfn.TEXTJOIN("; ", TRUE, _xlfn._xlws.FILTER('Model output'!H:H, 'Model output'!Z:Z=A27)),1)),ISNUMBER(SEARCH("larynx",_xlfn.TEXTJOIN("; ", TRUE, _xlfn._xlws.FILTER('Model output'!H:H, 'Model output'!Z:Z=A27)),1)),ISNUMBER(SEARCH("trachea",_xlfn.TEXTJOIN("; ", TRUE, _xlfn._xlws.FILTER('Model output'!H:H, 'Model output'!Z:Z=A27)),1)),ISNUMBER(SEARCH("esophagus",_xlfn.TEXTJOIN("; ", TRUE, _xlfn._xlws.FILTER('Model output'!H:H, 'Model output'!Z:Z=A27)),1)),ISNUMBER(SEARCH("recurrent laryngeal nerve",_xlfn.TEXTJOIN("; ", TRUE, _xlfn._xlws.FILTER('Model output'!H:H, 'Model output'!Z:Z=A27)),1)),ISNUMBER(SEARCH("RLN",_xlfn.TEXTJOIN("; ", TRUE, _xlfn._xlws.FILTER('Model output'!H:H, 'Model output'!Z:Z=A27)),1)),_xlfn.TEXTJOIN("; ", TRUE, _xlfn._xlws.FILTER('Model output'!H:H, 'Model output'!Z:Z=A27))=""),"negative","positive")</f>
        <v>negative</v>
      </c>
      <c r="L27" s="17">
        <f>IF(IFERROR(INDEX('Model output'!I:I, MATCH(A27, 'Model output'!Z:Z, 0)), "") &lt; M27, "", IFERROR(INDEX('Model output'!I:I, MATCH(A27, 'Model output'!Z:Z, 0)), ""))</f>
        <v>2</v>
      </c>
      <c r="M27" s="28">
        <f>IFERROR(INDEX('Model output'!J:J, MATCH(A27, 'Model output'!Z:Z, 0)), "")</f>
        <v>1</v>
      </c>
      <c r="N27" s="47" t="str" cm="1">
        <f t="array" ref="N27">ReplaceTo(ReplaceAnd(SUBSTITUTE(SUBSTITUTE(_xlfn.TEXTJOIN("; ", TRUE, _xlfn._xlws.FILTER('Model output'!K:K, 'Model output'!Z:Z=A27)), " ", ""), ",", ";")))</f>
        <v>1cm</v>
      </c>
      <c r="O27" s="45" t="str" cm="1">
        <f t="array" ref="O27">IF(LEFT(IF(RIGHT(SUBSTITUTE(FilterWithUnits(N27)&amp;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";")),1)=";",RIGHT(IF(RIGHT(SUBSTITUTE(FilterWithUnits(N27)&amp;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";")),LEN(IF(RIGHT(SUBSTITUTE(FilterWithUnits(N27)&amp;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";")))-1),IF(RIGHT(SUBSTITUTE(FilterWithUnits(N27)&amp; ";" &amp;FilterStringsWithNumericAnd(N27) &amp; ";" &amp; FilterStringsWithX(N27), ";;", ";"),1)=";",LEFT(SUBSTITUTE(FilterWithUnits(N27)&amp; ";" &amp;FilterStringsWithNumericAnd(N27) &amp; ";" &amp; FilterStringsWithX(N27), ";;", ";"),LEN(SUBSTITUTE(FilterWithUnits(N27)&amp; ";" &amp;FilterStringsWithNumericAnd(N27) &amp; ";" &amp; FilterStringsWithX(N27), ";;", ";"))-1),SUBSTITUTE(FilterWithUnits(N27)&amp; ";" &amp;FilterStringsWithNumericAnd(N27) &amp; ";" &amp; FilterStringsWithX(N27), ";;", ";")))</f>
        <v>1cm</v>
      </c>
      <c r="P27" s="45" cm="1">
        <f t="array" ref="P27">IF(MaxSize((SplitDimensions(O27)))=0, "", MaxSize((SplitDimensions(O27))))</f>
        <v>1</v>
      </c>
      <c r="Q27" t="str" cm="1">
        <f t="array" ref="Q27">IF(ISERROR(INDEX(_xlfn._xlws.FILTER('Model output'!L:L, ('Model output'!Z:Z=A27)*('Model output'!L:L&lt;&gt;"")), 1)), " ", LOWER(INDEX(_xlfn._xlws.FILTER('Model output'!L:L, ('Model output'!Z:Z=A27)*('Model output'!L:L&lt;&gt;"")), 1)))</f>
        <v>papillary carcinoma: classic (usual, conventional)</v>
      </c>
      <c r="R27" s="45" t="str" cm="1">
        <f t="array" ref="R27">IF(ISERROR(INDEX(_xlfn._xlws.FILTER('Model output'!M:M, ('Model output'!Z:Z=A27)*('Model output'!M:M&lt;&gt;"")), 1)), " ", LOWER(INDEX(_xlfn._xlws.FILTER('Model output'!M:M, ('Model output'!Z:Z=A27)*('Model output'!M:M&lt;&gt;"")), 1)))</f>
        <v xml:space="preserve"> </v>
      </c>
      <c r="S27" s="45" t="str" cm="1">
        <f t="array" ref="S27">IF(OR(ISNUMBER(SEARCH("ly",SUBSTITUTE(INDEX(_xlfn._xlws.FILTER('Model output'!N:N,('Model output'!Z:Z=A27)*('Model output'!N:N&lt;&gt;"")),1)," ",""),1)), ISNUMBER(SEARCH("pole",SUBSTITUTE(INDEX(_xlfn._xlws.FILTER('Model output'!N:N,('Model output'!Z:Z=A27)*('Model output'!N:N&lt;&gt;"")),1)," ",""),1))),"",SUBSTITUTE(INDEX(_xlfn._xlws.FILTER('Model output'!N:N,('Model output'!Z:Z=A27)*('Model output'!N:N&lt;&gt;"")),1)," ",""))</f>
        <v>12.8cm</v>
      </c>
      <c r="T27" s="45" t="str" cm="1">
        <f t="array" ref="T27">IF(LEFT(IF(RIGHT(SUBSTITUTE(FilterWithUnits(S27)&amp;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";")),1)=";",RIGHT(IF(RIGHT(SUBSTITUTE(FilterWithUnits(S27)&amp;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";")),LEN(IF(RIGHT(SUBSTITUTE(FilterWithUnits(S27)&amp;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";")))-1),IF(RIGHT(SUBSTITUTE(FilterWithUnits(S27)&amp; ";" &amp;FilterStringsWithNumericAnd(S27) &amp; ";" &amp; FilterStringsWithX(S27), ";;", ";"),1)=";",LEFT(SUBSTITUTE(FilterWithUnits(S27)&amp; ";" &amp;FilterStringsWithNumericAnd(S27) &amp; ";" &amp; FilterStringsWithX(S27), ";;", ";"),LEN(SUBSTITUTE(FilterWithUnits(S27)&amp; ";" &amp;FilterStringsWithNumericAnd(S27) &amp; ";" &amp; FilterStringsWithX(S27), ";;", ";"))-1),SUBSTITUTE(FilterWithUnits(S27)&amp; ";" &amp;FilterStringsWithNumericAnd(S27) &amp; ";" &amp; FilterStringsWithX(S27), ";;", ";")))</f>
        <v>12.8cm</v>
      </c>
      <c r="U27" s="45" cm="1">
        <f t="array" ref="U27">IF(MaxSize((SplitDimensions(T27)))=0, "", MaxSize((SplitDimensions(T27))))</f>
        <v>12.8</v>
      </c>
      <c r="V27" s="17" t="str" cm="1">
        <f t="array" ref="V27">IF(ISERROR(INDEX(_xlfn._xlws.FILTER('Model output'!P:P,('Model output'!Z:Z=A27)*('Model output'!P:P&lt;&gt;"")),1)),"negative",IF(OR(ISNUMBER(SEARCH("foc",INDEX(_xlfn._xlws.FILTER('Model output'!P:P,('Model output'!Z:Z=A27)*('Model output'!P:P&lt;&gt;"")),1),1)),ISNUMBER(SEARCH("extensive",INDEX(_xlfn._xlws.FILTER('Model output'!P:P,('Model output'!Z:Z=A27)*('Model output'!P:P&lt;&gt;"")),1),1)),ISNUMBER(SEARCH("present",INDEX(_xlfn._xlws.FILTER('Model output'!P:P,('Model output'!Z:Z=A27)*('Model output'!P:P&lt;&gt;"")),1),1)),ISNUMBER(SEARCH("yes",INDEX(_xlfn._xlws.FILTER('Model output'!P:P,('Model output'!Z:Z=A27)*('Model output'!P:P&lt;&gt;"")),1),1))),"positive","negative"))</f>
        <v>negative</v>
      </c>
      <c r="X27" t="str" cm="1">
        <f t="array" ref="X27">IF(ISNUMBER(SEARCH("4",INDEX(_xlfn._xlws.FILTER('Model output'!P:P,('Model output'!Z:Z=A27)*('Model output'!P:P&lt;&gt;"")),1),1)),INDEX(_xlfn._xlws.FILTER('Model output'!P:P,('Model output'!Z:Z=A27)*('Model output'!P:P&lt;&gt;"")),1),"") &amp; _xlfn.TEXTJOIN("",TRUE,_xlfn._xlws.FILTER('Model output'!Q:Q,'Model output'!Z:Z=A27))</f>
        <v/>
      </c>
      <c r="Y27" t="str">
        <f t="shared" si="10"/>
        <v>no</v>
      </c>
      <c r="Z27" t="str" cm="1">
        <f t="array" ref="Z27">IF(OR(ISNUMBER(SEARCH("focal",_xlfn.TEXTJOIN("; ",TRUE,_xlfn._xlws.FILTER('Model output'!R:R,'Model output'!Z:Z=A27)),1)),ISNUMBER(SEARCH("present",_xlfn.TEXTJOIN("; ",TRUE,_xlfn._xlws.FILTER('Model output'!R:R,'Model output'!Z:Z=A27)),1))),"positive",IF(_xlfn.TEXTJOIN("; ",TRUE,_xlfn._xlws.FILTER('Model output'!R:R,'Model output'!Z:Z=A27))="","negative",IF(OR(ISNUMBER(SEARCH("no",_xlfn.TEXTJOIN("; ",TRUE,_xlfn._xlws.FILTER('Model output'!R:R,'Model output'!Z:Z=A27)),1)),ISNUMBER(SEARCH("absent",_xlfn.TEXTJOIN("; ",TRUE,_xlfn._xlws.FILTER('Model output'!R:R,'Model output'!Z:Z=A27)),1))),"negative","positive")))</f>
        <v>negative</v>
      </c>
      <c r="AA27" s="17" t="str">
        <f t="shared" si="11"/>
        <v>negative</v>
      </c>
      <c r="AE27" s="17" t="str">
        <f t="shared" si="12"/>
        <v>negative</v>
      </c>
      <c r="AF27" t="str" cm="1">
        <f t="array" ref="AF27">_xlfn.TEXTJOIN("; ",TRUE,_xlfn._xlws.FILTER('Model output'!S:S,'Model output'!Z:Z=A27))</f>
        <v>Absent</v>
      </c>
      <c r="AG27" s="17" t="str" cm="1">
        <f t="array" ref="AG27">IF(OR(ISNUMBER(SEARCH("uninvolved",_xlfn.TEXTJOIN("; ",TRUE,_xlfn._xlws.FILTER('Model output'!V:V,'Model output'!Z:Z=A27)),1)),ISNUMBER(SEARCH("clear",_xlfn.TEXTJOIN("; ",TRUE,_xlfn._xlws.FILTER('Model output'!V:V,'Model output'!Z:Z=A27)),1))*ISNUMBER(SEARCH("not mentioned",_xlfn.TEXTJOIN("; ",TRUE,_xlfn._xlws.FILTER('Model output'!V:V,'Model output'!Z:Z=A27)),1))),"negative",IF(ISNUMBER(SEARCH("cannot be assessed",_xlfn.TEXTJOIN("; ",TRUE,_xlfn._xlws.FILTER('Model output'!V:V,'Model output'!Z:Z=A27)),1)),"unknown","negative"))</f>
        <v>negative</v>
      </c>
      <c r="AI27" s="40" t="str">
        <f t="shared" si="13"/>
        <v>low</v>
      </c>
      <c r="AJ27" s="28" t="str">
        <f t="shared" si="14"/>
        <v>3a</v>
      </c>
      <c r="AK27" s="28" t="str">
        <f t="shared" si="2"/>
        <v>1a</v>
      </c>
      <c r="AL27" s="28">
        <f t="shared" si="3"/>
        <v>0</v>
      </c>
      <c r="AM27" s="28" t="str">
        <f t="shared" si="4"/>
        <v>I</v>
      </c>
      <c r="AN27" s="37" t="s">
        <v>171</v>
      </c>
      <c r="AO27" s="38" t="s">
        <v>214</v>
      </c>
      <c r="AP27" s="38" t="s">
        <v>215</v>
      </c>
      <c r="AQ27" s="38">
        <v>0</v>
      </c>
      <c r="AR27" s="38" t="s">
        <v>31</v>
      </c>
      <c r="AS27" s="37">
        <f t="shared" si="5"/>
        <v>1</v>
      </c>
      <c r="AT27" s="38">
        <f t="shared" si="6"/>
        <v>0</v>
      </c>
      <c r="AU27" s="38">
        <f t="shared" si="7"/>
        <v>0</v>
      </c>
      <c r="AV27" s="38">
        <f t="shared" si="8"/>
        <v>1</v>
      </c>
      <c r="AW27" s="39">
        <f t="shared" si="9"/>
        <v>1</v>
      </c>
    </row>
    <row r="28" spans="1:49">
      <c r="A28" s="13">
        <v>26</v>
      </c>
      <c r="B28" s="16">
        <f>_xlfn.MAXIFS('Model output'!B:B,'Model output'!Z:Z,'Classification result'!$A28)</f>
        <v>0</v>
      </c>
      <c r="C28" s="16"/>
      <c r="D28" s="16"/>
      <c r="E28" s="17">
        <f>_xlfn.MAXIFS('Model output'!C:C,'Model output'!Z:Z,'Classification result'!$A28)</f>
        <v>73</v>
      </c>
      <c r="F28" s="17" t="str" cm="1">
        <f t="array" ref="F28">LEFT(IF(ISERROR(RIGHT(IF(INDEX(_xlfn._xlws.FILTER('Model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output'!Z:Z=A28)),1),""),1))),"",(RIGHT(IF(INDEX(_xlfn._xlws.FILTER('Model output'!D:D,('Model output'!Z:Z=A28)),1)&lt;&gt;"",INDEX(_xlfn._xlws.FILTER('Model output'!D:D,('Model output'!Z:Z=A28)),1),""),LEN(IF(INDEX(_xlfn._xlws.FILTER('Model output'!D:D,('Model output'!Z:Z=A28)),1)&lt;&gt;"",INDEX(_xlfn._xlws.FILTER('Model output'!D:D,('Model output'!Z:Z=A28)),1),""))-FIND("T",IF(INDEX(_xlfn._xlws.FILTER('Model output'!D:D,('Model output'!Z:Z=A28)),1)&lt;&gt;"",INDEX(_xlfn._xlws.FILTER('Model output'!D:D,('Model output'!Z:Z=A28)),1)))))),2)</f>
        <v>1</v>
      </c>
      <c r="G28" s="17" t="str" cm="1">
        <f t="array" ref="G28">IF(ISNUMBER(SEARCH("N",IF(ISNUMBER(SEARCH("present",IF(INDEX(_xlfn._xlws.FILTER('Model output'!E:E,('Model output'!Z:Z=A28)),1)="","",INDEX(_xlfn._xlws.FILTER('Model output'!E:E,('Model output'!Z:Z=A28)),1)),1)),"N1", IF(INDEX(_xlfn._xlws.FILTER('Model output'!E:E,('Model output'!Z:Z=A28)),1)="","",INDEX(_xlfn._xlws.FILTER('Model output'!E:E,('Model output'!Z:Z=A28)),1))),1)),RIGHT(IF(ISNUMBER(SEARCH("present",IF(INDEX(_xlfn._xlws.FILTER('Model output'!E:E,('Model output'!Z:Z=A28)),1)="","",INDEX(_xlfn._xlws.FILTER('Model output'!E:E,('Model output'!Z:Z=A28)),1)),1)),"N1", IF(INDEX(_xlfn._xlws.FILTER('Model output'!E:E,('Model output'!Z:Z=A28)),1)="","",INDEX(_xlfn._xlws.FILTER('Model output'!E:E,('Model output'!Z:Z=A28)),1))),LEN(IF(ISNUMBER(SEARCH("present",IF(INDEX(_xlfn._xlws.FILTER('Model output'!E:E,('Model output'!Z:Z=A28)),1)="","",INDEX(_xlfn._xlws.FILTER('Model output'!E:E,('Model output'!Z:Z=A28)),1)),1)),"N1", IF(INDEX(_xlfn._xlws.FILTER('Model output'!E:E,('Model output'!Z:Z=A28)),1)="","",INDEX(_xlfn._xlws.FILTER('Model output'!E:E,('Model output'!Z:Z=A28)),1))))-FIND("N",IF(ISNUMBER(SEARCH("present",IF(INDEX(_xlfn._xlws.FILTER('Model output'!E:E,('Model output'!Z:Z=A28)),1)="","",INDEX(_xlfn._xlws.FILTER('Model output'!E:E,('Model output'!Z:Z=A28)),1)),1)),"N1", IF(INDEX(_xlfn._xlws.FILTER('Model output'!E:E,('Model output'!Z:Z=A28)),1)="","",INDEX(_xlfn._xlws.FILTER('Model output'!E:E,('Model output'!Z:Z=A28)),1))),1)), "")</f>
        <v/>
      </c>
      <c r="H28" s="17" cm="1">
        <f t="array" ref="H28">IF(AND(SUBSTITUTE(_xlfn.TEXTJOIN("/", TRUE, _xlfn._xlws.FILTER('Model output'!F:F, 'Model output'!Z:Z=A28)),"M", "")="", K28="negative"),0,IF(K28="positive",1,0))</f>
        <v>0</v>
      </c>
      <c r="I28" t="str">
        <f t="shared" si="0"/>
        <v>positive</v>
      </c>
      <c r="J28" t="str" cm="1">
        <f t="array" ref="J28">IF(AND(M28&gt;0, _xlfn.TEXTJOIN("; ", TRUE, _xlfn._xlws.FILTER('Model output'!G:G, 'Model output'!Z:Z=A28)) &lt;&gt;"", OR(AND(ISNUMBER(SEARCH("level", _xlfn.TEXTJOIN("; ", TRUE, _xlfn._xlws.FILTER('Model output'!G:G, 'Model output'!Z:Z=A28)),1)),OR(ISNUMBER(SEARCH(" II", _xlfn.TEXTJOIN("; ", TRUE, _xlfn._xlws.FILTER('Model output'!G:G, 'Model output'!Z:Z=A28)),1)),ISNUMBER(SEARCH("2", _xlfn.TEXTJOIN("; ", TRUE, _xlfn._xlws.FILTER('Model output'!G:G, 'Model output'!Z:Z=A28)),1)),ISNUMBER(SEARCH("two", _xlfn.TEXTJOIN("; ", TRUE, _xlfn._xlws.FILTER('Model output'!G:G, 'Model output'!Z:Z=A28)),1)),ISNUMBER(SEARCH("III", _xlfn.TEXTJOIN("; ", TRUE, _xlfn._xlws.FILTER('Model output'!G:G, 'Model output'!Z:Z=A28)),1)),ISNUMBER(SEARCH("3", _xlfn.TEXTJOIN("; ", TRUE, _xlfn._xlws.FILTER('Model output'!G:G, 'Model output'!Z:Z=A28)),1)),ISNUMBER(SEARCH("three", _xlfn.TEXTJOIN("; ", TRUE, _xlfn._xlws.FILTER('Model output'!G:G, 'Model output'!Z:Z=A28)),1)),ISNUMBER(SEARCH("IV", _xlfn.TEXTJOIN("; ", TRUE, _xlfn._xlws.FILTER('Model output'!G:G, 'Model output'!Z:Z=A28)),1)),ISNUMBER(SEARCH("4", _xlfn.TEXTJOIN("; ", TRUE, _xlfn._xlws.FILTER('Model output'!G:G, 'Model output'!Z:Z=A28)),1)),ISNUMBER(SEARCH("five", _xlfn.TEXTJOIN("; ", TRUE, _xlfn._xlws.FILTER('Model output'!G:G, 'Model output'!Z:Z=A28)),1)),ISNUMBER(SEARCH("V ", _xlfn.TEXTJOIN("; ", TRUE, _xlfn._xlws.FILTER('Model output'!G:G, 'Model output'!Z:Z=A28)),1)),ISNUMBER(SEARCH("5", _xlfn.TEXTJOIN("; ", TRUE, _xlfn._xlws.FILTER('Model output'!G:G, 'Model output'!Z:Z=A28)),1)),ISNUMBER(SEARCH("five", _xlfn.TEXTJOIN("; ", TRUE, _xlfn._xlws.FILTER('Model output'!G:G, 'Model output'!Z:Z=A28)),1)),ISNUMBER(SEARCH(" lateral", _xlfn.TEXTJOIN("; ", TRUE, _xlfn._xlws.FILTER('Model output'!G:G, 'Model output'!Z:Z=A28)),1)))),ISNUMBER(SEARCH("cervical", _xlfn.TEXTJOIN("; ", TRUE, _xlfn._xlws.FILTER('Model output'!G:G, 'Model output'!Z:Z=A28)),1)),ISNUMBER(SEARCH("jugular", _xlfn.TEXTJOIN("; ", TRUE, _xlfn._xlws.FILTER('Model output'!G:G, 'Model output'!Z:Z=A28)),1)),ISNUMBER(SEARCH("left neck", _xlfn.TEXTJOIN("; ", TRUE, _xlfn._xlws.FILTER('Model output'!G:G, 'Model output'!Z:Z=A28)),1)),ISNUMBER(SEARCH("left anterior neck", _xlfn.TEXTJOIN("; ", TRUE, _xlfn._xlws.FILTER('Model output'!G:G, 'Model output'!Z:Z=A28)),1)),ISNUMBER(SEARCH("left posterior neck", _xlfn.TEXTJOIN("; ", TRUE, _xlfn._xlws.FILTER('Model output'!G:G, 'Model output'!Z:Z=A28)),1)),ISNUMBER(SEARCH("right neck", _xlfn.TEXTJOIN("; ", TRUE, _xlfn._xlws.FILTER('Model output'!G:G, 'Model output'!Z:Z=A28)),1)),ISNUMBER(SEARCH("right anterior neck", _xlfn.TEXTJOIN("; ", TRUE, _xlfn._xlws.FILTER('Model output'!G:G, 'Model output'!Z:Z=A28)),1)),ISNUMBER(SEARCH("right posterior neck", _xlfn.TEXTJOIN("; ", TRUE, _xlfn._xlws.FILTER('Model output'!G:G, 'Model output'!Z:Z=A28)),1)))),"lateral",IF(AND(M28=0, _xlfn.TEXTJOIN("; ", TRUE, _xlfn._xlws.FILTER('Model output'!G:G, 'Model output'!Z:Z=A28))=""),"", "central"))</f>
        <v>central</v>
      </c>
      <c r="K28" s="17" t="str" cm="1">
        <f t="array" ref="K28">IF(OR(ISNUMBER(SEARCH("lymph",_xlfn.TEXTJOIN("; ", TRUE, _xlfn._xlws.FILTER('Model output'!H:H, 'Model output'!Z:Z=A28)),1)), ISNUMBER(SEARCH("Not mentioned",_xlfn.TEXTJOIN("; ", TRUE, _xlfn._xlws.FILTER('Model output'!H:H, 'Model output'!Z:Z=A28)),1)),ISNUMBER(SEARCH("subcutaneous soft tissues",_xlfn.TEXTJOIN("; ", TRUE, _xlfn._xlws.FILTER('Model output'!H:H, 'Model output'!Z:Z=A28)),1)),ISNUMBER(SEARCH("larynx",_xlfn.TEXTJOIN("; ", TRUE, _xlfn._xlws.FILTER('Model output'!H:H, 'Model output'!Z:Z=A28)),1)),ISNUMBER(SEARCH("trachea",_xlfn.TEXTJOIN("; ", TRUE, _xlfn._xlws.FILTER('Model output'!H:H, 'Model output'!Z:Z=A28)),1)),ISNUMBER(SEARCH("esophagus",_xlfn.TEXTJOIN("; ", TRUE, _xlfn._xlws.FILTER('Model output'!H:H, 'Model output'!Z:Z=A28)),1)),ISNUMBER(SEARCH("recurrent laryngeal nerve",_xlfn.TEXTJOIN("; ", TRUE, _xlfn._xlws.FILTER('Model output'!H:H, 'Model output'!Z:Z=A28)),1)),ISNUMBER(SEARCH("RLN",_xlfn.TEXTJOIN("; ", TRUE, _xlfn._xlws.FILTER('Model output'!H:H, 'Model output'!Z:Z=A28)),1)),_xlfn.TEXTJOIN("; ", TRUE, _xlfn._xlws.FILTER('Model output'!H:H, 'Model output'!Z:Z=A28))=""),"negative","positive")</f>
        <v>negative</v>
      </c>
      <c r="L28" s="17">
        <f>IF(IFERROR(INDEX('Model output'!I:I, MATCH(A28, 'Model output'!Z:Z, 0)), "") &lt; M28, "", IFERROR(INDEX('Model output'!I:I, MATCH(A28, 'Model output'!Z:Z, 0)), ""))</f>
        <v>1</v>
      </c>
      <c r="M28" s="28">
        <f>IFERROR(INDEX('Model output'!J:J, MATCH(A28, 'Model output'!Z:Z, 0)), "")</f>
        <v>0</v>
      </c>
      <c r="N28" s="47" t="str" cm="1">
        <f t="array" ref="N28">ReplaceTo(ReplaceAnd(SUBSTITUTE(SUBSTITUTE(_xlfn.TEXTJOIN("; ", TRUE, _xlfn._xlws.FILTER('Model output'!K:K, 'Model output'!Z:Z=A28)), " ", ""), ",", ";")))</f>
        <v/>
      </c>
      <c r="O28" s="45" t="str" cm="1">
        <f t="array" ref="O28">IF(LEFT(IF(RIGHT(SUBSTITUTE(FilterWithUnits(N28)&amp;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";")),1)=";",RIGHT(IF(RIGHT(SUBSTITUTE(FilterWithUnits(N28)&amp;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";")),LEN(IF(RIGHT(SUBSTITUTE(FilterWithUnits(N28)&amp;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";")))-1),IF(RIGHT(SUBSTITUTE(FilterWithUnits(N28)&amp; ";" &amp;FilterStringsWithNumericAnd(N28) &amp; ";" &amp; FilterStringsWithX(N28), ";;", ";"),1)=";",LEFT(SUBSTITUTE(FilterWithUnits(N28)&amp; ";" &amp;FilterStringsWithNumericAnd(N28) &amp; ";" &amp; FilterStringsWithX(N28), ";;", ";"),LEN(SUBSTITUTE(FilterWithUnits(N28)&amp; ";" &amp;FilterStringsWithNumericAnd(N28) &amp; ";" &amp; FilterStringsWithX(N28), ";;", ";"))-1),SUBSTITUTE(FilterWithUnits(N28)&amp; ";" &amp;FilterStringsWithNumericAnd(N28) &amp; ";" &amp; FilterStringsWithX(N28), ";;", ";")))</f>
        <v/>
      </c>
      <c r="P28" s="45" t="str" cm="1">
        <f t="array" ref="P28">IF(MaxSize((SplitDimensions(O28)))=0, "", MaxSize((SplitDimensions(O28))))</f>
        <v/>
      </c>
      <c r="Q28" t="str" cm="1">
        <f t="array" ref="Q28">IF(ISERROR(INDEX(_xlfn._xlws.FILTER('Model output'!L:L, ('Model output'!Z:Z=A28)*('Model output'!L:L&lt;&gt;"")), 1)), " ", LOWER(INDEX(_xlfn._xlws.FILTER('Model output'!L:L, ('Model output'!Z:Z=A28)*('Model output'!L:L&lt;&gt;"")), 1)))</f>
        <v>papillary carcinoma, classic subtype</v>
      </c>
      <c r="R28" s="45" t="str" cm="1">
        <f t="array" ref="R28">IF(ISERROR(INDEX(_xlfn._xlws.FILTER('Model output'!M:M, ('Model output'!Z:Z=A28)*('Model output'!M:M&lt;&gt;"")), 1)), " ", LOWER(INDEX(_xlfn._xlws.FILTER('Model output'!M:M, ('Model output'!Z:Z=A28)*('Model output'!M:M&lt;&gt;"")), 1)))</f>
        <v xml:space="preserve"> </v>
      </c>
      <c r="S28" s="45" t="str" cm="1">
        <f t="array" ref="S28">IF(OR(ISNUMBER(SEARCH("ly",SUBSTITUTE(INDEX(_xlfn._xlws.FILTER('Model output'!N:N,('Model output'!Z:Z=A28)*('Model output'!N:N&lt;&gt;"")),1)," ",""),1)), ISNUMBER(SEARCH("pole",SUBSTITUTE(INDEX(_xlfn._xlws.FILTER('Model output'!N:N,('Model output'!Z:Z=A28)*('Model output'!N:N&lt;&gt;"")),1)," ",""),1))),"",SUBSTITUTE(INDEX(_xlfn._xlws.FILTER('Model output'!N:N,('Model output'!Z:Z=A28)*('Model output'!N:N&lt;&gt;"")),1)," ",""))</f>
        <v>11mm</v>
      </c>
      <c r="T28" s="45" t="str" cm="1">
        <f t="array" ref="T28">IF(LEFT(IF(RIGHT(SUBSTITUTE(FilterWithUnits(S28)&amp;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";")),1)=";",RIGHT(IF(RIGHT(SUBSTITUTE(FilterWithUnits(S28)&amp;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";")),LEN(IF(RIGHT(SUBSTITUTE(FilterWithUnits(S28)&amp;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";")))-1),IF(RIGHT(SUBSTITUTE(FilterWithUnits(S28)&amp; ";" &amp;FilterStringsWithNumericAnd(S28) &amp; ";" &amp; FilterStringsWithX(S28), ";;", ";"),1)=";",LEFT(SUBSTITUTE(FilterWithUnits(S28)&amp; ";" &amp;FilterStringsWithNumericAnd(S28) &amp; ";" &amp; FilterStringsWithX(S28), ";;", ";"),LEN(SUBSTITUTE(FilterWithUnits(S28)&amp; ";" &amp;FilterStringsWithNumericAnd(S28) &amp; ";" &amp; FilterStringsWithX(S28), ";;", ";"))-1),SUBSTITUTE(FilterWithUnits(S28)&amp; ";" &amp;FilterStringsWithNumericAnd(S28) &amp; ";" &amp; FilterStringsWithX(S28), ";;", ";")))</f>
        <v>11mm</v>
      </c>
      <c r="U28" s="45" cm="1">
        <f t="array" ref="U28">IF(MaxSize((SplitDimensions(T28)))=0, "", MaxSize((SplitDimensions(T28))))</f>
        <v>1.1000000000000001</v>
      </c>
      <c r="V28" s="17" t="str" cm="1">
        <f t="array" ref="V28">IF(ISERROR(INDEX(_xlfn._xlws.FILTER('Model output'!P:P,('Model output'!Z:Z=A28)*('Model output'!P:P&lt;&gt;"")),1)),"negative",IF(OR(ISNUMBER(SEARCH("foc",INDEX(_xlfn._xlws.FILTER('Model output'!P:P,('Model output'!Z:Z=A28)*('Model output'!P:P&lt;&gt;"")),1),1)),ISNUMBER(SEARCH("extensive",INDEX(_xlfn._xlws.FILTER('Model output'!P:P,('Model output'!Z:Z=A28)*('Model output'!P:P&lt;&gt;"")),1),1)),ISNUMBER(SEARCH("present",INDEX(_xlfn._xlws.FILTER('Model output'!P:P,('Model output'!Z:Z=A28)*('Model output'!P:P&lt;&gt;"")),1),1)),ISNUMBER(SEARCH("yes",INDEX(_xlfn._xlws.FILTER('Model output'!P:P,('Model output'!Z:Z=A28)*('Model output'!P:P&lt;&gt;"")),1),1))),"positive","negative"))</f>
        <v>negative</v>
      </c>
      <c r="X28" t="str" cm="1">
        <f t="array" ref="X28">IF(ISNUMBER(SEARCH("4",INDEX(_xlfn._xlws.FILTER('Model output'!P:P,('Model output'!Z:Z=A28)*('Model output'!P:P&lt;&gt;"")),1),1)),INDEX(_xlfn._xlws.FILTER('Model output'!P:P,('Model output'!Z:Z=A28)*('Model output'!P:P&lt;&gt;"")),1),"") &amp; _xlfn.TEXTJOIN("",TRUE,_xlfn._xlws.FILTER('Model output'!Q:Q,'Model output'!Z:Z=A28))</f>
        <v>ETE to strap muscle</v>
      </c>
      <c r="Y28" t="str">
        <f t="shared" si="10"/>
        <v>no</v>
      </c>
      <c r="Z28" t="str" cm="1">
        <f t="array" ref="Z28">IF(OR(ISNUMBER(SEARCH("focal",_xlfn.TEXTJOIN("; ",TRUE,_xlfn._xlws.FILTER('Model output'!R:R,'Model output'!Z:Z=A28)),1)),ISNUMBER(SEARCH("present",_xlfn.TEXTJOIN("; ",TRUE,_xlfn._xlws.FILTER('Model output'!R:R,'Model output'!Z:Z=A28)),1))),"positive",IF(_xlfn.TEXTJOIN("; ",TRUE,_xlfn._xlws.FILTER('Model output'!R:R,'Model output'!Z:Z=A28))="","negative",IF(OR(ISNUMBER(SEARCH("no",_xlfn.TEXTJOIN("; ",TRUE,_xlfn._xlws.FILTER('Model output'!R:R,'Model output'!Z:Z=A28)),1)),ISNUMBER(SEARCH("absent",_xlfn.TEXTJOIN("; ",TRUE,_xlfn._xlws.FILTER('Model output'!R:R,'Model output'!Z:Z=A28)),1))),"negative","positive")))</f>
        <v>positive</v>
      </c>
      <c r="AA28" s="17" t="str">
        <f t="shared" si="11"/>
        <v>positive</v>
      </c>
      <c r="AE28" s="17" t="str">
        <f t="shared" si="12"/>
        <v>negative</v>
      </c>
      <c r="AF28" t="str" cm="1">
        <f t="array" ref="AF28">_xlfn.TEXTJOIN("; ",TRUE,_xlfn._xlws.FILTER('Model output'!S:S,'Model output'!Z:Z=A28))</f>
        <v>Microscopic extrathyroidal extension to skeletal muscle anterior to the thyroid gland is present (Block B2); Yes</v>
      </c>
      <c r="AG28" s="17" t="str" cm="1">
        <f t="array" ref="AG28">IF(OR(ISNUMBER(SEARCH("uninvolved",_xlfn.TEXTJOIN("; ",TRUE,_xlfn._xlws.FILTER('Model output'!V:V,'Model output'!Z:Z=A28)),1)),ISNUMBER(SEARCH("clear",_xlfn.TEXTJOIN("; ",TRUE,_xlfn._xlws.FILTER('Model output'!V:V,'Model output'!Z:Z=A28)),1))*ISNUMBER(SEARCH("not mentioned",_xlfn.TEXTJOIN("; ",TRUE,_xlfn._xlws.FILTER('Model output'!V:V,'Model output'!Z:Z=A28)),1))),"negative",IF(ISNUMBER(SEARCH("cannot be assessed",_xlfn.TEXTJOIN("; ",TRUE,_xlfn._xlws.FILTER('Model output'!V:V,'Model output'!Z:Z=A28)),1)),"unknown","negative"))</f>
        <v>negative</v>
      </c>
      <c r="AI28" s="40" t="str">
        <f t="shared" si="13"/>
        <v>intermediate</v>
      </c>
      <c r="AJ28" s="28" t="str">
        <f t="shared" si="14"/>
        <v>1b</v>
      </c>
      <c r="AK28" s="28">
        <f t="shared" si="2"/>
        <v>0</v>
      </c>
      <c r="AL28" s="28">
        <f t="shared" si="3"/>
        <v>0</v>
      </c>
      <c r="AM28" s="28" t="str">
        <f t="shared" si="4"/>
        <v>I</v>
      </c>
      <c r="AN28" s="37" t="s">
        <v>170</v>
      </c>
      <c r="AO28" s="38" t="s">
        <v>217</v>
      </c>
      <c r="AP28" s="38" t="s">
        <v>215</v>
      </c>
      <c r="AQ28" s="38">
        <v>0</v>
      </c>
      <c r="AR28" s="38" t="s">
        <v>45</v>
      </c>
      <c r="AS28" s="37">
        <f t="shared" si="5"/>
        <v>0</v>
      </c>
      <c r="AT28" s="38">
        <f t="shared" si="6"/>
        <v>0</v>
      </c>
      <c r="AU28" s="38">
        <f t="shared" si="7"/>
        <v>1</v>
      </c>
      <c r="AV28" s="38">
        <f t="shared" si="8"/>
        <v>1</v>
      </c>
      <c r="AW28" s="39">
        <f t="shared" si="9"/>
        <v>0</v>
      </c>
    </row>
    <row r="29" spans="1:49">
      <c r="A29" s="13">
        <v>27</v>
      </c>
      <c r="B29" s="16">
        <f>_xlfn.MAXIFS('Model output'!B:B,'Model output'!Z:Z,'Classification result'!$A29)</f>
        <v>0</v>
      </c>
      <c r="C29" s="16"/>
      <c r="D29" s="16"/>
      <c r="E29" s="17">
        <f>_xlfn.MAXIFS('Model output'!C:C,'Model output'!Z:Z,'Classification result'!$A29)</f>
        <v>39</v>
      </c>
      <c r="F29" s="17" t="str" cm="1">
        <f t="array" ref="F29">LEFT(IF(ISERROR(RIGHT(IF(INDEX(_xlfn._xlws.FILTER('Model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output'!Z:Z=A29)),1),""),1))),"",(RIGHT(IF(INDEX(_xlfn._xlws.FILTER('Model output'!D:D,('Model output'!Z:Z=A29)),1)&lt;&gt;"",INDEX(_xlfn._xlws.FILTER('Model output'!D:D,('Model output'!Z:Z=A29)),1),""),LEN(IF(INDEX(_xlfn._xlws.FILTER('Model output'!D:D,('Model output'!Z:Z=A29)),1)&lt;&gt;"",INDEX(_xlfn._xlws.FILTER('Model output'!D:D,('Model output'!Z:Z=A29)),1),""))-FIND("T",IF(INDEX(_xlfn._xlws.FILTER('Model output'!D:D,('Model output'!Z:Z=A29)),1)&lt;&gt;"",INDEX(_xlfn._xlws.FILTER('Model output'!D:D,('Model output'!Z:Z=A29)),1)))))),2)</f>
        <v>1a</v>
      </c>
      <c r="G29" s="17" t="str" cm="1">
        <f t="array" ref="G29">IF(ISNUMBER(SEARCH("N",IF(ISNUMBER(SEARCH("present",IF(INDEX(_xlfn._xlws.FILTER('Model output'!E:E,('Model output'!Z:Z=A29)),1)="","",INDEX(_xlfn._xlws.FILTER('Model output'!E:E,('Model output'!Z:Z=A29)),1)),1)),"N1", IF(INDEX(_xlfn._xlws.FILTER('Model output'!E:E,('Model output'!Z:Z=A29)),1)="","",INDEX(_xlfn._xlws.FILTER('Model output'!E:E,('Model output'!Z:Z=A29)),1))),1)),RIGHT(IF(ISNUMBER(SEARCH("present",IF(INDEX(_xlfn._xlws.FILTER('Model output'!E:E,('Model output'!Z:Z=A29)),1)="","",INDEX(_xlfn._xlws.FILTER('Model output'!E:E,('Model output'!Z:Z=A29)),1)),1)),"N1", IF(INDEX(_xlfn._xlws.FILTER('Model output'!E:E,('Model output'!Z:Z=A29)),1)="","",INDEX(_xlfn._xlws.FILTER('Model output'!E:E,('Model output'!Z:Z=A29)),1))),LEN(IF(ISNUMBER(SEARCH("present",IF(INDEX(_xlfn._xlws.FILTER('Model output'!E:E,('Model output'!Z:Z=A29)),1)="","",INDEX(_xlfn._xlws.FILTER('Model output'!E:E,('Model output'!Z:Z=A29)),1)),1)),"N1", IF(INDEX(_xlfn._xlws.FILTER('Model output'!E:E,('Model output'!Z:Z=A29)),1)="","",INDEX(_xlfn._xlws.FILTER('Model output'!E:E,('Model output'!Z:Z=A29)),1))))-FIND("N",IF(ISNUMBER(SEARCH("present",IF(INDEX(_xlfn._xlws.FILTER('Model output'!E:E,('Model output'!Z:Z=A29)),1)="","",INDEX(_xlfn._xlws.FILTER('Model output'!E:E,('Model output'!Z:Z=A29)),1)),1)),"N1", IF(INDEX(_xlfn._xlws.FILTER('Model output'!E:E,('Model output'!Z:Z=A29)),1)="","",INDEX(_xlfn._xlws.FILTER('Model output'!E:E,('Model output'!Z:Z=A29)),1))),1)), "")</f>
        <v/>
      </c>
      <c r="H29" s="17" cm="1">
        <f t="array" ref="H29">IF(AND(SUBSTITUTE(_xlfn.TEXTJOIN("/", TRUE, _xlfn._xlws.FILTER('Model output'!F:F, 'Model output'!Z:Z=A29)),"M", "")="", K29="negative"),0,IF(K29="positive",1,0))</f>
        <v>0</v>
      </c>
      <c r="I29" t="str">
        <f t="shared" si="0"/>
        <v>positive</v>
      </c>
      <c r="J29" t="str" cm="1">
        <f t="array" ref="J29">IF(AND(M29&gt;0, _xlfn.TEXTJOIN("; ", TRUE, _xlfn._xlws.FILTER('Model output'!G:G, 'Model output'!Z:Z=A29)) &lt;&gt;"", OR(AND(ISNUMBER(SEARCH("level", _xlfn.TEXTJOIN("; ", TRUE, _xlfn._xlws.FILTER('Model output'!G:G, 'Model output'!Z:Z=A29)),1)),OR(ISNUMBER(SEARCH(" II", _xlfn.TEXTJOIN("; ", TRUE, _xlfn._xlws.FILTER('Model output'!G:G, 'Model output'!Z:Z=A29)),1)),ISNUMBER(SEARCH("2", _xlfn.TEXTJOIN("; ", TRUE, _xlfn._xlws.FILTER('Model output'!G:G, 'Model output'!Z:Z=A29)),1)),ISNUMBER(SEARCH("two", _xlfn.TEXTJOIN("; ", TRUE, _xlfn._xlws.FILTER('Model output'!G:G, 'Model output'!Z:Z=A29)),1)),ISNUMBER(SEARCH("III", _xlfn.TEXTJOIN("; ", TRUE, _xlfn._xlws.FILTER('Model output'!G:G, 'Model output'!Z:Z=A29)),1)),ISNUMBER(SEARCH("3", _xlfn.TEXTJOIN("; ", TRUE, _xlfn._xlws.FILTER('Model output'!G:G, 'Model output'!Z:Z=A29)),1)),ISNUMBER(SEARCH("three", _xlfn.TEXTJOIN("; ", TRUE, _xlfn._xlws.FILTER('Model output'!G:G, 'Model output'!Z:Z=A29)),1)),ISNUMBER(SEARCH("IV", _xlfn.TEXTJOIN("; ", TRUE, _xlfn._xlws.FILTER('Model output'!G:G, 'Model output'!Z:Z=A29)),1)),ISNUMBER(SEARCH("4", _xlfn.TEXTJOIN("; ", TRUE, _xlfn._xlws.FILTER('Model output'!G:G, 'Model output'!Z:Z=A29)),1)),ISNUMBER(SEARCH("five", _xlfn.TEXTJOIN("; ", TRUE, _xlfn._xlws.FILTER('Model output'!G:G, 'Model output'!Z:Z=A29)),1)),ISNUMBER(SEARCH("V ", _xlfn.TEXTJOIN("; ", TRUE, _xlfn._xlws.FILTER('Model output'!G:G, 'Model output'!Z:Z=A29)),1)),ISNUMBER(SEARCH("5", _xlfn.TEXTJOIN("; ", TRUE, _xlfn._xlws.FILTER('Model output'!G:G, 'Model output'!Z:Z=A29)),1)),ISNUMBER(SEARCH("five", _xlfn.TEXTJOIN("; ", TRUE, _xlfn._xlws.FILTER('Model output'!G:G, 'Model output'!Z:Z=A29)),1)),ISNUMBER(SEARCH(" lateral", _xlfn.TEXTJOIN("; ", TRUE, _xlfn._xlws.FILTER('Model output'!G:G, 'Model output'!Z:Z=A29)),1)))),ISNUMBER(SEARCH("cervical", _xlfn.TEXTJOIN("; ", TRUE, _xlfn._xlws.FILTER('Model output'!G:G, 'Model output'!Z:Z=A29)),1)),ISNUMBER(SEARCH("jugular", _xlfn.TEXTJOIN("; ", TRUE, _xlfn._xlws.FILTER('Model output'!G:G, 'Model output'!Z:Z=A29)),1)),ISNUMBER(SEARCH("left neck", _xlfn.TEXTJOIN("; ", TRUE, _xlfn._xlws.FILTER('Model output'!G:G, 'Model output'!Z:Z=A29)),1)),ISNUMBER(SEARCH("left anterior neck", _xlfn.TEXTJOIN("; ", TRUE, _xlfn._xlws.FILTER('Model output'!G:G, 'Model output'!Z:Z=A29)),1)),ISNUMBER(SEARCH("left posterior neck", _xlfn.TEXTJOIN("; ", TRUE, _xlfn._xlws.FILTER('Model output'!G:G, 'Model output'!Z:Z=A29)),1)),ISNUMBER(SEARCH("right neck", _xlfn.TEXTJOIN("; ", TRUE, _xlfn._xlws.FILTER('Model output'!G:G, 'Model output'!Z:Z=A29)),1)),ISNUMBER(SEARCH("right anterior neck", _xlfn.TEXTJOIN("; ", TRUE, _xlfn._xlws.FILTER('Model output'!G:G, 'Model output'!Z:Z=A29)),1)),ISNUMBER(SEARCH("right posterior neck", _xlfn.TEXTJOIN("; ", TRUE, _xlfn._xlws.FILTER('Model output'!G:G, 'Model output'!Z:Z=A29)),1)))),"lateral",IF(AND(M29=0, _xlfn.TEXTJOIN("; ", TRUE, _xlfn._xlws.FILTER('Model output'!G:G, 'Model output'!Z:Z=A29))=""),"", "central"))</f>
        <v>central</v>
      </c>
      <c r="K29" s="17" t="str" cm="1">
        <f t="array" ref="K29">IF(OR(ISNUMBER(SEARCH("lymph",_xlfn.TEXTJOIN("; ", TRUE, _xlfn._xlws.FILTER('Model output'!H:H, 'Model output'!Z:Z=A29)),1)), ISNUMBER(SEARCH("Not mentioned",_xlfn.TEXTJOIN("; ", TRUE, _xlfn._xlws.FILTER('Model output'!H:H, 'Model output'!Z:Z=A29)),1)),ISNUMBER(SEARCH("subcutaneous soft tissues",_xlfn.TEXTJOIN("; ", TRUE, _xlfn._xlws.FILTER('Model output'!H:H, 'Model output'!Z:Z=A29)),1)),ISNUMBER(SEARCH("larynx",_xlfn.TEXTJOIN("; ", TRUE, _xlfn._xlws.FILTER('Model output'!H:H, 'Model output'!Z:Z=A29)),1)),ISNUMBER(SEARCH("trachea",_xlfn.TEXTJOIN("; ", TRUE, _xlfn._xlws.FILTER('Model output'!H:H, 'Model output'!Z:Z=A29)),1)),ISNUMBER(SEARCH("esophagus",_xlfn.TEXTJOIN("; ", TRUE, _xlfn._xlws.FILTER('Model output'!H:H, 'Model output'!Z:Z=A29)),1)),ISNUMBER(SEARCH("recurrent laryngeal nerve",_xlfn.TEXTJOIN("; ", TRUE, _xlfn._xlws.FILTER('Model output'!H:H, 'Model output'!Z:Z=A29)),1)),ISNUMBER(SEARCH("RLN",_xlfn.TEXTJOIN("; ", TRUE, _xlfn._xlws.FILTER('Model output'!H:H, 'Model output'!Z:Z=A29)),1)),_xlfn.TEXTJOIN("; ", TRUE, _xlfn._xlws.FILTER('Model output'!H:H, 'Model output'!Z:Z=A29))=""),"negative","positive")</f>
        <v>negative</v>
      </c>
      <c r="L29" s="17">
        <f>IF(IFERROR(INDEX('Model output'!I:I, MATCH(A29, 'Model output'!Z:Z, 0)), "") &lt; M29, "", IFERROR(INDEX('Model output'!I:I, MATCH(A29, 'Model output'!Z:Z, 0)), ""))</f>
        <v>11</v>
      </c>
      <c r="M29" s="28">
        <f>IFERROR(INDEX('Model output'!J:J, MATCH(A29, 'Model output'!Z:Z, 0)), "")</f>
        <v>1</v>
      </c>
      <c r="N29" s="47" t="str" cm="1">
        <f t="array" ref="N29">ReplaceTo(ReplaceAnd(SUBSTITUTE(SUBSTITUTE(_xlfn.TEXTJOIN("; ", TRUE, _xlfn._xlws.FILTER('Model output'!K:K, 'Model output'!Z:Z=A29)), " ", ""), ",", ";")))</f>
        <v>2cm</v>
      </c>
      <c r="O29" s="45" t="str" cm="1">
        <f t="array" ref="O29">IF(LEFT(IF(RIGHT(SUBSTITUTE(FilterWithUnits(N29)&amp;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";")),1)=";",RIGHT(IF(RIGHT(SUBSTITUTE(FilterWithUnits(N29)&amp;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";")),LEN(IF(RIGHT(SUBSTITUTE(FilterWithUnits(N29)&amp;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";")))-1),IF(RIGHT(SUBSTITUTE(FilterWithUnits(N29)&amp; ";" &amp;FilterStringsWithNumericAnd(N29) &amp; ";" &amp; FilterStringsWithX(N29), ";;", ";"),1)=";",LEFT(SUBSTITUTE(FilterWithUnits(N29)&amp; ";" &amp;FilterStringsWithNumericAnd(N29) &amp; ";" &amp; FilterStringsWithX(N29), ";;", ";"),LEN(SUBSTITUTE(FilterWithUnits(N29)&amp; ";" &amp;FilterStringsWithNumericAnd(N29) &amp; ";" &amp; FilterStringsWithX(N29), ";;", ";"))-1),SUBSTITUTE(FilterWithUnits(N29)&amp; ";" &amp;FilterStringsWithNumericAnd(N29) &amp; ";" &amp; FilterStringsWithX(N29), ";;", ";")))</f>
        <v>2cm</v>
      </c>
      <c r="P29" s="45" cm="1">
        <f t="array" ref="P29">IF(MaxSize((SplitDimensions(O29)))=0, "", MaxSize((SplitDimensions(O29))))</f>
        <v>2</v>
      </c>
      <c r="Q29" t="str" cm="1">
        <f t="array" ref="Q29">IF(ISERROR(INDEX(_xlfn._xlws.FILTER('Model output'!L:L, ('Model output'!Z:Z=A29)*('Model output'!L:L&lt;&gt;"")), 1)), " ", LOWER(INDEX(_xlfn._xlws.FILTER('Model output'!L:L, ('Model output'!Z:Z=A29)*('Model output'!L:L&lt;&gt;"")), 1)))</f>
        <v>papillary thyroid carcinoma (x2)</v>
      </c>
      <c r="R29" s="45" t="str" cm="1">
        <f t="array" ref="R29">IF(ISERROR(INDEX(_xlfn._xlws.FILTER('Model output'!M:M, ('Model output'!Z:Z=A29)*('Model output'!M:M&lt;&gt;"")), 1)), " ", LOWER(INDEX(_xlfn._xlws.FILTER('Model output'!M:M, ('Model output'!Z:Z=A29)*('Model output'!M:M&lt;&gt;"")), 1)))</f>
        <v xml:space="preserve"> </v>
      </c>
      <c r="S29" s="45" t="str" cm="1">
        <f t="array" ref="S29">IF(OR(ISNUMBER(SEARCH("ly",SUBSTITUTE(INDEX(_xlfn._xlws.FILTER('Model output'!N:N,('Model output'!Z:Z=A29)*('Model output'!N:N&lt;&gt;"")),1)," ",""),1)), ISNUMBER(SEARCH("pole",SUBSTITUTE(INDEX(_xlfn._xlws.FILTER('Model output'!N:N,('Model output'!Z:Z=A29)*('Model output'!N:N&lt;&gt;"")),1)," ",""),1))),"",SUBSTITUTE(INDEX(_xlfn._xlws.FILTER('Model output'!N:N,('Model output'!Z:Z=A29)*('Model output'!N:N&lt;&gt;"")),1)," ",""))</f>
        <v/>
      </c>
      <c r="T29" s="45" t="str" cm="1">
        <f t="array" ref="T29">IF(LEFT(IF(RIGHT(SUBSTITUTE(FilterWithUnits(S29)&amp;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";")),1)=";",RIGHT(IF(RIGHT(SUBSTITUTE(FilterWithUnits(S29)&amp;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";")),LEN(IF(RIGHT(SUBSTITUTE(FilterWithUnits(S29)&amp;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";")))-1),IF(RIGHT(SUBSTITUTE(FilterWithUnits(S29)&amp; ";" &amp;FilterStringsWithNumericAnd(S29) &amp; ";" &amp; FilterStringsWithX(S29), ";;", ";"),1)=";",LEFT(SUBSTITUTE(FilterWithUnits(S29)&amp; ";" &amp;FilterStringsWithNumericAnd(S29) &amp; ";" &amp; FilterStringsWithX(S29), ";;", ";"),LEN(SUBSTITUTE(FilterWithUnits(S29)&amp; ";" &amp;FilterStringsWithNumericAnd(S29) &amp; ";" &amp; FilterStringsWithX(S29), ";;", ";"))-1),SUBSTITUTE(FilterWithUnits(S29)&amp; ";" &amp;FilterStringsWithNumericAnd(S29) &amp; ";" &amp; FilterStringsWithX(S29), ";;", ";")))</f>
        <v/>
      </c>
      <c r="U29" s="45" t="str" cm="1">
        <f t="array" ref="U29">IF(MaxSize((SplitDimensions(T29)))=0, "", MaxSize((SplitDimensions(T29))))</f>
        <v/>
      </c>
      <c r="V29" s="17" t="str" cm="1">
        <f t="array" ref="V29">IF(ISERROR(INDEX(_xlfn._xlws.FILTER('Model output'!P:P,('Model output'!Z:Z=A29)*('Model output'!P:P&lt;&gt;"")),1)),"negative",IF(OR(ISNUMBER(SEARCH("foc",INDEX(_xlfn._xlws.FILTER('Model output'!P:P,('Model output'!Z:Z=A29)*('Model output'!P:P&lt;&gt;"")),1),1)),ISNUMBER(SEARCH("extensive",INDEX(_xlfn._xlws.FILTER('Model output'!P:P,('Model output'!Z:Z=A29)*('Model output'!P:P&lt;&gt;"")),1),1)),ISNUMBER(SEARCH("present",INDEX(_xlfn._xlws.FILTER('Model output'!P:P,('Model output'!Z:Z=A29)*('Model output'!P:P&lt;&gt;"")),1),1)),ISNUMBER(SEARCH("yes",INDEX(_xlfn._xlws.FILTER('Model output'!P:P,('Model output'!Z:Z=A29)*('Model output'!P:P&lt;&gt;"")),1),1))),"positive","negative"))</f>
        <v>negative</v>
      </c>
      <c r="X29" t="str" cm="1">
        <f t="array" ref="X29">IF(ISNUMBER(SEARCH("4",INDEX(_xlfn._xlws.FILTER('Model output'!P:P,('Model output'!Z:Z=A29)*('Model output'!P:P&lt;&gt;"")),1),1)),INDEX(_xlfn._xlws.FILTER('Model output'!P:P,('Model output'!Z:Z=A29)*('Model output'!P:P&lt;&gt;"")),1),"") &amp; _xlfn.TEXTJOIN("",TRUE,_xlfn._xlws.FILTER('Model output'!Q:Q,'Model output'!Z:Z=A29))</f>
        <v/>
      </c>
      <c r="Y29" t="str">
        <f t="shared" si="10"/>
        <v>no</v>
      </c>
      <c r="Z29" t="str" cm="1">
        <f t="array" ref="Z29">IF(OR(ISNUMBER(SEARCH("focal",_xlfn.TEXTJOIN("; ",TRUE,_xlfn._xlws.FILTER('Model output'!R:R,'Model output'!Z:Z=A29)),1)),ISNUMBER(SEARCH("present",_xlfn.TEXTJOIN("; ",TRUE,_xlfn._xlws.FILTER('Model output'!R:R,'Model output'!Z:Z=A29)),1))),"positive",IF(_xlfn.TEXTJOIN("; ",TRUE,_xlfn._xlws.FILTER('Model output'!R:R,'Model output'!Z:Z=A29))="","negative",IF(OR(ISNUMBER(SEARCH("no",_xlfn.TEXTJOIN("; ",TRUE,_xlfn._xlws.FILTER('Model output'!R:R,'Model output'!Z:Z=A29)),1)),ISNUMBER(SEARCH("absent",_xlfn.TEXTJOIN("; ",TRUE,_xlfn._xlws.FILTER('Model output'!R:R,'Model output'!Z:Z=A29)),1))),"negative","positive")))</f>
        <v>negative</v>
      </c>
      <c r="AA29" s="17" t="str">
        <f t="shared" si="11"/>
        <v>negative</v>
      </c>
      <c r="AE29" s="17" t="str">
        <f t="shared" si="12"/>
        <v>negative</v>
      </c>
      <c r="AF29" t="str" cm="1">
        <f t="array" ref="AF29">_xlfn.TEXTJOIN("; ",TRUE,_xlfn._xlws.FILTER('Model output'!S:S,'Model output'!Z:Z=A29))</f>
        <v>Not identified</v>
      </c>
      <c r="AG29" s="17" t="str" cm="1">
        <f t="array" ref="AG29">IF(OR(ISNUMBER(SEARCH("uninvolved",_xlfn.TEXTJOIN("; ",TRUE,_xlfn._xlws.FILTER('Model output'!V:V,'Model output'!Z:Z=A29)),1)),ISNUMBER(SEARCH("clear",_xlfn.TEXTJOIN("; ",TRUE,_xlfn._xlws.FILTER('Model output'!V:V,'Model output'!Z:Z=A29)),1))*ISNUMBER(SEARCH("not mentioned",_xlfn.TEXTJOIN("; ",TRUE,_xlfn._xlws.FILTER('Model output'!V:V,'Model output'!Z:Z=A29)),1))),"negative",IF(ISNUMBER(SEARCH("cannot be assessed",_xlfn.TEXTJOIN("; ",TRUE,_xlfn._xlws.FILTER('Model output'!V:V,'Model output'!Z:Z=A29)),1)),"unknown","negative"))</f>
        <v>negative</v>
      </c>
      <c r="AI29" s="40" t="str">
        <f t="shared" si="13"/>
        <v>low</v>
      </c>
      <c r="AJ29" s="28" t="str">
        <f t="shared" si="14"/>
        <v>1a</v>
      </c>
      <c r="AK29" s="28" t="str">
        <f t="shared" si="2"/>
        <v>1a</v>
      </c>
      <c r="AL29" s="28">
        <f t="shared" si="3"/>
        <v>0</v>
      </c>
      <c r="AM29" s="28" t="str">
        <f t="shared" si="4"/>
        <v>I</v>
      </c>
      <c r="AN29" s="37" t="s">
        <v>171</v>
      </c>
      <c r="AO29" s="38" t="s">
        <v>216</v>
      </c>
      <c r="AP29" s="38" t="s">
        <v>216</v>
      </c>
      <c r="AQ29" s="38">
        <v>0</v>
      </c>
      <c r="AR29" s="38" t="s">
        <v>31</v>
      </c>
      <c r="AS29" s="37">
        <f t="shared" si="5"/>
        <v>1</v>
      </c>
      <c r="AT29" s="38">
        <f t="shared" si="6"/>
        <v>1</v>
      </c>
      <c r="AU29" s="38">
        <f t="shared" si="7"/>
        <v>1</v>
      </c>
      <c r="AV29" s="38">
        <f t="shared" si="8"/>
        <v>1</v>
      </c>
      <c r="AW29" s="39">
        <f t="shared" si="9"/>
        <v>1</v>
      </c>
    </row>
    <row r="30" spans="1:49">
      <c r="A30" s="13">
        <v>28</v>
      </c>
      <c r="B30" s="16">
        <f>_xlfn.MAXIFS('Model output'!B:B,'Model output'!Z:Z,'Classification result'!$A30)</f>
        <v>0</v>
      </c>
      <c r="C30" s="16"/>
      <c r="D30" s="16"/>
      <c r="E30" s="17">
        <f>_xlfn.MAXIFS('Model output'!C:C,'Model output'!Z:Z,'Classification result'!$A30)</f>
        <v>57</v>
      </c>
      <c r="F30" s="17" t="str" cm="1">
        <f t="array" ref="F30">LEFT(IF(ISERROR(RIGHT(IF(INDEX(_xlfn._xlws.FILTER('Model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output'!Z:Z=A30)),1),""),1))),"",(RIGHT(IF(INDEX(_xlfn._xlws.FILTER('Model output'!D:D,('Model output'!Z:Z=A30)),1)&lt;&gt;"",INDEX(_xlfn._xlws.FILTER('Model output'!D:D,('Model output'!Z:Z=A30)),1),""),LEN(IF(INDEX(_xlfn._xlws.FILTER('Model output'!D:D,('Model output'!Z:Z=A30)),1)&lt;&gt;"",INDEX(_xlfn._xlws.FILTER('Model output'!D:D,('Model output'!Z:Z=A30)),1),""))-FIND("T",IF(INDEX(_xlfn._xlws.FILTER('Model output'!D:D,('Model output'!Z:Z=A30)),1)&lt;&gt;"",INDEX(_xlfn._xlws.FILTER('Model output'!D:D,('Model output'!Z:Z=A30)),1)))))),2)</f>
        <v>1a</v>
      </c>
      <c r="G30" s="17" t="str" cm="1">
        <f t="array" ref="G30">IF(ISNUMBER(SEARCH("N",IF(ISNUMBER(SEARCH("present",IF(INDEX(_xlfn._xlws.FILTER('Model output'!E:E,('Model output'!Z:Z=A30)),1)="","",INDEX(_xlfn._xlws.FILTER('Model output'!E:E,('Model output'!Z:Z=A30)),1)),1)),"N1", IF(INDEX(_xlfn._xlws.FILTER('Model output'!E:E,('Model output'!Z:Z=A30)),1)="","",INDEX(_xlfn._xlws.FILTER('Model output'!E:E,('Model output'!Z:Z=A30)),1))),1)),RIGHT(IF(ISNUMBER(SEARCH("present",IF(INDEX(_xlfn._xlws.FILTER('Model output'!E:E,('Model output'!Z:Z=A30)),1)="","",INDEX(_xlfn._xlws.FILTER('Model output'!E:E,('Model output'!Z:Z=A30)),1)),1)),"N1", IF(INDEX(_xlfn._xlws.FILTER('Model output'!E:E,('Model output'!Z:Z=A30)),1)="","",INDEX(_xlfn._xlws.FILTER('Model output'!E:E,('Model output'!Z:Z=A30)),1))),LEN(IF(ISNUMBER(SEARCH("present",IF(INDEX(_xlfn._xlws.FILTER('Model output'!E:E,('Model output'!Z:Z=A30)),1)="","",INDEX(_xlfn._xlws.FILTER('Model output'!E:E,('Model output'!Z:Z=A30)),1)),1)),"N1", IF(INDEX(_xlfn._xlws.FILTER('Model output'!E:E,('Model output'!Z:Z=A30)),1)="","",INDEX(_xlfn._xlws.FILTER('Model output'!E:E,('Model output'!Z:Z=A30)),1))))-FIND("N",IF(ISNUMBER(SEARCH("present",IF(INDEX(_xlfn._xlws.FILTER('Model output'!E:E,('Model output'!Z:Z=A30)),1)="","",INDEX(_xlfn._xlws.FILTER('Model output'!E:E,('Model output'!Z:Z=A30)),1)),1)),"N1", IF(INDEX(_xlfn._xlws.FILTER('Model output'!E:E,('Model output'!Z:Z=A30)),1)="","",INDEX(_xlfn._xlws.FILTER('Model output'!E:E,('Model output'!Z:Z=A30)),1))),1)), "")</f>
        <v/>
      </c>
      <c r="H30" s="17" cm="1">
        <f t="array" ref="H30">IF(AND(SUBSTITUTE(_xlfn.TEXTJOIN("/", TRUE, _xlfn._xlws.FILTER('Model output'!F:F, 'Model output'!Z:Z=A30)),"M", "")="", K30="negative"),0,IF(K30="positive",1,0))</f>
        <v>0</v>
      </c>
      <c r="I30" t="str">
        <f t="shared" si="0"/>
        <v>positive</v>
      </c>
      <c r="J30" t="str" cm="1">
        <f t="array" ref="J30">IF(AND(M30&gt;0, _xlfn.TEXTJOIN("; ", TRUE, _xlfn._xlws.FILTER('Model output'!G:G, 'Model output'!Z:Z=A30)) &lt;&gt;"", OR(AND(ISNUMBER(SEARCH("level", _xlfn.TEXTJOIN("; ", TRUE, _xlfn._xlws.FILTER('Model output'!G:G, 'Model output'!Z:Z=A30)),1)),OR(ISNUMBER(SEARCH(" II", _xlfn.TEXTJOIN("; ", TRUE, _xlfn._xlws.FILTER('Model output'!G:G, 'Model output'!Z:Z=A30)),1)),ISNUMBER(SEARCH("2", _xlfn.TEXTJOIN("; ", TRUE, _xlfn._xlws.FILTER('Model output'!G:G, 'Model output'!Z:Z=A30)),1)),ISNUMBER(SEARCH("two", _xlfn.TEXTJOIN("; ", TRUE, _xlfn._xlws.FILTER('Model output'!G:G, 'Model output'!Z:Z=A30)),1)),ISNUMBER(SEARCH("III", _xlfn.TEXTJOIN("; ", TRUE, _xlfn._xlws.FILTER('Model output'!G:G, 'Model output'!Z:Z=A30)),1)),ISNUMBER(SEARCH("3", _xlfn.TEXTJOIN("; ", TRUE, _xlfn._xlws.FILTER('Model output'!G:G, 'Model output'!Z:Z=A30)),1)),ISNUMBER(SEARCH("three", _xlfn.TEXTJOIN("; ", TRUE, _xlfn._xlws.FILTER('Model output'!G:G, 'Model output'!Z:Z=A30)),1)),ISNUMBER(SEARCH("IV", _xlfn.TEXTJOIN("; ", TRUE, _xlfn._xlws.FILTER('Model output'!G:G, 'Model output'!Z:Z=A30)),1)),ISNUMBER(SEARCH("4", _xlfn.TEXTJOIN("; ", TRUE, _xlfn._xlws.FILTER('Model output'!G:G, 'Model output'!Z:Z=A30)),1)),ISNUMBER(SEARCH("five", _xlfn.TEXTJOIN("; ", TRUE, _xlfn._xlws.FILTER('Model output'!G:G, 'Model output'!Z:Z=A30)),1)),ISNUMBER(SEARCH("V ", _xlfn.TEXTJOIN("; ", TRUE, _xlfn._xlws.FILTER('Model output'!G:G, 'Model output'!Z:Z=A30)),1)),ISNUMBER(SEARCH("5", _xlfn.TEXTJOIN("; ", TRUE, _xlfn._xlws.FILTER('Model output'!G:G, 'Model output'!Z:Z=A30)),1)),ISNUMBER(SEARCH("five", _xlfn.TEXTJOIN("; ", TRUE, _xlfn._xlws.FILTER('Model output'!G:G, 'Model output'!Z:Z=A30)),1)),ISNUMBER(SEARCH(" lateral", _xlfn.TEXTJOIN("; ", TRUE, _xlfn._xlws.FILTER('Model output'!G:G, 'Model output'!Z:Z=A30)),1)))),ISNUMBER(SEARCH("cervical", _xlfn.TEXTJOIN("; ", TRUE, _xlfn._xlws.FILTER('Model output'!G:G, 'Model output'!Z:Z=A30)),1)),ISNUMBER(SEARCH("jugular", _xlfn.TEXTJOIN("; ", TRUE, _xlfn._xlws.FILTER('Model output'!G:G, 'Model output'!Z:Z=A30)),1)),ISNUMBER(SEARCH("left neck", _xlfn.TEXTJOIN("; ", TRUE, _xlfn._xlws.FILTER('Model output'!G:G, 'Model output'!Z:Z=A30)),1)),ISNUMBER(SEARCH("left anterior neck", _xlfn.TEXTJOIN("; ", TRUE, _xlfn._xlws.FILTER('Model output'!G:G, 'Model output'!Z:Z=A30)),1)),ISNUMBER(SEARCH("left posterior neck", _xlfn.TEXTJOIN("; ", TRUE, _xlfn._xlws.FILTER('Model output'!G:G, 'Model output'!Z:Z=A30)),1)),ISNUMBER(SEARCH("right neck", _xlfn.TEXTJOIN("; ", TRUE, _xlfn._xlws.FILTER('Model output'!G:G, 'Model output'!Z:Z=A30)),1)),ISNUMBER(SEARCH("right anterior neck", _xlfn.TEXTJOIN("; ", TRUE, _xlfn._xlws.FILTER('Model output'!G:G, 'Model output'!Z:Z=A30)),1)),ISNUMBER(SEARCH("right posterior neck", _xlfn.TEXTJOIN("; ", TRUE, _xlfn._xlws.FILTER('Model output'!G:G, 'Model output'!Z:Z=A30)),1)))),"lateral",IF(AND(M30=0, _xlfn.TEXTJOIN("; ", TRUE, _xlfn._xlws.FILTER('Model output'!G:G, 'Model output'!Z:Z=A30))=""),"", "central"))</f>
        <v>central</v>
      </c>
      <c r="K30" s="17" t="str" cm="1">
        <f t="array" ref="K30">IF(OR(ISNUMBER(SEARCH("lymph",_xlfn.TEXTJOIN("; ", TRUE, _xlfn._xlws.FILTER('Model output'!H:H, 'Model output'!Z:Z=A30)),1)), ISNUMBER(SEARCH("Not mentioned",_xlfn.TEXTJOIN("; ", TRUE, _xlfn._xlws.FILTER('Model output'!H:H, 'Model output'!Z:Z=A30)),1)),ISNUMBER(SEARCH("subcutaneous soft tissues",_xlfn.TEXTJOIN("; ", TRUE, _xlfn._xlws.FILTER('Model output'!H:H, 'Model output'!Z:Z=A30)),1)),ISNUMBER(SEARCH("larynx",_xlfn.TEXTJOIN("; ", TRUE, _xlfn._xlws.FILTER('Model output'!H:H, 'Model output'!Z:Z=A30)),1)),ISNUMBER(SEARCH("trachea",_xlfn.TEXTJOIN("; ", TRUE, _xlfn._xlws.FILTER('Model output'!H:H, 'Model output'!Z:Z=A30)),1)),ISNUMBER(SEARCH("esophagus",_xlfn.TEXTJOIN("; ", TRUE, _xlfn._xlws.FILTER('Model output'!H:H, 'Model output'!Z:Z=A30)),1)),ISNUMBER(SEARCH("recurrent laryngeal nerve",_xlfn.TEXTJOIN("; ", TRUE, _xlfn._xlws.FILTER('Model output'!H:H, 'Model output'!Z:Z=A30)),1)),ISNUMBER(SEARCH("RLN",_xlfn.TEXTJOIN("; ", TRUE, _xlfn._xlws.FILTER('Model output'!H:H, 'Model output'!Z:Z=A30)),1)),_xlfn.TEXTJOIN("; ", TRUE, _xlfn._xlws.FILTER('Model output'!H:H, 'Model output'!Z:Z=A30))=""),"negative","positive")</f>
        <v>negative</v>
      </c>
      <c r="L30" s="17">
        <f>IF(IFERROR(INDEX('Model output'!I:I, MATCH(A30, 'Model output'!Z:Z, 0)), "") &lt; M30, "", IFERROR(INDEX('Model output'!I:I, MATCH(A30, 'Model output'!Z:Z, 0)), ""))</f>
        <v>5</v>
      </c>
      <c r="M30" s="28">
        <f>IFERROR(INDEX('Model output'!J:J, MATCH(A30, 'Model output'!Z:Z, 0)), "")</f>
        <v>1</v>
      </c>
      <c r="N30" s="47" t="str" cm="1">
        <f t="array" ref="N30">ReplaceTo(ReplaceAnd(SUBSTITUTE(SUBSTITUTE(_xlfn.TEXTJOIN("; ", TRUE, _xlfn._xlws.FILTER('Model output'!K:K, 'Model output'!Z:Z=A30)), " ", ""), ",", ";")))</f>
        <v>2.5mm</v>
      </c>
      <c r="O30" s="45" t="str" cm="1">
        <f t="array" ref="O30">IF(LEFT(IF(RIGHT(SUBSTITUTE(FilterWithUnits(N30)&amp;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";")),1)=";",RIGHT(IF(RIGHT(SUBSTITUTE(FilterWithUnits(N30)&amp;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";")),LEN(IF(RIGHT(SUBSTITUTE(FilterWithUnits(N30)&amp;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";")))-1),IF(RIGHT(SUBSTITUTE(FilterWithUnits(N30)&amp; ";" &amp;FilterStringsWithNumericAnd(N30) &amp; ";" &amp; FilterStringsWithX(N30), ";;", ";"),1)=";",LEFT(SUBSTITUTE(FilterWithUnits(N30)&amp; ";" &amp;FilterStringsWithNumericAnd(N30) &amp; ";" &amp; FilterStringsWithX(N30), ";;", ";"),LEN(SUBSTITUTE(FilterWithUnits(N30)&amp; ";" &amp;FilterStringsWithNumericAnd(N30) &amp; ";" &amp; FilterStringsWithX(N30), ";;", ";"))-1),SUBSTITUTE(FilterWithUnits(N30)&amp; ";" &amp;FilterStringsWithNumericAnd(N30) &amp; ";" &amp; FilterStringsWithX(N30), ";;", ";")))</f>
        <v>2.5mm</v>
      </c>
      <c r="P30" s="45" cm="1">
        <f t="array" ref="P30">IF(MaxSize((SplitDimensions(O30)))=0, "", MaxSize((SplitDimensions(O30))))</f>
        <v>0.25</v>
      </c>
      <c r="Q30" t="str" cm="1">
        <f t="array" ref="Q30">IF(ISERROR(INDEX(_xlfn._xlws.FILTER('Model output'!L:L, ('Model output'!Z:Z=A30)*('Model output'!L:L&lt;&gt;"")), 1)), " ", LOWER(INDEX(_xlfn._xlws.FILTER('Model output'!L:L, ('Model output'!Z:Z=A30)*('Model output'!L:L&lt;&gt;"")), 1)))</f>
        <v>papillary carcinoma</v>
      </c>
      <c r="R30" s="45" t="str" cm="1">
        <f t="array" ref="R30">IF(ISERROR(INDEX(_xlfn._xlws.FILTER('Model output'!M:M, ('Model output'!Z:Z=A30)*('Model output'!M:M&lt;&gt;"")), 1)), " ", LOWER(INDEX(_xlfn._xlws.FILTER('Model output'!M:M, ('Model output'!Z:Z=A30)*('Model output'!M:M&lt;&gt;"")), 1)))</f>
        <v xml:space="preserve"> </v>
      </c>
      <c r="S30" s="45" t="str" cm="1">
        <f t="array" ref="S30">IF(OR(ISNUMBER(SEARCH("ly",SUBSTITUTE(INDEX(_xlfn._xlws.FILTER('Model output'!N:N,('Model output'!Z:Z=A30)*('Model output'!N:N&lt;&gt;"")),1)," ",""),1)), ISNUMBER(SEARCH("pole",SUBSTITUTE(INDEX(_xlfn._xlws.FILTER('Model output'!N:N,('Model output'!Z:Z=A30)*('Model output'!N:N&lt;&gt;"")),1)," ",""),1))),"",SUBSTITUTE(INDEX(_xlfn._xlws.FILTER('Model output'!N:N,('Model output'!Z:Z=A30)*('Model output'!N:N&lt;&gt;"")),1)," ",""))</f>
        <v>Notspecified(mentionedas5mmand2.5mmindifferentlocations)</v>
      </c>
      <c r="T30" s="45" t="str" cm="1">
        <f t="array" ref="T30">IF(LEFT(IF(RIGHT(SUBSTITUTE(FilterWithUnits(S30)&amp;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";")),1)=";",RIGHT(IF(RIGHT(SUBSTITUTE(FilterWithUnits(S30)&amp;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";")),LEN(IF(RIGHT(SUBSTITUTE(FilterWithUnits(S30)&amp;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";")))-1),IF(RIGHT(SUBSTITUTE(FilterWithUnits(S30)&amp; ";" &amp;FilterStringsWithNumericAnd(S30) &amp; ";" &amp; FilterStringsWithX(S30), ";;", ";"),1)=";",LEFT(SUBSTITUTE(FilterWithUnits(S30)&amp; ";" &amp;FilterStringsWithNumericAnd(S30) &amp; ";" &amp; FilterStringsWithX(S30), ";;", ";"),LEN(SUBSTITUTE(FilterWithUnits(S30)&amp; ";" &amp;FilterStringsWithNumericAnd(S30) &amp; ";" &amp; FilterStringsWithX(S30), ";;", ";"))-1),SUBSTITUTE(FilterWithUnits(S30)&amp; ";" &amp;FilterStringsWithNumericAnd(S30) &amp; ";" &amp; FilterStringsWithX(S30), ";;", ";")))</f>
        <v>5mm</v>
      </c>
      <c r="U30" s="45" cm="1">
        <f t="array" ref="U30">IF(MaxSize((SplitDimensions(T30)))=0, "", MaxSize((SplitDimensions(T30))))</f>
        <v>0.5</v>
      </c>
      <c r="V30" s="17" t="str" cm="1">
        <f t="array" ref="V30">IF(ISERROR(INDEX(_xlfn._xlws.FILTER('Model output'!P:P,('Model output'!Z:Z=A30)*('Model output'!P:P&lt;&gt;"")),1)),"negative",IF(OR(ISNUMBER(SEARCH("foc",INDEX(_xlfn._xlws.FILTER('Model output'!P:P,('Model output'!Z:Z=A30)*('Model output'!P:P&lt;&gt;"")),1),1)),ISNUMBER(SEARCH("extensive",INDEX(_xlfn._xlws.FILTER('Model output'!P:P,('Model output'!Z:Z=A30)*('Model output'!P:P&lt;&gt;"")),1),1)),ISNUMBER(SEARCH("present",INDEX(_xlfn._xlws.FILTER('Model output'!P:P,('Model output'!Z:Z=A30)*('Model output'!P:P&lt;&gt;"")),1),1)),ISNUMBER(SEARCH("yes",INDEX(_xlfn._xlws.FILTER('Model output'!P:P,('Model output'!Z:Z=A30)*('Model output'!P:P&lt;&gt;"")),1),1))),"positive","negative"))</f>
        <v>negative</v>
      </c>
      <c r="X30" t="str" cm="1">
        <f t="array" ref="X30">IF(ISNUMBER(SEARCH("4",INDEX(_xlfn._xlws.FILTER('Model output'!P:P,('Model output'!Z:Z=A30)*('Model output'!P:P&lt;&gt;"")),1),1)),INDEX(_xlfn._xlws.FILTER('Model output'!P:P,('Model output'!Z:Z=A30)*('Model output'!P:P&lt;&gt;"")),1),"") &amp; _xlfn.TEXTJOIN("",TRUE,_xlfn._xlws.FILTER('Model output'!Q:Q,'Model output'!Z:Z=A30))</f>
        <v/>
      </c>
      <c r="Y30" t="str">
        <f t="shared" si="10"/>
        <v>no</v>
      </c>
      <c r="Z30" t="str" cm="1">
        <f t="array" ref="Z30">IF(OR(ISNUMBER(SEARCH("focal",_xlfn.TEXTJOIN("; ",TRUE,_xlfn._xlws.FILTER('Model output'!R:R,'Model output'!Z:Z=A30)),1)),ISNUMBER(SEARCH("present",_xlfn.TEXTJOIN("; ",TRUE,_xlfn._xlws.FILTER('Model output'!R:R,'Model output'!Z:Z=A30)),1))),"positive",IF(_xlfn.TEXTJOIN("; ",TRUE,_xlfn._xlws.FILTER('Model output'!R:R,'Model output'!Z:Z=A30))="","negative",IF(OR(ISNUMBER(SEARCH("no",_xlfn.TEXTJOIN("; ",TRUE,_xlfn._xlws.FILTER('Model output'!R:R,'Model output'!Z:Z=A30)),1)),ISNUMBER(SEARCH("absent",_xlfn.TEXTJOIN("; ",TRUE,_xlfn._xlws.FILTER('Model output'!R:R,'Model output'!Z:Z=A30)),1))),"negative","positive")))</f>
        <v>negative</v>
      </c>
      <c r="AA30" s="17" t="str">
        <f t="shared" si="11"/>
        <v>negative</v>
      </c>
      <c r="AE30" s="17" t="str">
        <f t="shared" si="12"/>
        <v>negative</v>
      </c>
      <c r="AF30" t="str" cm="1">
        <f t="array" ref="AF30">_xlfn.TEXTJOIN("; ",TRUE,_xlfn._xlws.FILTER('Model output'!S:S,'Model output'!Z:Z=A30))</f>
        <v>Not identified</v>
      </c>
      <c r="AG30" s="17" t="str" cm="1">
        <f t="array" ref="AG30">IF(OR(ISNUMBER(SEARCH("uninvolved",_xlfn.TEXTJOIN("; ",TRUE,_xlfn._xlws.FILTER('Model output'!V:V,'Model output'!Z:Z=A30)),1)),ISNUMBER(SEARCH("clear",_xlfn.TEXTJOIN("; ",TRUE,_xlfn._xlws.FILTER('Model output'!V:V,'Model output'!Z:Z=A30)),1))*ISNUMBER(SEARCH("not mentioned",_xlfn.TEXTJOIN("; ",TRUE,_xlfn._xlws.FILTER('Model output'!V:V,'Model output'!Z:Z=A30)),1))),"negative",IF(ISNUMBER(SEARCH("cannot be assessed",_xlfn.TEXTJOIN("; ",TRUE,_xlfn._xlws.FILTER('Model output'!V:V,'Model output'!Z:Z=A30)),1)),"unknown","negative"))</f>
        <v>negative</v>
      </c>
      <c r="AI30" s="40" t="str">
        <f t="shared" si="13"/>
        <v>low</v>
      </c>
      <c r="AJ30" s="28" t="str">
        <f t="shared" si="14"/>
        <v>1a</v>
      </c>
      <c r="AK30" s="28" t="str">
        <f t="shared" si="2"/>
        <v>1a</v>
      </c>
      <c r="AL30" s="28">
        <f t="shared" si="3"/>
        <v>0</v>
      </c>
      <c r="AM30" s="28" t="str">
        <f t="shared" si="4"/>
        <v>II</v>
      </c>
      <c r="AN30" s="37" t="s">
        <v>171</v>
      </c>
      <c r="AO30" s="38" t="s">
        <v>216</v>
      </c>
      <c r="AP30" s="38" t="s">
        <v>216</v>
      </c>
      <c r="AQ30" s="38">
        <v>0</v>
      </c>
      <c r="AR30" s="38" t="s">
        <v>45</v>
      </c>
      <c r="AS30" s="37">
        <f t="shared" si="5"/>
        <v>1</v>
      </c>
      <c r="AT30" s="38">
        <f t="shared" si="6"/>
        <v>1</v>
      </c>
      <c r="AU30" s="38">
        <f t="shared" si="7"/>
        <v>1</v>
      </c>
      <c r="AV30" s="38">
        <f t="shared" si="8"/>
        <v>1</v>
      </c>
      <c r="AW30" s="39">
        <f t="shared" si="9"/>
        <v>1</v>
      </c>
    </row>
    <row r="31" spans="1:49">
      <c r="A31" s="13">
        <v>29</v>
      </c>
      <c r="B31" s="16">
        <f>_xlfn.MAXIFS('Model output'!B:B,'Model output'!Z:Z,'Classification result'!$A31)</f>
        <v>45242</v>
      </c>
      <c r="C31" s="16"/>
      <c r="D31" s="16"/>
      <c r="E31" s="17">
        <f>_xlfn.MAXIFS('Model output'!C:C,'Model output'!Z:Z,'Classification result'!$A31)</f>
        <v>63</v>
      </c>
      <c r="F31" s="17" t="str" cm="1">
        <f t="array" ref="F31">LEFT(IF(ISERROR(RIGHT(IF(INDEX(_xlfn._xlws.FILTER('Model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output'!Z:Z=A31)),1),""),1))),"",(RIGHT(IF(INDEX(_xlfn._xlws.FILTER('Model output'!D:D,('Model output'!Z:Z=A31)),1)&lt;&gt;"",INDEX(_xlfn._xlws.FILTER('Model output'!D:D,('Model output'!Z:Z=A31)),1),""),LEN(IF(INDEX(_xlfn._xlws.FILTER('Model output'!D:D,('Model output'!Z:Z=A31)),1)&lt;&gt;"",INDEX(_xlfn._xlws.FILTER('Model output'!D:D,('Model output'!Z:Z=A31)),1),""))-FIND("T",IF(INDEX(_xlfn._xlws.FILTER('Model output'!D:D,('Model output'!Z:Z=A31)),1)&lt;&gt;"",INDEX(_xlfn._xlws.FILTER('Model output'!D:D,('Model output'!Z:Z=A31)),1)))))),2)</f>
        <v>1a</v>
      </c>
      <c r="G31" s="17" t="str" cm="1">
        <f t="array" ref="G31">IF(ISNUMBER(SEARCH("N",IF(ISNUMBER(SEARCH("present",IF(INDEX(_xlfn._xlws.FILTER('Model output'!E:E,('Model output'!Z:Z=A31)),1)="","",INDEX(_xlfn._xlws.FILTER('Model output'!E:E,('Model output'!Z:Z=A31)),1)),1)),"N1", IF(INDEX(_xlfn._xlws.FILTER('Model output'!E:E,('Model output'!Z:Z=A31)),1)="","",INDEX(_xlfn._xlws.FILTER('Model output'!E:E,('Model output'!Z:Z=A31)),1))),1)),RIGHT(IF(ISNUMBER(SEARCH("present",IF(INDEX(_xlfn._xlws.FILTER('Model output'!E:E,('Model output'!Z:Z=A31)),1)="","",INDEX(_xlfn._xlws.FILTER('Model output'!E:E,('Model output'!Z:Z=A31)),1)),1)),"N1", IF(INDEX(_xlfn._xlws.FILTER('Model output'!E:E,('Model output'!Z:Z=A31)),1)="","",INDEX(_xlfn._xlws.FILTER('Model output'!E:E,('Model output'!Z:Z=A31)),1))),LEN(IF(ISNUMBER(SEARCH("present",IF(INDEX(_xlfn._xlws.FILTER('Model output'!E:E,('Model output'!Z:Z=A31)),1)="","",INDEX(_xlfn._xlws.FILTER('Model output'!E:E,('Model output'!Z:Z=A31)),1)),1)),"N1", IF(INDEX(_xlfn._xlws.FILTER('Model output'!E:E,('Model output'!Z:Z=A31)),1)="","",INDEX(_xlfn._xlws.FILTER('Model output'!E:E,('Model output'!Z:Z=A31)),1))))-FIND("N",IF(ISNUMBER(SEARCH("present",IF(INDEX(_xlfn._xlws.FILTER('Model output'!E:E,('Model output'!Z:Z=A31)),1)="","",INDEX(_xlfn._xlws.FILTER('Model output'!E:E,('Model output'!Z:Z=A31)),1)),1)),"N1", IF(INDEX(_xlfn._xlws.FILTER('Model output'!E:E,('Model output'!Z:Z=A31)),1)="","",INDEX(_xlfn._xlws.FILTER('Model output'!E:E,('Model output'!Z:Z=A31)),1))),1)), "")</f>
        <v/>
      </c>
      <c r="H31" s="17" cm="1">
        <f t="array" ref="H31">IF(AND(SUBSTITUTE(_xlfn.TEXTJOIN("/", TRUE, _xlfn._xlws.FILTER('Model output'!F:F, 'Model output'!Z:Z=A31)),"M", "")="", K31="negative"),0,IF(K31="positive",1,0))</f>
        <v>0</v>
      </c>
      <c r="I31" t="str">
        <f t="shared" si="0"/>
        <v/>
      </c>
      <c r="J31" t="str" cm="1">
        <f t="array" ref="J31">IF(AND(M31&gt;0, _xlfn.TEXTJOIN("; ", TRUE, _xlfn._xlws.FILTER('Model output'!G:G, 'Model output'!Z:Z=A31)) &lt;&gt;"", OR(AND(ISNUMBER(SEARCH("level", _xlfn.TEXTJOIN("; ", TRUE, _xlfn._xlws.FILTER('Model output'!G:G, 'Model output'!Z:Z=A31)),1)),OR(ISNUMBER(SEARCH(" II", _xlfn.TEXTJOIN("; ", TRUE, _xlfn._xlws.FILTER('Model output'!G:G, 'Model output'!Z:Z=A31)),1)),ISNUMBER(SEARCH("2", _xlfn.TEXTJOIN("; ", TRUE, _xlfn._xlws.FILTER('Model output'!G:G, 'Model output'!Z:Z=A31)),1)),ISNUMBER(SEARCH("two", _xlfn.TEXTJOIN("; ", TRUE, _xlfn._xlws.FILTER('Model output'!G:G, 'Model output'!Z:Z=A31)),1)),ISNUMBER(SEARCH("III", _xlfn.TEXTJOIN("; ", TRUE, _xlfn._xlws.FILTER('Model output'!G:G, 'Model output'!Z:Z=A31)),1)),ISNUMBER(SEARCH("3", _xlfn.TEXTJOIN("; ", TRUE, _xlfn._xlws.FILTER('Model output'!G:G, 'Model output'!Z:Z=A31)),1)),ISNUMBER(SEARCH("three", _xlfn.TEXTJOIN("; ", TRUE, _xlfn._xlws.FILTER('Model output'!G:G, 'Model output'!Z:Z=A31)),1)),ISNUMBER(SEARCH("IV", _xlfn.TEXTJOIN("; ", TRUE, _xlfn._xlws.FILTER('Model output'!G:G, 'Model output'!Z:Z=A31)),1)),ISNUMBER(SEARCH("4", _xlfn.TEXTJOIN("; ", TRUE, _xlfn._xlws.FILTER('Model output'!G:G, 'Model output'!Z:Z=A31)),1)),ISNUMBER(SEARCH("five", _xlfn.TEXTJOIN("; ", TRUE, _xlfn._xlws.FILTER('Model output'!G:G, 'Model output'!Z:Z=A31)),1)),ISNUMBER(SEARCH("V ", _xlfn.TEXTJOIN("; ", TRUE, _xlfn._xlws.FILTER('Model output'!G:G, 'Model output'!Z:Z=A31)),1)),ISNUMBER(SEARCH("5", _xlfn.TEXTJOIN("; ", TRUE, _xlfn._xlws.FILTER('Model output'!G:G, 'Model output'!Z:Z=A31)),1)),ISNUMBER(SEARCH("five", _xlfn.TEXTJOIN("; ", TRUE, _xlfn._xlws.FILTER('Model output'!G:G, 'Model output'!Z:Z=A31)),1)),ISNUMBER(SEARCH(" lateral", _xlfn.TEXTJOIN("; ", TRUE, _xlfn._xlws.FILTER('Model output'!G:G, 'Model output'!Z:Z=A31)),1)))),ISNUMBER(SEARCH("cervical", _xlfn.TEXTJOIN("; ", TRUE, _xlfn._xlws.FILTER('Model output'!G:G, 'Model output'!Z:Z=A31)),1)),ISNUMBER(SEARCH("jugular", _xlfn.TEXTJOIN("; ", TRUE, _xlfn._xlws.FILTER('Model output'!G:G, 'Model output'!Z:Z=A31)),1)),ISNUMBER(SEARCH("left neck", _xlfn.TEXTJOIN("; ", TRUE, _xlfn._xlws.FILTER('Model output'!G:G, 'Model output'!Z:Z=A31)),1)),ISNUMBER(SEARCH("left anterior neck", _xlfn.TEXTJOIN("; ", TRUE, _xlfn._xlws.FILTER('Model output'!G:G, 'Model output'!Z:Z=A31)),1)),ISNUMBER(SEARCH("left posterior neck", _xlfn.TEXTJOIN("; ", TRUE, _xlfn._xlws.FILTER('Model output'!G:G, 'Model output'!Z:Z=A31)),1)),ISNUMBER(SEARCH("right neck", _xlfn.TEXTJOIN("; ", TRUE, _xlfn._xlws.FILTER('Model output'!G:G, 'Model output'!Z:Z=A31)),1)),ISNUMBER(SEARCH("right anterior neck", _xlfn.TEXTJOIN("; ", TRUE, _xlfn._xlws.FILTER('Model output'!G:G, 'Model output'!Z:Z=A31)),1)),ISNUMBER(SEARCH("right posterior neck", _xlfn.TEXTJOIN("; ", TRUE, _xlfn._xlws.FILTER('Model output'!G:G, 'Model output'!Z:Z=A31)),1)))),"lateral",IF(AND(M31=0, _xlfn.TEXTJOIN("; ", TRUE, _xlfn._xlws.FILTER('Model output'!G:G, 'Model output'!Z:Z=A31))=""),"", "central"))</f>
        <v/>
      </c>
      <c r="K31" s="17" t="str" cm="1">
        <f t="array" ref="K31">IF(OR(ISNUMBER(SEARCH("lymph",_xlfn.TEXTJOIN("; ", TRUE, _xlfn._xlws.FILTER('Model output'!H:H, 'Model output'!Z:Z=A31)),1)), ISNUMBER(SEARCH("Not mentioned",_xlfn.TEXTJOIN("; ", TRUE, _xlfn._xlws.FILTER('Model output'!H:H, 'Model output'!Z:Z=A31)),1)),ISNUMBER(SEARCH("subcutaneous soft tissues",_xlfn.TEXTJOIN("; ", TRUE, _xlfn._xlws.FILTER('Model output'!H:H, 'Model output'!Z:Z=A31)),1)),ISNUMBER(SEARCH("larynx",_xlfn.TEXTJOIN("; ", TRUE, _xlfn._xlws.FILTER('Model output'!H:H, 'Model output'!Z:Z=A31)),1)),ISNUMBER(SEARCH("trachea",_xlfn.TEXTJOIN("; ", TRUE, _xlfn._xlws.FILTER('Model output'!H:H, 'Model output'!Z:Z=A31)),1)),ISNUMBER(SEARCH("esophagus",_xlfn.TEXTJOIN("; ", TRUE, _xlfn._xlws.FILTER('Model output'!H:H, 'Model output'!Z:Z=A31)),1)),ISNUMBER(SEARCH("recurrent laryngeal nerve",_xlfn.TEXTJOIN("; ", TRUE, _xlfn._xlws.FILTER('Model output'!H:H, 'Model output'!Z:Z=A31)),1)),ISNUMBER(SEARCH("RLN",_xlfn.TEXTJOIN("; ", TRUE, _xlfn._xlws.FILTER('Model output'!H:H, 'Model output'!Z:Z=A31)),1)),_xlfn.TEXTJOIN("; ", TRUE, _xlfn._xlws.FILTER('Model output'!H:H, 'Model output'!Z:Z=A31))=""),"negative","positive")</f>
        <v>negative</v>
      </c>
      <c r="L31" s="17">
        <f>IF(IFERROR(INDEX('Model output'!I:I, MATCH(A31, 'Model output'!Z:Z, 0)), "") &lt; M31, "", IFERROR(INDEX('Model output'!I:I, MATCH(A31, 'Model output'!Z:Z, 0)), ""))</f>
        <v>5</v>
      </c>
      <c r="M31" s="28">
        <f>IFERROR(INDEX('Model output'!J:J, MATCH(A31, 'Model output'!Z:Z, 0)), "")</f>
        <v>0</v>
      </c>
      <c r="N31" s="47" t="str" cm="1">
        <f t="array" ref="N31">ReplaceTo(ReplaceAnd(SUBSTITUTE(SUBSTITUTE(_xlfn.TEXTJOIN("; ", TRUE, _xlfn._xlws.FILTER('Model output'!K:K, 'Model output'!Z:Z=A31)), " ", ""), ",", ";")))</f>
        <v/>
      </c>
      <c r="O31" s="45" t="str" cm="1">
        <f t="array" ref="O31">IF(LEFT(IF(RIGHT(SUBSTITUTE(FilterWithUnits(N31)&amp;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";")),1)=";",RIGHT(IF(RIGHT(SUBSTITUTE(FilterWithUnits(N31)&amp;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";")),LEN(IF(RIGHT(SUBSTITUTE(FilterWithUnits(N31)&amp;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";")))-1),IF(RIGHT(SUBSTITUTE(FilterWithUnits(N31)&amp; ";" &amp;FilterStringsWithNumericAnd(N31) &amp; ";" &amp; FilterStringsWithX(N31), ";;", ";"),1)=";",LEFT(SUBSTITUTE(FilterWithUnits(N31)&amp; ";" &amp;FilterStringsWithNumericAnd(N31) &amp; ";" &amp; FilterStringsWithX(N31), ";;", ";"),LEN(SUBSTITUTE(FilterWithUnits(N31)&amp; ";" &amp;FilterStringsWithNumericAnd(N31) &amp; ";" &amp; FilterStringsWithX(N31), ";;", ";"))-1),SUBSTITUTE(FilterWithUnits(N31)&amp; ";" &amp;FilterStringsWithNumericAnd(N31) &amp; ";" &amp; FilterStringsWithX(N31), ";;", ";")))</f>
        <v/>
      </c>
      <c r="P31" s="45" t="str" cm="1">
        <f t="array" ref="P31">IF(MaxSize((SplitDimensions(O31)))=0, "", MaxSize((SplitDimensions(O31))))</f>
        <v/>
      </c>
      <c r="Q31" t="str" cm="1">
        <f t="array" ref="Q31">IF(ISERROR(INDEX(_xlfn._xlws.FILTER('Model output'!L:L, ('Model output'!Z:Z=A31)*('Model output'!L:L&lt;&gt;"")), 1)), " ", LOWER(INDEX(_xlfn._xlws.FILTER('Model output'!L:L, ('Model output'!Z:Z=A31)*('Model output'!L:L&lt;&gt;"")), 1)))</f>
        <v>papillary carcinoma, classic subtype</v>
      </c>
      <c r="R31" s="45" t="str" cm="1">
        <f t="array" ref="R31">IF(ISERROR(INDEX(_xlfn._xlws.FILTER('Model output'!M:M, ('Model output'!Z:Z=A31)*('Model output'!M:M&lt;&gt;"")), 1)), " ", LOWER(INDEX(_xlfn._xlws.FILTER('Model output'!M:M, ('Model output'!Z:Z=A31)*('Model output'!M:M&lt;&gt;"")), 1)))</f>
        <v xml:space="preserve"> </v>
      </c>
      <c r="S31" s="45" t="str" cm="1">
        <f t="array" ref="S31">IF(OR(ISNUMBER(SEARCH("ly",SUBSTITUTE(INDEX(_xlfn._xlws.FILTER('Model output'!N:N,('Model output'!Z:Z=A31)*('Model output'!N:N&lt;&gt;"")),1)," ",""),1)), ISNUMBER(SEARCH("pole",SUBSTITUTE(INDEX(_xlfn._xlws.FILTER('Model output'!N:N,('Model output'!Z:Z=A31)*('Model output'!N:N&lt;&gt;"")),1)," ",""),1))),"",SUBSTITUTE(INDEX(_xlfn._xlws.FILTER('Model output'!N:N,('Model output'!Z:Z=A31)*('Model output'!N:N&lt;&gt;"")),1)," ",""))</f>
        <v>7mm(microscopicaldimension)</v>
      </c>
      <c r="T31" s="45" t="str" cm="1">
        <f t="array" ref="T31">IF(LEFT(IF(RIGHT(SUBSTITUTE(FilterWithUnits(S31)&amp;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";")),1)=";",RIGHT(IF(RIGHT(SUBSTITUTE(FilterWithUnits(S31)&amp;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";")),LEN(IF(RIGHT(SUBSTITUTE(FilterWithUnits(S31)&amp;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";")))-1),IF(RIGHT(SUBSTITUTE(FilterWithUnits(S31)&amp; ";" &amp;FilterStringsWithNumericAnd(S31) &amp; ";" &amp; FilterStringsWithX(S31), ";;", ";"),1)=";",LEFT(SUBSTITUTE(FilterWithUnits(S31)&amp; ";" &amp;FilterStringsWithNumericAnd(S31) &amp; ";" &amp; FilterStringsWithX(S31), ";;", ";"),LEN(SUBSTITUTE(FilterWithUnits(S31)&amp; ";" &amp;FilterStringsWithNumericAnd(S31) &amp; ";" &amp; FilterStringsWithX(S31), ";;", ";"))-1),SUBSTITUTE(FilterWithUnits(S31)&amp; ";" &amp;FilterStringsWithNumericAnd(S31) &amp; ";" &amp; FilterStringsWithX(S31), ";;", ";")))</f>
        <v>7mm</v>
      </c>
      <c r="U31" s="45" cm="1">
        <f t="array" ref="U31">IF(MaxSize((SplitDimensions(T31)))=0, "", MaxSize((SplitDimensions(T31))))</f>
        <v>0.7</v>
      </c>
      <c r="V31" s="17" t="str" cm="1">
        <f t="array" ref="V31">IF(ISERROR(INDEX(_xlfn._xlws.FILTER('Model output'!P:P,('Model output'!Z:Z=A31)*('Model output'!P:P&lt;&gt;"")),1)),"negative",IF(OR(ISNUMBER(SEARCH("foc",INDEX(_xlfn._xlws.FILTER('Model output'!P:P,('Model output'!Z:Z=A31)*('Model output'!P:P&lt;&gt;"")),1),1)),ISNUMBER(SEARCH("extensive",INDEX(_xlfn._xlws.FILTER('Model output'!P:P,('Model output'!Z:Z=A31)*('Model output'!P:P&lt;&gt;"")),1),1)),ISNUMBER(SEARCH("present",INDEX(_xlfn._xlws.FILTER('Model output'!P:P,('Model output'!Z:Z=A31)*('Model output'!P:P&lt;&gt;"")),1),1)),ISNUMBER(SEARCH("yes",INDEX(_xlfn._xlws.FILTER('Model output'!P:P,('Model output'!Z:Z=A31)*('Model output'!P:P&lt;&gt;"")),1),1))),"positive","negative"))</f>
        <v>negative</v>
      </c>
      <c r="X31" t="str" cm="1">
        <f t="array" ref="X31">IF(ISNUMBER(SEARCH("4",INDEX(_xlfn._xlws.FILTER('Model output'!P:P,('Model output'!Z:Z=A31)*('Model output'!P:P&lt;&gt;"")),1),1)),INDEX(_xlfn._xlws.FILTER('Model output'!P:P,('Model output'!Z:Z=A31)*('Model output'!P:P&lt;&gt;"")),1),"") &amp; _xlfn.TEXTJOIN("",TRUE,_xlfn._xlws.FILTER('Model output'!Q:Q,'Model output'!Z:Z=A31))</f>
        <v>Not mentioned</v>
      </c>
      <c r="Y31" t="str">
        <f t="shared" si="10"/>
        <v>no</v>
      </c>
      <c r="Z31" t="str" cm="1">
        <f t="array" ref="Z31">IF(OR(ISNUMBER(SEARCH("focal",_xlfn.TEXTJOIN("; ",TRUE,_xlfn._xlws.FILTER('Model output'!R:R,'Model output'!Z:Z=A31)),1)),ISNUMBER(SEARCH("present",_xlfn.TEXTJOIN("; ",TRUE,_xlfn._xlws.FILTER('Model output'!R:R,'Model output'!Z:Z=A31)),1))),"positive",IF(_xlfn.TEXTJOIN("; ",TRUE,_xlfn._xlws.FILTER('Model output'!R:R,'Model output'!Z:Z=A31))="","negative",IF(OR(ISNUMBER(SEARCH("no",_xlfn.TEXTJOIN("; ",TRUE,_xlfn._xlws.FILTER('Model output'!R:R,'Model output'!Z:Z=A31)),1)),ISNUMBER(SEARCH("absent",_xlfn.TEXTJOIN("; ",TRUE,_xlfn._xlws.FILTER('Model output'!R:R,'Model output'!Z:Z=A31)),1))),"negative","positive")))</f>
        <v>negative</v>
      </c>
      <c r="AA31" s="17" t="str">
        <f t="shared" si="11"/>
        <v>negative</v>
      </c>
      <c r="AE31" s="17" t="str">
        <f t="shared" si="12"/>
        <v>negative</v>
      </c>
      <c r="AF31" t="str" cm="1">
        <f t="array" ref="AF31">_xlfn.TEXTJOIN("; ",TRUE,_xlfn._xlws.FILTER('Model output'!S:S,'Model output'!Z:Z=A31))</f>
        <v>Not identified; Not mentioned</v>
      </c>
      <c r="AG31" s="17" t="str" cm="1">
        <f t="array" ref="AG31">IF(OR(ISNUMBER(SEARCH("uninvolved",_xlfn.TEXTJOIN("; ",TRUE,_xlfn._xlws.FILTER('Model output'!V:V,'Model output'!Z:Z=A31)),1)),ISNUMBER(SEARCH("clear",_xlfn.TEXTJOIN("; ",TRUE,_xlfn._xlws.FILTER('Model output'!V:V,'Model output'!Z:Z=A31)),1))*ISNUMBER(SEARCH("not mentioned",_xlfn.TEXTJOIN("; ",TRUE,_xlfn._xlws.FILTER('Model output'!V:V,'Model output'!Z:Z=A31)),1))),"negative",IF(ISNUMBER(SEARCH("cannot be assessed",_xlfn.TEXTJOIN("; ",TRUE,_xlfn._xlws.FILTER('Model output'!V:V,'Model output'!Z:Z=A31)),1)),"unknown","negative"))</f>
        <v>negative</v>
      </c>
      <c r="AI31" s="40" t="str">
        <f t="shared" si="13"/>
        <v>low</v>
      </c>
      <c r="AJ31" s="28" t="str">
        <f t="shared" si="14"/>
        <v>1a</v>
      </c>
      <c r="AK31" s="28">
        <f t="shared" si="2"/>
        <v>0</v>
      </c>
      <c r="AL31" s="28">
        <f t="shared" si="3"/>
        <v>0</v>
      </c>
      <c r="AM31" s="28" t="str">
        <f t="shared" si="4"/>
        <v>I</v>
      </c>
      <c r="AN31" s="37" t="s">
        <v>171</v>
      </c>
      <c r="AO31" s="38" t="s">
        <v>216</v>
      </c>
      <c r="AP31" s="38" t="s">
        <v>215</v>
      </c>
      <c r="AQ31" s="38">
        <v>0</v>
      </c>
      <c r="AR31" s="38" t="s">
        <v>31</v>
      </c>
      <c r="AS31" s="37">
        <f t="shared" si="5"/>
        <v>1</v>
      </c>
      <c r="AT31" s="38">
        <f t="shared" si="6"/>
        <v>1</v>
      </c>
      <c r="AU31" s="38">
        <f t="shared" si="7"/>
        <v>1</v>
      </c>
      <c r="AV31" s="38">
        <f t="shared" si="8"/>
        <v>1</v>
      </c>
      <c r="AW31" s="39">
        <f t="shared" si="9"/>
        <v>1</v>
      </c>
    </row>
    <row r="32" spans="1:49">
      <c r="A32" s="13">
        <v>30</v>
      </c>
      <c r="B32" s="16">
        <f>_xlfn.MAXIFS('Model output'!B:B,'Model output'!Z:Z,'Classification result'!$A32)</f>
        <v>0</v>
      </c>
      <c r="C32" s="16"/>
      <c r="D32" s="16"/>
      <c r="E32" s="17">
        <f>_xlfn.MAXIFS('Model output'!C:C,'Model output'!Z:Z,'Classification result'!$A32)</f>
        <v>39</v>
      </c>
      <c r="F32" s="17" t="str" cm="1">
        <f t="array" ref="F32">LEFT(IF(ISERROR(RIGHT(IF(INDEX(_xlfn._xlws.FILTER('Model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output'!Z:Z=A32)),1),""),1))),"",(RIGHT(IF(INDEX(_xlfn._xlws.FILTER('Model output'!D:D,('Model output'!Z:Z=A32)),1)&lt;&gt;"",INDEX(_xlfn._xlws.FILTER('Model output'!D:D,('Model output'!Z:Z=A32)),1),""),LEN(IF(INDEX(_xlfn._xlws.FILTER('Model output'!D:D,('Model output'!Z:Z=A32)),1)&lt;&gt;"",INDEX(_xlfn._xlws.FILTER('Model output'!D:D,('Model output'!Z:Z=A32)),1),""))-FIND("T",IF(INDEX(_xlfn._xlws.FILTER('Model output'!D:D,('Model output'!Z:Z=A32)),1)&lt;&gt;"",INDEX(_xlfn._xlws.FILTER('Model output'!D:D,('Model output'!Z:Z=A32)),1)))))),2)</f>
        <v>1b</v>
      </c>
      <c r="G32" s="17" t="str" cm="1">
        <f t="array" ref="G32">IF(ISNUMBER(SEARCH("N",IF(ISNUMBER(SEARCH("present",IF(INDEX(_xlfn._xlws.FILTER('Model output'!E:E,('Model output'!Z:Z=A32)),1)="","",INDEX(_xlfn._xlws.FILTER('Model output'!E:E,('Model output'!Z:Z=A32)),1)),1)),"N1", IF(INDEX(_xlfn._xlws.FILTER('Model output'!E:E,('Model output'!Z:Z=A32)),1)="","",INDEX(_xlfn._xlws.FILTER('Model output'!E:E,('Model output'!Z:Z=A32)),1))),1)),RIGHT(IF(ISNUMBER(SEARCH("present",IF(INDEX(_xlfn._xlws.FILTER('Model output'!E:E,('Model output'!Z:Z=A32)),1)="","",INDEX(_xlfn._xlws.FILTER('Model output'!E:E,('Model output'!Z:Z=A32)),1)),1)),"N1", IF(INDEX(_xlfn._xlws.FILTER('Model output'!E:E,('Model output'!Z:Z=A32)),1)="","",INDEX(_xlfn._xlws.FILTER('Model output'!E:E,('Model output'!Z:Z=A32)),1))),LEN(IF(ISNUMBER(SEARCH("present",IF(INDEX(_xlfn._xlws.FILTER('Model output'!E:E,('Model output'!Z:Z=A32)),1)="","",INDEX(_xlfn._xlws.FILTER('Model output'!E:E,('Model output'!Z:Z=A32)),1)),1)),"N1", IF(INDEX(_xlfn._xlws.FILTER('Model output'!E:E,('Model output'!Z:Z=A32)),1)="","",INDEX(_xlfn._xlws.FILTER('Model output'!E:E,('Model output'!Z:Z=A32)),1))))-FIND("N",IF(ISNUMBER(SEARCH("present",IF(INDEX(_xlfn._xlws.FILTER('Model output'!E:E,('Model output'!Z:Z=A32)),1)="","",INDEX(_xlfn._xlws.FILTER('Model output'!E:E,('Model output'!Z:Z=A32)),1)),1)),"N1", IF(INDEX(_xlfn._xlws.FILTER('Model output'!E:E,('Model output'!Z:Z=A32)),1)="","",INDEX(_xlfn._xlws.FILTER('Model output'!E:E,('Model output'!Z:Z=A32)),1))),1)), "")</f>
        <v/>
      </c>
      <c r="H32" s="17" cm="1">
        <f t="array" ref="H32">IF(AND(SUBSTITUTE(_xlfn.TEXTJOIN("/", TRUE, _xlfn._xlws.FILTER('Model output'!F:F, 'Model output'!Z:Z=A32)),"M", "")="", K32="negative"),0,IF(K32="positive",1,0))</f>
        <v>0</v>
      </c>
      <c r="I32" t="str">
        <f t="shared" si="0"/>
        <v>positive</v>
      </c>
      <c r="J32" t="str" cm="1">
        <f t="array" ref="J32">IF(AND(M32&gt;0, _xlfn.TEXTJOIN("; ", TRUE, _xlfn._xlws.FILTER('Model output'!G:G, 'Model output'!Z:Z=A32)) &lt;&gt;"", OR(AND(ISNUMBER(SEARCH("level", _xlfn.TEXTJOIN("; ", TRUE, _xlfn._xlws.FILTER('Model output'!G:G, 'Model output'!Z:Z=A32)),1)),OR(ISNUMBER(SEARCH(" II", _xlfn.TEXTJOIN("; ", TRUE, _xlfn._xlws.FILTER('Model output'!G:G, 'Model output'!Z:Z=A32)),1)),ISNUMBER(SEARCH("2", _xlfn.TEXTJOIN("; ", TRUE, _xlfn._xlws.FILTER('Model output'!G:G, 'Model output'!Z:Z=A32)),1)),ISNUMBER(SEARCH("two", _xlfn.TEXTJOIN("; ", TRUE, _xlfn._xlws.FILTER('Model output'!G:G, 'Model output'!Z:Z=A32)),1)),ISNUMBER(SEARCH("III", _xlfn.TEXTJOIN("; ", TRUE, _xlfn._xlws.FILTER('Model output'!G:G, 'Model output'!Z:Z=A32)),1)),ISNUMBER(SEARCH("3", _xlfn.TEXTJOIN("; ", TRUE, _xlfn._xlws.FILTER('Model output'!G:G, 'Model output'!Z:Z=A32)),1)),ISNUMBER(SEARCH("three", _xlfn.TEXTJOIN("; ", TRUE, _xlfn._xlws.FILTER('Model output'!G:G, 'Model output'!Z:Z=A32)),1)),ISNUMBER(SEARCH("IV", _xlfn.TEXTJOIN("; ", TRUE, _xlfn._xlws.FILTER('Model output'!G:G, 'Model output'!Z:Z=A32)),1)),ISNUMBER(SEARCH("4", _xlfn.TEXTJOIN("; ", TRUE, _xlfn._xlws.FILTER('Model output'!G:G, 'Model output'!Z:Z=A32)),1)),ISNUMBER(SEARCH("five", _xlfn.TEXTJOIN("; ", TRUE, _xlfn._xlws.FILTER('Model output'!G:G, 'Model output'!Z:Z=A32)),1)),ISNUMBER(SEARCH("V ", _xlfn.TEXTJOIN("; ", TRUE, _xlfn._xlws.FILTER('Model output'!G:G, 'Model output'!Z:Z=A32)),1)),ISNUMBER(SEARCH("5", _xlfn.TEXTJOIN("; ", TRUE, _xlfn._xlws.FILTER('Model output'!G:G, 'Model output'!Z:Z=A32)),1)),ISNUMBER(SEARCH("five", _xlfn.TEXTJOIN("; ", TRUE, _xlfn._xlws.FILTER('Model output'!G:G, 'Model output'!Z:Z=A32)),1)),ISNUMBER(SEARCH(" lateral", _xlfn.TEXTJOIN("; ", TRUE, _xlfn._xlws.FILTER('Model output'!G:G, 'Model output'!Z:Z=A32)),1)))),ISNUMBER(SEARCH("cervical", _xlfn.TEXTJOIN("; ", TRUE, _xlfn._xlws.FILTER('Model output'!G:G, 'Model output'!Z:Z=A32)),1)),ISNUMBER(SEARCH("jugular", _xlfn.TEXTJOIN("; ", TRUE, _xlfn._xlws.FILTER('Model output'!G:G, 'Model output'!Z:Z=A32)),1)),ISNUMBER(SEARCH("left neck", _xlfn.TEXTJOIN("; ", TRUE, _xlfn._xlws.FILTER('Model output'!G:G, 'Model output'!Z:Z=A32)),1)),ISNUMBER(SEARCH("left anterior neck", _xlfn.TEXTJOIN("; ", TRUE, _xlfn._xlws.FILTER('Model output'!G:G, 'Model output'!Z:Z=A32)),1)),ISNUMBER(SEARCH("left posterior neck", _xlfn.TEXTJOIN("; ", TRUE, _xlfn._xlws.FILTER('Model output'!G:G, 'Model output'!Z:Z=A32)),1)),ISNUMBER(SEARCH("right neck", _xlfn.TEXTJOIN("; ", TRUE, _xlfn._xlws.FILTER('Model output'!G:G, 'Model output'!Z:Z=A32)),1)),ISNUMBER(SEARCH("right anterior neck", _xlfn.TEXTJOIN("; ", TRUE, _xlfn._xlws.FILTER('Model output'!G:G, 'Model output'!Z:Z=A32)),1)),ISNUMBER(SEARCH("right posterior neck", _xlfn.TEXTJOIN("; ", TRUE, _xlfn._xlws.FILTER('Model output'!G:G, 'Model output'!Z:Z=A32)),1)))),"lateral",IF(AND(M32=0, _xlfn.TEXTJOIN("; ", TRUE, _xlfn._xlws.FILTER('Model output'!G:G, 'Model output'!Z:Z=A32))=""),"", "central"))</f>
        <v>lateral</v>
      </c>
      <c r="K32" s="17" t="str" cm="1">
        <f t="array" ref="K32">IF(OR(ISNUMBER(SEARCH("lymph",_xlfn.TEXTJOIN("; ", TRUE, _xlfn._xlws.FILTER('Model output'!H:H, 'Model output'!Z:Z=A32)),1)), ISNUMBER(SEARCH("Not mentioned",_xlfn.TEXTJOIN("; ", TRUE, _xlfn._xlws.FILTER('Model output'!H:H, 'Model output'!Z:Z=A32)),1)),ISNUMBER(SEARCH("subcutaneous soft tissues",_xlfn.TEXTJOIN("; ", TRUE, _xlfn._xlws.FILTER('Model output'!H:H, 'Model output'!Z:Z=A32)),1)),ISNUMBER(SEARCH("larynx",_xlfn.TEXTJOIN("; ", TRUE, _xlfn._xlws.FILTER('Model output'!H:H, 'Model output'!Z:Z=A32)),1)),ISNUMBER(SEARCH("trachea",_xlfn.TEXTJOIN("; ", TRUE, _xlfn._xlws.FILTER('Model output'!H:H, 'Model output'!Z:Z=A32)),1)),ISNUMBER(SEARCH("esophagus",_xlfn.TEXTJOIN("; ", TRUE, _xlfn._xlws.FILTER('Model output'!H:H, 'Model output'!Z:Z=A32)),1)),ISNUMBER(SEARCH("recurrent laryngeal nerve",_xlfn.TEXTJOIN("; ", TRUE, _xlfn._xlws.FILTER('Model output'!H:H, 'Model output'!Z:Z=A32)),1)),ISNUMBER(SEARCH("RLN",_xlfn.TEXTJOIN("; ", TRUE, _xlfn._xlws.FILTER('Model output'!H:H, 'Model output'!Z:Z=A32)),1)),_xlfn.TEXTJOIN("; ", TRUE, _xlfn._xlws.FILTER('Model output'!H:H, 'Model output'!Z:Z=A32))=""),"negative","positive")</f>
        <v>negative</v>
      </c>
      <c r="L32" s="17">
        <f>IF(IFERROR(INDEX('Model output'!I:I, MATCH(A32, 'Model output'!Z:Z, 0)), "") &lt; M32, "", IFERROR(INDEX('Model output'!I:I, MATCH(A32, 'Model output'!Z:Z, 0)), ""))</f>
        <v>24</v>
      </c>
      <c r="M32" s="28">
        <f>IFERROR(INDEX('Model output'!J:J, MATCH(A32, 'Model output'!Z:Z, 0)), "")</f>
        <v>3</v>
      </c>
      <c r="N32" s="47" t="str" cm="1">
        <f t="array" ref="N32">ReplaceTo(ReplaceAnd(SUBSTITUTE(SUBSTITUTE(_xlfn.TEXTJOIN("; ", TRUE, _xlfn._xlws.FILTER('Model output'!K:K, 'Model output'!Z:Z=A32)), " ", ""), ",", ";")))</f>
        <v>4.5mm</v>
      </c>
      <c r="O32" s="45" t="str" cm="1">
        <f t="array" ref="O32">IF(LEFT(IF(RIGHT(SUBSTITUTE(FilterWithUnits(N32)&amp;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";")),1)=";",RIGHT(IF(RIGHT(SUBSTITUTE(FilterWithUnits(N32)&amp;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";")),LEN(IF(RIGHT(SUBSTITUTE(FilterWithUnits(N32)&amp;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";")))-1),IF(RIGHT(SUBSTITUTE(FilterWithUnits(N32)&amp; ";" &amp;FilterStringsWithNumericAnd(N32) &amp; ";" &amp; FilterStringsWithX(N32), ";;", ";"),1)=";",LEFT(SUBSTITUTE(FilterWithUnits(N32)&amp; ";" &amp;FilterStringsWithNumericAnd(N32) &amp; ";" &amp; FilterStringsWithX(N32), ";;", ";"),LEN(SUBSTITUTE(FilterWithUnits(N32)&amp; ";" &amp;FilterStringsWithNumericAnd(N32) &amp; ";" &amp; FilterStringsWithX(N32), ";;", ";"))-1),SUBSTITUTE(FilterWithUnits(N32)&amp; ";" &amp;FilterStringsWithNumericAnd(N32) &amp; ";" &amp; FilterStringsWithX(N32), ";;", ";")))</f>
        <v>4.5mm</v>
      </c>
      <c r="P32" s="45" cm="1">
        <f t="array" ref="P32">IF(MaxSize((SplitDimensions(O32)))=0, "", MaxSize((SplitDimensions(O32))))</f>
        <v>0.45</v>
      </c>
      <c r="Q32" t="str" cm="1">
        <f t="array" ref="Q32">IF(ISERROR(INDEX(_xlfn._xlws.FILTER('Model output'!L:L, ('Model output'!Z:Z=A32)*('Model output'!L:L&lt;&gt;"")), 1)), " ", LOWER(INDEX(_xlfn._xlws.FILTER('Model output'!L:L, ('Model output'!Z:Z=A32)*('Model output'!L:L&lt;&gt;"")), 1)))</f>
        <v>papillary carcinoma</v>
      </c>
      <c r="R32" s="45" t="str" cm="1">
        <f t="array" ref="R32">IF(ISERROR(INDEX(_xlfn._xlws.FILTER('Model output'!M:M, ('Model output'!Z:Z=A32)*('Model output'!M:M&lt;&gt;"")), 1)), " ", LOWER(INDEX(_xlfn._xlws.FILTER('Model output'!M:M, ('Model output'!Z:Z=A32)*('Model output'!M:M&lt;&gt;"")), 1)))</f>
        <v>infiltrative follicular</v>
      </c>
      <c r="S32" s="45" t="str" cm="1">
        <f t="array" ref="S32">IF(OR(ISNUMBER(SEARCH("ly",SUBSTITUTE(INDEX(_xlfn._xlws.FILTER('Model output'!N:N,('Model output'!Z:Z=A32)*('Model output'!N:N&lt;&gt;"")),1)," ",""),1)), ISNUMBER(SEARCH("pole",SUBSTITUTE(INDEX(_xlfn._xlws.FILTER('Model output'!N:N,('Model output'!Z:Z=A32)*('Model output'!N:N&lt;&gt;"")),1)," ",""),1))),"",SUBSTITUTE(INDEX(_xlfn._xlws.FILTER('Model output'!N:N,('Model output'!Z:Z=A32)*('Model output'!N:N&lt;&gt;"")),1)," ",""))</f>
        <v>12mm(blocks3and4)</v>
      </c>
      <c r="T32" s="45" t="str" cm="1">
        <f t="array" ref="T32">IF(LEFT(IF(RIGHT(SUBSTITUTE(FilterWithUnits(S32)&amp;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";")),1)=";",RIGHT(IF(RIGHT(SUBSTITUTE(FilterWithUnits(S32)&amp;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";")),LEN(IF(RIGHT(SUBSTITUTE(FilterWithUnits(S32)&amp;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";")))-1),IF(RIGHT(SUBSTITUTE(FilterWithUnits(S32)&amp; ";" &amp;FilterStringsWithNumericAnd(S32) &amp; ";" &amp; FilterStringsWithX(S32), ";;", ";"),1)=";",LEFT(SUBSTITUTE(FilterWithUnits(S32)&amp; ";" &amp;FilterStringsWithNumericAnd(S32) &amp; ";" &amp; FilterStringsWithX(S32), ";;", ";"),LEN(SUBSTITUTE(FilterWithUnits(S32)&amp; ";" &amp;FilterStringsWithNumericAnd(S32) &amp; ";" &amp; FilterStringsWithX(S32), ";;", ";"))-1),SUBSTITUTE(FilterWithUnits(S32)&amp; ";" &amp;FilterStringsWithNumericAnd(S32) &amp; ";" &amp; FilterStringsWithX(S32), ";;", ";")))</f>
        <v>12mm</v>
      </c>
      <c r="U32" s="45" cm="1">
        <f t="array" ref="U32">IF(MaxSize((SplitDimensions(T32)))=0, "", MaxSize((SplitDimensions(T32))))</f>
        <v>1.2</v>
      </c>
      <c r="V32" s="17" t="str" cm="1">
        <f t="array" ref="V32">IF(ISERROR(INDEX(_xlfn._xlws.FILTER('Model output'!P:P,('Model output'!Z:Z=A32)*('Model output'!P:P&lt;&gt;"")),1)),"negative",IF(OR(ISNUMBER(SEARCH("foc",INDEX(_xlfn._xlws.FILTER('Model output'!P:P,('Model output'!Z:Z=A32)*('Model output'!P:P&lt;&gt;"")),1),1)),ISNUMBER(SEARCH("extensive",INDEX(_xlfn._xlws.FILTER('Model output'!P:P,('Model output'!Z:Z=A32)*('Model output'!P:P&lt;&gt;"")),1),1)),ISNUMBER(SEARCH("present",INDEX(_xlfn._xlws.FILTER('Model output'!P:P,('Model output'!Z:Z=A32)*('Model output'!P:P&lt;&gt;"")),1),1)),ISNUMBER(SEARCH("yes",INDEX(_xlfn._xlws.FILTER('Model output'!P:P,('Model output'!Z:Z=A32)*('Model output'!P:P&lt;&gt;"")),1),1))),"positive","negative"))</f>
        <v>negative</v>
      </c>
      <c r="X32" t="str" cm="1">
        <f t="array" ref="X32">IF(ISNUMBER(SEARCH("4",INDEX(_xlfn._xlws.FILTER('Model output'!P:P,('Model output'!Z:Z=A32)*('Model output'!P:P&lt;&gt;"")),1),1)),INDEX(_xlfn._xlws.FILTER('Model output'!P:P,('Model output'!Z:Z=A32)*('Model output'!P:P&lt;&gt;"")),1),"") &amp; _xlfn.TEXTJOIN("",TRUE,_xlfn._xlws.FILTER('Model output'!Q:Q,'Model output'!Z:Z=A32))</f>
        <v/>
      </c>
      <c r="Y32" t="str">
        <f t="shared" si="10"/>
        <v>no</v>
      </c>
      <c r="Z32" t="str" cm="1">
        <f t="array" ref="Z32">IF(OR(ISNUMBER(SEARCH("focal",_xlfn.TEXTJOIN("; ",TRUE,_xlfn._xlws.FILTER('Model output'!R:R,'Model output'!Z:Z=A32)),1)),ISNUMBER(SEARCH("present",_xlfn.TEXTJOIN("; ",TRUE,_xlfn._xlws.FILTER('Model output'!R:R,'Model output'!Z:Z=A32)),1))),"positive",IF(_xlfn.TEXTJOIN("; ",TRUE,_xlfn._xlws.FILTER('Model output'!R:R,'Model output'!Z:Z=A32))="","negative",IF(OR(ISNUMBER(SEARCH("no",_xlfn.TEXTJOIN("; ",TRUE,_xlfn._xlws.FILTER('Model output'!R:R,'Model output'!Z:Z=A32)),1)),ISNUMBER(SEARCH("absent",_xlfn.TEXTJOIN("; ",TRUE,_xlfn._xlws.FILTER('Model output'!R:R,'Model output'!Z:Z=A32)),1))),"negative","positive")))</f>
        <v>negative</v>
      </c>
      <c r="AA32" s="17" t="str">
        <f t="shared" si="11"/>
        <v>negative</v>
      </c>
      <c r="AE32" s="17" t="str">
        <f t="shared" si="12"/>
        <v>negative</v>
      </c>
      <c r="AF32" t="str" cm="1">
        <f t="array" ref="AF32">_xlfn.TEXTJOIN("; ",TRUE,_xlfn._xlws.FILTER('Model output'!S:S,'Model output'!Z:Z=A32))</f>
        <v>Not identified; No ETE</v>
      </c>
      <c r="AG32" s="17" t="str" cm="1">
        <f t="array" ref="AG32">IF(OR(ISNUMBER(SEARCH("uninvolved",_xlfn.TEXTJOIN("; ",TRUE,_xlfn._xlws.FILTER('Model output'!V:V,'Model output'!Z:Z=A32)),1)),ISNUMBER(SEARCH("clear",_xlfn.TEXTJOIN("; ",TRUE,_xlfn._xlws.FILTER('Model output'!V:V,'Model output'!Z:Z=A32)),1))*ISNUMBER(SEARCH("not mentioned",_xlfn.TEXTJOIN("; ",TRUE,_xlfn._xlws.FILTER('Model output'!V:V,'Model output'!Z:Z=A32)),1))),"negative",IF(ISNUMBER(SEARCH("cannot be assessed",_xlfn.TEXTJOIN("; ",TRUE,_xlfn._xlws.FILTER('Model output'!V:V,'Model output'!Z:Z=A32)),1)),"unknown","negative"))</f>
        <v>negative</v>
      </c>
      <c r="AI32" s="40" t="str">
        <f t="shared" si="13"/>
        <v>intermediate</v>
      </c>
      <c r="AJ32" s="28" t="str">
        <f t="shared" si="14"/>
        <v>1b</v>
      </c>
      <c r="AK32" s="28" t="str">
        <f t="shared" si="2"/>
        <v>1b</v>
      </c>
      <c r="AL32" s="28">
        <f t="shared" si="3"/>
        <v>0</v>
      </c>
      <c r="AM32" s="28" t="str">
        <f t="shared" si="4"/>
        <v>I</v>
      </c>
      <c r="AN32" s="37" t="s">
        <v>169</v>
      </c>
      <c r="AO32" s="38" t="s">
        <v>214</v>
      </c>
      <c r="AP32" s="38" t="s">
        <v>214</v>
      </c>
      <c r="AQ32" s="38">
        <v>0</v>
      </c>
      <c r="AR32" s="38" t="s">
        <v>31</v>
      </c>
      <c r="AS32" s="37">
        <f t="shared" si="5"/>
        <v>1</v>
      </c>
      <c r="AT32" s="38">
        <f t="shared" si="6"/>
        <v>1</v>
      </c>
      <c r="AU32" s="38">
        <f t="shared" si="7"/>
        <v>1</v>
      </c>
      <c r="AV32" s="38">
        <f t="shared" si="8"/>
        <v>1</v>
      </c>
      <c r="AW32" s="39">
        <f t="shared" si="9"/>
        <v>1</v>
      </c>
    </row>
    <row r="33" spans="1:50">
      <c r="A33" s="13">
        <v>31</v>
      </c>
      <c r="B33" s="16">
        <f>_xlfn.MAXIFS('Model output'!B:B,'Model output'!Z:Z,'Classification result'!$A33)</f>
        <v>43304</v>
      </c>
      <c r="C33" s="16"/>
      <c r="D33" s="16"/>
      <c r="E33" s="17">
        <f>_xlfn.MAXIFS('Model output'!C:C,'Model output'!Z:Z,'Classification result'!$A33)</f>
        <v>60</v>
      </c>
      <c r="F33" s="17" t="str" cm="1">
        <f t="array" ref="F33">LEFT(IF(ISERROR(RIGHT(IF(INDEX(_xlfn._xlws.FILTER('Model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output'!Z:Z=A33)),1),""),1))),"",(RIGHT(IF(INDEX(_xlfn._xlws.FILTER('Model output'!D:D,('Model output'!Z:Z=A33)),1)&lt;&gt;"",INDEX(_xlfn._xlws.FILTER('Model output'!D:D,('Model output'!Z:Z=A33)),1),""),LEN(IF(INDEX(_xlfn._xlws.FILTER('Model output'!D:D,('Model output'!Z:Z=A33)),1)&lt;&gt;"",INDEX(_xlfn._xlws.FILTER('Model output'!D:D,('Model output'!Z:Z=A33)),1),""))-FIND("T",IF(INDEX(_xlfn._xlws.FILTER('Model output'!D:D,('Model output'!Z:Z=A33)),1)&lt;&gt;"",INDEX(_xlfn._xlws.FILTER('Model output'!D:D,('Model output'!Z:Z=A33)),1)))))),2)</f>
        <v>4</v>
      </c>
      <c r="G33" s="17" t="str" cm="1">
        <f t="array" ref="G33">IF(ISNUMBER(SEARCH("N",IF(ISNUMBER(SEARCH("present",IF(INDEX(_xlfn._xlws.FILTER('Model output'!E:E,('Model output'!Z:Z=A33)),1)="","",INDEX(_xlfn._xlws.FILTER('Model output'!E:E,('Model output'!Z:Z=A33)),1)),1)),"N1", IF(INDEX(_xlfn._xlws.FILTER('Model output'!E:E,('Model output'!Z:Z=A33)),1)="","",INDEX(_xlfn._xlws.FILTER('Model output'!E:E,('Model output'!Z:Z=A33)),1))),1)),RIGHT(IF(ISNUMBER(SEARCH("present",IF(INDEX(_xlfn._xlws.FILTER('Model output'!E:E,('Model output'!Z:Z=A33)),1)="","",INDEX(_xlfn._xlws.FILTER('Model output'!E:E,('Model output'!Z:Z=A33)),1)),1)),"N1", IF(INDEX(_xlfn._xlws.FILTER('Model output'!E:E,('Model output'!Z:Z=A33)),1)="","",INDEX(_xlfn._xlws.FILTER('Model output'!E:E,('Model output'!Z:Z=A33)),1))),LEN(IF(ISNUMBER(SEARCH("present",IF(INDEX(_xlfn._xlws.FILTER('Model output'!E:E,('Model output'!Z:Z=A33)),1)="","",INDEX(_xlfn._xlws.FILTER('Model output'!E:E,('Model output'!Z:Z=A33)),1)),1)),"N1", IF(INDEX(_xlfn._xlws.FILTER('Model output'!E:E,('Model output'!Z:Z=A33)),1)="","",INDEX(_xlfn._xlws.FILTER('Model output'!E:E,('Model output'!Z:Z=A33)),1))))-FIND("N",IF(ISNUMBER(SEARCH("present",IF(INDEX(_xlfn._xlws.FILTER('Model output'!E:E,('Model output'!Z:Z=A33)),1)="","",INDEX(_xlfn._xlws.FILTER('Model output'!E:E,('Model output'!Z:Z=A33)),1)),1)),"N1", IF(INDEX(_xlfn._xlws.FILTER('Model output'!E:E,('Model output'!Z:Z=A33)),1)="","",INDEX(_xlfn._xlws.FILTER('Model output'!E:E,('Model output'!Z:Z=A33)),1))),1)), "")</f>
        <v>1</v>
      </c>
      <c r="H33" s="17" cm="1">
        <f t="array" ref="H33">IF(AND(SUBSTITUTE(_xlfn.TEXTJOIN("/", TRUE, _xlfn._xlws.FILTER('Model output'!F:F, 'Model output'!Z:Z=A33)),"M", "")="", K33="negative"),0,IF(K33="positive",1,0))</f>
        <v>0</v>
      </c>
      <c r="I33" t="str">
        <f t="shared" si="0"/>
        <v>positive</v>
      </c>
      <c r="J33" t="str" cm="1">
        <f t="array" ref="J33">IF(AND(M33&gt;0, _xlfn.TEXTJOIN("; ", TRUE, _xlfn._xlws.FILTER('Model output'!G:G, 'Model output'!Z:Z=A33)) &lt;&gt;"", OR(AND(ISNUMBER(SEARCH("level", _xlfn.TEXTJOIN("; ", TRUE, _xlfn._xlws.FILTER('Model output'!G:G, 'Model output'!Z:Z=A33)),1)),OR(ISNUMBER(SEARCH(" II", _xlfn.TEXTJOIN("; ", TRUE, _xlfn._xlws.FILTER('Model output'!G:G, 'Model output'!Z:Z=A33)),1)),ISNUMBER(SEARCH("2", _xlfn.TEXTJOIN("; ", TRUE, _xlfn._xlws.FILTER('Model output'!G:G, 'Model output'!Z:Z=A33)),1)),ISNUMBER(SEARCH("two", _xlfn.TEXTJOIN("; ", TRUE, _xlfn._xlws.FILTER('Model output'!G:G, 'Model output'!Z:Z=A33)),1)),ISNUMBER(SEARCH("III", _xlfn.TEXTJOIN("; ", TRUE, _xlfn._xlws.FILTER('Model output'!G:G, 'Model output'!Z:Z=A33)),1)),ISNUMBER(SEARCH("3", _xlfn.TEXTJOIN("; ", TRUE, _xlfn._xlws.FILTER('Model output'!G:G, 'Model output'!Z:Z=A33)),1)),ISNUMBER(SEARCH("three", _xlfn.TEXTJOIN("; ", TRUE, _xlfn._xlws.FILTER('Model output'!G:G, 'Model output'!Z:Z=A33)),1)),ISNUMBER(SEARCH("IV", _xlfn.TEXTJOIN("; ", TRUE, _xlfn._xlws.FILTER('Model output'!G:G, 'Model output'!Z:Z=A33)),1)),ISNUMBER(SEARCH("4", _xlfn.TEXTJOIN("; ", TRUE, _xlfn._xlws.FILTER('Model output'!G:G, 'Model output'!Z:Z=A33)),1)),ISNUMBER(SEARCH("five", _xlfn.TEXTJOIN("; ", TRUE, _xlfn._xlws.FILTER('Model output'!G:G, 'Model output'!Z:Z=A33)),1)),ISNUMBER(SEARCH("V ", _xlfn.TEXTJOIN("; ", TRUE, _xlfn._xlws.FILTER('Model output'!G:G, 'Model output'!Z:Z=A33)),1)),ISNUMBER(SEARCH("5", _xlfn.TEXTJOIN("; ", TRUE, _xlfn._xlws.FILTER('Model output'!G:G, 'Model output'!Z:Z=A33)),1)),ISNUMBER(SEARCH("five", _xlfn.TEXTJOIN("; ", TRUE, _xlfn._xlws.FILTER('Model output'!G:G, 'Model output'!Z:Z=A33)),1)),ISNUMBER(SEARCH(" lateral", _xlfn.TEXTJOIN("; ", TRUE, _xlfn._xlws.FILTER('Model output'!G:G, 'Model output'!Z:Z=A33)),1)))),ISNUMBER(SEARCH("cervical", _xlfn.TEXTJOIN("; ", TRUE, _xlfn._xlws.FILTER('Model output'!G:G, 'Model output'!Z:Z=A33)),1)),ISNUMBER(SEARCH("jugular", _xlfn.TEXTJOIN("; ", TRUE, _xlfn._xlws.FILTER('Model output'!G:G, 'Model output'!Z:Z=A33)),1)),ISNUMBER(SEARCH("left neck", _xlfn.TEXTJOIN("; ", TRUE, _xlfn._xlws.FILTER('Model output'!G:G, 'Model output'!Z:Z=A33)),1)),ISNUMBER(SEARCH("left anterior neck", _xlfn.TEXTJOIN("; ", TRUE, _xlfn._xlws.FILTER('Model output'!G:G, 'Model output'!Z:Z=A33)),1)),ISNUMBER(SEARCH("left posterior neck", _xlfn.TEXTJOIN("; ", TRUE, _xlfn._xlws.FILTER('Model output'!G:G, 'Model output'!Z:Z=A33)),1)),ISNUMBER(SEARCH("right neck", _xlfn.TEXTJOIN("; ", TRUE, _xlfn._xlws.FILTER('Model output'!G:G, 'Model output'!Z:Z=A33)),1)),ISNUMBER(SEARCH("right anterior neck", _xlfn.TEXTJOIN("; ", TRUE, _xlfn._xlws.FILTER('Model output'!G:G, 'Model output'!Z:Z=A33)),1)),ISNUMBER(SEARCH("right posterior neck", _xlfn.TEXTJOIN("; ", TRUE, _xlfn._xlws.FILTER('Model output'!G:G, 'Model output'!Z:Z=A33)),1)))),"lateral",IF(AND(M33=0, _xlfn.TEXTJOIN("; ", TRUE, _xlfn._xlws.FILTER('Model output'!G:G, 'Model output'!Z:Z=A33))=""),"", "central"))</f>
        <v>central</v>
      </c>
      <c r="K33" s="17" t="str" cm="1">
        <f t="array" ref="K33">IF(OR(ISNUMBER(SEARCH("lymph",_xlfn.TEXTJOIN("; ", TRUE, _xlfn._xlws.FILTER('Model output'!H:H, 'Model output'!Z:Z=A33)),1)), ISNUMBER(SEARCH("Not mentioned",_xlfn.TEXTJOIN("; ", TRUE, _xlfn._xlws.FILTER('Model output'!H:H, 'Model output'!Z:Z=A33)),1)),ISNUMBER(SEARCH("subcutaneous soft tissues",_xlfn.TEXTJOIN("; ", TRUE, _xlfn._xlws.FILTER('Model output'!H:H, 'Model output'!Z:Z=A33)),1)),ISNUMBER(SEARCH("larynx",_xlfn.TEXTJOIN("; ", TRUE, _xlfn._xlws.FILTER('Model output'!H:H, 'Model output'!Z:Z=A33)),1)),ISNUMBER(SEARCH("trachea",_xlfn.TEXTJOIN("; ", TRUE, _xlfn._xlws.FILTER('Model output'!H:H, 'Model output'!Z:Z=A33)),1)),ISNUMBER(SEARCH("esophagus",_xlfn.TEXTJOIN("; ", TRUE, _xlfn._xlws.FILTER('Model output'!H:H, 'Model output'!Z:Z=A33)),1)),ISNUMBER(SEARCH("recurrent laryngeal nerve",_xlfn.TEXTJOIN("; ", TRUE, _xlfn._xlws.FILTER('Model output'!H:H, 'Model output'!Z:Z=A33)),1)),ISNUMBER(SEARCH("RLN",_xlfn.TEXTJOIN("; ", TRUE, _xlfn._xlws.FILTER('Model output'!H:H, 'Model output'!Z:Z=A33)),1)),_xlfn.TEXTJOIN("; ", TRUE, _xlfn._xlws.FILTER('Model output'!H:H, 'Model output'!Z:Z=A33))=""),"negative","positive")</f>
        <v>negative</v>
      </c>
      <c r="L33" s="17">
        <f>IF(IFERROR(INDEX('Model output'!I:I, MATCH(A33, 'Model output'!Z:Z, 0)), "") &lt; M33, "", IFERROR(INDEX('Model output'!I:I, MATCH(A33, 'Model output'!Z:Z, 0)), ""))</f>
        <v>1</v>
      </c>
      <c r="M33" s="28">
        <f>IFERROR(INDEX('Model output'!J:J, MATCH(A33, 'Model output'!Z:Z, 0)), "")</f>
        <v>1</v>
      </c>
      <c r="N33" s="47" t="str" cm="1">
        <f t="array" ref="N33">ReplaceTo(ReplaceAnd(SUBSTITUTE(SUBSTITUTE(_xlfn.TEXTJOIN("; ", TRUE, _xlfn._xlws.FILTER('Model output'!K:K, 'Model output'!Z:Z=A33)), " ", ""), ",", ";")))</f>
        <v>4mm</v>
      </c>
      <c r="O33" s="45" t="str" cm="1">
        <f t="array" ref="O33">IF(LEFT(IF(RIGHT(SUBSTITUTE(FilterWithUnits(N33)&amp;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";")),1)=";",RIGHT(IF(RIGHT(SUBSTITUTE(FilterWithUnits(N33)&amp;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";")),LEN(IF(RIGHT(SUBSTITUTE(FilterWithUnits(N33)&amp;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";")))-1),IF(RIGHT(SUBSTITUTE(FilterWithUnits(N33)&amp; ";" &amp;FilterStringsWithNumericAnd(N33) &amp; ";" &amp; FilterStringsWithX(N33), ";;", ";"),1)=";",LEFT(SUBSTITUTE(FilterWithUnits(N33)&amp; ";" &amp;FilterStringsWithNumericAnd(N33) &amp; ";" &amp; FilterStringsWithX(N33), ";;", ";"),LEN(SUBSTITUTE(FilterWithUnits(N33)&amp; ";" &amp;FilterStringsWithNumericAnd(N33) &amp; ";" &amp; FilterStringsWithX(N33), ";;", ";"))-1),SUBSTITUTE(FilterWithUnits(N33)&amp; ";" &amp;FilterStringsWithNumericAnd(N33) &amp; ";" &amp; FilterStringsWithX(N33), ";;", ";")))</f>
        <v>4mm</v>
      </c>
      <c r="P33" s="45" cm="1">
        <f t="array" ref="P33">IF(MaxSize((SplitDimensions(O33)))=0, "", MaxSize((SplitDimensions(O33))))</f>
        <v>0.4</v>
      </c>
      <c r="Q33" t="str" cm="1">
        <f t="array" ref="Q33">IF(ISERROR(INDEX(_xlfn._xlws.FILTER('Model output'!L:L, ('Model output'!Z:Z=A33)*('Model output'!L:L&lt;&gt;"")), 1)), " ", LOWER(INDEX(_xlfn._xlws.FILTER('Model output'!L:L, ('Model output'!Z:Z=A33)*('Model output'!L:L&lt;&gt;"")), 1)))</f>
        <v>papillary</v>
      </c>
      <c r="R33" s="45" t="str" cm="1">
        <f t="array" ref="R33">IF(ISERROR(INDEX(_xlfn._xlws.FILTER('Model output'!M:M, ('Model output'!Z:Z=A33)*('Model output'!M:M&lt;&gt;"")), 1)), " ", LOWER(INDEX(_xlfn._xlws.FILTER('Model output'!M:M, ('Model output'!Z:Z=A33)*('Model output'!M:M&lt;&gt;"")), 1)))</f>
        <v>infiltrative follicular</v>
      </c>
      <c r="S33" s="45" t="str" cm="1">
        <f t="array" ref="S33">IF(OR(ISNUMBER(SEARCH("ly",SUBSTITUTE(INDEX(_xlfn._xlws.FILTER('Model output'!N:N,('Model output'!Z:Z=A33)*('Model output'!N:N&lt;&gt;"")),1)," ",""),1)), ISNUMBER(SEARCH("pole",SUBSTITUTE(INDEX(_xlfn._xlws.FILTER('Model output'!N:N,('Model output'!Z:Z=A33)*('Model output'!N:N&lt;&gt;"")),1)," ",""),1))),"",SUBSTITUTE(INDEX(_xlfn._xlws.FILTER('Model output'!N:N,('Model output'!Z:Z=A33)*('Model output'!N:N&lt;&gt;"")),1)," ",""))</f>
        <v>4.5x3x2cm(Left)and1cm(Right)</v>
      </c>
      <c r="T33" s="45" t="str" cm="1">
        <f t="array" ref="T33">IF(LEFT(IF(RIGHT(SUBSTITUTE(FilterWithUnits(S33)&amp;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";")),1)=";",RIGHT(IF(RIGHT(SUBSTITUTE(FilterWithUnits(S33)&amp;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";")),LEN(IF(RIGHT(SUBSTITUTE(FilterWithUnits(S33)&amp;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";")))-1),IF(RIGHT(SUBSTITUTE(FilterWithUnits(S33)&amp; ";" &amp;FilterStringsWithNumericAnd(S33) &amp; ";" &amp; FilterStringsWithX(S33), ";;", ";"),1)=";",LEFT(SUBSTITUTE(FilterWithUnits(S33)&amp; ";" &amp;FilterStringsWithNumericAnd(S33) &amp; ";" &amp; FilterStringsWithX(S33), ";;", ";"),LEN(SUBSTITUTE(FilterWithUnits(S33)&amp; ";" &amp;FilterStringsWithNumericAnd(S33) &amp; ";" &amp; FilterStringsWithX(S33), ";;", ";"))-1),SUBSTITUTE(FilterWithUnits(S33)&amp; ";" &amp;FilterStringsWithNumericAnd(S33) &amp; ";" &amp; FilterStringsWithX(S33), ";;", ";")))</f>
        <v>4.5x3x2cm(Left)and1cm(Right)</v>
      </c>
      <c r="U33" s="45" t="str" cm="1">
        <f t="array" ref="U33">IF(MaxSize((SplitDimensions(T33)))=0, "", MaxSize((SplitDimensions(T33))))</f>
        <v/>
      </c>
      <c r="V33" s="17" t="str" cm="1">
        <f t="array" ref="V33">IF(ISERROR(INDEX(_xlfn._xlws.FILTER('Model output'!P:P,('Model output'!Z:Z=A33)*('Model output'!P:P&lt;&gt;"")),1)),"negative",IF(OR(ISNUMBER(SEARCH("foc",INDEX(_xlfn._xlws.FILTER('Model output'!P:P,('Model output'!Z:Z=A33)*('Model output'!P:P&lt;&gt;"")),1),1)),ISNUMBER(SEARCH("extensive",INDEX(_xlfn._xlws.FILTER('Model output'!P:P,('Model output'!Z:Z=A33)*('Model output'!P:P&lt;&gt;"")),1),1)),ISNUMBER(SEARCH("present",INDEX(_xlfn._xlws.FILTER('Model output'!P:P,('Model output'!Z:Z=A33)*('Model output'!P:P&lt;&gt;"")),1),1)),ISNUMBER(SEARCH("yes",INDEX(_xlfn._xlws.FILTER('Model output'!P:P,('Model output'!Z:Z=A33)*('Model output'!P:P&lt;&gt;"")),1),1))),"positive","negative"))</f>
        <v>positive</v>
      </c>
      <c r="X33" t="str" cm="1">
        <f t="array" ref="X33">IF(ISNUMBER(SEARCH("4",INDEX(_xlfn._xlws.FILTER('Model output'!P:P,('Model output'!Z:Z=A33)*('Model output'!P:P&lt;&gt;"")),1),1)),INDEX(_xlfn._xlws.FILTER('Model output'!P:P,('Model output'!Z:Z=A33)*('Model output'!P:P&lt;&gt;"")),1),"") &amp; _xlfn.TEXTJOIN("",TRUE,_xlfn._xlws.FILTER('Model output'!Q:Q,'Model output'!Z:Z=A33))</f>
        <v>Beyond the capsule into the surrounding striated muscleoverlying strap muscle, carotid sheath, RLN at lower pole, muscular layer of esophagus, prevertebral fascia</v>
      </c>
      <c r="Y33" t="str">
        <f t="shared" si="10"/>
        <v>minimal</v>
      </c>
      <c r="Z33" t="str" cm="1">
        <f t="array" ref="Z33">IF(OR(ISNUMBER(SEARCH("focal",_xlfn.TEXTJOIN("; ",TRUE,_xlfn._xlws.FILTER('Model output'!R:R,'Model output'!Z:Z=A33)),1)),ISNUMBER(SEARCH("present",_xlfn.TEXTJOIN("; ",TRUE,_xlfn._xlws.FILTER('Model output'!R:R,'Model output'!Z:Z=A33)),1))),"positive",IF(_xlfn.TEXTJOIN("; ",TRUE,_xlfn._xlws.FILTER('Model output'!R:R,'Model output'!Z:Z=A33))="","negative",IF(OR(ISNUMBER(SEARCH("no",_xlfn.TEXTJOIN("; ",TRUE,_xlfn._xlws.FILTER('Model output'!R:R,'Model output'!Z:Z=A33)),1)),ISNUMBER(SEARCH("absent",_xlfn.TEXTJOIN("; ",TRUE,_xlfn._xlws.FILTER('Model output'!R:R,'Model output'!Z:Z=A33)),1))),"negative","positive")))</f>
        <v>positive</v>
      </c>
      <c r="AA33" s="17" t="str">
        <f t="shared" si="11"/>
        <v>positive</v>
      </c>
      <c r="AE33" s="17" t="str">
        <f t="shared" si="12"/>
        <v>negative</v>
      </c>
      <c r="AF33" t="str" cm="1">
        <f t="array" ref="AF33">_xlfn.TEXTJOIN("; ",TRUE,_xlfn._xlws.FILTER('Model output'!S:S,'Model output'!Z:Z=A33))</f>
        <v>Yes; yes</v>
      </c>
      <c r="AG33" s="17" t="str" cm="1">
        <f t="array" ref="AG33">IF(OR(ISNUMBER(SEARCH("uninvolved",_xlfn.TEXTJOIN("; ",TRUE,_xlfn._xlws.FILTER('Model output'!V:V,'Model output'!Z:Z=A33)),1)),ISNUMBER(SEARCH("clear",_xlfn.TEXTJOIN("; ",TRUE,_xlfn._xlws.FILTER('Model output'!V:V,'Model output'!Z:Z=A33)),1))*ISNUMBER(SEARCH("not mentioned",_xlfn.TEXTJOIN("; ",TRUE,_xlfn._xlws.FILTER('Model output'!V:V,'Model output'!Z:Z=A33)),1))),"negative",IF(ISNUMBER(SEARCH("cannot be assessed",_xlfn.TEXTJOIN("; ",TRUE,_xlfn._xlws.FILTER('Model output'!V:V,'Model output'!Z:Z=A33)),1)),"unknown","negative"))</f>
        <v>negative</v>
      </c>
      <c r="AI33" s="40" t="str">
        <f t="shared" si="13"/>
        <v>intermediate</v>
      </c>
      <c r="AJ33" s="28" t="str">
        <f>IF(OR(ISNUMBER(SEARCH("non-invasive follicular",Q33)),ISNUMBER(SEARCH("papillary-like nuclear features",Q33)),ISNUMBER(SEARCH("non-invasive follicular",R33)),ISNUMBER(SEARCH("papillary-like nuclear features",R33))),"NIFTP", IF(OR(F33="4b",AND(AE33="positive",OR(ISNUMBER(SEARCH("prevertebral",AF33)),ISNUMBER(SEARCH("fascia",AF33)),ISNUMBER(SEARCH("carotid artery",AF33)),ISNUMBER(SEARCH("mediastinal",AF33))))),"4b",IF(OR(F33="4a",AND(AE33="positive",OR(ISNUMBER(SEARCH("soft tissue",AF33)),ISNUMBER(SEARCH("larynx",AF33)),ISNUMBER(SEARCH("trachea",AF33)),ISNUMBER(SEARCH("esophagus",AF33)),ISNUMBER(SEARCH("recurrent laryngeal nerve",AF33)),ISNUMBER(SEARCH("RLN",AF33))))),"4a", IF(OR(F33="3b", AE33="positive",ISNUMBER(SEARCH("strap",AF33)),ISNUMBER(SEARCH("sternothyroid",AF33)),ISNUMBER(SEARCH("sternohyoid",AF33)),ISNUMBER(SEARCH("thyrohyoid",AF33)),ISNUMBER(SEARCH("omohyoid",AF33))),"3b",IF(OR(F33="3a", AND(U33&lt;&gt;"",U33&gt;4)),"3a",IF(AND(U33&lt;&gt;"", U33&lt;=4,U33&gt;2),"2",IF(AND(U33&lt;&gt;"",U33&lt;=2,U33&gt;1),"1b",IF(AND(U33&lt;&gt;"",U33&lt;=1),"1a","1a"))))))))</f>
        <v>1a</v>
      </c>
      <c r="AK33" s="28" t="str">
        <f t="shared" si="2"/>
        <v>1a</v>
      </c>
      <c r="AL33" s="28">
        <f t="shared" si="3"/>
        <v>0</v>
      </c>
      <c r="AM33" s="28" t="str">
        <f t="shared" si="4"/>
        <v>II</v>
      </c>
      <c r="AN33" s="37" t="s">
        <v>170</v>
      </c>
      <c r="AO33" s="38" t="s">
        <v>220</v>
      </c>
      <c r="AP33" s="38" t="s">
        <v>216</v>
      </c>
      <c r="AQ33" s="38">
        <v>0</v>
      </c>
      <c r="AR33" s="38" t="s">
        <v>436</v>
      </c>
      <c r="AS33" s="37">
        <f t="shared" si="5"/>
        <v>0</v>
      </c>
      <c r="AT33" s="38">
        <f t="shared" si="6"/>
        <v>0</v>
      </c>
      <c r="AU33" s="38">
        <f t="shared" si="7"/>
        <v>1</v>
      </c>
      <c r="AV33" s="38">
        <f t="shared" si="8"/>
        <v>1</v>
      </c>
      <c r="AW33" s="39">
        <f t="shared" si="9"/>
        <v>0</v>
      </c>
    </row>
    <row r="34" spans="1:50">
      <c r="A34" s="13">
        <v>32</v>
      </c>
      <c r="B34" s="16">
        <f>_xlfn.MAXIFS('Model output'!B:B,'Model output'!Z:Z,'Classification result'!$A34)</f>
        <v>44837</v>
      </c>
      <c r="C34" s="16"/>
      <c r="D34" s="16"/>
      <c r="E34" s="17">
        <f>_xlfn.MAXIFS('Model output'!C:C,'Model output'!Z:Z,'Classification result'!$A34)</f>
        <v>72</v>
      </c>
      <c r="F34" s="17" t="str" cm="1">
        <f t="array" ref="F34">LEFT(IF(ISERROR(RIGHT(IF(INDEX(_xlfn._xlws.FILTER('Model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output'!Z:Z=A34)),1),""),1))),"",(RIGHT(IF(INDEX(_xlfn._xlws.FILTER('Model output'!D:D,('Model output'!Z:Z=A34)),1)&lt;&gt;"",INDEX(_xlfn._xlws.FILTER('Model output'!D:D,('Model output'!Z:Z=A34)),1),""),LEN(IF(INDEX(_xlfn._xlws.FILTER('Model output'!D:D,('Model output'!Z:Z=A34)),1)&lt;&gt;"",INDEX(_xlfn._xlws.FILTER('Model output'!D:D,('Model output'!Z:Z=A34)),1),""))-FIND("T",IF(INDEX(_xlfn._xlws.FILTER('Model output'!D:D,('Model output'!Z:Z=A34)),1)&lt;&gt;"",INDEX(_xlfn._xlws.FILTER('Model output'!D:D,('Model output'!Z:Z=A34)),1)))))),2)</f>
        <v>4</v>
      </c>
      <c r="G34" s="17" t="str" cm="1">
        <f t="array" ref="G34">IF(ISNUMBER(SEARCH("N",IF(ISNUMBER(SEARCH("present",IF(INDEX(_xlfn._xlws.FILTER('Model output'!E:E,('Model output'!Z:Z=A34)),1)="","",INDEX(_xlfn._xlws.FILTER('Model output'!E:E,('Model output'!Z:Z=A34)),1)),1)),"N1", IF(INDEX(_xlfn._xlws.FILTER('Model output'!E:E,('Model output'!Z:Z=A34)),1)="","",INDEX(_xlfn._xlws.FILTER('Model output'!E:E,('Model output'!Z:Z=A34)),1))),1)),RIGHT(IF(ISNUMBER(SEARCH("present",IF(INDEX(_xlfn._xlws.FILTER('Model output'!E:E,('Model output'!Z:Z=A34)),1)="","",INDEX(_xlfn._xlws.FILTER('Model output'!E:E,('Model output'!Z:Z=A34)),1)),1)),"N1", IF(INDEX(_xlfn._xlws.FILTER('Model output'!E:E,('Model output'!Z:Z=A34)),1)="","",INDEX(_xlfn._xlws.FILTER('Model output'!E:E,('Model output'!Z:Z=A34)),1))),LEN(IF(ISNUMBER(SEARCH("present",IF(INDEX(_xlfn._xlws.FILTER('Model output'!E:E,('Model output'!Z:Z=A34)),1)="","",INDEX(_xlfn._xlws.FILTER('Model output'!E:E,('Model output'!Z:Z=A34)),1)),1)),"N1", IF(INDEX(_xlfn._xlws.FILTER('Model output'!E:E,('Model output'!Z:Z=A34)),1)="","",INDEX(_xlfn._xlws.FILTER('Model output'!E:E,('Model output'!Z:Z=A34)),1))))-FIND("N",IF(ISNUMBER(SEARCH("present",IF(INDEX(_xlfn._xlws.FILTER('Model output'!E:E,('Model output'!Z:Z=A34)),1)="","",INDEX(_xlfn._xlws.FILTER('Model output'!E:E,('Model output'!Z:Z=A34)),1)),1)),"N1", IF(INDEX(_xlfn._xlws.FILTER('Model output'!E:E,('Model output'!Z:Z=A34)),1)="","",INDEX(_xlfn._xlws.FILTER('Model output'!E:E,('Model output'!Z:Z=A34)),1))),1)), "")</f>
        <v>1</v>
      </c>
      <c r="H34" s="17" cm="1">
        <f t="array" ref="H34">IF(AND(SUBSTITUTE(_xlfn.TEXTJOIN("/", TRUE, _xlfn._xlws.FILTER('Model output'!F:F, 'Model output'!Z:Z=A34)),"M", "")="", K34="negative"),0,IF(K34="positive",1,0))</f>
        <v>0</v>
      </c>
      <c r="I34" t="str">
        <f t="shared" si="0"/>
        <v>positive</v>
      </c>
      <c r="J34" t="str" cm="1">
        <f t="array" ref="J34">IF(AND(M34&gt;0, _xlfn.TEXTJOIN("; ", TRUE, _xlfn._xlws.FILTER('Model output'!G:G, 'Model output'!Z:Z=A34)) &lt;&gt;"", OR(AND(ISNUMBER(SEARCH("level", _xlfn.TEXTJOIN("; ", TRUE, _xlfn._xlws.FILTER('Model output'!G:G, 'Model output'!Z:Z=A34)),1)),OR(ISNUMBER(SEARCH(" II", _xlfn.TEXTJOIN("; ", TRUE, _xlfn._xlws.FILTER('Model output'!G:G, 'Model output'!Z:Z=A34)),1)),ISNUMBER(SEARCH("2", _xlfn.TEXTJOIN("; ", TRUE, _xlfn._xlws.FILTER('Model output'!G:G, 'Model output'!Z:Z=A34)),1)),ISNUMBER(SEARCH("two", _xlfn.TEXTJOIN("; ", TRUE, _xlfn._xlws.FILTER('Model output'!G:G, 'Model output'!Z:Z=A34)),1)),ISNUMBER(SEARCH("III", _xlfn.TEXTJOIN("; ", TRUE, _xlfn._xlws.FILTER('Model output'!G:G, 'Model output'!Z:Z=A34)),1)),ISNUMBER(SEARCH("3", _xlfn.TEXTJOIN("; ", TRUE, _xlfn._xlws.FILTER('Model output'!G:G, 'Model output'!Z:Z=A34)),1)),ISNUMBER(SEARCH("three", _xlfn.TEXTJOIN("; ", TRUE, _xlfn._xlws.FILTER('Model output'!G:G, 'Model output'!Z:Z=A34)),1)),ISNUMBER(SEARCH("IV", _xlfn.TEXTJOIN("; ", TRUE, _xlfn._xlws.FILTER('Model output'!G:G, 'Model output'!Z:Z=A34)),1)),ISNUMBER(SEARCH("4", _xlfn.TEXTJOIN("; ", TRUE, _xlfn._xlws.FILTER('Model output'!G:G, 'Model output'!Z:Z=A34)),1)),ISNUMBER(SEARCH("five", _xlfn.TEXTJOIN("; ", TRUE, _xlfn._xlws.FILTER('Model output'!G:G, 'Model output'!Z:Z=A34)),1)),ISNUMBER(SEARCH("V ", _xlfn.TEXTJOIN("; ", TRUE, _xlfn._xlws.FILTER('Model output'!G:G, 'Model output'!Z:Z=A34)),1)),ISNUMBER(SEARCH("5", _xlfn.TEXTJOIN("; ", TRUE, _xlfn._xlws.FILTER('Model output'!G:G, 'Model output'!Z:Z=A34)),1)),ISNUMBER(SEARCH("five", _xlfn.TEXTJOIN("; ", TRUE, _xlfn._xlws.FILTER('Model output'!G:G, 'Model output'!Z:Z=A34)),1)),ISNUMBER(SEARCH(" lateral", _xlfn.TEXTJOIN("; ", TRUE, _xlfn._xlws.FILTER('Model output'!G:G, 'Model output'!Z:Z=A34)),1)))),ISNUMBER(SEARCH("cervical", _xlfn.TEXTJOIN("; ", TRUE, _xlfn._xlws.FILTER('Model output'!G:G, 'Model output'!Z:Z=A34)),1)),ISNUMBER(SEARCH("jugular", _xlfn.TEXTJOIN("; ", TRUE, _xlfn._xlws.FILTER('Model output'!G:G, 'Model output'!Z:Z=A34)),1)),ISNUMBER(SEARCH("left neck", _xlfn.TEXTJOIN("; ", TRUE, _xlfn._xlws.FILTER('Model output'!G:G, 'Model output'!Z:Z=A34)),1)),ISNUMBER(SEARCH("left anterior neck", _xlfn.TEXTJOIN("; ", TRUE, _xlfn._xlws.FILTER('Model output'!G:G, 'Model output'!Z:Z=A34)),1)),ISNUMBER(SEARCH("left posterior neck", _xlfn.TEXTJOIN("; ", TRUE, _xlfn._xlws.FILTER('Model output'!G:G, 'Model output'!Z:Z=A34)),1)),ISNUMBER(SEARCH("right neck", _xlfn.TEXTJOIN("; ", TRUE, _xlfn._xlws.FILTER('Model output'!G:G, 'Model output'!Z:Z=A34)),1)),ISNUMBER(SEARCH("right anterior neck", _xlfn.TEXTJOIN("; ", TRUE, _xlfn._xlws.FILTER('Model output'!G:G, 'Model output'!Z:Z=A34)),1)),ISNUMBER(SEARCH("right posterior neck", _xlfn.TEXTJOIN("; ", TRUE, _xlfn._xlws.FILTER('Model output'!G:G, 'Model output'!Z:Z=A34)),1)))),"lateral",IF(AND(M34=0, _xlfn.TEXTJOIN("; ", TRUE, _xlfn._xlws.FILTER('Model output'!G:G, 'Model output'!Z:Z=A34))=""),"", "central"))</f>
        <v>central</v>
      </c>
      <c r="K34" s="17" t="str" cm="1">
        <f t="array" ref="K34">IF(OR(ISNUMBER(SEARCH("lymph",_xlfn.TEXTJOIN("; ", TRUE, _xlfn._xlws.FILTER('Model output'!H:H, 'Model output'!Z:Z=A34)),1)), ISNUMBER(SEARCH("Not mentioned",_xlfn.TEXTJOIN("; ", TRUE, _xlfn._xlws.FILTER('Model output'!H:H, 'Model output'!Z:Z=A34)),1)),ISNUMBER(SEARCH("subcutaneous soft tissues",_xlfn.TEXTJOIN("; ", TRUE, _xlfn._xlws.FILTER('Model output'!H:H, 'Model output'!Z:Z=A34)),1)),ISNUMBER(SEARCH("larynx",_xlfn.TEXTJOIN("; ", TRUE, _xlfn._xlws.FILTER('Model output'!H:H, 'Model output'!Z:Z=A34)),1)),ISNUMBER(SEARCH("trachea",_xlfn.TEXTJOIN("; ", TRUE, _xlfn._xlws.FILTER('Model output'!H:H, 'Model output'!Z:Z=A34)),1)),ISNUMBER(SEARCH("esophagus",_xlfn.TEXTJOIN("; ", TRUE, _xlfn._xlws.FILTER('Model output'!H:H, 'Model output'!Z:Z=A34)),1)),ISNUMBER(SEARCH("recurrent laryngeal nerve",_xlfn.TEXTJOIN("; ", TRUE, _xlfn._xlws.FILTER('Model output'!H:H, 'Model output'!Z:Z=A34)),1)),ISNUMBER(SEARCH("RLN",_xlfn.TEXTJOIN("; ", TRUE, _xlfn._xlws.FILTER('Model output'!H:H, 'Model output'!Z:Z=A34)),1)),_xlfn.TEXTJOIN("; ", TRUE, _xlfn._xlws.FILTER('Model output'!H:H, 'Model output'!Z:Z=A34))=""),"negative","positive")</f>
        <v>negative</v>
      </c>
      <c r="L34" s="17">
        <f>IF(IFERROR(INDEX('Model output'!I:I, MATCH(A34, 'Model output'!Z:Z, 0)), "") &lt; M34, "", IFERROR(INDEX('Model output'!I:I, MATCH(A34, 'Model output'!Z:Z, 0)), ""))</f>
        <v>12</v>
      </c>
      <c r="M34" s="28">
        <f>IFERROR(INDEX('Model output'!J:J, MATCH(A34, 'Model output'!Z:Z, 0)), "")</f>
        <v>4</v>
      </c>
      <c r="N34" s="47" t="str" cm="1">
        <f t="array" ref="N34">ReplaceTo(ReplaceAnd(SUBSTITUTE(SUBSTITUTE(_xlfn.TEXTJOIN("; ", TRUE, _xlfn._xlws.FILTER('Model output'!K:K, 'Model output'!Z:Z=A34)), " ", ""), ",", ";")))</f>
        <v>6cm</v>
      </c>
      <c r="O34" s="45" t="str" cm="1">
        <f t="array" ref="O34">IF(LEFT(IF(RIGHT(SUBSTITUTE(FilterWithUnits(N34)&amp;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";")),1)=";",RIGHT(IF(RIGHT(SUBSTITUTE(FilterWithUnits(N34)&amp;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";")),LEN(IF(RIGHT(SUBSTITUTE(FilterWithUnits(N34)&amp;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";")))-1),IF(RIGHT(SUBSTITUTE(FilterWithUnits(N34)&amp; ";" &amp;FilterStringsWithNumericAnd(N34) &amp; ";" &amp; FilterStringsWithX(N34), ";;", ";"),1)=";",LEFT(SUBSTITUTE(FilterWithUnits(N34)&amp; ";" &amp;FilterStringsWithNumericAnd(N34) &amp; ";" &amp; FilterStringsWithX(N34), ";;", ";"),LEN(SUBSTITUTE(FilterWithUnits(N34)&amp; ";" &amp;FilterStringsWithNumericAnd(N34) &amp; ";" &amp; FilterStringsWithX(N34), ";;", ";"))-1),SUBSTITUTE(FilterWithUnits(N34)&amp; ";" &amp;FilterStringsWithNumericAnd(N34) &amp; ";" &amp; FilterStringsWithX(N34), ";;", ";")))</f>
        <v>6cm</v>
      </c>
      <c r="P34" s="45" cm="1">
        <f t="array" ref="P34">IF(MaxSize((SplitDimensions(O34)))=0, "", MaxSize((SplitDimensions(O34))))</f>
        <v>6</v>
      </c>
      <c r="Q34" t="str" cm="1">
        <f t="array" ref="Q34">IF(ISERROR(INDEX(_xlfn._xlws.FILTER('Model output'!L:L, ('Model output'!Z:Z=A34)*('Model output'!L:L&lt;&gt;"")), 1)), " ", LOWER(INDEX(_xlfn._xlws.FILTER('Model output'!L:L, ('Model output'!Z:Z=A34)*('Model output'!L:L&lt;&gt;"")), 1)))</f>
        <v>follicular carcinoma</v>
      </c>
      <c r="R34" s="45" t="str" cm="1">
        <f t="array" ref="R34">IF(ISERROR(INDEX(_xlfn._xlws.FILTER('Model output'!M:M, ('Model output'!Z:Z=A34)*('Model output'!M:M&lt;&gt;"")), 1)), " ", LOWER(INDEX(_xlfn._xlws.FILTER('Model output'!M:M, ('Model output'!Z:Z=A34)*('Model output'!M:M&lt;&gt;"")), 1)))</f>
        <v>widely invasive</v>
      </c>
      <c r="S34" s="45" t="str" cm="1">
        <f t="array" ref="S34">IF(OR(ISNUMBER(SEARCH("ly",SUBSTITUTE(INDEX(_xlfn._xlws.FILTER('Model output'!N:N,('Model output'!Z:Z=A34)*('Model output'!N:N&lt;&gt;"")),1)," ",""),1)), ISNUMBER(SEARCH("pole",SUBSTITUTE(INDEX(_xlfn._xlws.FILTER('Model output'!N:N,('Model output'!Z:Z=A34)*('Model output'!N:N&lt;&gt;"")),1)," ",""),1))),"",SUBSTITUTE(INDEX(_xlfn._xlws.FILTER('Model output'!N:N,('Model output'!Z:Z=A34)*('Model output'!N:N&lt;&gt;"")),1)," ",""))</f>
        <v>6cm</v>
      </c>
      <c r="T34" s="45" t="str" cm="1">
        <f t="array" ref="T34">IF(LEFT(IF(RIGHT(SUBSTITUTE(FilterWithUnits(S34)&amp;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";")),1)=";",RIGHT(IF(RIGHT(SUBSTITUTE(FilterWithUnits(S34)&amp;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";")),LEN(IF(RIGHT(SUBSTITUTE(FilterWithUnits(S34)&amp;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";")))-1),IF(RIGHT(SUBSTITUTE(FilterWithUnits(S34)&amp; ";" &amp;FilterStringsWithNumericAnd(S34) &amp; ";" &amp; FilterStringsWithX(S34), ";;", ";"),1)=";",LEFT(SUBSTITUTE(FilterWithUnits(S34)&amp; ";" &amp;FilterStringsWithNumericAnd(S34) &amp; ";" &amp; FilterStringsWithX(S34), ";;", ";"),LEN(SUBSTITUTE(FilterWithUnits(S34)&amp; ";" &amp;FilterStringsWithNumericAnd(S34) &amp; ";" &amp; FilterStringsWithX(S34), ";;", ";"))-1),SUBSTITUTE(FilterWithUnits(S34)&amp; ";" &amp;FilterStringsWithNumericAnd(S34) &amp; ";" &amp; FilterStringsWithX(S34), ";;", ";")))</f>
        <v>6cm</v>
      </c>
      <c r="U34" s="45" cm="1">
        <f t="array" ref="U34">IF(MaxSize((SplitDimensions(T34)))=0, "", MaxSize((SplitDimensions(T34))))</f>
        <v>6</v>
      </c>
      <c r="V34" s="17" t="str" cm="1">
        <f t="array" ref="V34">IF(ISERROR(INDEX(_xlfn._xlws.FILTER('Model output'!P:P,('Model output'!Z:Z=A34)*('Model output'!P:P&lt;&gt;"")),1)),"negative",IF(OR(ISNUMBER(SEARCH("foc",INDEX(_xlfn._xlws.FILTER('Model output'!P:P,('Model output'!Z:Z=A34)*('Model output'!P:P&lt;&gt;"")),1),1)),ISNUMBER(SEARCH("extensive",INDEX(_xlfn._xlws.FILTER('Model output'!P:P,('Model output'!Z:Z=A34)*('Model output'!P:P&lt;&gt;"")),1),1)),ISNUMBER(SEARCH("present",INDEX(_xlfn._xlws.FILTER('Model output'!P:P,('Model output'!Z:Z=A34)*('Model output'!P:P&lt;&gt;"")),1),1)),ISNUMBER(SEARCH("yes",INDEX(_xlfn._xlws.FILTER('Model output'!P:P,('Model output'!Z:Z=A34)*('Model output'!P:P&lt;&gt;"")),1),1))),"positive","negative"))</f>
        <v>positive</v>
      </c>
      <c r="X34" t="str" cm="1">
        <f t="array" ref="X34">IF(ISNUMBER(SEARCH("4",INDEX(_xlfn._xlws.FILTER('Model output'!P:P,('Model output'!Z:Z=A34)*('Model output'!P:P&lt;&gt;"")),1),1)),INDEX(_xlfn._xlws.FILTER('Model output'!P:P,('Model output'!Z:Z=A34)*('Model output'!P:P&lt;&gt;"")),1),"") &amp; _xlfn.TEXTJOIN("",TRUE,_xlfn._xlws.FILTER('Model output'!Q:Q,'Model output'!Z:Z=A34))</f>
        <v>Extensive (= or &gt; 4 vessels)</v>
      </c>
      <c r="Y34" t="str">
        <f t="shared" si="10"/>
        <v>extensive</v>
      </c>
      <c r="Z34" t="str" cm="1">
        <f t="array" ref="Z34">IF(OR(ISNUMBER(SEARCH("focal",_xlfn.TEXTJOIN("; ",TRUE,_xlfn._xlws.FILTER('Model output'!R:R,'Model output'!Z:Z=A34)),1)),ISNUMBER(SEARCH("present",_xlfn.TEXTJOIN("; ",TRUE,_xlfn._xlws.FILTER('Model output'!R:R,'Model output'!Z:Z=A34)),1))),"positive",IF(_xlfn.TEXTJOIN("; ",TRUE,_xlfn._xlws.FILTER('Model output'!R:R,'Model output'!Z:Z=A34))="","negative",IF(OR(ISNUMBER(SEARCH("no",_xlfn.TEXTJOIN("; ",TRUE,_xlfn._xlws.FILTER('Model output'!R:R,'Model output'!Z:Z=A34)),1)),ISNUMBER(SEARCH("absent",_xlfn.TEXTJOIN("; ",TRUE,_xlfn._xlws.FILTER('Model output'!R:R,'Model output'!Z:Z=A34)),1))),"negative","positive")))</f>
        <v>positive</v>
      </c>
      <c r="AA34" s="17" t="str">
        <f t="shared" si="11"/>
        <v>positive</v>
      </c>
      <c r="AE34" s="17" t="str">
        <f t="shared" si="12"/>
        <v>negative</v>
      </c>
      <c r="AF34" t="str" cm="1">
        <f t="array" ref="AF34">_xlfn.TEXTJOIN("; ",TRUE,_xlfn._xlws.FILTER('Model output'!S:S,'Model output'!Z:Z=A34))</f>
        <v>Focally into adjacent fibroadipose tissue (block B3)</v>
      </c>
      <c r="AG34" s="17" t="str" cm="1">
        <f t="array" ref="AG34">IF(OR(ISNUMBER(SEARCH("uninvolved",_xlfn.TEXTJOIN("; ",TRUE,_xlfn._xlws.FILTER('Model output'!V:V,'Model output'!Z:Z=A34)),1)),ISNUMBER(SEARCH("clear",_xlfn.TEXTJOIN("; ",TRUE,_xlfn._xlws.FILTER('Model output'!V:V,'Model output'!Z:Z=A34)),1))*ISNUMBER(SEARCH("not mentioned",_xlfn.TEXTJOIN("; ",TRUE,_xlfn._xlws.FILTER('Model output'!V:V,'Model output'!Z:Z=A34)),1))),"negative",IF(ISNUMBER(SEARCH("cannot be assessed",_xlfn.TEXTJOIN("; ",TRUE,_xlfn._xlws.FILTER('Model output'!V:V,'Model output'!Z:Z=A34)),1)),"unknown","negative"))</f>
        <v>negative</v>
      </c>
      <c r="AI34" s="40" t="str">
        <f t="shared" si="13"/>
        <v>high</v>
      </c>
      <c r="AJ34" s="28" t="str">
        <f>IF(OR(ISNUMBER(SEARCH("non-invasive follicular",Q34)),ISNUMBER(SEARCH("papillary-like nuclear features",Q34)),ISNUMBER(SEARCH("non-invasive follicular",R34)),ISNUMBER(SEARCH("papillary-like nuclear features",R34))),"NIFTP", IF(OR(F34="4b",AND(AE34="positive",OR(ISNUMBER(SEARCH("prevertebral",AF34)),ISNUMBER(SEARCH("fascia",AF34)),ISNUMBER(SEARCH("carotid artery",AF34)),ISNUMBER(SEARCH("mediastinal",AF34))))),"4b",IF(OR(F34="4a",AND(AE34="positive",OR(ISNUMBER(SEARCH("soft tissue",AF34)),ISNUMBER(SEARCH("larynx",AF34)),ISNUMBER(SEARCH("trachea",AF34)),ISNUMBER(SEARCH("esophagus",AF34)),ISNUMBER(SEARCH("recurrent laryngeal nerve",AF34)),ISNUMBER(SEARCH("RLN",AF34))))),"4a", IF(OR(F34="3b", AE34="positive",ISNUMBER(SEARCH("strap",AF34)),ISNUMBER(SEARCH("sternothyroid",AF34)),ISNUMBER(SEARCH("sternohyoid",AF34)),ISNUMBER(SEARCH("thyrohyoid",AF34)),ISNUMBER(SEARCH("omohyoid",AF34))),"3b",IF(OR(F34="3a", AND(U34&lt;&gt;"",U34&gt;4)),"3a",IF(AND(U34&lt;&gt;"", U34&lt;=4,U34&gt;2),"2",IF(AND(U34&lt;&gt;"",U34&lt;=2,U34&gt;1),"1b",IF(AND(U34&lt;&gt;"",U34&lt;=1),"1a","1a"))))))))</f>
        <v>3a</v>
      </c>
      <c r="AK34" s="28" t="str">
        <f t="shared" si="2"/>
        <v>1a</v>
      </c>
      <c r="AL34" s="28">
        <f t="shared" si="3"/>
        <v>0</v>
      </c>
      <c r="AM34" s="28" t="str">
        <f t="shared" si="4"/>
        <v>II</v>
      </c>
      <c r="AN34" s="37" t="s">
        <v>170</v>
      </c>
      <c r="AO34" s="38" t="s">
        <v>218</v>
      </c>
      <c r="AP34" s="38">
        <v>0</v>
      </c>
      <c r="AQ34" s="38">
        <v>0</v>
      </c>
      <c r="AR34" s="38" t="s">
        <v>45</v>
      </c>
      <c r="AS34" s="37">
        <f t="shared" si="5"/>
        <v>1</v>
      </c>
      <c r="AT34" s="38">
        <f t="shared" si="6"/>
        <v>1</v>
      </c>
      <c r="AU34" s="38">
        <f t="shared" si="7"/>
        <v>0</v>
      </c>
      <c r="AV34" s="38">
        <f t="shared" si="8"/>
        <v>1</v>
      </c>
      <c r="AW34" s="39">
        <f t="shared" si="9"/>
        <v>1</v>
      </c>
    </row>
    <row r="35" spans="1:50">
      <c r="A35" s="13">
        <v>33</v>
      </c>
      <c r="B35" s="16">
        <f>_xlfn.MAXIFS('Model output'!B:B,'Model output'!Z:Z,'Classification result'!$A35)</f>
        <v>44517</v>
      </c>
      <c r="C35" s="16"/>
      <c r="D35" s="16"/>
      <c r="E35" s="17">
        <f>_xlfn.MAXIFS('Model output'!C:C,'Model output'!Z:Z,'Classification result'!$A35)</f>
        <v>41</v>
      </c>
      <c r="F35" s="17" t="str" cm="1">
        <f t="array" ref="F35">LEFT(IF(ISERROR(RIGHT(IF(INDEX(_xlfn._xlws.FILTER('Model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output'!Z:Z=A35)),1),""),1))),"",(RIGHT(IF(INDEX(_xlfn._xlws.FILTER('Model output'!D:D,('Model output'!Z:Z=A35)),1)&lt;&gt;"",INDEX(_xlfn._xlws.FILTER('Model output'!D:D,('Model output'!Z:Z=A35)),1),""),LEN(IF(INDEX(_xlfn._xlws.FILTER('Model output'!D:D,('Model output'!Z:Z=A35)),1)&lt;&gt;"",INDEX(_xlfn._xlws.FILTER('Model output'!D:D,('Model output'!Z:Z=A35)),1),""))-FIND("T",IF(INDEX(_xlfn._xlws.FILTER('Model output'!D:D,('Model output'!Z:Z=A35)),1)&lt;&gt;"",INDEX(_xlfn._xlws.FILTER('Model output'!D:D,('Model output'!Z:Z=A35)),1)))))),2)</f>
        <v>1a</v>
      </c>
      <c r="G35" s="17" t="str" cm="1">
        <f t="array" ref="G35">IF(ISNUMBER(SEARCH("N",IF(ISNUMBER(SEARCH("present",IF(INDEX(_xlfn._xlws.FILTER('Model output'!E:E,('Model output'!Z:Z=A35)),1)="","",INDEX(_xlfn._xlws.FILTER('Model output'!E:E,('Model output'!Z:Z=A35)),1)),1)),"N1", IF(INDEX(_xlfn._xlws.FILTER('Model output'!E:E,('Model output'!Z:Z=A35)),1)="","",INDEX(_xlfn._xlws.FILTER('Model output'!E:E,('Model output'!Z:Z=A35)),1))),1)),RIGHT(IF(ISNUMBER(SEARCH("present",IF(INDEX(_xlfn._xlws.FILTER('Model output'!E:E,('Model output'!Z:Z=A35)),1)="","",INDEX(_xlfn._xlws.FILTER('Model output'!E:E,('Model output'!Z:Z=A35)),1)),1)),"N1", IF(INDEX(_xlfn._xlws.FILTER('Model output'!E:E,('Model output'!Z:Z=A35)),1)="","",INDEX(_xlfn._xlws.FILTER('Model output'!E:E,('Model output'!Z:Z=A35)),1))),LEN(IF(ISNUMBER(SEARCH("present",IF(INDEX(_xlfn._xlws.FILTER('Model output'!E:E,('Model output'!Z:Z=A35)),1)="","",INDEX(_xlfn._xlws.FILTER('Model output'!E:E,('Model output'!Z:Z=A35)),1)),1)),"N1", IF(INDEX(_xlfn._xlws.FILTER('Model output'!E:E,('Model output'!Z:Z=A35)),1)="","",INDEX(_xlfn._xlws.FILTER('Model output'!E:E,('Model output'!Z:Z=A35)),1))))-FIND("N",IF(ISNUMBER(SEARCH("present",IF(INDEX(_xlfn._xlws.FILTER('Model output'!E:E,('Model output'!Z:Z=A35)),1)="","",INDEX(_xlfn._xlws.FILTER('Model output'!E:E,('Model output'!Z:Z=A35)),1)),1)),"N1", IF(INDEX(_xlfn._xlws.FILTER('Model output'!E:E,('Model output'!Z:Z=A35)),1)="","",INDEX(_xlfn._xlws.FILTER('Model output'!E:E,('Model output'!Z:Z=A35)),1))),1)), "")</f>
        <v/>
      </c>
      <c r="H35" s="17" cm="1">
        <f t="array" ref="H35">IF(AND(SUBSTITUTE(_xlfn.TEXTJOIN("/", TRUE, _xlfn._xlws.FILTER('Model output'!F:F, 'Model output'!Z:Z=A35)),"M", "")="", K35="negative"),0,IF(K35="positive",1,0))</f>
        <v>1</v>
      </c>
      <c r="I35" t="str">
        <f t="shared" si="0"/>
        <v>positive</v>
      </c>
      <c r="J35" t="str" cm="1">
        <f t="array" ref="J35">IF(AND(M35&gt;0, _xlfn.TEXTJOIN("; ", TRUE, _xlfn._xlws.FILTER('Model output'!G:G, 'Model output'!Z:Z=A35)) &lt;&gt;"", OR(AND(ISNUMBER(SEARCH("level", _xlfn.TEXTJOIN("; ", TRUE, _xlfn._xlws.FILTER('Model output'!G:G, 'Model output'!Z:Z=A35)),1)),OR(ISNUMBER(SEARCH(" II", _xlfn.TEXTJOIN("; ", TRUE, _xlfn._xlws.FILTER('Model output'!G:G, 'Model output'!Z:Z=A35)),1)),ISNUMBER(SEARCH("2", _xlfn.TEXTJOIN("; ", TRUE, _xlfn._xlws.FILTER('Model output'!G:G, 'Model output'!Z:Z=A35)),1)),ISNUMBER(SEARCH("two", _xlfn.TEXTJOIN("; ", TRUE, _xlfn._xlws.FILTER('Model output'!G:G, 'Model output'!Z:Z=A35)),1)),ISNUMBER(SEARCH("III", _xlfn.TEXTJOIN("; ", TRUE, _xlfn._xlws.FILTER('Model output'!G:G, 'Model output'!Z:Z=A35)),1)),ISNUMBER(SEARCH("3", _xlfn.TEXTJOIN("; ", TRUE, _xlfn._xlws.FILTER('Model output'!G:G, 'Model output'!Z:Z=A35)),1)),ISNUMBER(SEARCH("three", _xlfn.TEXTJOIN("; ", TRUE, _xlfn._xlws.FILTER('Model output'!G:G, 'Model output'!Z:Z=A35)),1)),ISNUMBER(SEARCH("IV", _xlfn.TEXTJOIN("; ", TRUE, _xlfn._xlws.FILTER('Model output'!G:G, 'Model output'!Z:Z=A35)),1)),ISNUMBER(SEARCH("4", _xlfn.TEXTJOIN("; ", TRUE, _xlfn._xlws.FILTER('Model output'!G:G, 'Model output'!Z:Z=A35)),1)),ISNUMBER(SEARCH("five", _xlfn.TEXTJOIN("; ", TRUE, _xlfn._xlws.FILTER('Model output'!G:G, 'Model output'!Z:Z=A35)),1)),ISNUMBER(SEARCH("V ", _xlfn.TEXTJOIN("; ", TRUE, _xlfn._xlws.FILTER('Model output'!G:G, 'Model output'!Z:Z=A35)),1)),ISNUMBER(SEARCH("5", _xlfn.TEXTJOIN("; ", TRUE, _xlfn._xlws.FILTER('Model output'!G:G, 'Model output'!Z:Z=A35)),1)),ISNUMBER(SEARCH("five", _xlfn.TEXTJOIN("; ", TRUE, _xlfn._xlws.FILTER('Model output'!G:G, 'Model output'!Z:Z=A35)),1)),ISNUMBER(SEARCH(" lateral", _xlfn.TEXTJOIN("; ", TRUE, _xlfn._xlws.FILTER('Model output'!G:G, 'Model output'!Z:Z=A35)),1)))),ISNUMBER(SEARCH("cervical", _xlfn.TEXTJOIN("; ", TRUE, _xlfn._xlws.FILTER('Model output'!G:G, 'Model output'!Z:Z=A35)),1)),ISNUMBER(SEARCH("jugular", _xlfn.TEXTJOIN("; ", TRUE, _xlfn._xlws.FILTER('Model output'!G:G, 'Model output'!Z:Z=A35)),1)),ISNUMBER(SEARCH("left neck", _xlfn.TEXTJOIN("; ", TRUE, _xlfn._xlws.FILTER('Model output'!G:G, 'Model output'!Z:Z=A35)),1)),ISNUMBER(SEARCH("left anterior neck", _xlfn.TEXTJOIN("; ", TRUE, _xlfn._xlws.FILTER('Model output'!G:G, 'Model output'!Z:Z=A35)),1)),ISNUMBER(SEARCH("left posterior neck", _xlfn.TEXTJOIN("; ", TRUE, _xlfn._xlws.FILTER('Model output'!G:G, 'Model output'!Z:Z=A35)),1)),ISNUMBER(SEARCH("right neck", _xlfn.TEXTJOIN("; ", TRUE, _xlfn._xlws.FILTER('Model output'!G:G, 'Model output'!Z:Z=A35)),1)),ISNUMBER(SEARCH("right anterior neck", _xlfn.TEXTJOIN("; ", TRUE, _xlfn._xlws.FILTER('Model output'!G:G, 'Model output'!Z:Z=A35)),1)),ISNUMBER(SEARCH("right posterior neck", _xlfn.TEXTJOIN("; ", TRUE, _xlfn._xlws.FILTER('Model output'!G:G, 'Model output'!Z:Z=A35)),1)))),"lateral",IF(AND(M35=0, _xlfn.TEXTJOIN("; ", TRUE, _xlfn._xlws.FILTER('Model output'!G:G, 'Model output'!Z:Z=A35))=""),"", "central"))</f>
        <v>central</v>
      </c>
      <c r="K35" s="17" t="str" cm="1">
        <f t="array" ref="K35">IF(OR(ISNUMBER(SEARCH("lymph",_xlfn.TEXTJOIN("; ", TRUE, _xlfn._xlws.FILTER('Model output'!H:H, 'Model output'!Z:Z=A35)),1)), ISNUMBER(SEARCH("Not mentioned",_xlfn.TEXTJOIN("; ", TRUE, _xlfn._xlws.FILTER('Model output'!H:H, 'Model output'!Z:Z=A35)),1)),ISNUMBER(SEARCH("subcutaneous soft tissues",_xlfn.TEXTJOIN("; ", TRUE, _xlfn._xlws.FILTER('Model output'!H:H, 'Model output'!Z:Z=A35)),1)),ISNUMBER(SEARCH("larynx",_xlfn.TEXTJOIN("; ", TRUE, _xlfn._xlws.FILTER('Model output'!H:H, 'Model output'!Z:Z=A35)),1)),ISNUMBER(SEARCH("trachea",_xlfn.TEXTJOIN("; ", TRUE, _xlfn._xlws.FILTER('Model output'!H:H, 'Model output'!Z:Z=A35)),1)),ISNUMBER(SEARCH("esophagus",_xlfn.TEXTJOIN("; ", TRUE, _xlfn._xlws.FILTER('Model output'!H:H, 'Model output'!Z:Z=A35)),1)),ISNUMBER(SEARCH("recurrent laryngeal nerve",_xlfn.TEXTJOIN("; ", TRUE, _xlfn._xlws.FILTER('Model output'!H:H, 'Model output'!Z:Z=A35)),1)),ISNUMBER(SEARCH("RLN",_xlfn.TEXTJOIN("; ", TRUE, _xlfn._xlws.FILTER('Model output'!H:H, 'Model output'!Z:Z=A35)),1)),_xlfn.TEXTJOIN("; ", TRUE, _xlfn._xlws.FILTER('Model output'!H:H, 'Model output'!Z:Z=A35))=""),"negative","positive")</f>
        <v>positive</v>
      </c>
      <c r="L35" s="17" t="str">
        <f>IF(IFERROR(INDEX('Model output'!I:I, MATCH(A35, 'Model output'!Z:Z, 0)), "") &lt; M35, "", IFERROR(INDEX('Model output'!I:I, MATCH(A35, 'Model output'!Z:Z, 0)), ""))</f>
        <v>14 (A)</v>
      </c>
      <c r="M35" s="28" t="str">
        <f>IFERROR(INDEX('Model output'!J:J, MATCH(A35, 'Model output'!Z:Z, 0)), "")</f>
        <v>1 (A)</v>
      </c>
      <c r="N35" s="47" t="str" cm="1">
        <f t="array" ref="N35">ReplaceTo(ReplaceAnd(SUBSTITUTE(SUBSTITUTE(_xlfn.TEXTJOIN("; ", TRUE, _xlfn._xlws.FILTER('Model output'!K:K, 'Model output'!Z:Z=A35)), " ", ""), ",", ";")))</f>
        <v/>
      </c>
      <c r="O35" s="45" t="str" cm="1">
        <f t="array" ref="O35">IF(LEFT(IF(RIGHT(SUBSTITUTE(FilterWithUnits(N35)&amp;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";")),1)=";",RIGHT(IF(RIGHT(SUBSTITUTE(FilterWithUnits(N35)&amp;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";")),LEN(IF(RIGHT(SUBSTITUTE(FilterWithUnits(N35)&amp;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";")))-1),IF(RIGHT(SUBSTITUTE(FilterWithUnits(N35)&amp; ";" &amp;FilterStringsWithNumericAnd(N35) &amp; ";" &amp; FilterStringsWithX(N35), ";;", ";"),1)=";",LEFT(SUBSTITUTE(FilterWithUnits(N35)&amp; ";" &amp;FilterStringsWithNumericAnd(N35) &amp; ";" &amp; FilterStringsWithX(N35), ";;", ";"),LEN(SUBSTITUTE(FilterWithUnits(N35)&amp; ";" &amp;FilterStringsWithNumericAnd(N35) &amp; ";" &amp; FilterStringsWithX(N35), ";;", ";"))-1),SUBSTITUTE(FilterWithUnits(N35)&amp; ";" &amp;FilterStringsWithNumericAnd(N35) &amp; ";" &amp; FilterStringsWithX(N35), ";;", ";")))</f>
        <v/>
      </c>
      <c r="P35" s="45" t="str" cm="1">
        <f t="array" ref="P35">IF(MaxSize((SplitDimensions(O35)))=0, "", MaxSize((SplitDimensions(O35))))</f>
        <v/>
      </c>
      <c r="Q35" t="str" cm="1">
        <f t="array" ref="Q35">IF(ISERROR(INDEX(_xlfn._xlws.FILTER('Model output'!L:L, ('Model output'!Z:Z=A35)*('Model output'!L:L&lt;&gt;"")), 1)), " ", LOWER(INDEX(_xlfn._xlws.FILTER('Model output'!L:L, ('Model output'!Z:Z=A35)*('Model output'!L:L&lt;&gt;"")), 1)))</f>
        <v>papillary</v>
      </c>
      <c r="R35" s="45" t="str" cm="1">
        <f t="array" ref="R35">IF(ISERROR(INDEX(_xlfn._xlws.FILTER('Model output'!M:M, ('Model output'!Z:Z=A35)*('Model output'!M:M&lt;&gt;"")), 1)), " ", LOWER(INDEX(_xlfn._xlws.FILTER('Model output'!M:M, ('Model output'!Z:Z=A35)*('Model output'!M:M&lt;&gt;"")), 1)))</f>
        <v xml:space="preserve"> </v>
      </c>
      <c r="S35" s="45" t="str" cm="1">
        <f t="array" ref="S35">IF(OR(ISNUMBER(SEARCH("ly",SUBSTITUTE(INDEX(_xlfn._xlws.FILTER('Model output'!N:N,('Model output'!Z:Z=A35)*('Model output'!N:N&lt;&gt;"")),1)," ",""),1)), ISNUMBER(SEARCH("pole",SUBSTITUTE(INDEX(_xlfn._xlws.FILTER('Model output'!N:N,('Model output'!Z:Z=A35)*('Model output'!N:N&lt;&gt;"")),1)," ",""),1))),"",SUBSTITUTE(INDEX(_xlfn._xlws.FILTER('Model output'!N:N,('Model output'!Z:Z=A35)*('Model output'!N:N&lt;&gt;"")),1)," ",""))</f>
        <v>35mm(A)</v>
      </c>
      <c r="T35" s="45" t="str" cm="1">
        <f t="array" ref="T35">IF(LEFT(IF(RIGHT(SUBSTITUTE(FilterWithUnits(S35)&amp;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";")),1)=";",RIGHT(IF(RIGHT(SUBSTITUTE(FilterWithUnits(S35)&amp;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";")),LEN(IF(RIGHT(SUBSTITUTE(FilterWithUnits(S35)&amp;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";")))-1),IF(RIGHT(SUBSTITUTE(FilterWithUnits(S35)&amp; ";" &amp;FilterStringsWithNumericAnd(S35) &amp; ";" &amp; FilterStringsWithX(S35), ";;", ";"),1)=";",LEFT(SUBSTITUTE(FilterWithUnits(S35)&amp; ";" &amp;FilterStringsWithNumericAnd(S35) &amp; ";" &amp; FilterStringsWithX(S35), ";;", ";"),LEN(SUBSTITUTE(FilterWithUnits(S35)&amp; ";" &amp;FilterStringsWithNumericAnd(S35) &amp; ";" &amp; FilterStringsWithX(S35), ";;", ";"))-1),SUBSTITUTE(FilterWithUnits(S35)&amp; ";" &amp;FilterStringsWithNumericAnd(S35) &amp; ";" &amp; FilterStringsWithX(S35), ";;", ";")))</f>
        <v>35mm</v>
      </c>
      <c r="U35" s="45" cm="1">
        <f t="array" ref="U35">IF(MaxSize((SplitDimensions(T35)))=0, "", MaxSize((SplitDimensions(T35))))</f>
        <v>3.5</v>
      </c>
      <c r="V35" s="17" t="str" cm="1">
        <f t="array" ref="V35">IF(ISERROR(INDEX(_xlfn._xlws.FILTER('Model output'!P:P,('Model output'!Z:Z=A35)*('Model output'!P:P&lt;&gt;"")),1)),"negative",IF(OR(ISNUMBER(SEARCH("foc",INDEX(_xlfn._xlws.FILTER('Model output'!P:P,('Model output'!Z:Z=A35)*('Model output'!P:P&lt;&gt;"")),1),1)),ISNUMBER(SEARCH("extensive",INDEX(_xlfn._xlws.FILTER('Model output'!P:P,('Model output'!Z:Z=A35)*('Model output'!P:P&lt;&gt;"")),1),1)),ISNUMBER(SEARCH("present",INDEX(_xlfn._xlws.FILTER('Model output'!P:P,('Model output'!Z:Z=A35)*('Model output'!P:P&lt;&gt;"")),1),1)),ISNUMBER(SEARCH("yes",INDEX(_xlfn._xlws.FILTER('Model output'!P:P,('Model output'!Z:Z=A35)*('Model output'!P:P&lt;&gt;"")),1),1))),"positive","negative"))</f>
        <v>negative</v>
      </c>
      <c r="X35" t="str" cm="1">
        <f t="array" ref="X35">IF(ISNUMBER(SEARCH("4",INDEX(_xlfn._xlws.FILTER('Model output'!P:P,('Model output'!Z:Z=A35)*('Model output'!P:P&lt;&gt;"")),1),1)),INDEX(_xlfn._xlws.FILTER('Model output'!P:P,('Model output'!Z:Z=A35)*('Model output'!P:P&lt;&gt;"")),1),"") &amp; _xlfn.TEXTJOIN("",TRUE,_xlfn._xlws.FILTER('Model output'!Q:Q,'Model output'!Z:Z=A35))</f>
        <v/>
      </c>
      <c r="Y35" t="str">
        <f t="shared" si="10"/>
        <v>no</v>
      </c>
      <c r="Z35" t="str" cm="1">
        <f t="array" ref="Z35">IF(OR(ISNUMBER(SEARCH("focal",_xlfn.TEXTJOIN("; ",TRUE,_xlfn._xlws.FILTER('Model output'!R:R,'Model output'!Z:Z=A35)),1)),ISNUMBER(SEARCH("present",_xlfn.TEXTJOIN("; ",TRUE,_xlfn._xlws.FILTER('Model output'!R:R,'Model output'!Z:Z=A35)),1))),"positive",IF(_xlfn.TEXTJOIN("; ",TRUE,_xlfn._xlws.FILTER('Model output'!R:R,'Model output'!Z:Z=A35))="","negative",IF(OR(ISNUMBER(SEARCH("no",_xlfn.TEXTJOIN("; ",TRUE,_xlfn._xlws.FILTER('Model output'!R:R,'Model output'!Z:Z=A35)),1)),ISNUMBER(SEARCH("absent",_xlfn.TEXTJOIN("; ",TRUE,_xlfn._xlws.FILTER('Model output'!R:R,'Model output'!Z:Z=A35)),1))),"negative","positive")))</f>
        <v>negative</v>
      </c>
      <c r="AA35" s="17" t="str">
        <f t="shared" si="11"/>
        <v>negative</v>
      </c>
      <c r="AE35" s="17" t="str">
        <f t="shared" si="12"/>
        <v>negative</v>
      </c>
      <c r="AF35" t="str" cm="1">
        <f t="array" ref="AF35">_xlfn.TEXTJOIN("; ",TRUE,_xlfn._xlws.FILTER('Model output'!S:S,'Model output'!Z:Z=A35))</f>
        <v>No</v>
      </c>
      <c r="AG35" s="17" t="str" cm="1">
        <f t="array" ref="AG35">IF(OR(ISNUMBER(SEARCH("uninvolved",_xlfn.TEXTJOIN("; ",TRUE,_xlfn._xlws.FILTER('Model output'!V:V,'Model output'!Z:Z=A35)),1)),ISNUMBER(SEARCH("clear",_xlfn.TEXTJOIN("; ",TRUE,_xlfn._xlws.FILTER('Model output'!V:V,'Model output'!Z:Z=A35)),1))*ISNUMBER(SEARCH("not mentioned",_xlfn.TEXTJOIN("; ",TRUE,_xlfn._xlws.FILTER('Model output'!V:V,'Model output'!Z:Z=A35)),1))),"negative",IF(ISNUMBER(SEARCH("cannot be assessed",_xlfn.TEXTJOIN("; ",TRUE,_xlfn._xlws.FILTER('Model output'!V:V,'Model output'!Z:Z=A35)),1)),"unknown","negative"))</f>
        <v>negative</v>
      </c>
      <c r="AI35" s="40" t="str">
        <f t="shared" si="13"/>
        <v>high</v>
      </c>
      <c r="AJ35" s="28" t="str">
        <f t="shared" ref="AJ35:AJ37" si="15">IF(OR(ISNUMBER(SEARCH("non-invasive follicular",Q35)),ISNUMBER(SEARCH("papillary-like nuclear features",Q35)),ISNUMBER(SEARCH("non-invasive follicular",R35)),ISNUMBER(SEARCH("papillary-like nuclear features",R35))),"NIFTP", IF(OR(F35="4b",AND(AE35="positive",OR(ISNUMBER(SEARCH("prevertebral",AF35)),ISNUMBER(SEARCH("fascia",AF35)),ISNUMBER(SEARCH("carotid artery",AF35)),ISNUMBER(SEARCH("mediastinal",AF35))))),"4b",IF(OR(F35="4a",AND(AE35="positive",OR(ISNUMBER(SEARCH("soft tissue",AF35)),ISNUMBER(SEARCH("larynx",AF35)),ISNUMBER(SEARCH("trachea",AF35)),ISNUMBER(SEARCH("esophagus",AF35)),ISNUMBER(SEARCH("recurrent laryngeal nerve",AF35)),ISNUMBER(SEARCH("RLN",AF35))))),"4a", IF(OR(F35="3b", AE35="positive",ISNUMBER(SEARCH("strap",AF35)),ISNUMBER(SEARCH("sternothyroid",AF35)),ISNUMBER(SEARCH("sternohyoid",AF35)),ISNUMBER(SEARCH("thyrohyoid",AF35)),ISNUMBER(SEARCH("omohyoid",AF35))),"3b",IF(OR(F35="3a", AND(U35&lt;&gt;"",U35&gt;4)),"3a",IF(AND(U35&lt;&gt;"", U35&lt;=4,U35&gt;2),"2",IF(AND(U35&lt;&gt;"",U35&lt;=2,U35&gt;1),"1b",IF(AND(U35&lt;&gt;"",U35&lt;=1),"1a","1a"))))))))</f>
        <v>2</v>
      </c>
      <c r="AK35" s="28" t="str">
        <f t="shared" si="2"/>
        <v>1a</v>
      </c>
      <c r="AL35" s="28">
        <f t="shared" si="3"/>
        <v>1</v>
      </c>
      <c r="AM35" s="28" t="str">
        <f t="shared" si="4"/>
        <v>II</v>
      </c>
      <c r="AN35" s="37" t="s">
        <v>170</v>
      </c>
      <c r="AO35" s="38" t="s">
        <v>216</v>
      </c>
      <c r="AP35" s="38" t="s">
        <v>215</v>
      </c>
      <c r="AQ35" s="38">
        <v>1</v>
      </c>
      <c r="AR35" s="38" t="s">
        <v>45</v>
      </c>
      <c r="AS35" s="37">
        <f t="shared" si="5"/>
        <v>1</v>
      </c>
      <c r="AT35" s="38">
        <f t="shared" si="6"/>
        <v>0</v>
      </c>
      <c r="AU35" s="38">
        <f t="shared" si="7"/>
        <v>0</v>
      </c>
      <c r="AV35" s="38">
        <f t="shared" si="8"/>
        <v>1</v>
      </c>
      <c r="AW35" s="39">
        <f t="shared" si="9"/>
        <v>1</v>
      </c>
    </row>
    <row r="36" spans="1:50">
      <c r="A36" s="13">
        <v>34</v>
      </c>
      <c r="B36" s="16">
        <f>_xlfn.MAXIFS('Model output'!B:B,'Model output'!Z:Z,'Classification result'!$A36)</f>
        <v>44825</v>
      </c>
      <c r="C36" s="16"/>
      <c r="D36" s="16"/>
      <c r="E36" s="17">
        <f>_xlfn.MAXIFS('Model output'!C:C,'Model output'!Z:Z,'Classification result'!$A36)</f>
        <v>63</v>
      </c>
      <c r="F36" s="17" t="str" cm="1">
        <f t="array" ref="F36">LEFT(IF(ISERROR(RIGHT(IF(INDEX(_xlfn._xlws.FILTER('Model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output'!Z:Z=A36)),1),""),1))),"",(RIGHT(IF(INDEX(_xlfn._xlws.FILTER('Model output'!D:D,('Model output'!Z:Z=A36)),1)&lt;&gt;"",INDEX(_xlfn._xlws.FILTER('Model output'!D:D,('Model output'!Z:Z=A36)),1),""),LEN(IF(INDEX(_xlfn._xlws.FILTER('Model output'!D:D,('Model output'!Z:Z=A36)),1)&lt;&gt;"",INDEX(_xlfn._xlws.FILTER('Model output'!D:D,('Model output'!Z:Z=A36)),1),""))-FIND("T",IF(INDEX(_xlfn._xlws.FILTER('Model output'!D:D,('Model output'!Z:Z=A36)),1)&lt;&gt;"",INDEX(_xlfn._xlws.FILTER('Model output'!D:D,('Model output'!Z:Z=A36)),1)))))),2)</f>
        <v>4a</v>
      </c>
      <c r="G36" s="17" t="str" cm="1">
        <f t="array" ref="G36">IF(ISNUMBER(SEARCH("N",IF(ISNUMBER(SEARCH("present",IF(INDEX(_xlfn._xlws.FILTER('Model output'!E:E,('Model output'!Z:Z=A36)),1)="","",INDEX(_xlfn._xlws.FILTER('Model output'!E:E,('Model output'!Z:Z=A36)),1)),1)),"N1", IF(INDEX(_xlfn._xlws.FILTER('Model output'!E:E,('Model output'!Z:Z=A36)),1)="","",INDEX(_xlfn._xlws.FILTER('Model output'!E:E,('Model output'!Z:Z=A36)),1))),1)),RIGHT(IF(ISNUMBER(SEARCH("present",IF(INDEX(_xlfn._xlws.FILTER('Model output'!E:E,('Model output'!Z:Z=A36)),1)="","",INDEX(_xlfn._xlws.FILTER('Model output'!E:E,('Model output'!Z:Z=A36)),1)),1)),"N1", IF(INDEX(_xlfn._xlws.FILTER('Model output'!E:E,('Model output'!Z:Z=A36)),1)="","",INDEX(_xlfn._xlws.FILTER('Model output'!E:E,('Model output'!Z:Z=A36)),1))),LEN(IF(ISNUMBER(SEARCH("present",IF(INDEX(_xlfn._xlws.FILTER('Model output'!E:E,('Model output'!Z:Z=A36)),1)="","",INDEX(_xlfn._xlws.FILTER('Model output'!E:E,('Model output'!Z:Z=A36)),1)),1)),"N1", IF(INDEX(_xlfn._xlws.FILTER('Model output'!E:E,('Model output'!Z:Z=A36)),1)="","",INDEX(_xlfn._xlws.FILTER('Model output'!E:E,('Model output'!Z:Z=A36)),1))))-FIND("N",IF(ISNUMBER(SEARCH("present",IF(INDEX(_xlfn._xlws.FILTER('Model output'!E:E,('Model output'!Z:Z=A36)),1)="","",INDEX(_xlfn._xlws.FILTER('Model output'!E:E,('Model output'!Z:Z=A36)),1)),1)),"N1", IF(INDEX(_xlfn._xlws.FILTER('Model output'!E:E,('Model output'!Z:Z=A36)),1)="","",INDEX(_xlfn._xlws.FILTER('Model output'!E:E,('Model output'!Z:Z=A36)),1))),1)), "")</f>
        <v>0</v>
      </c>
      <c r="H36" s="17" cm="1">
        <f t="array" ref="H36">IF(AND(SUBSTITUTE(_xlfn.TEXTJOIN("/", TRUE, _xlfn._xlws.FILTER('Model output'!F:F, 'Model output'!Z:Z=A36)),"M", "")="", K36="negative"),0,IF(K36="positive",1,0))</f>
        <v>0</v>
      </c>
      <c r="I36" t="str">
        <f t="shared" si="0"/>
        <v/>
      </c>
      <c r="J36" t="str" cm="1">
        <f t="array" ref="J36">IF(AND(M36&gt;0, _xlfn.TEXTJOIN("; ", TRUE, _xlfn._xlws.FILTER('Model output'!G:G, 'Model output'!Z:Z=A36)) &lt;&gt;"", OR(AND(ISNUMBER(SEARCH("level", _xlfn.TEXTJOIN("; ", TRUE, _xlfn._xlws.FILTER('Model output'!G:G, 'Model output'!Z:Z=A36)),1)),OR(ISNUMBER(SEARCH(" II", _xlfn.TEXTJOIN("; ", TRUE, _xlfn._xlws.FILTER('Model output'!G:G, 'Model output'!Z:Z=A36)),1)),ISNUMBER(SEARCH("2", _xlfn.TEXTJOIN("; ", TRUE, _xlfn._xlws.FILTER('Model output'!G:G, 'Model output'!Z:Z=A36)),1)),ISNUMBER(SEARCH("two", _xlfn.TEXTJOIN("; ", TRUE, _xlfn._xlws.FILTER('Model output'!G:G, 'Model output'!Z:Z=A36)),1)),ISNUMBER(SEARCH("III", _xlfn.TEXTJOIN("; ", TRUE, _xlfn._xlws.FILTER('Model output'!G:G, 'Model output'!Z:Z=A36)),1)),ISNUMBER(SEARCH("3", _xlfn.TEXTJOIN("; ", TRUE, _xlfn._xlws.FILTER('Model output'!G:G, 'Model output'!Z:Z=A36)),1)),ISNUMBER(SEARCH("three", _xlfn.TEXTJOIN("; ", TRUE, _xlfn._xlws.FILTER('Model output'!G:G, 'Model output'!Z:Z=A36)),1)),ISNUMBER(SEARCH("IV", _xlfn.TEXTJOIN("; ", TRUE, _xlfn._xlws.FILTER('Model output'!G:G, 'Model output'!Z:Z=A36)),1)),ISNUMBER(SEARCH("4", _xlfn.TEXTJOIN("; ", TRUE, _xlfn._xlws.FILTER('Model output'!G:G, 'Model output'!Z:Z=A36)),1)),ISNUMBER(SEARCH("five", _xlfn.TEXTJOIN("; ", TRUE, _xlfn._xlws.FILTER('Model output'!G:G, 'Model output'!Z:Z=A36)),1)),ISNUMBER(SEARCH("V ", _xlfn.TEXTJOIN("; ", TRUE, _xlfn._xlws.FILTER('Model output'!G:G, 'Model output'!Z:Z=A36)),1)),ISNUMBER(SEARCH("5", _xlfn.TEXTJOIN("; ", TRUE, _xlfn._xlws.FILTER('Model output'!G:G, 'Model output'!Z:Z=A36)),1)),ISNUMBER(SEARCH("five", _xlfn.TEXTJOIN("; ", TRUE, _xlfn._xlws.FILTER('Model output'!G:G, 'Model output'!Z:Z=A36)),1)),ISNUMBER(SEARCH(" lateral", _xlfn.TEXTJOIN("; ", TRUE, _xlfn._xlws.FILTER('Model output'!G:G, 'Model output'!Z:Z=A36)),1)))),ISNUMBER(SEARCH("cervical", _xlfn.TEXTJOIN("; ", TRUE, _xlfn._xlws.FILTER('Model output'!G:G, 'Model output'!Z:Z=A36)),1)),ISNUMBER(SEARCH("jugular", _xlfn.TEXTJOIN("; ", TRUE, _xlfn._xlws.FILTER('Model output'!G:G, 'Model output'!Z:Z=A36)),1)),ISNUMBER(SEARCH("left neck", _xlfn.TEXTJOIN("; ", TRUE, _xlfn._xlws.FILTER('Model output'!G:G, 'Model output'!Z:Z=A36)),1)),ISNUMBER(SEARCH("left anterior neck", _xlfn.TEXTJOIN("; ", TRUE, _xlfn._xlws.FILTER('Model output'!G:G, 'Model output'!Z:Z=A36)),1)),ISNUMBER(SEARCH("left posterior neck", _xlfn.TEXTJOIN("; ", TRUE, _xlfn._xlws.FILTER('Model output'!G:G, 'Model output'!Z:Z=A36)),1)),ISNUMBER(SEARCH("right neck", _xlfn.TEXTJOIN("; ", TRUE, _xlfn._xlws.FILTER('Model output'!G:G, 'Model output'!Z:Z=A36)),1)),ISNUMBER(SEARCH("right anterior neck", _xlfn.TEXTJOIN("; ", TRUE, _xlfn._xlws.FILTER('Model output'!G:G, 'Model output'!Z:Z=A36)),1)),ISNUMBER(SEARCH("right posterior neck", _xlfn.TEXTJOIN("; ", TRUE, _xlfn._xlws.FILTER('Model output'!G:G, 'Model output'!Z:Z=A36)),1)))),"lateral",IF(AND(M36=0, _xlfn.TEXTJOIN("; ", TRUE, _xlfn._xlws.FILTER('Model output'!G:G, 'Model output'!Z:Z=A36))=""),"", "central"))</f>
        <v/>
      </c>
      <c r="K36" s="17" t="str" cm="1">
        <f t="array" ref="K36">IF(OR(ISNUMBER(SEARCH("lymph",_xlfn.TEXTJOIN("; ", TRUE, _xlfn._xlws.FILTER('Model output'!H:H, 'Model output'!Z:Z=A36)),1)), ISNUMBER(SEARCH("Not mentioned",_xlfn.TEXTJOIN("; ", TRUE, _xlfn._xlws.FILTER('Model output'!H:H, 'Model output'!Z:Z=A36)),1)),ISNUMBER(SEARCH("subcutaneous soft tissues",_xlfn.TEXTJOIN("; ", TRUE, _xlfn._xlws.FILTER('Model output'!H:H, 'Model output'!Z:Z=A36)),1)),ISNUMBER(SEARCH("larynx",_xlfn.TEXTJOIN("; ", TRUE, _xlfn._xlws.FILTER('Model output'!H:H, 'Model output'!Z:Z=A36)),1)),ISNUMBER(SEARCH("trachea",_xlfn.TEXTJOIN("; ", TRUE, _xlfn._xlws.FILTER('Model output'!H:H, 'Model output'!Z:Z=A36)),1)),ISNUMBER(SEARCH("esophagus",_xlfn.TEXTJOIN("; ", TRUE, _xlfn._xlws.FILTER('Model output'!H:H, 'Model output'!Z:Z=A36)),1)),ISNUMBER(SEARCH("recurrent laryngeal nerve",_xlfn.TEXTJOIN("; ", TRUE, _xlfn._xlws.FILTER('Model output'!H:H, 'Model output'!Z:Z=A36)),1)),ISNUMBER(SEARCH("RLN",_xlfn.TEXTJOIN("; ", TRUE, _xlfn._xlws.FILTER('Model output'!H:H, 'Model output'!Z:Z=A36)),1)),_xlfn.TEXTJOIN("; ", TRUE, _xlfn._xlws.FILTER('Model output'!H:H, 'Model output'!Z:Z=A36))=""),"negative","positive")</f>
        <v>negative</v>
      </c>
      <c r="L36" s="17">
        <f>IF(IFERROR(INDEX('Model output'!I:I, MATCH(A36, 'Model output'!Z:Z, 0)), "") &lt; M36, "", IFERROR(INDEX('Model output'!I:I, MATCH(A36, 'Model output'!Z:Z, 0)), ""))</f>
        <v>0</v>
      </c>
      <c r="M36" s="28">
        <f>IFERROR(INDEX('Model output'!J:J, MATCH(A36, 'Model output'!Z:Z, 0)), "")</f>
        <v>0</v>
      </c>
      <c r="N36" s="47" t="str" cm="1">
        <f t="array" ref="N36">ReplaceTo(ReplaceAnd(SUBSTITUTE(SUBSTITUTE(_xlfn.TEXTJOIN("; ", TRUE, _xlfn._xlws.FILTER('Model output'!K:K, 'Model output'!Z:Z=A36)), " ", ""), ",", ";")))</f>
        <v/>
      </c>
      <c r="O36" s="45" t="str" cm="1">
        <f t="array" ref="O36">IF(LEFT(IF(RIGHT(SUBSTITUTE(FilterWithUnits(N36)&amp;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";")),1)=";",RIGHT(IF(RIGHT(SUBSTITUTE(FilterWithUnits(N36)&amp;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";")),LEN(IF(RIGHT(SUBSTITUTE(FilterWithUnits(N36)&amp;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";")))-1),IF(RIGHT(SUBSTITUTE(FilterWithUnits(N36)&amp; ";" &amp;FilterStringsWithNumericAnd(N36) &amp; ";" &amp; FilterStringsWithX(N36), ";;", ";"),1)=";",LEFT(SUBSTITUTE(FilterWithUnits(N36)&amp; ";" &amp;FilterStringsWithNumericAnd(N36) &amp; ";" &amp; FilterStringsWithX(N36), ";;", ";"),LEN(SUBSTITUTE(FilterWithUnits(N36)&amp; ";" &amp;FilterStringsWithNumericAnd(N36) &amp; ";" &amp; FilterStringsWithX(N36), ";;", ";"))-1),SUBSTITUTE(FilterWithUnits(N36)&amp; ";" &amp;FilterStringsWithNumericAnd(N36) &amp; ";" &amp; FilterStringsWithX(N36), ";;", ";")))</f>
        <v/>
      </c>
      <c r="P36" s="45" t="str" cm="1">
        <f t="array" ref="P36">IF(MaxSize((SplitDimensions(O36)))=0, "", MaxSize((SplitDimensions(O36))))</f>
        <v/>
      </c>
      <c r="Q36" t="str" cm="1">
        <f t="array" ref="Q36">IF(ISERROR(INDEX(_xlfn._xlws.FILTER('Model output'!L:L, ('Model output'!Z:Z=A36)*('Model output'!L:L&lt;&gt;"")), 1)), " ", LOWER(INDEX(_xlfn._xlws.FILTER('Model output'!L:L, ('Model output'!Z:Z=A36)*('Model output'!L:L&lt;&gt;"")), 1)))</f>
        <v>papillary carcinoma</v>
      </c>
      <c r="R36" s="45" t="str" cm="1">
        <f t="array" ref="R36">IF(ISERROR(INDEX(_xlfn._xlws.FILTER('Model output'!M:M, ('Model output'!Z:Z=A36)*('Model output'!M:M&lt;&gt;"")), 1)), " ", LOWER(INDEX(_xlfn._xlws.FILTER('Model output'!M:M, ('Model output'!Z:Z=A36)*('Model output'!M:M&lt;&gt;"")), 1)))</f>
        <v>tall cell variant</v>
      </c>
      <c r="S36" s="45" t="str" cm="1">
        <f t="array" ref="S36">IF(OR(ISNUMBER(SEARCH("ly",SUBSTITUTE(INDEX(_xlfn._xlws.FILTER('Model output'!N:N,('Model output'!Z:Z=A36)*('Model output'!N:N&lt;&gt;"")),1)," ",""),1)), ISNUMBER(SEARCH("pole",SUBSTITUTE(INDEX(_xlfn._xlws.FILTER('Model output'!N:N,('Model output'!Z:Z=A36)*('Model output'!N:N&lt;&gt;"")),1)," ",""),1))),"",SUBSTITUTE(INDEX(_xlfn._xlws.FILTER('Model output'!N:N,('Model output'!Z:Z=A36)*('Model output'!N:N&lt;&gt;"")),1)," ",""))</f>
        <v>24.5mm</v>
      </c>
      <c r="T36" s="45" t="str" cm="1">
        <f t="array" ref="T36">IF(LEFT(IF(RIGHT(SUBSTITUTE(FilterWithUnits(S36)&amp;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";")),1)=";",RIGHT(IF(RIGHT(SUBSTITUTE(FilterWithUnits(S36)&amp;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";")),LEN(IF(RIGHT(SUBSTITUTE(FilterWithUnits(S36)&amp;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";")))-1),IF(RIGHT(SUBSTITUTE(FilterWithUnits(S36)&amp; ";" &amp;FilterStringsWithNumericAnd(S36) &amp; ";" &amp; FilterStringsWithX(S36), ";;", ";"),1)=";",LEFT(SUBSTITUTE(FilterWithUnits(S36)&amp; ";" &amp;FilterStringsWithNumericAnd(S36) &amp; ";" &amp; FilterStringsWithX(S36), ";;", ";"),LEN(SUBSTITUTE(FilterWithUnits(S36)&amp; ";" &amp;FilterStringsWithNumericAnd(S36) &amp; ";" &amp; FilterStringsWithX(S36), ";;", ";"))-1),SUBSTITUTE(FilterWithUnits(S36)&amp; ";" &amp;FilterStringsWithNumericAnd(S36) &amp; ";" &amp; FilterStringsWithX(S36), ";;", ";")))</f>
        <v>24.5mm</v>
      </c>
      <c r="U36" s="45" cm="1">
        <f t="array" ref="U36">IF(MaxSize((SplitDimensions(T36)))=0, "", MaxSize((SplitDimensions(T36))))</f>
        <v>2.4500000000000002</v>
      </c>
      <c r="V36" s="17" t="str" cm="1">
        <f t="array" ref="V36">IF(ISERROR(INDEX(_xlfn._xlws.FILTER('Model output'!P:P,('Model output'!Z:Z=A36)*('Model output'!P:P&lt;&gt;"")),1)),"negative",IF(OR(ISNUMBER(SEARCH("foc",INDEX(_xlfn._xlws.FILTER('Model output'!P:P,('Model output'!Z:Z=A36)*('Model output'!P:P&lt;&gt;"")),1),1)),ISNUMBER(SEARCH("extensive",INDEX(_xlfn._xlws.FILTER('Model output'!P:P,('Model output'!Z:Z=A36)*('Model output'!P:P&lt;&gt;"")),1),1)),ISNUMBER(SEARCH("present",INDEX(_xlfn._xlws.FILTER('Model output'!P:P,('Model output'!Z:Z=A36)*('Model output'!P:P&lt;&gt;"")),1),1)),ISNUMBER(SEARCH("yes",INDEX(_xlfn._xlws.FILTER('Model output'!P:P,('Model output'!Z:Z=A36)*('Model output'!P:P&lt;&gt;"")),1),1))),"positive","negative"))</f>
        <v>positive</v>
      </c>
      <c r="X36" t="str" cm="1">
        <f t="array" ref="X36">IF(ISNUMBER(SEARCH("4",INDEX(_xlfn._xlws.FILTER('Model output'!P:P,('Model output'!Z:Z=A36)*('Model output'!P:P&lt;&gt;"")),1),1)),INDEX(_xlfn._xlws.FILTER('Model output'!P:P,('Model output'!Z:Z=A36)*('Model output'!P:P&lt;&gt;"")),1),"") &amp; _xlfn.TEXTJOIN("",TRUE,_xlfn._xlws.FILTER('Model output'!Q:Q,'Model output'!Z:Z=A36))</f>
        <v>Extensive (= or &gt;4 vessels)extra thyroidal extension to larynx and part of carotid sheath</v>
      </c>
      <c r="Y36" t="str">
        <f t="shared" si="10"/>
        <v>extensive</v>
      </c>
      <c r="Z36" t="str" cm="1">
        <f t="array" ref="Z36">IF(OR(ISNUMBER(SEARCH("focal",_xlfn.TEXTJOIN("; ",TRUE,_xlfn._xlws.FILTER('Model output'!R:R,'Model output'!Z:Z=A36)),1)),ISNUMBER(SEARCH("present",_xlfn.TEXTJOIN("; ",TRUE,_xlfn._xlws.FILTER('Model output'!R:R,'Model output'!Z:Z=A36)),1))),"positive",IF(_xlfn.TEXTJOIN("; ",TRUE,_xlfn._xlws.FILTER('Model output'!R:R,'Model output'!Z:Z=A36))="","negative",IF(OR(ISNUMBER(SEARCH("no",_xlfn.TEXTJOIN("; ",TRUE,_xlfn._xlws.FILTER('Model output'!R:R,'Model output'!Z:Z=A36)),1)),ISNUMBER(SEARCH("absent",_xlfn.TEXTJOIN("; ",TRUE,_xlfn._xlws.FILTER('Model output'!R:R,'Model output'!Z:Z=A36)),1))),"negative","positive")))</f>
        <v>positive</v>
      </c>
      <c r="AA36" s="17" t="str">
        <f t="shared" si="11"/>
        <v>positive</v>
      </c>
      <c r="AE36" s="17" t="str">
        <f t="shared" si="12"/>
        <v>positive</v>
      </c>
      <c r="AF36" t="str" cm="1">
        <f t="array" ref="AF36">_xlfn.TEXTJOIN("; ",TRUE,_xlfn._xlws.FILTER('Model output'!S:S,'Model output'!Z:Z=A36))</f>
        <v>Invading subcutaneous soft tissues, larynx, trachea, esophagus or recurrent laryngeal nerve; Yes</v>
      </c>
      <c r="AG36" s="17" t="str" cm="1">
        <f t="array" ref="AG36">IF(OR(ISNUMBER(SEARCH("uninvolved",_xlfn.TEXTJOIN("; ",TRUE,_xlfn._xlws.FILTER('Model output'!V:V,'Model output'!Z:Z=A36)),1)),ISNUMBER(SEARCH("clear",_xlfn.TEXTJOIN("; ",TRUE,_xlfn._xlws.FILTER('Model output'!V:V,'Model output'!Z:Z=A36)),1))*ISNUMBER(SEARCH("not mentioned",_xlfn.TEXTJOIN("; ",TRUE,_xlfn._xlws.FILTER('Model output'!V:V,'Model output'!Z:Z=A36)),1))),"negative",IF(ISNUMBER(SEARCH("cannot be assessed",_xlfn.TEXTJOIN("; ",TRUE,_xlfn._xlws.FILTER('Model output'!V:V,'Model output'!Z:Z=A36)),1)),"unknown","negative"))</f>
        <v>negative</v>
      </c>
      <c r="AI36" s="40" t="str">
        <f t="shared" si="13"/>
        <v>high</v>
      </c>
      <c r="AJ36" s="28" t="str">
        <f t="shared" si="15"/>
        <v>4a</v>
      </c>
      <c r="AK36" s="28" t="str">
        <f t="shared" si="2"/>
        <v>x</v>
      </c>
      <c r="AL36" s="28">
        <f t="shared" si="3"/>
        <v>0</v>
      </c>
      <c r="AM36" s="28" t="str">
        <f t="shared" si="4"/>
        <v>III</v>
      </c>
      <c r="AN36" s="37" t="s">
        <v>170</v>
      </c>
      <c r="AO36" s="38" t="s">
        <v>219</v>
      </c>
      <c r="AP36" s="38">
        <v>0</v>
      </c>
      <c r="AQ36" s="38">
        <v>0</v>
      </c>
      <c r="AR36" s="38" t="s">
        <v>70</v>
      </c>
      <c r="AS36" s="37">
        <f t="shared" si="5"/>
        <v>1</v>
      </c>
      <c r="AT36" s="38">
        <f t="shared" si="6"/>
        <v>1</v>
      </c>
      <c r="AU36" s="38">
        <f t="shared" si="7"/>
        <v>1</v>
      </c>
      <c r="AV36" s="38">
        <f t="shared" si="8"/>
        <v>1</v>
      </c>
      <c r="AW36" s="39">
        <f t="shared" si="9"/>
        <v>1</v>
      </c>
    </row>
    <row r="37" spans="1:50">
      <c r="A37" s="31">
        <v>35</v>
      </c>
      <c r="B37" s="32">
        <f>_xlfn.MAXIFS('Model output'!B:B,'Model output'!Z:Z,'Classification result'!$A37)</f>
        <v>44508</v>
      </c>
      <c r="C37" s="32"/>
      <c r="D37" s="32"/>
      <c r="E37" s="33">
        <f>_xlfn.MAXIFS('Model output'!C:C,'Model output'!Z:Z,'Classification result'!$A37)</f>
        <v>62</v>
      </c>
      <c r="F37" s="33" t="str" cm="1">
        <f t="array" ref="F37">LEFT(IF(ISERROR(RIGHT(IF(INDEX(_xlfn._xlws.FILTER('Model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output'!Z:Z=A37)),1),""),1))),"",(RIGHT(IF(INDEX(_xlfn._xlws.FILTER('Model output'!D:D,('Model output'!Z:Z=A37)),1)&lt;&gt;"",INDEX(_xlfn._xlws.FILTER('Model output'!D:D,('Model output'!Z:Z=A37)),1),""),LEN(IF(INDEX(_xlfn._xlws.FILTER('Model output'!D:D,('Model output'!Z:Z=A37)),1)&lt;&gt;"",INDEX(_xlfn._xlws.FILTER('Model output'!D:D,('Model output'!Z:Z=A37)),1),""))-FIND("T",IF(INDEX(_xlfn._xlws.FILTER('Model output'!D:D,('Model output'!Z:Z=A37)),1)&lt;&gt;"",INDEX(_xlfn._xlws.FILTER('Model output'!D:D,('Model output'!Z:Z=A37)),1)))))),2)</f>
        <v>4</v>
      </c>
      <c r="G37" s="33" t="str" cm="1">
        <f t="array" ref="G37">IF(ISNUMBER(SEARCH("N",IF(ISNUMBER(SEARCH("present",IF(INDEX(_xlfn._xlws.FILTER('Model output'!E:E,('Model output'!Z:Z=A37)),1)="","",INDEX(_xlfn._xlws.FILTER('Model output'!E:E,('Model output'!Z:Z=A37)),1)),1)),"N1", IF(INDEX(_xlfn._xlws.FILTER('Model output'!E:E,('Model output'!Z:Z=A37)),1)="","",INDEX(_xlfn._xlws.FILTER('Model output'!E:E,('Model output'!Z:Z=A37)),1))),1)),RIGHT(IF(ISNUMBER(SEARCH("present",IF(INDEX(_xlfn._xlws.FILTER('Model output'!E:E,('Model output'!Z:Z=A37)),1)="","",INDEX(_xlfn._xlws.FILTER('Model output'!E:E,('Model output'!Z:Z=A37)),1)),1)),"N1", IF(INDEX(_xlfn._xlws.FILTER('Model output'!E:E,('Model output'!Z:Z=A37)),1)="","",INDEX(_xlfn._xlws.FILTER('Model output'!E:E,('Model output'!Z:Z=A37)),1))),LEN(IF(ISNUMBER(SEARCH("present",IF(INDEX(_xlfn._xlws.FILTER('Model output'!E:E,('Model output'!Z:Z=A37)),1)="","",INDEX(_xlfn._xlws.FILTER('Model output'!E:E,('Model output'!Z:Z=A37)),1)),1)),"N1", IF(INDEX(_xlfn._xlws.FILTER('Model output'!E:E,('Model output'!Z:Z=A37)),1)="","",INDEX(_xlfn._xlws.FILTER('Model output'!E:E,('Model output'!Z:Z=A37)),1))))-FIND("N",IF(ISNUMBER(SEARCH("present",IF(INDEX(_xlfn._xlws.FILTER('Model output'!E:E,('Model output'!Z:Z=A37)),1)="","",INDEX(_xlfn._xlws.FILTER('Model output'!E:E,('Model output'!Z:Z=A37)),1)),1)),"N1", IF(INDEX(_xlfn._xlws.FILTER('Model output'!E:E,('Model output'!Z:Z=A37)),1)="","",INDEX(_xlfn._xlws.FILTER('Model output'!E:E,('Model output'!Z:Z=A37)),1))),1)), "")</f>
        <v>1</v>
      </c>
      <c r="H37" s="33" cm="1">
        <f t="array" ref="H37">IF(AND(SUBSTITUTE(_xlfn.TEXTJOIN("/", TRUE, _xlfn._xlws.FILTER('Model output'!F:F, 'Model output'!Z:Z=A37)),"M", "")="", K37="negative"),0,IF(K37="positive",1,0))</f>
        <v>1</v>
      </c>
      <c r="I37" s="34" t="str">
        <f t="shared" si="0"/>
        <v>positive</v>
      </c>
      <c r="J37" s="34" t="str" cm="1">
        <f t="array" ref="J37">IF(AND(M37&gt;0, _xlfn.TEXTJOIN("; ", TRUE, _xlfn._xlws.FILTER('Model output'!G:G, 'Model output'!Z:Z=A37)) &lt;&gt;"", OR(AND(ISNUMBER(SEARCH("level", _xlfn.TEXTJOIN("; ", TRUE, _xlfn._xlws.FILTER('Model output'!G:G, 'Model output'!Z:Z=A37)),1)),OR(ISNUMBER(SEARCH(" II", _xlfn.TEXTJOIN("; ", TRUE, _xlfn._xlws.FILTER('Model output'!G:G, 'Model output'!Z:Z=A37)),1)),ISNUMBER(SEARCH("2", _xlfn.TEXTJOIN("; ", TRUE, _xlfn._xlws.FILTER('Model output'!G:G, 'Model output'!Z:Z=A37)),1)),ISNUMBER(SEARCH("two", _xlfn.TEXTJOIN("; ", TRUE, _xlfn._xlws.FILTER('Model output'!G:G, 'Model output'!Z:Z=A37)),1)),ISNUMBER(SEARCH("III", _xlfn.TEXTJOIN("; ", TRUE, _xlfn._xlws.FILTER('Model output'!G:G, 'Model output'!Z:Z=A37)),1)),ISNUMBER(SEARCH("3", _xlfn.TEXTJOIN("; ", TRUE, _xlfn._xlws.FILTER('Model output'!G:G, 'Model output'!Z:Z=A37)),1)),ISNUMBER(SEARCH("three", _xlfn.TEXTJOIN("; ", TRUE, _xlfn._xlws.FILTER('Model output'!G:G, 'Model output'!Z:Z=A37)),1)),ISNUMBER(SEARCH("IV", _xlfn.TEXTJOIN("; ", TRUE, _xlfn._xlws.FILTER('Model output'!G:G, 'Model output'!Z:Z=A37)),1)),ISNUMBER(SEARCH("4", _xlfn.TEXTJOIN("; ", TRUE, _xlfn._xlws.FILTER('Model output'!G:G, 'Model output'!Z:Z=A37)),1)),ISNUMBER(SEARCH("five", _xlfn.TEXTJOIN("; ", TRUE, _xlfn._xlws.FILTER('Model output'!G:G, 'Model output'!Z:Z=A37)),1)),ISNUMBER(SEARCH("V ", _xlfn.TEXTJOIN("; ", TRUE, _xlfn._xlws.FILTER('Model output'!G:G, 'Model output'!Z:Z=A37)),1)),ISNUMBER(SEARCH("5", _xlfn.TEXTJOIN("; ", TRUE, _xlfn._xlws.FILTER('Model output'!G:G, 'Model output'!Z:Z=A37)),1)),ISNUMBER(SEARCH("five", _xlfn.TEXTJOIN("; ", TRUE, _xlfn._xlws.FILTER('Model output'!G:G, 'Model output'!Z:Z=A37)),1)),ISNUMBER(SEARCH(" lateral", _xlfn.TEXTJOIN("; ", TRUE, _xlfn._xlws.FILTER('Model output'!G:G, 'Model output'!Z:Z=A37)),1)))),ISNUMBER(SEARCH("cervical", _xlfn.TEXTJOIN("; ", TRUE, _xlfn._xlws.FILTER('Model output'!G:G, 'Model output'!Z:Z=A37)),1)),ISNUMBER(SEARCH("jugular", _xlfn.TEXTJOIN("; ", TRUE, _xlfn._xlws.FILTER('Model output'!G:G, 'Model output'!Z:Z=A37)),1)),ISNUMBER(SEARCH("left neck", _xlfn.TEXTJOIN("; ", TRUE, _xlfn._xlws.FILTER('Model output'!G:G, 'Model output'!Z:Z=A37)),1)),ISNUMBER(SEARCH("left anterior neck", _xlfn.TEXTJOIN("; ", TRUE, _xlfn._xlws.FILTER('Model output'!G:G, 'Model output'!Z:Z=A37)),1)),ISNUMBER(SEARCH("left posterior neck", _xlfn.TEXTJOIN("; ", TRUE, _xlfn._xlws.FILTER('Model output'!G:G, 'Model output'!Z:Z=A37)),1)),ISNUMBER(SEARCH("right neck", _xlfn.TEXTJOIN("; ", TRUE, _xlfn._xlws.FILTER('Model output'!G:G, 'Model output'!Z:Z=A37)),1)),ISNUMBER(SEARCH("right anterior neck", _xlfn.TEXTJOIN("; ", TRUE, _xlfn._xlws.FILTER('Model output'!G:G, 'Model output'!Z:Z=A37)),1)),ISNUMBER(SEARCH("right posterior neck", _xlfn.TEXTJOIN("; ", TRUE, _xlfn._xlws.FILTER('Model output'!G:G, 'Model output'!Z:Z=A37)),1)))),"lateral",IF(AND(M37=0, _xlfn.TEXTJOIN("; ", TRUE, _xlfn._xlws.FILTER('Model output'!G:G, 'Model output'!Z:Z=A37))=""),"", "central"))</f>
        <v>lateral</v>
      </c>
      <c r="K37" s="33" t="str" cm="1">
        <f t="array" ref="K37">IF(OR(ISNUMBER(SEARCH("lymph",_xlfn.TEXTJOIN("; ", TRUE, _xlfn._xlws.FILTER('Model output'!H:H, 'Model output'!Z:Z=A37)),1)), ISNUMBER(SEARCH("Not mentioned",_xlfn.TEXTJOIN("; ", TRUE, _xlfn._xlws.FILTER('Model output'!H:H, 'Model output'!Z:Z=A37)),1)),ISNUMBER(SEARCH("subcutaneous soft tissues",_xlfn.TEXTJOIN("; ", TRUE, _xlfn._xlws.FILTER('Model output'!H:H, 'Model output'!Z:Z=A37)),1)),ISNUMBER(SEARCH("larynx",_xlfn.TEXTJOIN("; ", TRUE, _xlfn._xlws.FILTER('Model output'!H:H, 'Model output'!Z:Z=A37)),1)),ISNUMBER(SEARCH("trachea",_xlfn.TEXTJOIN("; ", TRUE, _xlfn._xlws.FILTER('Model output'!H:H, 'Model output'!Z:Z=A37)),1)),ISNUMBER(SEARCH("esophagus",_xlfn.TEXTJOIN("; ", TRUE, _xlfn._xlws.FILTER('Model output'!H:H, 'Model output'!Z:Z=A37)),1)),ISNUMBER(SEARCH("recurrent laryngeal nerve",_xlfn.TEXTJOIN("; ", TRUE, _xlfn._xlws.FILTER('Model output'!H:H, 'Model output'!Z:Z=A37)),1)),ISNUMBER(SEARCH("RLN",_xlfn.TEXTJOIN("; ", TRUE, _xlfn._xlws.FILTER('Model output'!H:H, 'Model output'!Z:Z=A37)),1)),_xlfn.TEXTJOIN("; ", TRUE, _xlfn._xlws.FILTER('Model output'!H:H, 'Model output'!Z:Z=A37))=""),"negative","positive")</f>
        <v>positive</v>
      </c>
      <c r="L37" s="33">
        <f>IF(IFERROR(INDEX('Model output'!I:I, MATCH(A37, 'Model output'!Z:Z, 0)), "") &lt; M37, "", IFERROR(INDEX('Model output'!I:I, MATCH(A37, 'Model output'!Z:Z, 0)), ""))</f>
        <v>35</v>
      </c>
      <c r="M37" s="29">
        <f>IFERROR(INDEX('Model output'!J:J, MATCH(A37, 'Model output'!Z:Z, 0)), "")</f>
        <v>7</v>
      </c>
      <c r="N37" s="48" t="str" cm="1">
        <f t="array" ref="N37">ReplaceTo(ReplaceAnd(SUBSTITUTE(SUBSTITUTE(_xlfn.TEXTJOIN("; ", TRUE, _xlfn._xlws.FILTER('Model output'!K:K, 'Model output'!Z:Z=A37)), " ", ""), ",", ";")))</f>
        <v>Notspecifiedinthenote</v>
      </c>
      <c r="O37" s="46" t="str" cm="1">
        <f t="array" ref="O37">IF(LEFT(IF(RIGHT(SUBSTITUTE(FilterWithUnits(N37)&amp;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";")),1)=";",RIGHT(IF(RIGHT(SUBSTITUTE(FilterWithUnits(N37)&amp;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";")),LEN(IF(RIGHT(SUBSTITUTE(FilterWithUnits(N37)&amp;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";")))-1),IF(RIGHT(SUBSTITUTE(FilterWithUnits(N37)&amp; ";" &amp;FilterStringsWithNumericAnd(N37) &amp; ";" &amp; FilterStringsWithX(N37), ";;", ";"),1)=";",LEFT(SUBSTITUTE(FilterWithUnits(N37)&amp; ";" &amp;FilterStringsWithNumericAnd(N37) &amp; ";" &amp; FilterStringsWithX(N37), ";;", ";"),LEN(SUBSTITUTE(FilterWithUnits(N37)&amp; ";" &amp;FilterStringsWithNumericAnd(N37) &amp; ";" &amp; FilterStringsWithX(N37), ";;", ";"))-1),SUBSTITUTE(FilterWithUnits(N37)&amp; ";" &amp;FilterStringsWithNumericAnd(N37) &amp; ";" &amp; FilterStringsWithX(N37), ";;", ";")))</f>
        <v/>
      </c>
      <c r="P37" s="46" t="str" cm="1">
        <f t="array" ref="P37">IF(MaxSize((SplitDimensions(O37)))=0, "", MaxSize((SplitDimensions(O37))))</f>
        <v/>
      </c>
      <c r="Q37" s="34" t="str" cm="1">
        <f t="array" ref="Q37">IF(ISERROR(INDEX(_xlfn._xlws.FILTER('Model output'!L:L, ('Model output'!Z:Z=A37)*('Model output'!L:L&lt;&gt;"")), 1)), " ", LOWER(INDEX(_xlfn._xlws.FILTER('Model output'!L:L, ('Model output'!Z:Z=A37)*('Model output'!L:L&lt;&gt;"")), 1)))</f>
        <v>papillary carcinoma</v>
      </c>
      <c r="R37" s="46" t="str" cm="1">
        <f t="array" ref="R37">IF(ISERROR(INDEX(_xlfn._xlws.FILTER('Model output'!M:M, ('Model output'!Z:Z=A37)*('Model output'!M:M&lt;&gt;"")), 1)), " ", LOWER(INDEX(_xlfn._xlws.FILTER('Model output'!M:M, ('Model output'!Z:Z=A37)*('Model output'!M:M&lt;&gt;"")), 1)))</f>
        <v>tall cell variant</v>
      </c>
      <c r="S37" s="46" t="str" cm="1">
        <f t="array" ref="S37">IF(OR(ISNUMBER(SEARCH("ly",SUBSTITUTE(INDEX(_xlfn._xlws.FILTER('Model output'!N:N,('Model output'!Z:Z=A37)*('Model output'!N:N&lt;&gt;"")),1)," ",""),1)), ISNUMBER(SEARCH("pole",SUBSTITUTE(INDEX(_xlfn._xlws.FILTER('Model output'!N:N,('Model output'!Z:Z=A37)*('Model output'!N:N&lt;&gt;"")),1)," ",""),1))),"",SUBSTITUTE(INDEX(_xlfn._xlws.FILTER('Model output'!N:N,('Model output'!Z:Z=A37)*('Model output'!N:N&lt;&gt;"")),1)," ",""))</f>
        <v>Notspecifiedinthenote</v>
      </c>
      <c r="T37" s="46" t="str" cm="1">
        <f t="array" ref="T37">IF(LEFT(IF(RIGHT(SUBSTITUTE(FilterWithUnits(S37)&amp;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";")),1)=";",RIGHT(IF(RIGHT(SUBSTITUTE(FilterWithUnits(S37)&amp;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";")),LEN(IF(RIGHT(SUBSTITUTE(FilterWithUnits(S37)&amp;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";")))-1),IF(RIGHT(SUBSTITUTE(FilterWithUnits(S37)&amp; ";" &amp;FilterStringsWithNumericAnd(S37) &amp; ";" &amp; FilterStringsWithX(S37), ";;", ";"),1)=";",LEFT(SUBSTITUTE(FilterWithUnits(S37)&amp; ";" &amp;FilterStringsWithNumericAnd(S37) &amp; ";" &amp; FilterStringsWithX(S37), ";;", ";"),LEN(SUBSTITUTE(FilterWithUnits(S37)&amp; ";" &amp;FilterStringsWithNumericAnd(S37) &amp; ";" &amp; FilterStringsWithX(S37), ";;", ";"))-1),SUBSTITUTE(FilterWithUnits(S37)&amp; ";" &amp;FilterStringsWithNumericAnd(S37) &amp; ";" &amp; FilterStringsWithX(S37), ";;", ";")))</f>
        <v/>
      </c>
      <c r="U37" s="46" t="str" cm="1">
        <f t="array" ref="U37">IF(MaxSize((SplitDimensions(T37)))=0, "", MaxSize((SplitDimensions(T37))))</f>
        <v/>
      </c>
      <c r="V37" s="33" t="str" cm="1">
        <f t="array" ref="V37">IF(ISERROR(INDEX(_xlfn._xlws.FILTER('Model output'!P:P,('Model output'!Z:Z=A37)*('Model output'!P:P&lt;&gt;"")),1)),"negative",IF(OR(ISNUMBER(SEARCH("foc",INDEX(_xlfn._xlws.FILTER('Model output'!P:P,('Model output'!Z:Z=A37)*('Model output'!P:P&lt;&gt;"")),1),1)),ISNUMBER(SEARCH("extensive",INDEX(_xlfn._xlws.FILTER('Model output'!P:P,('Model output'!Z:Z=A37)*('Model output'!P:P&lt;&gt;"")),1),1)),ISNUMBER(SEARCH("present",INDEX(_xlfn._xlws.FILTER('Model output'!P:P,('Model output'!Z:Z=A37)*('Model output'!P:P&lt;&gt;"")),1),1)),ISNUMBER(SEARCH("yes",INDEX(_xlfn._xlws.FILTER('Model output'!P:P,('Model output'!Z:Z=A37)*('Model output'!P:P&lt;&gt;"")),1),1))),"positive","negative"))</f>
        <v>positive</v>
      </c>
      <c r="W37" s="33"/>
      <c r="X37" s="34" t="str" cm="1">
        <f t="array" ref="X37">IF(ISNUMBER(SEARCH("4",INDEX(_xlfn._xlws.FILTER('Model output'!P:P,('Model output'!Z:Z=A37)*('Model output'!P:P&lt;&gt;"")),1),1)),INDEX(_xlfn._xlws.FILTER('Model output'!P:P,('Model output'!Z:Z=A37)*('Model output'!P:P&lt;&gt;"")),1),"") &amp; _xlfn.TEXTJOIN("",TRUE,_xlfn._xlws.FILTER('Model output'!Q:Q,'Model output'!Z:Z=A37))</f>
        <v>Lymphovascular</v>
      </c>
      <c r="Y37" s="34" t="str">
        <f t="shared" si="10"/>
        <v>minimal</v>
      </c>
      <c r="Z37" s="34" t="str" cm="1">
        <f t="array" ref="Z37">IF(OR(ISNUMBER(SEARCH("focal",_xlfn.TEXTJOIN("; ",TRUE,_xlfn._xlws.FILTER('Model output'!R:R,'Model output'!Z:Z=A37)),1)),ISNUMBER(SEARCH("present",_xlfn.TEXTJOIN("; ",TRUE,_xlfn._xlws.FILTER('Model output'!R:R,'Model output'!Z:Z=A37)),1))),"positive",IF(_xlfn.TEXTJOIN("; ",TRUE,_xlfn._xlws.FILTER('Model output'!R:R,'Model output'!Z:Z=A37))="","negative",IF(OR(ISNUMBER(SEARCH("no",_xlfn.TEXTJOIN("; ",TRUE,_xlfn._xlws.FILTER('Model output'!R:R,'Model output'!Z:Z=A37)),1)),ISNUMBER(SEARCH("absent",_xlfn.TEXTJOIN("; ",TRUE,_xlfn._xlws.FILTER('Model output'!R:R,'Model output'!Z:Z=A37)),1))),"negative","positive")))</f>
        <v>positive</v>
      </c>
      <c r="AA37" s="33" t="str">
        <f t="shared" si="11"/>
        <v>positive</v>
      </c>
      <c r="AB37" s="33"/>
      <c r="AC37" s="33"/>
      <c r="AD37" s="33"/>
      <c r="AE37" s="33" t="str">
        <f t="shared" si="12"/>
        <v>negative</v>
      </c>
      <c r="AF37" s="34" t="str" cm="1">
        <f t="array" ref="AF37">_xlfn.TEXTJOIN("; ",TRUE,_xlfn._xlws.FILTER('Model output'!S:S,'Model output'!Z:Z=A37))</f>
        <v>Yes</v>
      </c>
      <c r="AG37" s="33" t="str" cm="1">
        <f t="array" ref="AG37">IF(OR(ISNUMBER(SEARCH("uninvolved",_xlfn.TEXTJOIN("; ",TRUE,_xlfn._xlws.FILTER('Model output'!V:V,'Model output'!Z:Z=A37)),1)),ISNUMBER(SEARCH("clear",_xlfn.TEXTJOIN("; ",TRUE,_xlfn._xlws.FILTER('Model output'!V:V,'Model output'!Z:Z=A37)),1))*ISNUMBER(SEARCH("not mentioned",_xlfn.TEXTJOIN("; ",TRUE,_xlfn._xlws.FILTER('Model output'!V:V,'Model output'!Z:Z=A37)),1))),"negative",IF(ISNUMBER(SEARCH("cannot be assessed",_xlfn.TEXTJOIN("; ",TRUE,_xlfn._xlws.FILTER('Model output'!V:V,'Model output'!Z:Z=A37)),1)),"unknown","negative"))</f>
        <v>negative</v>
      </c>
      <c r="AH37" s="35"/>
      <c r="AI37" s="41" t="str">
        <f t="shared" si="13"/>
        <v>high</v>
      </c>
      <c r="AJ37" s="29" t="str">
        <f t="shared" si="15"/>
        <v>1a</v>
      </c>
      <c r="AK37" s="29" t="str">
        <f t="shared" si="2"/>
        <v>1b</v>
      </c>
      <c r="AL37" s="29">
        <f t="shared" si="3"/>
        <v>1</v>
      </c>
      <c r="AM37" s="29" t="str">
        <f t="shared" si="4"/>
        <v>IVB</v>
      </c>
      <c r="AN37" s="42" t="s">
        <v>170</v>
      </c>
      <c r="AO37" s="43" t="s">
        <v>435</v>
      </c>
      <c r="AP37" s="43" t="s">
        <v>214</v>
      </c>
      <c r="AQ37" s="43">
        <v>1</v>
      </c>
      <c r="AR37" s="43" t="s">
        <v>437</v>
      </c>
      <c r="AS37" s="42">
        <f t="shared" si="5"/>
        <v>1</v>
      </c>
      <c r="AT37" s="43">
        <f t="shared" si="6"/>
        <v>0</v>
      </c>
      <c r="AU37" s="43">
        <f t="shared" si="7"/>
        <v>1</v>
      </c>
      <c r="AV37" s="43">
        <f t="shared" si="8"/>
        <v>1</v>
      </c>
      <c r="AW37" s="44">
        <f t="shared" si="9"/>
        <v>1</v>
      </c>
    </row>
    <row r="38" spans="1:50">
      <c r="A38" s="13"/>
    </row>
    <row r="39" spans="1:50">
      <c r="A39" s="13"/>
      <c r="F39" s="18"/>
      <c r="G39" s="18"/>
      <c r="Z39" s="12"/>
      <c r="AS39" s="11"/>
      <c r="AT39" s="21"/>
      <c r="AU39" s="21"/>
      <c r="AV39" s="21"/>
      <c r="AW39" s="21"/>
      <c r="AX39" s="12"/>
    </row>
    <row r="40" spans="1:50">
      <c r="A40" s="13"/>
      <c r="F40" s="18"/>
      <c r="G40" t="str">
        <f>IF(ISNUMBER(SEARCH("N",G3,1)),FIND("N",G3,1), "")</f>
        <v/>
      </c>
      <c r="AR40" s="12"/>
      <c r="AS40" s="20"/>
      <c r="AT40" s="20"/>
      <c r="AU40" s="20"/>
      <c r="AV40" s="20"/>
      <c r="AW40" s="20"/>
    </row>
    <row r="41" spans="1:50">
      <c r="A41" s="13"/>
      <c r="F41" s="18"/>
      <c r="G41" t="str">
        <f>IF(ISNUMBER(SEARCH("N",G4,1)),FIND("N",G4,1), "")</f>
        <v/>
      </c>
    </row>
    <row r="42" spans="1:50">
      <c r="A42" s="13"/>
      <c r="F42" s="18"/>
    </row>
    <row r="43" spans="1:50">
      <c r="A43" s="13"/>
      <c r="F43" s="18"/>
    </row>
    <row r="44" spans="1:50">
      <c r="A44" s="13"/>
      <c r="F44" s="18"/>
    </row>
    <row r="45" spans="1:50">
      <c r="A45" s="13"/>
      <c r="F45" s="18"/>
    </row>
    <row r="46" spans="1:50">
      <c r="A46" s="13"/>
      <c r="F46" s="18"/>
    </row>
    <row r="47" spans="1:50">
      <c r="A47" s="13"/>
      <c r="F47" s="18"/>
    </row>
    <row r="48" spans="1:50">
      <c r="A48" s="13"/>
      <c r="F48" s="18"/>
    </row>
    <row r="49" spans="1:6">
      <c r="A49" s="13"/>
      <c r="F49" s="18"/>
    </row>
    <row r="50" spans="1:6">
      <c r="A50" s="13"/>
    </row>
    <row r="51" spans="1:6">
      <c r="A51" s="13"/>
    </row>
    <row r="52" spans="1:6">
      <c r="A52" s="13"/>
    </row>
    <row r="53" spans="1:6">
      <c r="A53" s="13"/>
    </row>
    <row r="54" spans="1:6">
      <c r="A54" s="13"/>
    </row>
    <row r="55" spans="1:6">
      <c r="A55" s="13"/>
    </row>
    <row r="56" spans="1:6">
      <c r="A56" s="13"/>
    </row>
    <row r="57" spans="1:6">
      <c r="A57" s="13"/>
    </row>
    <row r="58" spans="1:6">
      <c r="A58" s="13"/>
    </row>
    <row r="59" spans="1:6">
      <c r="A59" s="13"/>
    </row>
    <row r="60" spans="1:6">
      <c r="A60" s="13"/>
    </row>
    <row r="61" spans="1:6">
      <c r="A61" s="13"/>
    </row>
    <row r="62" spans="1:6">
      <c r="A62" s="13"/>
    </row>
    <row r="63" spans="1:6">
      <c r="A63" s="13"/>
    </row>
    <row r="64" spans="1:6">
      <c r="A64" s="13"/>
    </row>
  </sheetData>
  <mergeCells count="4">
    <mergeCell ref="A1:AG1"/>
    <mergeCell ref="AI1:AM1"/>
    <mergeCell ref="AN1:AR1"/>
    <mergeCell ref="AS1:AW1"/>
  </mergeCells>
  <conditionalFormatting sqref="AL1:AL2">
    <cfRule type="containsText" dxfId="2" priority="8" operator="containsText" text="x">
      <formula>NOT(ISERROR(SEARCH("x",AL1)))</formula>
    </cfRule>
  </conditionalFormatting>
  <conditionalFormatting sqref="AQ1">
    <cfRule type="containsText" dxfId="1" priority="7" operator="containsText" text="x">
      <formula>NOT(ISERROR(SEARCH("x",AQ1)))</formula>
    </cfRule>
  </conditionalFormatting>
  <conditionalFormatting sqref="AV1">
    <cfRule type="containsText" dxfId="0" priority="6" operator="containsText" text="x">
      <formula>NOT(ISERROR(SEARCH("x",AV1)))</formula>
    </cfRule>
  </conditionalFormatting>
  <pageMargins left="0.7" right="0.7" top="0.75" bottom="0.75" header="0.3" footer="0.3"/>
  <pageSetup paperSize="9" orientation="portrait" r:id="rId1"/>
  <ignoredErrors>
    <ignoredError sqref="AU3:AU37" formula="1"/>
    <ignoredError sqref="AO4:AR37" numberStoredAsText="1"/>
  </ignoredError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8BC90A-B424-8A4C-A32B-07F03E2F7322}">
  <dimension ref="A1:Z72"/>
  <sheetViews>
    <sheetView zoomScale="70" zoomScaleNormal="70" workbookViewId="0">
      <pane xSplit="1" topLeftCell="C1" activePane="topRight" state="frozen"/>
      <selection pane="topRight"/>
    </sheetView>
  </sheetViews>
  <sheetFormatPr defaultColWidth="10.6640625" defaultRowHeight="14.25"/>
  <cols>
    <col min="2" max="2" width="0" hidden="1" customWidth="1"/>
    <col min="4" max="4" width="46.1328125" customWidth="1"/>
    <col min="7" max="7" width="26.59765625" customWidth="1"/>
    <col min="11" max="11" width="37.1328125" customWidth="1"/>
    <col min="14" max="14" width="65" customWidth="1"/>
    <col min="16" max="16" width="21.33203125" customWidth="1"/>
    <col min="18" max="18" width="17" customWidth="1"/>
    <col min="19" max="19" width="32.46484375" customWidth="1"/>
    <col min="22" max="22" width="167.73046875" bestFit="1" customWidth="1"/>
    <col min="23" max="25" width="0" hidden="1" customWidth="1"/>
    <col min="26" max="26" width="0" style="15" hidden="1" customWidth="1"/>
  </cols>
  <sheetData>
    <row r="1" spans="1:26">
      <c r="A1" t="s">
        <v>246</v>
      </c>
      <c r="B1" t="s">
        <v>247</v>
      </c>
      <c r="C1" t="s">
        <v>248</v>
      </c>
      <c r="D1" t="s">
        <v>249</v>
      </c>
      <c r="E1" t="s">
        <v>250</v>
      </c>
      <c r="F1" t="s">
        <v>251</v>
      </c>
      <c r="G1" t="s">
        <v>252</v>
      </c>
      <c r="H1" t="s">
        <v>253</v>
      </c>
      <c r="I1" t="s">
        <v>254</v>
      </c>
      <c r="J1" t="s">
        <v>255</v>
      </c>
      <c r="K1" t="s">
        <v>256</v>
      </c>
      <c r="L1" t="s">
        <v>257</v>
      </c>
      <c r="M1" t="s">
        <v>258</v>
      </c>
      <c r="N1" t="s">
        <v>259</v>
      </c>
      <c r="O1" t="s">
        <v>260</v>
      </c>
      <c r="P1" t="s">
        <v>261</v>
      </c>
      <c r="Q1" t="s">
        <v>262</v>
      </c>
      <c r="R1" t="s">
        <v>263</v>
      </c>
      <c r="S1" t="s">
        <v>289</v>
      </c>
      <c r="T1" t="s">
        <v>264</v>
      </c>
      <c r="U1" t="s">
        <v>265</v>
      </c>
      <c r="V1" t="s">
        <v>266</v>
      </c>
      <c r="W1" t="s">
        <v>267</v>
      </c>
      <c r="X1" t="s">
        <v>268</v>
      </c>
      <c r="Z1" s="14" t="s">
        <v>288</v>
      </c>
    </row>
    <row r="2" spans="1:26">
      <c r="A2" t="s">
        <v>30</v>
      </c>
      <c r="B2" s="22" t="s">
        <v>290</v>
      </c>
      <c r="C2" s="22">
        <v>67</v>
      </c>
      <c r="D2" s="22" t="s">
        <v>159</v>
      </c>
      <c r="E2" s="22"/>
      <c r="F2" s="22"/>
      <c r="G2" s="22" t="s">
        <v>180</v>
      </c>
      <c r="H2" s="22"/>
      <c r="I2" s="22">
        <v>1</v>
      </c>
      <c r="J2" s="22">
        <v>1</v>
      </c>
      <c r="K2" s="22"/>
      <c r="L2" s="22" t="s">
        <v>173</v>
      </c>
      <c r="M2" s="22" t="s">
        <v>177</v>
      </c>
      <c r="N2" s="22" t="s">
        <v>223</v>
      </c>
      <c r="O2" s="22">
        <v>2</v>
      </c>
      <c r="P2" s="22" t="s">
        <v>174</v>
      </c>
      <c r="Q2" s="22"/>
      <c r="R2" s="22" t="s">
        <v>291</v>
      </c>
      <c r="S2" s="22" t="s">
        <v>174</v>
      </c>
      <c r="T2" s="22"/>
      <c r="U2" s="22"/>
      <c r="V2" s="22" t="s">
        <v>269</v>
      </c>
      <c r="W2">
        <v>1</v>
      </c>
      <c r="X2">
        <v>1</v>
      </c>
      <c r="Z2" s="15" cm="1">
        <f t="array" ref="Z2">VALUE(LEFT(A2, MIN(IFERROR(FIND({"o","p"}, A2), LEN(A2)+1))-1))</f>
        <v>1</v>
      </c>
    </row>
    <row r="3" spans="1:26">
      <c r="A3" t="s">
        <v>36</v>
      </c>
      <c r="B3" s="22" t="s">
        <v>292</v>
      </c>
      <c r="C3" s="22">
        <v>67</v>
      </c>
      <c r="D3" s="22" t="s">
        <v>37</v>
      </c>
      <c r="E3" s="22" t="s">
        <v>293</v>
      </c>
      <c r="F3" s="22" t="s">
        <v>294</v>
      </c>
      <c r="G3" s="22" t="s">
        <v>180</v>
      </c>
      <c r="H3" s="22" t="s">
        <v>292</v>
      </c>
      <c r="I3" s="22">
        <v>1</v>
      </c>
      <c r="J3" s="22">
        <v>1</v>
      </c>
      <c r="K3" s="22" t="s">
        <v>292</v>
      </c>
      <c r="L3" s="22" t="s">
        <v>37</v>
      </c>
      <c r="M3" s="22" t="s">
        <v>292</v>
      </c>
      <c r="N3" s="22" t="s">
        <v>295</v>
      </c>
      <c r="O3" s="22">
        <v>2</v>
      </c>
      <c r="P3" s="22" t="s">
        <v>292</v>
      </c>
      <c r="Q3" s="22" t="s">
        <v>292</v>
      </c>
      <c r="R3" s="22" t="s">
        <v>292</v>
      </c>
      <c r="S3" s="22" t="s">
        <v>292</v>
      </c>
      <c r="T3" s="22" t="s">
        <v>292</v>
      </c>
      <c r="U3" s="22" t="s">
        <v>292</v>
      </c>
      <c r="V3" s="22" t="s">
        <v>292</v>
      </c>
      <c r="W3">
        <v>1</v>
      </c>
      <c r="X3">
        <v>2</v>
      </c>
      <c r="Z3" s="15" cm="1">
        <f t="array" ref="Z3">VALUE(LEFT(A3, MIN(IFERROR(FIND({"o","p"}, A3), LEN(A3)+1))-1))</f>
        <v>1</v>
      </c>
    </row>
    <row r="4" spans="1:26">
      <c r="A4" t="s">
        <v>38</v>
      </c>
      <c r="B4" s="22" t="s">
        <v>296</v>
      </c>
      <c r="C4" s="22">
        <v>39</v>
      </c>
      <c r="D4" s="22" t="s">
        <v>231</v>
      </c>
      <c r="E4" s="22"/>
      <c r="F4" s="22"/>
      <c r="G4" s="22"/>
      <c r="H4" s="22"/>
      <c r="I4" s="22">
        <v>9</v>
      </c>
      <c r="J4" s="22">
        <v>1</v>
      </c>
      <c r="K4" s="22"/>
      <c r="L4" s="22" t="s">
        <v>196</v>
      </c>
      <c r="M4" s="22"/>
      <c r="N4" s="22" t="s">
        <v>39</v>
      </c>
      <c r="O4" s="22">
        <v>1</v>
      </c>
      <c r="P4" s="22" t="s">
        <v>174</v>
      </c>
      <c r="Q4" s="22"/>
      <c r="R4" s="22" t="s">
        <v>297</v>
      </c>
      <c r="S4" s="22" t="s">
        <v>174</v>
      </c>
      <c r="T4" s="22"/>
      <c r="U4" s="22"/>
      <c r="V4" s="22" t="s">
        <v>298</v>
      </c>
      <c r="W4">
        <v>2</v>
      </c>
      <c r="X4">
        <v>1</v>
      </c>
      <c r="Z4" s="15" cm="1">
        <f t="array" ref="Z4">VALUE(LEFT(A4, MIN(IFERROR(FIND({"o","p"}, A4), LEN(A4)+1))-1))</f>
        <v>2</v>
      </c>
    </row>
    <row r="5" spans="1:26">
      <c r="A5" t="s">
        <v>40</v>
      </c>
      <c r="B5" s="22"/>
      <c r="C5" s="22">
        <v>39</v>
      </c>
      <c r="D5" s="22" t="s">
        <v>160</v>
      </c>
      <c r="E5" s="22"/>
      <c r="F5" s="22"/>
      <c r="G5" s="22"/>
      <c r="H5" s="22"/>
      <c r="I5" s="22"/>
      <c r="J5" s="22"/>
      <c r="K5" s="22"/>
      <c r="L5" s="22" t="s">
        <v>205</v>
      </c>
      <c r="M5" s="22"/>
      <c r="N5" s="22" t="s">
        <v>176</v>
      </c>
      <c r="O5" s="22">
        <v>1</v>
      </c>
      <c r="P5" s="22" t="s">
        <v>34</v>
      </c>
      <c r="Q5" s="22"/>
      <c r="R5" s="22"/>
      <c r="S5" s="22"/>
      <c r="T5" s="22"/>
      <c r="U5" s="22"/>
      <c r="V5" s="22"/>
      <c r="W5">
        <v>2</v>
      </c>
      <c r="X5">
        <v>2</v>
      </c>
      <c r="Z5" s="15" cm="1">
        <f t="array" ref="Z5">VALUE(LEFT(A5, MIN(IFERROR(FIND({"o","p"}, A5), LEN(A5)+1))-1))</f>
        <v>2</v>
      </c>
    </row>
    <row r="6" spans="1:26">
      <c r="A6" t="s">
        <v>41</v>
      </c>
      <c r="B6" s="22" t="s">
        <v>232</v>
      </c>
      <c r="C6" s="22"/>
      <c r="D6" s="22" t="s">
        <v>233</v>
      </c>
      <c r="E6" s="22" t="s">
        <v>234</v>
      </c>
      <c r="F6" s="22" t="s">
        <v>166</v>
      </c>
      <c r="G6" s="22"/>
      <c r="H6" s="22"/>
      <c r="I6" s="22">
        <v>5</v>
      </c>
      <c r="J6" s="22">
        <v>1</v>
      </c>
      <c r="K6" s="22" t="s">
        <v>42</v>
      </c>
      <c r="L6" s="22" t="s">
        <v>173</v>
      </c>
      <c r="M6" s="22" t="s">
        <v>177</v>
      </c>
      <c r="N6" s="22" t="s">
        <v>299</v>
      </c>
      <c r="O6" s="22">
        <v>2</v>
      </c>
      <c r="P6" s="22" t="s">
        <v>174</v>
      </c>
      <c r="Q6" s="22"/>
      <c r="R6" s="22" t="s">
        <v>300</v>
      </c>
      <c r="S6" s="22" t="s">
        <v>301</v>
      </c>
      <c r="T6" s="22"/>
      <c r="U6" s="22"/>
      <c r="V6" s="22" t="s">
        <v>302</v>
      </c>
      <c r="W6">
        <v>3</v>
      </c>
      <c r="X6">
        <v>1</v>
      </c>
      <c r="Z6" s="15" cm="1">
        <f t="array" ref="Z6">VALUE(LEFT(A6, MIN(IFERROR(FIND({"o","p"}, A6), LEN(A6)+1))-1))</f>
        <v>3</v>
      </c>
    </row>
    <row r="7" spans="1:26">
      <c r="A7" t="s">
        <v>43</v>
      </c>
      <c r="B7" s="22" t="s">
        <v>303</v>
      </c>
      <c r="C7" s="22">
        <v>52</v>
      </c>
      <c r="D7" s="22"/>
      <c r="E7" s="22"/>
      <c r="F7" s="22"/>
      <c r="G7" s="22"/>
      <c r="H7" s="22"/>
      <c r="I7" s="22">
        <v>7</v>
      </c>
      <c r="J7" s="22"/>
      <c r="K7" s="22"/>
      <c r="L7" s="22" t="s">
        <v>179</v>
      </c>
      <c r="M7" s="22"/>
      <c r="N7" s="22"/>
      <c r="O7" s="22">
        <v>1</v>
      </c>
      <c r="P7" s="22"/>
      <c r="Q7" s="22"/>
      <c r="R7" s="22"/>
      <c r="S7" s="22"/>
      <c r="T7" s="22"/>
      <c r="U7" s="22"/>
      <c r="V7" s="22"/>
      <c r="W7">
        <v>3</v>
      </c>
      <c r="X7">
        <v>2</v>
      </c>
      <c r="Z7" s="15" cm="1">
        <f t="array" ref="Z7">VALUE(LEFT(A7, MIN(IFERROR(FIND({"o","p"}, A7), LEN(A7)+1))-1))</f>
        <v>3</v>
      </c>
    </row>
    <row r="8" spans="1:26">
      <c r="A8" t="s">
        <v>44</v>
      </c>
      <c r="B8" s="22" t="s">
        <v>235</v>
      </c>
      <c r="C8" s="22"/>
      <c r="D8" s="22" t="s">
        <v>304</v>
      </c>
      <c r="E8" s="22" t="s">
        <v>234</v>
      </c>
      <c r="F8" s="22" t="s">
        <v>294</v>
      </c>
      <c r="G8" s="22" t="s">
        <v>270</v>
      </c>
      <c r="H8" s="22"/>
      <c r="I8" s="22">
        <v>4</v>
      </c>
      <c r="J8" s="22">
        <v>1</v>
      </c>
      <c r="K8" s="22" t="s">
        <v>46</v>
      </c>
      <c r="L8" s="22" t="s">
        <v>196</v>
      </c>
      <c r="M8" s="22"/>
      <c r="N8" s="22" t="s">
        <v>47</v>
      </c>
      <c r="O8" s="22">
        <v>1</v>
      </c>
      <c r="P8" s="22" t="s">
        <v>178</v>
      </c>
      <c r="Q8" s="22" t="s">
        <v>174</v>
      </c>
      <c r="R8" s="22" t="s">
        <v>174</v>
      </c>
      <c r="S8" s="22" t="s">
        <v>305</v>
      </c>
      <c r="T8" s="22"/>
      <c r="U8" s="22"/>
      <c r="V8" s="22" t="s">
        <v>306</v>
      </c>
      <c r="W8">
        <v>4</v>
      </c>
      <c r="X8">
        <v>1</v>
      </c>
      <c r="Z8" s="15" cm="1">
        <f t="array" ref="Z8">VALUE(LEFT(A8, MIN(IFERROR(FIND({"o","p"}, A8), LEN(A8)+1))-1))</f>
        <v>4</v>
      </c>
    </row>
    <row r="9" spans="1:26">
      <c r="A9" t="s">
        <v>48</v>
      </c>
      <c r="B9" s="22" t="s">
        <v>307</v>
      </c>
      <c r="C9" s="22">
        <v>61</v>
      </c>
      <c r="D9" s="22" t="s">
        <v>37</v>
      </c>
      <c r="E9" s="22" t="s">
        <v>293</v>
      </c>
      <c r="F9" s="22" t="s">
        <v>294</v>
      </c>
      <c r="G9" s="22" t="s">
        <v>270</v>
      </c>
      <c r="H9" s="22"/>
      <c r="I9" s="22" t="s">
        <v>307</v>
      </c>
      <c r="J9" s="22">
        <v>1</v>
      </c>
      <c r="K9" s="22" t="s">
        <v>307</v>
      </c>
      <c r="L9" s="22" t="s">
        <v>37</v>
      </c>
      <c r="M9" s="22"/>
      <c r="N9" s="22" t="s">
        <v>308</v>
      </c>
      <c r="O9" s="22">
        <v>1</v>
      </c>
      <c r="P9" s="22" t="s">
        <v>307</v>
      </c>
      <c r="Q9" s="22"/>
      <c r="R9" s="22" t="s">
        <v>307</v>
      </c>
      <c r="S9" s="22" t="s">
        <v>307</v>
      </c>
      <c r="T9" s="22" t="s">
        <v>307</v>
      </c>
      <c r="U9" s="22"/>
      <c r="V9" s="22" t="s">
        <v>307</v>
      </c>
      <c r="W9">
        <v>4</v>
      </c>
      <c r="X9">
        <v>2</v>
      </c>
      <c r="Z9" s="15" cm="1">
        <f t="array" ref="Z9">VALUE(LEFT(A9, MIN(IFERROR(FIND({"o","p"}, A9), LEN(A9)+1))-1))</f>
        <v>4</v>
      </c>
    </row>
    <row r="10" spans="1:26">
      <c r="A10" t="s">
        <v>49</v>
      </c>
      <c r="B10" s="22" t="s">
        <v>309</v>
      </c>
      <c r="C10" s="22">
        <v>34</v>
      </c>
      <c r="D10" s="22" t="s">
        <v>236</v>
      </c>
      <c r="E10" s="22" t="s">
        <v>234</v>
      </c>
      <c r="F10" s="22"/>
      <c r="G10" s="22"/>
      <c r="H10" s="22"/>
      <c r="I10" s="22">
        <v>5</v>
      </c>
      <c r="J10" s="22">
        <v>1</v>
      </c>
      <c r="K10" s="22"/>
      <c r="L10" s="22" t="s">
        <v>173</v>
      </c>
      <c r="M10" s="22" t="s">
        <v>310</v>
      </c>
      <c r="N10" s="22" t="s">
        <v>311</v>
      </c>
      <c r="O10" s="22">
        <v>2</v>
      </c>
      <c r="P10" s="22" t="s">
        <v>312</v>
      </c>
      <c r="Q10" s="22"/>
      <c r="R10" s="22"/>
      <c r="S10" s="22" t="s">
        <v>313</v>
      </c>
      <c r="T10" s="22"/>
      <c r="U10" s="22"/>
      <c r="V10" s="22" t="s">
        <v>314</v>
      </c>
      <c r="W10">
        <v>5</v>
      </c>
      <c r="X10">
        <v>1</v>
      </c>
      <c r="Z10" s="15" cm="1">
        <f t="array" ref="Z10">VALUE(LEFT(A10, MIN(IFERROR(FIND({"o","p"}, A10), LEN(A10)+1))-1))</f>
        <v>5</v>
      </c>
    </row>
    <row r="11" spans="1:26">
      <c r="A11" t="s">
        <v>51</v>
      </c>
      <c r="B11" s="22" t="s">
        <v>309</v>
      </c>
      <c r="C11" s="22">
        <v>34</v>
      </c>
      <c r="D11" s="22"/>
      <c r="E11" s="22" t="s">
        <v>164</v>
      </c>
      <c r="F11" s="22"/>
      <c r="G11" s="22" t="s">
        <v>180</v>
      </c>
      <c r="H11" s="22"/>
      <c r="I11" s="22">
        <v>2</v>
      </c>
      <c r="J11" s="22">
        <v>1</v>
      </c>
      <c r="K11" s="22" t="s">
        <v>50</v>
      </c>
      <c r="L11" s="22" t="s">
        <v>315</v>
      </c>
      <c r="M11" s="22"/>
      <c r="N11" s="22"/>
      <c r="O11" s="22"/>
      <c r="P11" s="22"/>
      <c r="Q11" s="22"/>
      <c r="R11" s="22"/>
      <c r="S11" s="22"/>
      <c r="T11" s="22"/>
      <c r="U11" s="22"/>
      <c r="V11" s="22"/>
      <c r="W11">
        <v>5</v>
      </c>
      <c r="X11">
        <v>1</v>
      </c>
      <c r="Z11" s="15" cm="1">
        <f t="array" ref="Z11">VALUE(LEFT(A11, MIN(IFERROR(FIND({"o","p"}, A11), LEN(A11)+1))-1))</f>
        <v>5</v>
      </c>
    </row>
    <row r="12" spans="1:26">
      <c r="A12" t="s">
        <v>52</v>
      </c>
      <c r="B12" s="22" t="s">
        <v>307</v>
      </c>
      <c r="C12" s="22">
        <v>34</v>
      </c>
      <c r="D12" s="22" t="s">
        <v>162</v>
      </c>
      <c r="E12" s="22" t="s">
        <v>164</v>
      </c>
      <c r="F12" s="22" t="s">
        <v>294</v>
      </c>
      <c r="G12" s="22" t="s">
        <v>180</v>
      </c>
      <c r="H12" s="22"/>
      <c r="I12" s="22">
        <v>11</v>
      </c>
      <c r="J12" s="22">
        <v>1</v>
      </c>
      <c r="K12" s="22" t="s">
        <v>307</v>
      </c>
      <c r="L12" s="22" t="s">
        <v>316</v>
      </c>
      <c r="M12" s="22"/>
      <c r="N12" s="22" t="s">
        <v>181</v>
      </c>
      <c r="O12" s="22">
        <v>1</v>
      </c>
      <c r="P12" s="22" t="s">
        <v>34</v>
      </c>
      <c r="Q12" s="22" t="s">
        <v>317</v>
      </c>
      <c r="R12" s="22" t="s">
        <v>307</v>
      </c>
      <c r="S12" s="22" t="s">
        <v>34</v>
      </c>
      <c r="T12" s="22"/>
      <c r="U12" s="22"/>
      <c r="V12" s="22" t="s">
        <v>307</v>
      </c>
      <c r="W12">
        <v>5</v>
      </c>
      <c r="X12">
        <v>2</v>
      </c>
      <c r="Z12" s="15" cm="1">
        <f t="array" ref="Z12">VALUE(LEFT(A12, MIN(IFERROR(FIND({"o","p"}, A12), LEN(A12)+1))-1))</f>
        <v>5</v>
      </c>
    </row>
    <row r="13" spans="1:26">
      <c r="A13" t="s">
        <v>53</v>
      </c>
      <c r="B13" s="24">
        <v>45416</v>
      </c>
      <c r="C13" s="22">
        <v>66</v>
      </c>
      <c r="D13" s="22" t="s">
        <v>157</v>
      </c>
      <c r="E13" s="22"/>
      <c r="F13" s="22"/>
      <c r="G13" s="22"/>
      <c r="H13" s="22"/>
      <c r="I13" s="22">
        <v>5</v>
      </c>
      <c r="J13" s="22">
        <v>1</v>
      </c>
      <c r="K13" s="22" t="s">
        <v>182</v>
      </c>
      <c r="L13" s="22" t="s">
        <v>189</v>
      </c>
      <c r="M13" s="22"/>
      <c r="N13" s="22" t="s">
        <v>183</v>
      </c>
      <c r="O13" s="22">
        <v>1</v>
      </c>
      <c r="P13" s="22" t="s">
        <v>318</v>
      </c>
      <c r="Q13" s="22"/>
      <c r="R13" s="22" t="s">
        <v>319</v>
      </c>
      <c r="S13" s="22"/>
      <c r="T13" s="22"/>
      <c r="U13" s="22"/>
      <c r="V13" s="22" t="s">
        <v>320</v>
      </c>
      <c r="W13">
        <v>6</v>
      </c>
      <c r="X13">
        <v>1</v>
      </c>
      <c r="Z13" s="15" cm="1">
        <f t="array" ref="Z13">VALUE(LEFT(A13, MIN(IFERROR(FIND({"o","p"}, A13), LEN(A13)+1))-1))</f>
        <v>6</v>
      </c>
    </row>
    <row r="14" spans="1:26">
      <c r="A14" t="s">
        <v>54</v>
      </c>
      <c r="B14" s="22"/>
      <c r="C14" s="22">
        <v>66</v>
      </c>
      <c r="D14" s="22" t="s">
        <v>157</v>
      </c>
      <c r="E14" s="22"/>
      <c r="F14" s="22"/>
      <c r="G14" s="22" t="s">
        <v>321</v>
      </c>
      <c r="H14" s="22"/>
      <c r="I14" s="22"/>
      <c r="J14" s="22" t="s">
        <v>111</v>
      </c>
      <c r="K14" s="22" t="s">
        <v>111</v>
      </c>
      <c r="L14" s="22" t="s">
        <v>210</v>
      </c>
      <c r="M14" s="22"/>
      <c r="N14" s="22" t="s">
        <v>184</v>
      </c>
      <c r="O14" s="22">
        <v>1</v>
      </c>
      <c r="P14" s="22" t="s">
        <v>34</v>
      </c>
      <c r="Q14" s="22"/>
      <c r="R14" s="22"/>
      <c r="S14" s="22"/>
      <c r="T14" s="22"/>
      <c r="U14" s="22"/>
      <c r="V14" s="22"/>
      <c r="W14">
        <v>6</v>
      </c>
      <c r="X14">
        <v>2</v>
      </c>
      <c r="Z14" s="15" cm="1">
        <f t="array" ref="Z14">VALUE(LEFT(A14, MIN(IFERROR(FIND({"o","p"}, A14), LEN(A14)+1))-1))</f>
        <v>6</v>
      </c>
    </row>
    <row r="15" spans="1:26">
      <c r="A15" t="s">
        <v>55</v>
      </c>
      <c r="B15" s="22" t="s">
        <v>322</v>
      </c>
      <c r="C15" s="22">
        <v>67</v>
      </c>
      <c r="D15" s="22" t="s">
        <v>158</v>
      </c>
      <c r="E15" s="22"/>
      <c r="F15" s="22"/>
      <c r="G15" s="22"/>
      <c r="H15" s="22"/>
      <c r="I15" s="22">
        <v>12</v>
      </c>
      <c r="J15" s="22">
        <v>0</v>
      </c>
      <c r="K15" s="22"/>
      <c r="L15" s="22" t="s">
        <v>185</v>
      </c>
      <c r="M15" s="22"/>
      <c r="N15" s="22" t="s">
        <v>323</v>
      </c>
      <c r="O15" s="22">
        <v>2</v>
      </c>
      <c r="P15" s="22" t="s">
        <v>174</v>
      </c>
      <c r="Q15" s="22"/>
      <c r="R15" s="22" t="s">
        <v>174</v>
      </c>
      <c r="S15" s="22" t="s">
        <v>174</v>
      </c>
      <c r="T15" s="22"/>
      <c r="U15" s="22"/>
      <c r="V15" s="22" t="s">
        <v>302</v>
      </c>
      <c r="W15">
        <v>7</v>
      </c>
      <c r="X15">
        <v>1</v>
      </c>
      <c r="Z15" s="15" cm="1">
        <f t="array" ref="Z15">VALUE(LEFT(A15, MIN(IFERROR(FIND({"o","p"}, A15), LEN(A15)+1))-1))</f>
        <v>7</v>
      </c>
    </row>
    <row r="16" spans="1:26">
      <c r="A16" t="s">
        <v>56</v>
      </c>
      <c r="B16" s="22"/>
      <c r="C16" s="22">
        <v>67</v>
      </c>
      <c r="D16" s="22"/>
      <c r="E16" s="22"/>
      <c r="F16" s="22"/>
      <c r="G16" s="22"/>
      <c r="H16" s="22"/>
      <c r="I16" s="22">
        <v>0</v>
      </c>
      <c r="J16" s="22">
        <v>0</v>
      </c>
      <c r="K16" s="22"/>
      <c r="L16" s="22" t="s">
        <v>272</v>
      </c>
      <c r="M16" s="22"/>
      <c r="N16" s="22" t="s">
        <v>324</v>
      </c>
      <c r="O16" s="22">
        <v>2</v>
      </c>
      <c r="P16" s="22"/>
      <c r="Q16" s="22"/>
      <c r="R16" s="22"/>
      <c r="S16" s="22"/>
      <c r="T16" s="22"/>
      <c r="U16" s="22"/>
      <c r="V16" s="22"/>
      <c r="W16">
        <v>7</v>
      </c>
      <c r="X16">
        <v>2</v>
      </c>
      <c r="Z16" s="15" cm="1">
        <f t="array" ref="Z16">VALUE(LEFT(A16, MIN(IFERROR(FIND({"o","p"}, A16), LEN(A16)+1))-1))</f>
        <v>7</v>
      </c>
    </row>
    <row r="17" spans="1:26">
      <c r="A17" t="s">
        <v>57</v>
      </c>
      <c r="B17" s="22" t="s">
        <v>237</v>
      </c>
      <c r="C17" s="22">
        <v>78</v>
      </c>
      <c r="D17" s="22" t="s">
        <v>230</v>
      </c>
      <c r="E17" s="22"/>
      <c r="F17" s="22"/>
      <c r="G17" s="22"/>
      <c r="H17" s="22"/>
      <c r="I17" s="22">
        <v>6</v>
      </c>
      <c r="J17" s="22">
        <v>0</v>
      </c>
      <c r="K17" s="22"/>
      <c r="L17" s="22" t="s">
        <v>196</v>
      </c>
      <c r="M17" s="22"/>
      <c r="N17" s="22" t="s">
        <v>58</v>
      </c>
      <c r="O17" s="22">
        <v>1</v>
      </c>
      <c r="P17" s="22" t="s">
        <v>174</v>
      </c>
      <c r="Q17" s="22"/>
      <c r="R17" s="22" t="s">
        <v>174</v>
      </c>
      <c r="S17" s="22" t="s">
        <v>174</v>
      </c>
      <c r="T17" s="22"/>
      <c r="U17" s="22"/>
      <c r="V17" s="22" t="s">
        <v>325</v>
      </c>
      <c r="W17">
        <v>8</v>
      </c>
      <c r="X17">
        <v>1</v>
      </c>
      <c r="Z17" s="15" cm="1">
        <f t="array" ref="Z17">VALUE(LEFT(A17, MIN(IFERROR(FIND({"o","p"}, A17), LEN(A17)+1))-1))</f>
        <v>8</v>
      </c>
    </row>
    <row r="18" spans="1:26">
      <c r="A18" t="s">
        <v>59</v>
      </c>
      <c r="B18" s="22"/>
      <c r="C18" s="22">
        <v>78</v>
      </c>
      <c r="D18" s="22" t="s">
        <v>157</v>
      </c>
      <c r="E18" s="22"/>
      <c r="F18" s="22"/>
      <c r="G18" s="22"/>
      <c r="H18" s="22"/>
      <c r="I18" s="22"/>
      <c r="J18" s="22"/>
      <c r="K18" s="22"/>
      <c r="L18" s="22" t="s">
        <v>326</v>
      </c>
      <c r="M18" s="22"/>
      <c r="N18" s="22" t="s">
        <v>100</v>
      </c>
      <c r="O18" s="22">
        <v>1</v>
      </c>
      <c r="P18" s="22" t="s">
        <v>34</v>
      </c>
      <c r="Q18" s="22"/>
      <c r="R18" s="22"/>
      <c r="S18" s="22"/>
      <c r="T18" s="22"/>
      <c r="U18" s="22"/>
      <c r="V18" s="22"/>
      <c r="W18">
        <v>8</v>
      </c>
      <c r="X18">
        <v>2</v>
      </c>
      <c r="Z18" s="15" cm="1">
        <f t="array" ref="Z18">VALUE(LEFT(A18, MIN(IFERROR(FIND({"o","p"}, A18), LEN(A18)+1))-1))</f>
        <v>8</v>
      </c>
    </row>
    <row r="19" spans="1:26">
      <c r="A19" t="s">
        <v>60</v>
      </c>
      <c r="B19" s="24">
        <v>45537</v>
      </c>
      <c r="C19" s="22">
        <v>55</v>
      </c>
      <c r="D19" s="22" t="s">
        <v>231</v>
      </c>
      <c r="E19" s="22"/>
      <c r="F19" s="22"/>
      <c r="G19" s="22" t="s">
        <v>180</v>
      </c>
      <c r="H19" s="22"/>
      <c r="I19" s="22">
        <v>8</v>
      </c>
      <c r="J19" s="22">
        <v>4</v>
      </c>
      <c r="K19" s="22"/>
      <c r="L19" s="22" t="s">
        <v>273</v>
      </c>
      <c r="M19" s="22"/>
      <c r="N19" s="22" t="s">
        <v>327</v>
      </c>
      <c r="O19" s="22">
        <v>3</v>
      </c>
      <c r="P19" s="22" t="s">
        <v>174</v>
      </c>
      <c r="Q19" s="22"/>
      <c r="R19" s="22" t="s">
        <v>34</v>
      </c>
      <c r="S19" s="22" t="s">
        <v>174</v>
      </c>
      <c r="T19" s="22"/>
      <c r="U19" s="22"/>
      <c r="V19" s="22" t="s">
        <v>274</v>
      </c>
      <c r="W19">
        <v>9</v>
      </c>
      <c r="X19">
        <v>1</v>
      </c>
      <c r="Z19" s="15" cm="1">
        <f t="array" ref="Z19">VALUE(LEFT(A19, MIN(IFERROR(FIND({"o","p"}, A19), LEN(A19)+1))-1))</f>
        <v>9</v>
      </c>
    </row>
    <row r="20" spans="1:26">
      <c r="A20" t="s">
        <v>61</v>
      </c>
      <c r="B20" s="22" t="s">
        <v>307</v>
      </c>
      <c r="C20" s="22">
        <v>55</v>
      </c>
      <c r="D20" s="22" t="s">
        <v>328</v>
      </c>
      <c r="E20" s="22" t="s">
        <v>164</v>
      </c>
      <c r="F20" s="22" t="s">
        <v>294</v>
      </c>
      <c r="G20" s="22" t="s">
        <v>275</v>
      </c>
      <c r="H20" s="22"/>
      <c r="I20" s="22" t="s">
        <v>329</v>
      </c>
      <c r="J20" s="22" t="s">
        <v>330</v>
      </c>
      <c r="K20" s="22" t="s">
        <v>111</v>
      </c>
      <c r="L20" s="22" t="s">
        <v>331</v>
      </c>
      <c r="M20" s="22"/>
      <c r="N20" s="22" t="s">
        <v>307</v>
      </c>
      <c r="O20" s="22" t="s">
        <v>332</v>
      </c>
      <c r="P20" s="22" t="s">
        <v>307</v>
      </c>
      <c r="Q20" s="22"/>
      <c r="R20" s="22" t="s">
        <v>307</v>
      </c>
      <c r="S20" s="22" t="s">
        <v>307</v>
      </c>
      <c r="T20" s="22" t="s">
        <v>307</v>
      </c>
      <c r="U20" s="22"/>
      <c r="V20" s="22" t="s">
        <v>307</v>
      </c>
      <c r="W20">
        <v>9</v>
      </c>
      <c r="X20">
        <v>2</v>
      </c>
      <c r="Z20" s="15" cm="1">
        <f t="array" ref="Z20">VALUE(LEFT(A20, MIN(IFERROR(FIND({"o","p"}, A20), LEN(A20)+1))-1))</f>
        <v>9</v>
      </c>
    </row>
    <row r="21" spans="1:26">
      <c r="A21" t="s">
        <v>62</v>
      </c>
      <c r="B21" s="22" t="s">
        <v>238</v>
      </c>
      <c r="C21" s="22">
        <v>24</v>
      </c>
      <c r="D21" s="22" t="s">
        <v>159</v>
      </c>
      <c r="E21" s="22"/>
      <c r="F21" s="22"/>
      <c r="G21" s="22" t="s">
        <v>333</v>
      </c>
      <c r="H21" s="22"/>
      <c r="I21" s="22">
        <v>1</v>
      </c>
      <c r="J21" s="22">
        <v>1</v>
      </c>
      <c r="K21" s="22"/>
      <c r="L21" s="22" t="s">
        <v>196</v>
      </c>
      <c r="M21" s="22"/>
      <c r="N21" s="22" t="s">
        <v>63</v>
      </c>
      <c r="O21" s="22">
        <v>1</v>
      </c>
      <c r="P21" s="22" t="s">
        <v>174</v>
      </c>
      <c r="Q21" s="22"/>
      <c r="R21" s="22" t="s">
        <v>334</v>
      </c>
      <c r="S21" s="22" t="s">
        <v>174</v>
      </c>
      <c r="T21" s="22"/>
      <c r="U21" s="22"/>
      <c r="V21" s="22" t="s">
        <v>335</v>
      </c>
      <c r="W21">
        <v>10</v>
      </c>
      <c r="X21">
        <v>1</v>
      </c>
      <c r="Z21" s="15" cm="1">
        <f t="array" ref="Z21">VALUE(LEFT(A21, MIN(IFERROR(FIND({"o","p"}, A21), LEN(A21)+1))-1))</f>
        <v>10</v>
      </c>
    </row>
    <row r="22" spans="1:26">
      <c r="A22" t="s">
        <v>64</v>
      </c>
      <c r="B22" s="22"/>
      <c r="C22" s="22">
        <v>24</v>
      </c>
      <c r="D22" s="22" t="s">
        <v>157</v>
      </c>
      <c r="E22" s="22"/>
      <c r="F22" s="22"/>
      <c r="G22" s="22"/>
      <c r="H22" s="22"/>
      <c r="I22" s="22"/>
      <c r="J22" s="22"/>
      <c r="K22" s="22"/>
      <c r="L22" s="22" t="s">
        <v>37</v>
      </c>
      <c r="M22" s="22"/>
      <c r="N22" s="22" t="s">
        <v>175</v>
      </c>
      <c r="O22" s="22">
        <v>1</v>
      </c>
      <c r="P22" s="22" t="s">
        <v>34</v>
      </c>
      <c r="Q22" s="22"/>
      <c r="R22" s="22"/>
      <c r="S22" s="22"/>
      <c r="T22" s="22"/>
      <c r="U22" s="22"/>
      <c r="V22" s="22"/>
      <c r="W22">
        <v>10</v>
      </c>
      <c r="X22">
        <v>2</v>
      </c>
      <c r="Z22" s="15" cm="1">
        <f t="array" ref="Z22">VALUE(LEFT(A22, MIN(IFERROR(FIND({"o","p"}, A22), LEN(A22)+1))-1))</f>
        <v>10</v>
      </c>
    </row>
    <row r="23" spans="1:26">
      <c r="A23" t="s">
        <v>65</v>
      </c>
      <c r="B23" s="22" t="s">
        <v>237</v>
      </c>
      <c r="C23" s="22">
        <v>70</v>
      </c>
      <c r="D23" s="22" t="s">
        <v>239</v>
      </c>
      <c r="E23" s="22"/>
      <c r="F23" s="22"/>
      <c r="G23" s="22"/>
      <c r="H23" s="22"/>
      <c r="I23" s="22">
        <v>13</v>
      </c>
      <c r="J23" s="22">
        <v>0</v>
      </c>
      <c r="K23" s="22"/>
      <c r="L23" s="22" t="s">
        <v>187</v>
      </c>
      <c r="M23" s="22"/>
      <c r="N23" s="22" t="s">
        <v>188</v>
      </c>
      <c r="O23" s="22">
        <v>2</v>
      </c>
      <c r="P23" s="22" t="s">
        <v>174</v>
      </c>
      <c r="Q23" s="22"/>
      <c r="R23" s="22" t="s">
        <v>34</v>
      </c>
      <c r="S23" s="22" t="s">
        <v>174</v>
      </c>
      <c r="T23" s="22"/>
      <c r="U23" s="22"/>
      <c r="V23" s="22" t="s">
        <v>302</v>
      </c>
      <c r="W23">
        <v>11</v>
      </c>
      <c r="X23">
        <v>1</v>
      </c>
      <c r="Z23" s="15" cm="1">
        <f t="array" ref="Z23">VALUE(LEFT(A23, MIN(IFERROR(FIND({"o","p"}, A23), LEN(A23)+1))-1))</f>
        <v>11</v>
      </c>
    </row>
    <row r="24" spans="1:26">
      <c r="A24" t="s">
        <v>66</v>
      </c>
      <c r="B24" s="23">
        <v>45443</v>
      </c>
      <c r="C24" s="22">
        <v>70</v>
      </c>
      <c r="D24" s="22"/>
      <c r="E24" s="22"/>
      <c r="F24" s="22"/>
      <c r="G24" s="22"/>
      <c r="H24" s="22"/>
      <c r="I24" s="22"/>
      <c r="J24" s="22"/>
      <c r="K24" s="22"/>
      <c r="L24" s="22" t="s">
        <v>179</v>
      </c>
      <c r="M24" s="22"/>
      <c r="N24" s="22" t="s">
        <v>276</v>
      </c>
      <c r="O24" s="22">
        <v>1</v>
      </c>
      <c r="P24" s="22" t="s">
        <v>336</v>
      </c>
      <c r="Q24" s="22"/>
      <c r="R24" s="22"/>
      <c r="S24" s="22"/>
      <c r="T24" s="22"/>
      <c r="U24" s="22"/>
      <c r="V24" s="22"/>
      <c r="W24">
        <v>11</v>
      </c>
      <c r="X24">
        <v>2</v>
      </c>
      <c r="Z24" s="15" cm="1">
        <f t="array" ref="Z24">VALUE(LEFT(A24, MIN(IFERROR(FIND({"o","p"}, A24), LEN(A24)+1))-1))</f>
        <v>11</v>
      </c>
    </row>
    <row r="25" spans="1:26">
      <c r="A25" t="s">
        <v>67</v>
      </c>
      <c r="B25" s="24">
        <v>45356</v>
      </c>
      <c r="C25" s="22">
        <v>67</v>
      </c>
      <c r="D25" s="22" t="s">
        <v>239</v>
      </c>
      <c r="E25" s="22"/>
      <c r="F25" s="22"/>
      <c r="G25" s="22"/>
      <c r="H25" s="22"/>
      <c r="I25" s="22">
        <v>22</v>
      </c>
      <c r="J25" s="22">
        <v>1</v>
      </c>
      <c r="K25" s="22" t="s">
        <v>190</v>
      </c>
      <c r="L25" s="22" t="s">
        <v>187</v>
      </c>
      <c r="M25" s="22"/>
      <c r="N25" s="22" t="s">
        <v>190</v>
      </c>
      <c r="O25" s="22">
        <v>1</v>
      </c>
      <c r="P25" s="22" t="s">
        <v>34</v>
      </c>
      <c r="Q25" s="22" t="s">
        <v>277</v>
      </c>
      <c r="R25" s="22" t="s">
        <v>271</v>
      </c>
      <c r="S25" s="22" t="s">
        <v>174</v>
      </c>
      <c r="T25" s="22"/>
      <c r="U25" s="22"/>
      <c r="V25" s="22" t="s">
        <v>337</v>
      </c>
      <c r="W25">
        <v>12</v>
      </c>
      <c r="X25">
        <v>1</v>
      </c>
      <c r="Z25" s="15" cm="1">
        <f t="array" ref="Z25">VALUE(LEFT(A25, MIN(IFERROR(FIND({"o","p"}, A25), LEN(A25)+1))-1))</f>
        <v>12</v>
      </c>
    </row>
    <row r="26" spans="1:26">
      <c r="A26" t="s">
        <v>68</v>
      </c>
      <c r="B26" s="22"/>
      <c r="C26" s="22">
        <v>67</v>
      </c>
      <c r="D26" s="22" t="s">
        <v>157</v>
      </c>
      <c r="E26" s="22"/>
      <c r="F26" s="22"/>
      <c r="G26" s="22"/>
      <c r="H26" s="22"/>
      <c r="I26" s="22">
        <v>135</v>
      </c>
      <c r="J26" s="22">
        <v>1</v>
      </c>
      <c r="K26" s="22" t="s">
        <v>191</v>
      </c>
      <c r="L26" s="22" t="s">
        <v>338</v>
      </c>
      <c r="M26" s="22"/>
      <c r="N26" s="22" t="s">
        <v>191</v>
      </c>
      <c r="O26" s="22">
        <v>2</v>
      </c>
      <c r="P26" s="22" t="s">
        <v>34</v>
      </c>
      <c r="Q26" s="22"/>
      <c r="R26" s="22"/>
      <c r="S26" s="22"/>
      <c r="T26" s="22"/>
      <c r="U26" s="22"/>
      <c r="V26" s="22"/>
      <c r="W26">
        <v>12</v>
      </c>
      <c r="X26">
        <v>2</v>
      </c>
      <c r="Z26" s="15" cm="1">
        <f t="array" ref="Z26">VALUE(LEFT(A26, MIN(IFERROR(FIND({"o","p"}, A26), LEN(A26)+1))-1))</f>
        <v>12</v>
      </c>
    </row>
    <row r="27" spans="1:26">
      <c r="A27" t="s">
        <v>69</v>
      </c>
      <c r="B27" s="24">
        <v>45509</v>
      </c>
      <c r="C27" s="22">
        <v>66</v>
      </c>
      <c r="D27" s="22"/>
      <c r="E27" s="22" t="s">
        <v>165</v>
      </c>
      <c r="F27" s="22"/>
      <c r="G27" s="22" t="s">
        <v>287</v>
      </c>
      <c r="H27" s="22"/>
      <c r="I27" s="22">
        <v>19</v>
      </c>
      <c r="J27" s="22">
        <v>2</v>
      </c>
      <c r="K27" s="22" t="s">
        <v>339</v>
      </c>
      <c r="L27" s="22" t="s">
        <v>196</v>
      </c>
      <c r="M27" s="22"/>
      <c r="N27" s="22" t="s">
        <v>192</v>
      </c>
      <c r="O27" s="22">
        <v>1</v>
      </c>
      <c r="P27" s="22" t="s">
        <v>34</v>
      </c>
      <c r="Q27" s="22" t="s">
        <v>340</v>
      </c>
      <c r="R27" s="22"/>
      <c r="S27" s="22" t="s">
        <v>34</v>
      </c>
      <c r="T27" s="22"/>
      <c r="U27" s="22"/>
      <c r="V27" s="22" t="s">
        <v>341</v>
      </c>
      <c r="W27">
        <v>13</v>
      </c>
      <c r="X27">
        <v>1</v>
      </c>
      <c r="Z27" s="15" cm="1">
        <f t="array" ref="Z27">VALUE(LEFT(A27, MIN(IFERROR(FIND({"o","p"}, A27), LEN(A27)+1))-1))</f>
        <v>13</v>
      </c>
    </row>
    <row r="28" spans="1:26">
      <c r="A28" t="s">
        <v>72</v>
      </c>
      <c r="B28" s="22"/>
      <c r="C28" s="22">
        <v>66</v>
      </c>
      <c r="D28" s="22" t="s">
        <v>162</v>
      </c>
      <c r="E28" s="22" t="s">
        <v>164</v>
      </c>
      <c r="F28" s="22"/>
      <c r="G28" s="22" t="s">
        <v>342</v>
      </c>
      <c r="H28" s="22"/>
      <c r="I28" s="22"/>
      <c r="J28" s="22"/>
      <c r="K28" s="22"/>
      <c r="L28" s="22" t="s">
        <v>194</v>
      </c>
      <c r="M28" s="22"/>
      <c r="N28" s="22" t="s">
        <v>307</v>
      </c>
      <c r="O28" s="22"/>
      <c r="P28" s="22" t="s">
        <v>34</v>
      </c>
      <c r="Q28" s="22" t="s">
        <v>343</v>
      </c>
      <c r="R28" s="22" t="s">
        <v>34</v>
      </c>
      <c r="S28" s="22" t="s">
        <v>34</v>
      </c>
      <c r="T28" s="22"/>
      <c r="U28" s="22"/>
      <c r="V28" s="22"/>
      <c r="W28">
        <v>13</v>
      </c>
      <c r="X28">
        <v>2</v>
      </c>
      <c r="Z28" s="15" cm="1">
        <f t="array" ref="Z28">VALUE(LEFT(A28, MIN(IFERROR(FIND({"o","p"}, A28), LEN(A28)+1))-1))</f>
        <v>13</v>
      </c>
    </row>
    <row r="29" spans="1:26">
      <c r="A29" t="s">
        <v>73</v>
      </c>
      <c r="B29" s="24">
        <v>45630</v>
      </c>
      <c r="C29" s="22">
        <v>51</v>
      </c>
      <c r="D29" s="22" t="s">
        <v>236</v>
      </c>
      <c r="E29" s="22"/>
      <c r="F29" s="22"/>
      <c r="G29" s="22"/>
      <c r="H29" s="22"/>
      <c r="I29" s="22"/>
      <c r="J29" s="22"/>
      <c r="K29" s="22"/>
      <c r="L29" s="22" t="s">
        <v>173</v>
      </c>
      <c r="M29" s="22" t="s">
        <v>344</v>
      </c>
      <c r="N29" s="22" t="s">
        <v>74</v>
      </c>
      <c r="O29" s="22">
        <v>1</v>
      </c>
      <c r="P29" s="22" t="s">
        <v>34</v>
      </c>
      <c r="Q29" s="22" t="s">
        <v>277</v>
      </c>
      <c r="R29" s="22" t="s">
        <v>34</v>
      </c>
      <c r="S29" s="22" t="s">
        <v>345</v>
      </c>
      <c r="T29" s="22"/>
      <c r="U29" s="22"/>
      <c r="V29" s="22" t="s">
        <v>346</v>
      </c>
      <c r="W29">
        <v>14</v>
      </c>
      <c r="X29">
        <v>1</v>
      </c>
      <c r="Z29" s="15" cm="1">
        <f t="array" ref="Z29">VALUE(LEFT(A29, MIN(IFERROR(FIND({"o","p"}, A29), LEN(A29)+1))-1))</f>
        <v>14</v>
      </c>
    </row>
    <row r="30" spans="1:26">
      <c r="A30" t="s">
        <v>75</v>
      </c>
      <c r="B30" s="22"/>
      <c r="C30" s="22">
        <v>51</v>
      </c>
      <c r="D30" s="22" t="s">
        <v>156</v>
      </c>
      <c r="E30" s="22" t="s">
        <v>293</v>
      </c>
      <c r="F30" s="22"/>
      <c r="G30" s="22" t="s">
        <v>180</v>
      </c>
      <c r="H30" s="22"/>
      <c r="I30" s="22"/>
      <c r="J30" s="22"/>
      <c r="K30" s="22"/>
      <c r="L30" s="22" t="s">
        <v>37</v>
      </c>
      <c r="M30" s="22"/>
      <c r="N30" s="22" t="s">
        <v>347</v>
      </c>
      <c r="O30" s="22">
        <v>1</v>
      </c>
      <c r="P30" s="22" t="s">
        <v>34</v>
      </c>
      <c r="Q30" s="22" t="s">
        <v>348</v>
      </c>
      <c r="R30" s="22"/>
      <c r="S30" s="22" t="s">
        <v>34</v>
      </c>
      <c r="T30" s="22"/>
      <c r="U30" s="22"/>
      <c r="V30" s="22"/>
      <c r="W30">
        <v>14</v>
      </c>
      <c r="X30">
        <v>2</v>
      </c>
      <c r="Z30" s="15" cm="1">
        <f t="array" ref="Z30">VALUE(LEFT(A30, MIN(IFERROR(FIND({"o","p"}, A30), LEN(A30)+1))-1))</f>
        <v>14</v>
      </c>
    </row>
    <row r="31" spans="1:26">
      <c r="A31" t="s">
        <v>76</v>
      </c>
      <c r="B31" s="22" t="s">
        <v>241</v>
      </c>
      <c r="C31" s="22">
        <v>64</v>
      </c>
      <c r="D31" s="22"/>
      <c r="E31" s="22"/>
      <c r="F31" s="22"/>
      <c r="G31" s="22"/>
      <c r="H31" s="22"/>
      <c r="I31" s="22">
        <v>7</v>
      </c>
      <c r="J31" s="22">
        <v>0</v>
      </c>
      <c r="K31" s="22"/>
      <c r="L31" s="22" t="s">
        <v>349</v>
      </c>
      <c r="M31" s="22"/>
      <c r="N31" s="22" t="s">
        <v>350</v>
      </c>
      <c r="O31" s="22">
        <v>1</v>
      </c>
      <c r="P31" s="22" t="s">
        <v>224</v>
      </c>
      <c r="Q31" s="22"/>
      <c r="R31" s="22" t="s">
        <v>224</v>
      </c>
      <c r="S31" s="22" t="s">
        <v>224</v>
      </c>
      <c r="T31" s="22" t="s">
        <v>34</v>
      </c>
      <c r="U31" s="22"/>
      <c r="V31" s="22" t="s">
        <v>351</v>
      </c>
      <c r="W31">
        <v>15</v>
      </c>
      <c r="X31">
        <v>1</v>
      </c>
      <c r="Z31" s="15" cm="1">
        <f t="array" ref="Z31">VALUE(LEFT(A31, MIN(IFERROR(FIND({"o","p"}, A31), LEN(A31)+1))-1))</f>
        <v>15</v>
      </c>
    </row>
    <row r="32" spans="1:26">
      <c r="A32" t="s">
        <v>78</v>
      </c>
      <c r="B32" s="22"/>
      <c r="C32" s="22">
        <v>64</v>
      </c>
      <c r="D32" s="22" t="s">
        <v>151</v>
      </c>
      <c r="E32" s="22" t="s">
        <v>293</v>
      </c>
      <c r="F32" s="22" t="s">
        <v>294</v>
      </c>
      <c r="G32" s="22"/>
      <c r="H32" s="22"/>
      <c r="I32" s="22"/>
      <c r="J32" s="22"/>
      <c r="K32" s="22"/>
      <c r="L32" s="22" t="s">
        <v>37</v>
      </c>
      <c r="M32" s="22"/>
      <c r="N32" s="22"/>
      <c r="O32" s="22">
        <v>1</v>
      </c>
      <c r="P32" s="22" t="s">
        <v>34</v>
      </c>
      <c r="Q32" s="22"/>
      <c r="R32" s="22"/>
      <c r="S32" s="22"/>
      <c r="T32" s="22"/>
      <c r="U32" s="22"/>
      <c r="V32" s="22"/>
      <c r="W32">
        <v>15</v>
      </c>
      <c r="X32">
        <v>2</v>
      </c>
      <c r="Z32" s="15" cm="1">
        <f t="array" ref="Z32">VALUE(LEFT(A32, MIN(IFERROR(FIND({"o","p"}, A32), LEN(A32)+1))-1))</f>
        <v>15</v>
      </c>
    </row>
    <row r="33" spans="1:26">
      <c r="A33" t="s">
        <v>79</v>
      </c>
      <c r="B33" s="24">
        <v>45537</v>
      </c>
      <c r="C33" s="22"/>
      <c r="D33" s="22" t="s">
        <v>231</v>
      </c>
      <c r="E33" s="22"/>
      <c r="F33" s="22"/>
      <c r="G33" s="22" t="s">
        <v>270</v>
      </c>
      <c r="H33" s="22"/>
      <c r="I33" s="22">
        <v>4</v>
      </c>
      <c r="J33" s="22">
        <v>2</v>
      </c>
      <c r="K33" s="22"/>
      <c r="L33" s="22" t="s">
        <v>196</v>
      </c>
      <c r="M33" s="22"/>
      <c r="N33" s="22" t="s">
        <v>352</v>
      </c>
      <c r="O33" s="22">
        <v>2</v>
      </c>
      <c r="P33" s="22" t="s">
        <v>278</v>
      </c>
      <c r="Q33" s="22"/>
      <c r="R33" s="22" t="s">
        <v>34</v>
      </c>
      <c r="S33" s="22" t="s">
        <v>174</v>
      </c>
      <c r="T33" s="22"/>
      <c r="U33" s="22"/>
      <c r="V33" s="22" t="s">
        <v>353</v>
      </c>
      <c r="W33">
        <v>16</v>
      </c>
      <c r="X33">
        <v>1</v>
      </c>
      <c r="Z33" s="15" cm="1">
        <f t="array" ref="Z33">VALUE(LEFT(A33, MIN(IFERROR(FIND({"o","p"}, A33), LEN(A33)+1))-1))</f>
        <v>16</v>
      </c>
    </row>
    <row r="34" spans="1:26">
      <c r="A34" t="s">
        <v>80</v>
      </c>
      <c r="B34" s="22" t="s">
        <v>354</v>
      </c>
      <c r="C34" s="22">
        <v>43</v>
      </c>
      <c r="D34" s="22" t="s">
        <v>162</v>
      </c>
      <c r="E34" s="22" t="s">
        <v>293</v>
      </c>
      <c r="F34" s="22"/>
      <c r="G34" s="22" t="s">
        <v>270</v>
      </c>
      <c r="H34" s="22"/>
      <c r="I34" s="22">
        <v>24</v>
      </c>
      <c r="J34" s="22">
        <v>1</v>
      </c>
      <c r="K34" s="22"/>
      <c r="L34" s="22" t="s">
        <v>37</v>
      </c>
      <c r="M34" s="22"/>
      <c r="N34" s="22" t="s">
        <v>355</v>
      </c>
      <c r="O34" s="22">
        <v>1</v>
      </c>
      <c r="P34" s="22" t="s">
        <v>34</v>
      </c>
      <c r="Q34" s="22" t="s">
        <v>356</v>
      </c>
      <c r="R34" s="22"/>
      <c r="S34" s="22" t="s">
        <v>34</v>
      </c>
      <c r="T34" s="22"/>
      <c r="U34" s="22"/>
      <c r="V34" s="22"/>
      <c r="W34">
        <v>16</v>
      </c>
      <c r="X34">
        <v>2</v>
      </c>
      <c r="Z34" s="15" cm="1">
        <f t="array" ref="Z34">VALUE(LEFT(A34, MIN(IFERROR(FIND({"o","p"}, A34), LEN(A34)+1))-1))</f>
        <v>16</v>
      </c>
    </row>
    <row r="35" spans="1:26">
      <c r="A35" t="s">
        <v>81</v>
      </c>
      <c r="B35" s="22" t="s">
        <v>357</v>
      </c>
      <c r="C35" s="22">
        <v>49</v>
      </c>
      <c r="D35" s="22" t="s">
        <v>230</v>
      </c>
      <c r="E35" s="22" t="s">
        <v>240</v>
      </c>
      <c r="F35" s="22"/>
      <c r="G35" s="22" t="s">
        <v>279</v>
      </c>
      <c r="H35" s="22"/>
      <c r="I35" s="22">
        <v>21</v>
      </c>
      <c r="J35" s="22">
        <v>5</v>
      </c>
      <c r="K35" s="22">
        <v>8</v>
      </c>
      <c r="L35" s="22" t="s">
        <v>196</v>
      </c>
      <c r="M35" s="22"/>
      <c r="N35" s="22" t="s">
        <v>71</v>
      </c>
      <c r="O35" s="22">
        <v>1</v>
      </c>
      <c r="P35" s="22" t="s">
        <v>174</v>
      </c>
      <c r="Q35" s="22"/>
      <c r="R35" s="22" t="s">
        <v>358</v>
      </c>
      <c r="S35" s="22" t="s">
        <v>174</v>
      </c>
      <c r="T35" s="22"/>
      <c r="U35" s="22"/>
      <c r="V35" s="22" t="s">
        <v>359</v>
      </c>
      <c r="W35">
        <v>17</v>
      </c>
      <c r="X35">
        <v>1</v>
      </c>
      <c r="Z35" s="15" cm="1">
        <f t="array" ref="Z35">VALUE(LEFT(A35, MIN(IFERROR(FIND({"o","p"}, A35), LEN(A35)+1))-1))</f>
        <v>17</v>
      </c>
    </row>
    <row r="36" spans="1:26">
      <c r="A36" t="s">
        <v>83</v>
      </c>
      <c r="B36" s="22" t="s">
        <v>307</v>
      </c>
      <c r="C36" s="22">
        <v>49</v>
      </c>
      <c r="D36" s="22" t="s">
        <v>157</v>
      </c>
      <c r="E36" s="22" t="s">
        <v>164</v>
      </c>
      <c r="F36" s="22" t="s">
        <v>307</v>
      </c>
      <c r="G36" s="22" t="s">
        <v>279</v>
      </c>
      <c r="H36" s="22" t="s">
        <v>307</v>
      </c>
      <c r="I36" s="22" t="s">
        <v>307</v>
      </c>
      <c r="J36" s="22">
        <v>1</v>
      </c>
      <c r="K36" s="22" t="s">
        <v>307</v>
      </c>
      <c r="L36" s="22" t="s">
        <v>307</v>
      </c>
      <c r="M36" s="22" t="s">
        <v>307</v>
      </c>
      <c r="N36" s="22" t="s">
        <v>195</v>
      </c>
      <c r="O36" s="22">
        <v>1</v>
      </c>
      <c r="P36" s="22" t="s">
        <v>307</v>
      </c>
      <c r="Q36" s="22" t="s">
        <v>307</v>
      </c>
      <c r="R36" s="22" t="s">
        <v>307</v>
      </c>
      <c r="S36" s="22" t="s">
        <v>307</v>
      </c>
      <c r="T36" s="22" t="s">
        <v>307</v>
      </c>
      <c r="U36" s="22" t="s">
        <v>307</v>
      </c>
      <c r="V36" s="22" t="s">
        <v>307</v>
      </c>
      <c r="W36">
        <v>17</v>
      </c>
      <c r="X36">
        <v>2</v>
      </c>
      <c r="Z36" s="15" cm="1">
        <f t="array" ref="Z36">VALUE(LEFT(A36, MIN(IFERROR(FIND({"o","p"}, A36), LEN(A36)+1))-1))</f>
        <v>17</v>
      </c>
    </row>
    <row r="37" spans="1:26">
      <c r="A37" t="s">
        <v>84</v>
      </c>
      <c r="B37" s="24">
        <v>45385</v>
      </c>
      <c r="C37" s="22">
        <v>55</v>
      </c>
      <c r="D37" s="22" t="s">
        <v>242</v>
      </c>
      <c r="E37" s="22" t="s">
        <v>234</v>
      </c>
      <c r="F37" s="22"/>
      <c r="G37" s="22" t="s">
        <v>270</v>
      </c>
      <c r="H37" s="22"/>
      <c r="I37" s="22">
        <v>4</v>
      </c>
      <c r="J37" s="22">
        <v>4</v>
      </c>
      <c r="K37" s="22"/>
      <c r="L37" s="22" t="s">
        <v>196</v>
      </c>
      <c r="M37" s="22"/>
      <c r="N37" s="22" t="s">
        <v>39</v>
      </c>
      <c r="O37" s="22">
        <v>1</v>
      </c>
      <c r="P37" s="22" t="s">
        <v>34</v>
      </c>
      <c r="Q37" s="22" t="s">
        <v>345</v>
      </c>
      <c r="R37" s="22" t="s">
        <v>360</v>
      </c>
      <c r="S37" s="22" t="s">
        <v>34</v>
      </c>
      <c r="T37" s="22"/>
      <c r="U37" s="22"/>
      <c r="V37" s="22" t="s">
        <v>361</v>
      </c>
      <c r="W37">
        <v>18</v>
      </c>
      <c r="X37">
        <v>1</v>
      </c>
      <c r="Z37" s="15" cm="1">
        <f t="array" ref="Z37">VALUE(LEFT(A37, MIN(IFERROR(FIND({"o","p"}, A37), LEN(A37)+1))-1))</f>
        <v>18</v>
      </c>
    </row>
    <row r="38" spans="1:26">
      <c r="A38" t="s">
        <v>85</v>
      </c>
      <c r="B38" s="22"/>
      <c r="C38" s="22">
        <v>55</v>
      </c>
      <c r="D38" s="22" t="s">
        <v>162</v>
      </c>
      <c r="E38" s="22" t="s">
        <v>164</v>
      </c>
      <c r="F38" s="22"/>
      <c r="G38" s="22" t="s">
        <v>362</v>
      </c>
      <c r="H38" s="22"/>
      <c r="I38" s="22">
        <v>12</v>
      </c>
      <c r="J38" s="22">
        <v>1</v>
      </c>
      <c r="K38" s="22" t="s">
        <v>307</v>
      </c>
      <c r="L38" s="22" t="s">
        <v>316</v>
      </c>
      <c r="M38" s="22"/>
      <c r="N38" s="22" t="s">
        <v>363</v>
      </c>
      <c r="O38" s="22">
        <v>1</v>
      </c>
      <c r="P38" s="22" t="s">
        <v>34</v>
      </c>
      <c r="Q38" s="22" t="s">
        <v>364</v>
      </c>
      <c r="R38" s="22" t="s">
        <v>34</v>
      </c>
      <c r="S38" s="22" t="s">
        <v>34</v>
      </c>
      <c r="T38" s="22"/>
      <c r="U38" s="22"/>
      <c r="V38" s="22"/>
      <c r="W38">
        <v>18</v>
      </c>
      <c r="X38">
        <v>2</v>
      </c>
      <c r="Z38" s="15" cm="1">
        <f t="array" ref="Z38">VALUE(LEFT(A38, MIN(IFERROR(FIND({"o","p"}, A38), LEN(A38)+1))-1))</f>
        <v>18</v>
      </c>
    </row>
    <row r="39" spans="1:26">
      <c r="A39" t="s">
        <v>86</v>
      </c>
      <c r="B39" s="22" t="s">
        <v>357</v>
      </c>
      <c r="C39" s="22">
        <v>23</v>
      </c>
      <c r="D39" s="22"/>
      <c r="E39" s="22"/>
      <c r="F39" s="22"/>
      <c r="G39" s="22"/>
      <c r="H39" s="22"/>
      <c r="I39" s="22">
        <v>1</v>
      </c>
      <c r="J39" s="22">
        <v>0</v>
      </c>
      <c r="K39" s="22"/>
      <c r="L39" s="22" t="s">
        <v>173</v>
      </c>
      <c r="M39" s="22" t="s">
        <v>186</v>
      </c>
      <c r="N39" s="22" t="s">
        <v>197</v>
      </c>
      <c r="O39" s="22">
        <v>1</v>
      </c>
      <c r="P39" s="22" t="s">
        <v>174</v>
      </c>
      <c r="Q39" s="22"/>
      <c r="R39" s="22" t="s">
        <v>174</v>
      </c>
      <c r="S39" s="22" t="s">
        <v>174</v>
      </c>
      <c r="T39" s="22"/>
      <c r="U39" s="22"/>
      <c r="V39" s="22" t="s">
        <v>365</v>
      </c>
      <c r="W39">
        <v>19</v>
      </c>
      <c r="X39">
        <v>1</v>
      </c>
      <c r="Z39" s="15" cm="1">
        <f t="array" ref="Z39">VALUE(LEFT(A39, MIN(IFERROR(FIND({"o","p"}, A39), LEN(A39)+1))-1))</f>
        <v>19</v>
      </c>
    </row>
    <row r="40" spans="1:26">
      <c r="A40" t="s">
        <v>87</v>
      </c>
      <c r="B40" s="22"/>
      <c r="C40" s="22">
        <v>23</v>
      </c>
      <c r="D40" s="22"/>
      <c r="E40" s="22"/>
      <c r="F40" s="22"/>
      <c r="G40" s="22"/>
      <c r="H40" s="22"/>
      <c r="I40" s="22">
        <v>1</v>
      </c>
      <c r="J40" s="22"/>
      <c r="K40" s="22"/>
      <c r="L40" s="22" t="s">
        <v>179</v>
      </c>
      <c r="M40" s="22"/>
      <c r="N40" s="22" t="s">
        <v>366</v>
      </c>
      <c r="O40" s="22">
        <v>1</v>
      </c>
      <c r="P40" s="22"/>
      <c r="Q40" s="22"/>
      <c r="R40" s="22"/>
      <c r="S40" s="22"/>
      <c r="T40" s="22"/>
      <c r="U40" s="22"/>
      <c r="V40" s="22"/>
      <c r="W40">
        <v>19</v>
      </c>
      <c r="X40">
        <v>2</v>
      </c>
      <c r="Z40" s="15" cm="1">
        <f t="array" ref="Z40">VALUE(LEFT(A40, MIN(IFERROR(FIND({"o","p"}, A40), LEN(A40)+1))-1))</f>
        <v>19</v>
      </c>
    </row>
    <row r="41" spans="1:26">
      <c r="A41" t="s">
        <v>88</v>
      </c>
      <c r="B41" s="22" t="s">
        <v>232</v>
      </c>
      <c r="C41" s="22">
        <v>61</v>
      </c>
      <c r="D41" s="22" t="s">
        <v>367</v>
      </c>
      <c r="E41" s="22" t="s">
        <v>368</v>
      </c>
      <c r="F41" s="22"/>
      <c r="G41" s="22" t="s">
        <v>180</v>
      </c>
      <c r="H41" s="22"/>
      <c r="I41" s="22">
        <v>4</v>
      </c>
      <c r="J41" s="22">
        <v>3</v>
      </c>
      <c r="K41" s="22"/>
      <c r="L41" s="22" t="s">
        <v>173</v>
      </c>
      <c r="M41" s="22"/>
      <c r="N41" s="22" t="s">
        <v>369</v>
      </c>
      <c r="O41" s="22">
        <v>2</v>
      </c>
      <c r="P41" s="22" t="s">
        <v>34</v>
      </c>
      <c r="Q41" s="22" t="s">
        <v>178</v>
      </c>
      <c r="R41" s="22"/>
      <c r="S41" s="22" t="s">
        <v>34</v>
      </c>
      <c r="T41" s="22"/>
      <c r="U41" s="22"/>
      <c r="V41" s="22" t="s">
        <v>370</v>
      </c>
      <c r="W41">
        <v>20</v>
      </c>
      <c r="X41">
        <v>1</v>
      </c>
      <c r="Z41" s="15" cm="1">
        <f t="array" ref="Z41">VALUE(LEFT(A41, MIN(IFERROR(FIND({"o","p"}, A41), LEN(A41)+1))-1))</f>
        <v>20</v>
      </c>
    </row>
    <row r="42" spans="1:26">
      <c r="A42" t="s">
        <v>89</v>
      </c>
      <c r="B42" s="22"/>
      <c r="C42" s="22">
        <v>61</v>
      </c>
      <c r="D42" s="22" t="s">
        <v>162</v>
      </c>
      <c r="E42" s="22" t="s">
        <v>164</v>
      </c>
      <c r="F42" s="22"/>
      <c r="G42" s="22" t="s">
        <v>180</v>
      </c>
      <c r="H42" s="22"/>
      <c r="I42" s="22">
        <v>2</v>
      </c>
      <c r="J42" s="22">
        <v>1</v>
      </c>
      <c r="K42" s="22"/>
      <c r="L42" s="22" t="s">
        <v>194</v>
      </c>
      <c r="M42" s="22"/>
      <c r="N42" s="22" t="s">
        <v>371</v>
      </c>
      <c r="O42" s="22">
        <v>1</v>
      </c>
      <c r="P42" s="22" t="s">
        <v>34</v>
      </c>
      <c r="Q42" s="22"/>
      <c r="R42" s="22"/>
      <c r="S42" s="22"/>
      <c r="T42" s="22"/>
      <c r="U42" s="22"/>
      <c r="V42" s="22"/>
      <c r="W42">
        <v>20</v>
      </c>
      <c r="X42">
        <v>2</v>
      </c>
      <c r="Z42" s="15" cm="1">
        <f t="array" ref="Z42">VALUE(LEFT(A42, MIN(IFERROR(FIND({"o","p"}, A42), LEN(A42)+1))-1))</f>
        <v>20</v>
      </c>
    </row>
    <row r="43" spans="1:26">
      <c r="A43" t="s">
        <v>90</v>
      </c>
      <c r="B43" s="24">
        <v>45413</v>
      </c>
      <c r="C43" s="22">
        <v>51</v>
      </c>
      <c r="D43" s="22" t="s">
        <v>157</v>
      </c>
      <c r="E43" s="22" t="s">
        <v>164</v>
      </c>
      <c r="F43" s="22" t="s">
        <v>166</v>
      </c>
      <c r="G43" s="22" t="s">
        <v>270</v>
      </c>
      <c r="H43" s="22"/>
      <c r="I43" s="22">
        <v>7</v>
      </c>
      <c r="J43" s="22">
        <v>4</v>
      </c>
      <c r="K43" s="22" t="s">
        <v>307</v>
      </c>
      <c r="L43" s="22" t="s">
        <v>280</v>
      </c>
      <c r="M43" s="22"/>
      <c r="N43" s="22" t="s">
        <v>372</v>
      </c>
      <c r="O43" s="22">
        <v>1</v>
      </c>
      <c r="P43" s="22" t="s">
        <v>34</v>
      </c>
      <c r="Q43" s="22" t="s">
        <v>356</v>
      </c>
      <c r="R43" s="22" t="s">
        <v>307</v>
      </c>
      <c r="S43" s="22" t="s">
        <v>34</v>
      </c>
      <c r="T43" s="22" t="s">
        <v>307</v>
      </c>
      <c r="U43" s="22"/>
      <c r="V43" s="22" t="s">
        <v>373</v>
      </c>
      <c r="W43">
        <v>21</v>
      </c>
      <c r="X43">
        <v>1</v>
      </c>
      <c r="Z43" s="15" cm="1">
        <f t="array" ref="Z43">VALUE(LEFT(A43, MIN(IFERROR(FIND({"o","p"}, A43), LEN(A43)+1))-1))</f>
        <v>21</v>
      </c>
    </row>
    <row r="44" spans="1:26">
      <c r="A44" t="s">
        <v>91</v>
      </c>
      <c r="B44" s="22"/>
      <c r="C44" s="22">
        <v>51</v>
      </c>
      <c r="D44" s="22"/>
      <c r="E44" s="22"/>
      <c r="F44" s="22"/>
      <c r="G44" s="22"/>
      <c r="H44" s="22"/>
      <c r="I44" s="22">
        <v>1</v>
      </c>
      <c r="J44" s="22">
        <v>0</v>
      </c>
      <c r="K44" s="22"/>
      <c r="L44" s="22" t="s">
        <v>210</v>
      </c>
      <c r="M44" s="22"/>
      <c r="N44" s="22" t="s">
        <v>198</v>
      </c>
      <c r="O44" s="22">
        <v>1</v>
      </c>
      <c r="P44" s="22" t="s">
        <v>34</v>
      </c>
      <c r="Q44" s="22"/>
      <c r="R44" s="22"/>
      <c r="S44" s="22"/>
      <c r="T44" s="22"/>
      <c r="U44" s="22"/>
      <c r="V44" s="22"/>
      <c r="W44">
        <v>21</v>
      </c>
      <c r="X44">
        <v>2</v>
      </c>
      <c r="Z44" s="15" cm="1">
        <f t="array" ref="Z44">VALUE(LEFT(A44, MIN(IFERROR(FIND({"o","p"}, A44), LEN(A44)+1))-1))</f>
        <v>21</v>
      </c>
    </row>
    <row r="45" spans="1:26">
      <c r="A45" t="s">
        <v>92</v>
      </c>
      <c r="B45" s="24">
        <v>45505</v>
      </c>
      <c r="C45" s="22">
        <v>50</v>
      </c>
      <c r="D45" s="22" t="s">
        <v>233</v>
      </c>
      <c r="E45" s="22"/>
      <c r="F45" s="22"/>
      <c r="G45" s="22"/>
      <c r="H45" s="22"/>
      <c r="I45" s="22">
        <v>1</v>
      </c>
      <c r="J45" s="22">
        <v>0</v>
      </c>
      <c r="K45" s="22"/>
      <c r="L45" s="22" t="s">
        <v>196</v>
      </c>
      <c r="M45" s="22"/>
      <c r="N45" s="22" t="s">
        <v>199</v>
      </c>
      <c r="O45" s="22">
        <v>1</v>
      </c>
      <c r="P45" s="22" t="s">
        <v>174</v>
      </c>
      <c r="Q45" s="22"/>
      <c r="R45" s="22" t="s">
        <v>374</v>
      </c>
      <c r="S45" s="22" t="s">
        <v>174</v>
      </c>
      <c r="T45" s="22"/>
      <c r="U45" s="22"/>
      <c r="V45" s="22" t="s">
        <v>375</v>
      </c>
      <c r="W45">
        <v>22</v>
      </c>
      <c r="X45">
        <v>1</v>
      </c>
      <c r="Z45" s="15" cm="1">
        <f t="array" ref="Z45">VALUE(LEFT(A45, MIN(IFERROR(FIND({"o","p"}, A45), LEN(A45)+1))-1))</f>
        <v>22</v>
      </c>
    </row>
    <row r="46" spans="1:26">
      <c r="A46" t="s">
        <v>93</v>
      </c>
      <c r="B46" s="22" t="s">
        <v>307</v>
      </c>
      <c r="C46" s="22">
        <v>50</v>
      </c>
      <c r="D46" s="22" t="s">
        <v>157</v>
      </c>
      <c r="E46" s="22" t="s">
        <v>163</v>
      </c>
      <c r="F46" s="22" t="s">
        <v>166</v>
      </c>
      <c r="G46" s="22"/>
      <c r="H46" s="22"/>
      <c r="I46" s="22">
        <v>1</v>
      </c>
      <c r="J46" s="22">
        <v>0</v>
      </c>
      <c r="K46" s="22"/>
      <c r="L46" s="22" t="s">
        <v>37</v>
      </c>
      <c r="M46" s="22"/>
      <c r="N46" s="22" t="s">
        <v>200</v>
      </c>
      <c r="O46" s="22">
        <v>1</v>
      </c>
      <c r="P46" s="22" t="s">
        <v>307</v>
      </c>
      <c r="Q46" s="22" t="s">
        <v>307</v>
      </c>
      <c r="R46" s="22" t="s">
        <v>307</v>
      </c>
      <c r="S46" s="22" t="s">
        <v>307</v>
      </c>
      <c r="T46" s="22" t="s">
        <v>307</v>
      </c>
      <c r="U46" s="22"/>
      <c r="V46" s="22" t="s">
        <v>307</v>
      </c>
      <c r="W46">
        <v>22</v>
      </c>
      <c r="X46">
        <v>2</v>
      </c>
      <c r="Z46" s="15" cm="1">
        <f t="array" ref="Z46">VALUE(LEFT(A46, MIN(IFERROR(FIND({"o","p"}, A46), LEN(A46)+1))-1))</f>
        <v>22</v>
      </c>
    </row>
    <row r="47" spans="1:26">
      <c r="A47" t="s">
        <v>94</v>
      </c>
      <c r="B47" s="24">
        <v>45413</v>
      </c>
      <c r="C47" s="22">
        <v>61</v>
      </c>
      <c r="D47" s="22" t="s">
        <v>157</v>
      </c>
      <c r="E47" s="22" t="s">
        <v>163</v>
      </c>
      <c r="F47" s="22"/>
      <c r="G47" s="22"/>
      <c r="H47" s="22"/>
      <c r="I47" s="22">
        <v>1</v>
      </c>
      <c r="J47" s="22">
        <v>0</v>
      </c>
      <c r="K47" s="22"/>
      <c r="L47" s="22" t="s">
        <v>173</v>
      </c>
      <c r="M47" s="22" t="s">
        <v>33</v>
      </c>
      <c r="N47" s="22" t="s">
        <v>376</v>
      </c>
      <c r="O47" s="22">
        <v>2</v>
      </c>
      <c r="P47" s="22"/>
      <c r="Q47" s="22"/>
      <c r="R47" s="22"/>
      <c r="S47" s="22" t="s">
        <v>34</v>
      </c>
      <c r="T47" s="22"/>
      <c r="U47" s="22"/>
      <c r="V47" s="22" t="s">
        <v>377</v>
      </c>
      <c r="W47">
        <v>23</v>
      </c>
      <c r="X47">
        <v>1</v>
      </c>
      <c r="Z47" s="15" cm="1">
        <f t="array" ref="Z47">VALUE(LEFT(A47, MIN(IFERROR(FIND({"o","p"}, A47), LEN(A47)+1))-1))</f>
        <v>23</v>
      </c>
    </row>
    <row r="48" spans="1:26">
      <c r="A48" t="s">
        <v>95</v>
      </c>
      <c r="B48" s="22"/>
      <c r="C48" s="22">
        <v>61</v>
      </c>
      <c r="D48" s="22"/>
      <c r="E48" s="22"/>
      <c r="F48" s="22"/>
      <c r="G48" s="22"/>
      <c r="H48" s="22"/>
      <c r="I48" s="22"/>
      <c r="J48" s="22"/>
      <c r="K48" s="22"/>
      <c r="L48" s="22" t="s">
        <v>284</v>
      </c>
      <c r="M48" s="22"/>
      <c r="N48" s="22" t="s">
        <v>201</v>
      </c>
      <c r="O48" s="22">
        <v>1</v>
      </c>
      <c r="P48" s="22" t="s">
        <v>307</v>
      </c>
      <c r="Q48" s="22" t="s">
        <v>307</v>
      </c>
      <c r="R48" s="22" t="s">
        <v>307</v>
      </c>
      <c r="S48" s="22" t="s">
        <v>307</v>
      </c>
      <c r="T48" s="22" t="s">
        <v>307</v>
      </c>
      <c r="U48" s="22"/>
      <c r="V48" s="22" t="s">
        <v>307</v>
      </c>
      <c r="W48">
        <v>23</v>
      </c>
      <c r="X48">
        <v>2</v>
      </c>
      <c r="Z48" s="15" cm="1">
        <f t="array" ref="Z48">VALUE(LEFT(A48, MIN(IFERROR(FIND({"o","p"}, A48), LEN(A48)+1))-1))</f>
        <v>23</v>
      </c>
    </row>
    <row r="49" spans="1:26">
      <c r="A49" t="s">
        <v>96</v>
      </c>
      <c r="B49" s="24">
        <v>45566</v>
      </c>
      <c r="C49" s="22">
        <v>55</v>
      </c>
      <c r="D49" s="22" t="s">
        <v>156</v>
      </c>
      <c r="E49" s="22"/>
      <c r="F49" s="22"/>
      <c r="G49" s="22" t="s">
        <v>378</v>
      </c>
      <c r="H49" s="22"/>
      <c r="I49" s="22">
        <v>15</v>
      </c>
      <c r="J49" s="22">
        <v>9</v>
      </c>
      <c r="K49" s="22" t="s">
        <v>281</v>
      </c>
      <c r="L49" s="22" t="s">
        <v>202</v>
      </c>
      <c r="M49" s="22"/>
      <c r="N49" s="22" t="s">
        <v>379</v>
      </c>
      <c r="O49" s="22">
        <v>2</v>
      </c>
      <c r="P49" s="22" t="s">
        <v>178</v>
      </c>
      <c r="Q49" s="22" t="s">
        <v>380</v>
      </c>
      <c r="R49" s="22" t="s">
        <v>282</v>
      </c>
      <c r="S49" s="22" t="s">
        <v>381</v>
      </c>
      <c r="T49" s="22"/>
      <c r="U49" s="22"/>
      <c r="V49" s="22" t="s">
        <v>204</v>
      </c>
      <c r="W49">
        <v>24</v>
      </c>
      <c r="X49">
        <v>1</v>
      </c>
      <c r="Z49" s="15" cm="1">
        <f t="array" ref="Z49">VALUE(LEFT(A49, MIN(IFERROR(FIND({"o","p"}, A49), LEN(A49)+1))-1))</f>
        <v>24</v>
      </c>
    </row>
    <row r="50" spans="1:26">
      <c r="A50" t="s">
        <v>97</v>
      </c>
      <c r="B50" s="22" t="s">
        <v>307</v>
      </c>
      <c r="C50" s="22">
        <v>55</v>
      </c>
      <c r="D50" s="22" t="s">
        <v>162</v>
      </c>
      <c r="E50" s="22" t="s">
        <v>164</v>
      </c>
      <c r="F50" s="22" t="s">
        <v>167</v>
      </c>
      <c r="G50" s="22" t="s">
        <v>382</v>
      </c>
      <c r="H50" s="22" t="s">
        <v>307</v>
      </c>
      <c r="I50" s="22" t="s">
        <v>307</v>
      </c>
      <c r="J50" s="22" t="s">
        <v>383</v>
      </c>
      <c r="K50" s="22" t="s">
        <v>168</v>
      </c>
      <c r="L50" s="22" t="s">
        <v>194</v>
      </c>
      <c r="M50" s="22" t="s">
        <v>307</v>
      </c>
      <c r="N50" s="22" t="s">
        <v>307</v>
      </c>
      <c r="O50" s="22" t="s">
        <v>384</v>
      </c>
      <c r="P50" s="22" t="s">
        <v>34</v>
      </c>
      <c r="Q50" s="22" t="s">
        <v>385</v>
      </c>
      <c r="R50" s="22" t="s">
        <v>307</v>
      </c>
      <c r="S50" s="22" t="s">
        <v>386</v>
      </c>
      <c r="T50" s="22" t="s">
        <v>307</v>
      </c>
      <c r="U50" s="22" t="s">
        <v>307</v>
      </c>
      <c r="V50" s="22" t="s">
        <v>307</v>
      </c>
      <c r="W50">
        <v>24</v>
      </c>
      <c r="X50">
        <v>2</v>
      </c>
      <c r="Z50" s="15" cm="1">
        <f t="array" ref="Z50">VALUE(LEFT(A50, MIN(IFERROR(FIND({"o","p"}, A50), LEN(A50)+1))-1))</f>
        <v>24</v>
      </c>
    </row>
    <row r="51" spans="1:26">
      <c r="A51" t="s">
        <v>98</v>
      </c>
      <c r="B51" s="22" t="s">
        <v>387</v>
      </c>
      <c r="C51" s="22">
        <v>42</v>
      </c>
      <c r="D51" s="22" t="s">
        <v>159</v>
      </c>
      <c r="E51" s="22"/>
      <c r="F51" s="22"/>
      <c r="G51" s="22"/>
      <c r="H51" s="22"/>
      <c r="I51" s="22">
        <v>2</v>
      </c>
      <c r="J51" s="22">
        <v>1</v>
      </c>
      <c r="K51" s="22"/>
      <c r="L51" s="22" t="s">
        <v>202</v>
      </c>
      <c r="M51" s="22"/>
      <c r="N51" s="22" t="s">
        <v>388</v>
      </c>
      <c r="O51" s="22">
        <v>1</v>
      </c>
      <c r="P51" s="22" t="s">
        <v>203</v>
      </c>
      <c r="Q51" s="22"/>
      <c r="R51" s="22" t="s">
        <v>203</v>
      </c>
      <c r="S51" s="22" t="s">
        <v>203</v>
      </c>
      <c r="T51" s="22"/>
      <c r="U51" s="22"/>
      <c r="V51" s="22" t="s">
        <v>389</v>
      </c>
      <c r="W51">
        <v>25</v>
      </c>
      <c r="X51">
        <v>1</v>
      </c>
      <c r="Z51" s="15" cm="1">
        <f t="array" ref="Z51">VALUE(LEFT(A51, MIN(IFERROR(FIND({"o","p"}, A51), LEN(A51)+1))-1))</f>
        <v>25</v>
      </c>
    </row>
    <row r="52" spans="1:26">
      <c r="A52" t="s">
        <v>99</v>
      </c>
      <c r="B52" s="22"/>
      <c r="C52" s="22">
        <v>42</v>
      </c>
      <c r="D52" s="22" t="s">
        <v>157</v>
      </c>
      <c r="E52" s="22"/>
      <c r="F52" s="22"/>
      <c r="G52" s="22"/>
      <c r="H52" s="22"/>
      <c r="I52" s="22">
        <v>1</v>
      </c>
      <c r="J52" s="22">
        <v>1</v>
      </c>
      <c r="K52" s="22" t="s">
        <v>100</v>
      </c>
      <c r="L52" s="22" t="s">
        <v>205</v>
      </c>
      <c r="M52" s="22"/>
      <c r="N52" s="22" t="s">
        <v>100</v>
      </c>
      <c r="O52" s="22">
        <v>1</v>
      </c>
      <c r="P52" s="22" t="s">
        <v>34</v>
      </c>
      <c r="Q52" s="22"/>
      <c r="R52" s="22"/>
      <c r="S52" s="22"/>
      <c r="T52" s="22"/>
      <c r="U52" s="22"/>
      <c r="V52" s="22"/>
      <c r="W52">
        <v>25</v>
      </c>
      <c r="X52">
        <v>2</v>
      </c>
      <c r="Z52" s="15" cm="1">
        <f t="array" ref="Z52">VALUE(LEFT(A52, MIN(IFERROR(FIND({"o","p"}, A52), LEN(A52)+1))-1))</f>
        <v>25</v>
      </c>
    </row>
    <row r="53" spans="1:26">
      <c r="A53" t="s">
        <v>101</v>
      </c>
      <c r="B53" s="22" t="s">
        <v>390</v>
      </c>
      <c r="C53" s="22">
        <v>73</v>
      </c>
      <c r="D53" s="22" t="s">
        <v>157</v>
      </c>
      <c r="E53" s="22"/>
      <c r="F53" s="22"/>
      <c r="G53" s="22"/>
      <c r="H53" s="22"/>
      <c r="I53" s="22">
        <v>1</v>
      </c>
      <c r="J53" s="22">
        <v>0</v>
      </c>
      <c r="K53" s="22"/>
      <c r="L53" s="22" t="s">
        <v>196</v>
      </c>
      <c r="M53" s="22"/>
      <c r="N53" s="22" t="s">
        <v>82</v>
      </c>
      <c r="O53" s="22">
        <v>1</v>
      </c>
      <c r="P53" s="22" t="s">
        <v>174</v>
      </c>
      <c r="Q53" s="22"/>
      <c r="R53" s="22" t="s">
        <v>391</v>
      </c>
      <c r="S53" s="22" t="s">
        <v>391</v>
      </c>
      <c r="T53" s="22"/>
      <c r="U53" s="22"/>
      <c r="V53" s="22" t="s">
        <v>392</v>
      </c>
      <c r="W53">
        <v>26</v>
      </c>
      <c r="X53">
        <v>1</v>
      </c>
      <c r="Z53" s="15" cm="1">
        <f t="array" ref="Z53">VALUE(LEFT(A53, MIN(IFERROR(FIND({"o","p"}, A53), LEN(A53)+1))-1))</f>
        <v>26</v>
      </c>
    </row>
    <row r="54" spans="1:26">
      <c r="A54" t="s">
        <v>102</v>
      </c>
      <c r="B54" s="22"/>
      <c r="C54" s="22">
        <v>73</v>
      </c>
      <c r="D54" s="22" t="s">
        <v>157</v>
      </c>
      <c r="E54" s="22"/>
      <c r="F54" s="22"/>
      <c r="G54" s="22" t="s">
        <v>270</v>
      </c>
      <c r="H54" s="22"/>
      <c r="I54" s="22"/>
      <c r="J54" s="22"/>
      <c r="K54" s="22"/>
      <c r="L54" s="22" t="s">
        <v>393</v>
      </c>
      <c r="M54" s="22"/>
      <c r="N54" s="22" t="s">
        <v>100</v>
      </c>
      <c r="O54" s="22">
        <v>1</v>
      </c>
      <c r="P54" s="22" t="s">
        <v>34</v>
      </c>
      <c r="Q54" s="22" t="s">
        <v>394</v>
      </c>
      <c r="R54" s="22"/>
      <c r="S54" s="22" t="s">
        <v>34</v>
      </c>
      <c r="T54" s="22"/>
      <c r="U54" s="22"/>
      <c r="V54" s="22"/>
      <c r="W54">
        <v>26</v>
      </c>
      <c r="X54">
        <v>2</v>
      </c>
      <c r="Z54" s="15" cm="1">
        <f t="array" ref="Z54">VALUE(LEFT(A54, MIN(IFERROR(FIND({"o","p"}, A54), LEN(A54)+1))-1))</f>
        <v>26</v>
      </c>
    </row>
    <row r="55" spans="1:26">
      <c r="A55" t="s">
        <v>103</v>
      </c>
      <c r="B55" s="22" t="s">
        <v>390</v>
      </c>
      <c r="C55" s="22">
        <v>39</v>
      </c>
      <c r="D55" s="22" t="s">
        <v>233</v>
      </c>
      <c r="E55" s="22"/>
      <c r="F55" s="22"/>
      <c r="G55" s="22" t="s">
        <v>395</v>
      </c>
      <c r="H55" s="22"/>
      <c r="I55" s="22">
        <v>11</v>
      </c>
      <c r="J55" s="22">
        <v>1</v>
      </c>
      <c r="K55" s="22"/>
      <c r="L55" s="22" t="s">
        <v>396</v>
      </c>
      <c r="M55" s="22"/>
      <c r="N55" s="22" t="s">
        <v>397</v>
      </c>
      <c r="O55" s="22">
        <v>2</v>
      </c>
      <c r="P55" s="22" t="s">
        <v>174</v>
      </c>
      <c r="Q55" s="22"/>
      <c r="R55" s="22" t="s">
        <v>398</v>
      </c>
      <c r="S55" s="22" t="s">
        <v>174</v>
      </c>
      <c r="T55" s="22"/>
      <c r="U55" s="22"/>
      <c r="V55" s="22" t="s">
        <v>399</v>
      </c>
      <c r="W55">
        <v>27</v>
      </c>
      <c r="X55">
        <v>1</v>
      </c>
      <c r="Z55" s="15" cm="1">
        <f t="array" ref="Z55">VALUE(LEFT(A55, MIN(IFERROR(FIND({"o","p"}, A55), LEN(A55)+1))-1))</f>
        <v>27</v>
      </c>
    </row>
    <row r="56" spans="1:26">
      <c r="A56" t="s">
        <v>104</v>
      </c>
      <c r="B56" s="22"/>
      <c r="C56" s="22">
        <v>39</v>
      </c>
      <c r="D56" s="22" t="s">
        <v>157</v>
      </c>
      <c r="E56" s="22"/>
      <c r="F56" s="22"/>
      <c r="G56" s="22"/>
      <c r="H56" s="22"/>
      <c r="I56" s="22">
        <v>1</v>
      </c>
      <c r="J56" s="22">
        <v>1</v>
      </c>
      <c r="K56" s="22" t="s">
        <v>184</v>
      </c>
      <c r="L56" s="22" t="s">
        <v>206</v>
      </c>
      <c r="M56" s="22"/>
      <c r="N56" s="22" t="s">
        <v>181</v>
      </c>
      <c r="O56" s="22">
        <v>1</v>
      </c>
      <c r="P56" s="22"/>
      <c r="Q56" s="22"/>
      <c r="R56" s="22"/>
      <c r="S56" s="22"/>
      <c r="T56" s="22"/>
      <c r="U56" s="22"/>
      <c r="V56" s="22"/>
      <c r="W56">
        <v>27</v>
      </c>
      <c r="X56">
        <v>2</v>
      </c>
      <c r="Z56" s="15" cm="1">
        <f t="array" ref="Z56">VALUE(LEFT(A56, MIN(IFERROR(FIND({"o","p"}, A56), LEN(A56)+1))-1))</f>
        <v>27</v>
      </c>
    </row>
    <row r="57" spans="1:26">
      <c r="A57" t="s">
        <v>105</v>
      </c>
      <c r="B57" s="22" t="s">
        <v>390</v>
      </c>
      <c r="C57" s="22">
        <v>57</v>
      </c>
      <c r="D57" s="22" t="s">
        <v>233</v>
      </c>
      <c r="E57" s="22"/>
      <c r="F57" s="22"/>
      <c r="G57" s="22" t="s">
        <v>395</v>
      </c>
      <c r="H57" s="22"/>
      <c r="I57" s="22">
        <v>5</v>
      </c>
      <c r="J57" s="22">
        <v>1</v>
      </c>
      <c r="K57" s="22" t="s">
        <v>106</v>
      </c>
      <c r="L57" s="22" t="s">
        <v>173</v>
      </c>
      <c r="M57" s="22"/>
      <c r="N57" s="22" t="s">
        <v>400</v>
      </c>
      <c r="O57" s="22">
        <v>2</v>
      </c>
      <c r="P57" s="22" t="s">
        <v>174</v>
      </c>
      <c r="Q57" s="22"/>
      <c r="R57" s="22" t="s">
        <v>174</v>
      </c>
      <c r="S57" s="22" t="s">
        <v>174</v>
      </c>
      <c r="T57" s="22"/>
      <c r="U57" s="22"/>
      <c r="V57" s="22" t="s">
        <v>401</v>
      </c>
      <c r="W57">
        <v>28</v>
      </c>
      <c r="X57">
        <v>1</v>
      </c>
      <c r="Z57" s="15" cm="1">
        <f t="array" ref="Z57">VALUE(LEFT(A57, MIN(IFERROR(FIND({"o","p"}, A57), LEN(A57)+1))-1))</f>
        <v>28</v>
      </c>
    </row>
    <row r="58" spans="1:26">
      <c r="A58" t="s">
        <v>107</v>
      </c>
      <c r="B58" s="22"/>
      <c r="C58" s="22">
        <v>57</v>
      </c>
      <c r="D58" s="22" t="s">
        <v>157</v>
      </c>
      <c r="E58" s="22"/>
      <c r="F58" s="22"/>
      <c r="G58" s="22"/>
      <c r="H58" s="22"/>
      <c r="I58" s="22">
        <v>1</v>
      </c>
      <c r="J58" s="22">
        <v>0</v>
      </c>
      <c r="K58" s="22"/>
      <c r="L58" s="22" t="s">
        <v>210</v>
      </c>
      <c r="M58" s="22"/>
      <c r="N58" s="22" t="s">
        <v>198</v>
      </c>
      <c r="O58" s="22">
        <v>1</v>
      </c>
      <c r="P58" s="22" t="s">
        <v>34</v>
      </c>
      <c r="Q58" s="22"/>
      <c r="R58" s="22"/>
      <c r="S58" s="22"/>
      <c r="T58" s="22"/>
      <c r="U58" s="22"/>
      <c r="V58" s="22"/>
      <c r="W58">
        <v>28</v>
      </c>
      <c r="X58">
        <v>2</v>
      </c>
      <c r="Z58" s="15" cm="1">
        <f t="array" ref="Z58">VALUE(LEFT(A58, MIN(IFERROR(FIND({"o","p"}, A58), LEN(A58)+1))-1))</f>
        <v>28</v>
      </c>
    </row>
    <row r="59" spans="1:26">
      <c r="A59" t="s">
        <v>108</v>
      </c>
      <c r="B59" s="24">
        <v>45242</v>
      </c>
      <c r="C59" s="22">
        <v>63</v>
      </c>
      <c r="D59" s="22" t="s">
        <v>233</v>
      </c>
      <c r="E59" s="22"/>
      <c r="F59" s="22"/>
      <c r="G59" s="22"/>
      <c r="H59" s="22"/>
      <c r="I59" s="22">
        <v>5</v>
      </c>
      <c r="J59" s="22">
        <v>0</v>
      </c>
      <c r="K59" s="22"/>
      <c r="L59" s="22" t="s">
        <v>196</v>
      </c>
      <c r="M59" s="22"/>
      <c r="N59" s="22" t="s">
        <v>207</v>
      </c>
      <c r="O59" s="22">
        <v>1</v>
      </c>
      <c r="P59" s="22" t="s">
        <v>174</v>
      </c>
      <c r="Q59" s="22"/>
      <c r="R59" s="22" t="s">
        <v>174</v>
      </c>
      <c r="S59" s="22" t="s">
        <v>174</v>
      </c>
      <c r="T59" s="22"/>
      <c r="U59" s="22"/>
      <c r="V59" s="22" t="s">
        <v>402</v>
      </c>
      <c r="W59">
        <v>29</v>
      </c>
      <c r="X59">
        <v>1</v>
      </c>
      <c r="Z59" s="15" cm="1">
        <f t="array" ref="Z59">VALUE(LEFT(A59, MIN(IFERROR(FIND({"o","p"}, A59), LEN(A59)+1))-1))</f>
        <v>29</v>
      </c>
    </row>
    <row r="60" spans="1:26">
      <c r="A60" t="s">
        <v>109</v>
      </c>
      <c r="B60" s="22"/>
      <c r="C60" s="22">
        <v>63</v>
      </c>
      <c r="D60" s="22" t="s">
        <v>157</v>
      </c>
      <c r="E60" s="22"/>
      <c r="F60" s="22"/>
      <c r="G60" s="22"/>
      <c r="H60" s="22"/>
      <c r="I60" s="22">
        <v>1</v>
      </c>
      <c r="J60" s="22">
        <v>0</v>
      </c>
      <c r="K60" s="22"/>
      <c r="L60" s="22" t="s">
        <v>37</v>
      </c>
      <c r="M60" s="22"/>
      <c r="N60" s="22" t="s">
        <v>198</v>
      </c>
      <c r="O60" s="22">
        <v>1</v>
      </c>
      <c r="P60" s="22" t="s">
        <v>307</v>
      </c>
      <c r="Q60" s="22" t="s">
        <v>307</v>
      </c>
      <c r="R60" s="22" t="s">
        <v>307</v>
      </c>
      <c r="S60" s="22" t="s">
        <v>307</v>
      </c>
      <c r="T60" s="22" t="s">
        <v>307</v>
      </c>
      <c r="U60" s="22"/>
      <c r="V60" s="22" t="s">
        <v>307</v>
      </c>
      <c r="W60">
        <v>29</v>
      </c>
      <c r="X60">
        <v>2</v>
      </c>
      <c r="Z60" s="15" cm="1">
        <f t="array" ref="Z60">VALUE(LEFT(A60, MIN(IFERROR(FIND({"o","p"}, A60), LEN(A60)+1))-1))</f>
        <v>29</v>
      </c>
    </row>
    <row r="61" spans="1:26">
      <c r="A61" t="s">
        <v>110</v>
      </c>
      <c r="B61" s="22" t="s">
        <v>403</v>
      </c>
      <c r="C61" s="22">
        <v>39</v>
      </c>
      <c r="D61" s="22" t="s">
        <v>230</v>
      </c>
      <c r="E61" s="22"/>
      <c r="F61" s="22"/>
      <c r="G61" s="22" t="s">
        <v>404</v>
      </c>
      <c r="H61" s="22"/>
      <c r="I61" s="22">
        <v>24</v>
      </c>
      <c r="J61" s="22">
        <v>3</v>
      </c>
      <c r="K61" s="22" t="s">
        <v>208</v>
      </c>
      <c r="L61" s="22" t="s">
        <v>173</v>
      </c>
      <c r="M61" s="22" t="s">
        <v>33</v>
      </c>
      <c r="N61" s="22" t="s">
        <v>405</v>
      </c>
      <c r="O61" s="22">
        <v>1</v>
      </c>
      <c r="P61" s="22" t="s">
        <v>174</v>
      </c>
      <c r="Q61" s="22"/>
      <c r="R61" s="22" t="s">
        <v>174</v>
      </c>
      <c r="S61" s="22" t="s">
        <v>174</v>
      </c>
      <c r="T61" s="22"/>
      <c r="U61" s="22"/>
      <c r="V61" s="22" t="s">
        <v>406</v>
      </c>
      <c r="W61">
        <v>30</v>
      </c>
      <c r="X61">
        <v>1</v>
      </c>
      <c r="Z61" s="15" cm="1">
        <f t="array" ref="Z61">VALUE(LEFT(A61, MIN(IFERROR(FIND({"o","p"}, A61), LEN(A61)+1))-1))</f>
        <v>30</v>
      </c>
    </row>
    <row r="62" spans="1:26">
      <c r="A62" t="s">
        <v>112</v>
      </c>
      <c r="B62" s="22"/>
      <c r="C62" s="22">
        <v>39</v>
      </c>
      <c r="D62" s="22" t="s">
        <v>157</v>
      </c>
      <c r="E62" s="22" t="s">
        <v>164</v>
      </c>
      <c r="F62" s="22"/>
      <c r="G62" s="22" t="s">
        <v>209</v>
      </c>
      <c r="H62" s="22"/>
      <c r="I62" s="22"/>
      <c r="J62" s="22">
        <v>1</v>
      </c>
      <c r="K62" s="22"/>
      <c r="L62" s="22" t="s">
        <v>194</v>
      </c>
      <c r="M62" s="22"/>
      <c r="N62" s="22" t="s">
        <v>407</v>
      </c>
      <c r="O62" s="22">
        <v>1</v>
      </c>
      <c r="P62" s="22" t="s">
        <v>34</v>
      </c>
      <c r="Q62" s="22"/>
      <c r="R62" s="22"/>
      <c r="S62" s="22" t="s">
        <v>408</v>
      </c>
      <c r="T62" s="22"/>
      <c r="U62" s="22"/>
      <c r="V62" s="22"/>
      <c r="W62">
        <v>30</v>
      </c>
      <c r="X62">
        <v>2</v>
      </c>
      <c r="Z62" s="15" cm="1">
        <f t="array" ref="Z62">VALUE(LEFT(A62, MIN(IFERROR(FIND({"o","p"}, A62), LEN(A62)+1))-1))</f>
        <v>30</v>
      </c>
    </row>
    <row r="63" spans="1:26">
      <c r="A63" t="s">
        <v>113</v>
      </c>
      <c r="B63" s="22" t="s">
        <v>243</v>
      </c>
      <c r="C63" s="22"/>
      <c r="D63" s="22" t="s">
        <v>162</v>
      </c>
      <c r="E63" s="22" t="s">
        <v>164</v>
      </c>
      <c r="F63" s="22" t="s">
        <v>167</v>
      </c>
      <c r="G63" s="22" t="s">
        <v>409</v>
      </c>
      <c r="H63" s="22"/>
      <c r="I63" s="22">
        <v>1</v>
      </c>
      <c r="J63" s="22">
        <v>1</v>
      </c>
      <c r="K63" s="22" t="s">
        <v>155</v>
      </c>
      <c r="L63" s="22" t="s">
        <v>32</v>
      </c>
      <c r="M63" s="22" t="s">
        <v>33</v>
      </c>
      <c r="N63" s="22" t="s">
        <v>410</v>
      </c>
      <c r="O63" s="22">
        <v>2</v>
      </c>
      <c r="P63" s="22" t="s">
        <v>34</v>
      </c>
      <c r="Q63" s="22" t="s">
        <v>411</v>
      </c>
      <c r="R63" s="22" t="s">
        <v>34</v>
      </c>
      <c r="S63" s="22" t="s">
        <v>34</v>
      </c>
      <c r="T63" s="22"/>
      <c r="U63" s="22"/>
      <c r="V63" s="22" t="s">
        <v>412</v>
      </c>
      <c r="W63">
        <v>31</v>
      </c>
      <c r="X63">
        <v>1</v>
      </c>
      <c r="Z63" s="15" cm="1">
        <f t="array" ref="Z63">VALUE(LEFT(A63, MIN(IFERROR(FIND({"o","p"}, A63), LEN(A63)+1))-1))</f>
        <v>31</v>
      </c>
    </row>
    <row r="64" spans="1:26">
      <c r="A64" t="s">
        <v>114</v>
      </c>
      <c r="B64" s="23">
        <v>43304</v>
      </c>
      <c r="C64" s="22">
        <v>60</v>
      </c>
      <c r="D64" s="22" t="s">
        <v>162</v>
      </c>
      <c r="E64" s="22"/>
      <c r="F64" s="22"/>
      <c r="G64" s="22"/>
      <c r="H64" s="22"/>
      <c r="I64" s="22"/>
      <c r="J64" s="22"/>
      <c r="K64" s="22"/>
      <c r="L64" s="22" t="s">
        <v>413</v>
      </c>
      <c r="M64" s="22"/>
      <c r="N64" s="22" t="s">
        <v>193</v>
      </c>
      <c r="O64" s="22">
        <v>1</v>
      </c>
      <c r="P64" s="22" t="s">
        <v>35</v>
      </c>
      <c r="Q64" s="22" t="s">
        <v>414</v>
      </c>
      <c r="R64" s="22" t="s">
        <v>35</v>
      </c>
      <c r="S64" s="22" t="s">
        <v>35</v>
      </c>
      <c r="T64" s="22"/>
      <c r="U64" s="22"/>
      <c r="V64" s="22"/>
      <c r="W64">
        <v>31</v>
      </c>
      <c r="X64">
        <v>2</v>
      </c>
      <c r="Z64" s="15" cm="1">
        <f t="array" ref="Z64">VALUE(LEFT(A64, MIN(IFERROR(FIND({"o","p"}, A64), LEN(A64)+1))-1))</f>
        <v>31</v>
      </c>
    </row>
    <row r="65" spans="1:26">
      <c r="A65" t="s">
        <v>115</v>
      </c>
      <c r="B65" s="24">
        <v>44837</v>
      </c>
      <c r="C65" s="22"/>
      <c r="D65" s="22" t="s">
        <v>162</v>
      </c>
      <c r="E65" s="22" t="s">
        <v>164</v>
      </c>
      <c r="F65" s="22" t="s">
        <v>294</v>
      </c>
      <c r="G65" s="22" t="s">
        <v>180</v>
      </c>
      <c r="H65" s="22"/>
      <c r="I65" s="22">
        <v>12</v>
      </c>
      <c r="J65" s="22">
        <v>4</v>
      </c>
      <c r="K65" s="22" t="s">
        <v>283</v>
      </c>
      <c r="L65" s="22" t="s">
        <v>189</v>
      </c>
      <c r="M65" s="22" t="s">
        <v>226</v>
      </c>
      <c r="N65" s="22" t="s">
        <v>283</v>
      </c>
      <c r="O65" s="22">
        <v>1</v>
      </c>
      <c r="P65" s="22" t="s">
        <v>34</v>
      </c>
      <c r="Q65" s="22" t="s">
        <v>227</v>
      </c>
      <c r="R65" s="22" t="s">
        <v>415</v>
      </c>
      <c r="S65" s="22" t="s">
        <v>416</v>
      </c>
      <c r="T65" s="22"/>
      <c r="U65" s="22"/>
      <c r="V65" s="22" t="s">
        <v>417</v>
      </c>
      <c r="W65">
        <v>32</v>
      </c>
      <c r="X65">
        <v>1</v>
      </c>
      <c r="Z65" s="15" cm="1">
        <f t="array" ref="Z65">VALUE(LEFT(A65, MIN(IFERROR(FIND({"o","p"}, A65), LEN(A65)+1))-1))</f>
        <v>32</v>
      </c>
    </row>
    <row r="66" spans="1:26">
      <c r="A66" t="s">
        <v>117</v>
      </c>
      <c r="B66" s="23">
        <v>44629</v>
      </c>
      <c r="C66" s="22">
        <v>72</v>
      </c>
      <c r="D66" s="22" t="s">
        <v>157</v>
      </c>
      <c r="E66" s="22"/>
      <c r="F66" s="22"/>
      <c r="G66" s="22" t="s">
        <v>180</v>
      </c>
      <c r="H66" s="22"/>
      <c r="I66" s="22"/>
      <c r="J66" s="22"/>
      <c r="K66" s="22"/>
      <c r="L66" s="22" t="s">
        <v>116</v>
      </c>
      <c r="M66" s="22"/>
      <c r="N66" s="22" t="s">
        <v>418</v>
      </c>
      <c r="O66" s="22">
        <v>1</v>
      </c>
      <c r="P66" s="22" t="s">
        <v>34</v>
      </c>
      <c r="Q66" s="22"/>
      <c r="R66" s="22"/>
      <c r="S66" s="22"/>
      <c r="T66" s="22"/>
      <c r="U66" s="22"/>
      <c r="V66" s="22"/>
      <c r="W66">
        <v>32</v>
      </c>
      <c r="X66">
        <v>2</v>
      </c>
      <c r="Z66" s="15" cm="1">
        <f t="array" ref="Z66">VALUE(LEFT(A66, MIN(IFERROR(FIND({"o","p"}, A66), LEN(A66)+1))-1))</f>
        <v>32</v>
      </c>
    </row>
    <row r="67" spans="1:26">
      <c r="A67" t="s">
        <v>118</v>
      </c>
      <c r="B67" s="22" t="s">
        <v>244</v>
      </c>
      <c r="C67" s="22"/>
      <c r="D67" s="22" t="s">
        <v>158</v>
      </c>
      <c r="E67" s="22"/>
      <c r="F67" s="22"/>
      <c r="G67" s="22"/>
      <c r="H67" s="22"/>
      <c r="I67" s="22" t="s">
        <v>419</v>
      </c>
      <c r="J67" s="22" t="s">
        <v>420</v>
      </c>
      <c r="K67" s="22"/>
      <c r="L67" s="22" t="s">
        <v>32</v>
      </c>
      <c r="M67" s="22"/>
      <c r="N67" s="22" t="s">
        <v>421</v>
      </c>
      <c r="O67" s="22" t="s">
        <v>420</v>
      </c>
      <c r="P67" s="22" t="s">
        <v>224</v>
      </c>
      <c r="Q67" s="22"/>
      <c r="R67" s="22" t="s">
        <v>224</v>
      </c>
      <c r="S67" s="22" t="s">
        <v>224</v>
      </c>
      <c r="T67" s="22"/>
      <c r="U67" s="22"/>
      <c r="V67" s="22" t="s">
        <v>422</v>
      </c>
      <c r="W67">
        <v>33</v>
      </c>
      <c r="X67">
        <v>1</v>
      </c>
      <c r="Z67" s="15" cm="1">
        <f t="array" ref="Z67">VALUE(LEFT(A67, MIN(IFERROR(FIND({"o","p"}, A67), LEN(A67)+1))-1))</f>
        <v>33</v>
      </c>
    </row>
    <row r="68" spans="1:26">
      <c r="A68" t="s">
        <v>119</v>
      </c>
      <c r="B68" s="23">
        <v>44517</v>
      </c>
      <c r="C68" s="22">
        <v>41</v>
      </c>
      <c r="D68" s="22"/>
      <c r="E68" s="22"/>
      <c r="F68" s="22" t="s">
        <v>167</v>
      </c>
      <c r="G68" s="22"/>
      <c r="H68" s="22" t="s">
        <v>285</v>
      </c>
      <c r="I68" s="22"/>
      <c r="J68" s="22"/>
      <c r="K68" s="22"/>
      <c r="L68" s="22" t="s">
        <v>194</v>
      </c>
      <c r="M68" s="22"/>
      <c r="N68" s="22" t="s">
        <v>423</v>
      </c>
      <c r="O68" s="22">
        <v>2</v>
      </c>
      <c r="P68" s="22" t="s">
        <v>34</v>
      </c>
      <c r="Q68" s="22"/>
      <c r="R68" s="22"/>
      <c r="S68" s="22"/>
      <c r="T68" s="22"/>
      <c r="U68" s="22"/>
      <c r="V68" s="22"/>
      <c r="W68">
        <v>33</v>
      </c>
      <c r="X68">
        <v>2</v>
      </c>
      <c r="Z68" s="15" cm="1">
        <f t="array" ref="Z68">VALUE(LEFT(A68, MIN(IFERROR(FIND({"o","p"}, A68), LEN(A68)+1))-1))</f>
        <v>33</v>
      </c>
    </row>
    <row r="69" spans="1:26">
      <c r="A69" t="s">
        <v>120</v>
      </c>
      <c r="B69" s="22" t="s">
        <v>245</v>
      </c>
      <c r="C69" s="22"/>
      <c r="D69" s="22" t="s">
        <v>242</v>
      </c>
      <c r="E69" s="22" t="s">
        <v>163</v>
      </c>
      <c r="F69" s="22" t="s">
        <v>294</v>
      </c>
      <c r="G69" s="22"/>
      <c r="H69" s="25" t="s">
        <v>228</v>
      </c>
      <c r="I69" s="22"/>
      <c r="J69" s="22"/>
      <c r="K69" s="22"/>
      <c r="L69" s="22" t="s">
        <v>173</v>
      </c>
      <c r="M69" s="22" t="s">
        <v>424</v>
      </c>
      <c r="N69" s="22" t="s">
        <v>211</v>
      </c>
      <c r="O69" s="22">
        <v>3</v>
      </c>
      <c r="P69" s="22" t="s">
        <v>425</v>
      </c>
      <c r="Q69" s="22"/>
      <c r="R69" s="22" t="s">
        <v>34</v>
      </c>
      <c r="S69" s="22" t="s">
        <v>426</v>
      </c>
      <c r="T69" s="22"/>
      <c r="U69" s="22"/>
      <c r="V69" s="22" t="s">
        <v>34</v>
      </c>
      <c r="W69">
        <v>34</v>
      </c>
      <c r="X69">
        <v>1</v>
      </c>
      <c r="Z69" s="15" cm="1">
        <f t="array" ref="Z69">VALUE(LEFT(A69, MIN(IFERROR(FIND({"o","p"}, A69), LEN(A69)+1))-1))</f>
        <v>34</v>
      </c>
    </row>
    <row r="70" spans="1:26">
      <c r="A70" t="s">
        <v>121</v>
      </c>
      <c r="B70" s="23">
        <v>44825</v>
      </c>
      <c r="C70" s="22">
        <v>63</v>
      </c>
      <c r="D70" s="22" t="s">
        <v>161</v>
      </c>
      <c r="E70" s="22"/>
      <c r="F70" s="22"/>
      <c r="G70" s="22"/>
      <c r="H70" s="22"/>
      <c r="I70" s="22"/>
      <c r="J70" s="22"/>
      <c r="K70" s="22"/>
      <c r="L70" s="22" t="s">
        <v>225</v>
      </c>
      <c r="M70" s="22"/>
      <c r="N70" s="22" t="s">
        <v>212</v>
      </c>
      <c r="O70" s="22">
        <v>1</v>
      </c>
      <c r="P70" s="22" t="s">
        <v>34</v>
      </c>
      <c r="Q70" s="22" t="s">
        <v>427</v>
      </c>
      <c r="R70" s="22"/>
      <c r="S70" s="22" t="s">
        <v>34</v>
      </c>
      <c r="T70" s="22"/>
      <c r="U70" s="22"/>
      <c r="V70" s="22"/>
      <c r="W70">
        <v>34</v>
      </c>
      <c r="X70">
        <v>2</v>
      </c>
      <c r="Z70" s="15" cm="1">
        <f t="array" ref="Z70">VALUE(LEFT(A70, MIN(IFERROR(FIND({"o","p"}, A70), LEN(A70)+1))-1))</f>
        <v>34</v>
      </c>
    </row>
    <row r="71" spans="1:26">
      <c r="A71" t="s">
        <v>122</v>
      </c>
      <c r="B71" s="24">
        <v>44508</v>
      </c>
      <c r="C71" s="22"/>
      <c r="D71" s="22" t="s">
        <v>162</v>
      </c>
      <c r="E71" s="22" t="s">
        <v>164</v>
      </c>
      <c r="F71" s="22" t="s">
        <v>294</v>
      </c>
      <c r="G71" s="22" t="s">
        <v>286</v>
      </c>
      <c r="H71" s="22"/>
      <c r="I71" s="22">
        <v>35</v>
      </c>
      <c r="J71" s="22">
        <v>7</v>
      </c>
      <c r="K71" s="22" t="s">
        <v>428</v>
      </c>
      <c r="L71" s="22" t="s">
        <v>173</v>
      </c>
      <c r="M71" s="22" t="s">
        <v>424</v>
      </c>
      <c r="N71" s="22" t="s">
        <v>428</v>
      </c>
      <c r="O71" s="22" t="s">
        <v>383</v>
      </c>
      <c r="P71" s="22" t="s">
        <v>34</v>
      </c>
      <c r="Q71" s="22" t="s">
        <v>429</v>
      </c>
      <c r="R71" s="22" t="s">
        <v>34</v>
      </c>
      <c r="S71" s="22" t="s">
        <v>34</v>
      </c>
      <c r="T71" s="22"/>
      <c r="U71" s="22"/>
      <c r="V71" s="22" t="s">
        <v>34</v>
      </c>
      <c r="W71">
        <v>35</v>
      </c>
      <c r="X71">
        <v>1</v>
      </c>
      <c r="Z71" s="15" cm="1">
        <f t="array" ref="Z71">VALUE(LEFT(A71, MIN(IFERROR(FIND({"o","p"}, A71), LEN(A71)+1))-1))</f>
        <v>35</v>
      </c>
    </row>
    <row r="72" spans="1:26">
      <c r="A72" t="s">
        <v>123</v>
      </c>
      <c r="B72" s="23">
        <v>44419</v>
      </c>
      <c r="C72" s="22">
        <v>62</v>
      </c>
      <c r="D72" s="22" t="s">
        <v>162</v>
      </c>
      <c r="E72" s="22" t="s">
        <v>164</v>
      </c>
      <c r="F72" s="22" t="s">
        <v>167</v>
      </c>
      <c r="G72" s="22" t="s">
        <v>287</v>
      </c>
      <c r="H72" s="22" t="s">
        <v>213</v>
      </c>
      <c r="I72" s="22" t="s">
        <v>383</v>
      </c>
      <c r="J72" s="22" t="s">
        <v>383</v>
      </c>
      <c r="K72" s="22"/>
      <c r="L72" s="22" t="s">
        <v>194</v>
      </c>
      <c r="M72" s="22"/>
      <c r="N72" s="22" t="s">
        <v>193</v>
      </c>
      <c r="O72" s="22">
        <v>1</v>
      </c>
      <c r="P72" s="22" t="s">
        <v>430</v>
      </c>
      <c r="Q72" s="22"/>
      <c r="R72" s="22"/>
      <c r="S72" s="22"/>
      <c r="T72" s="22"/>
      <c r="U72" s="22"/>
      <c r="V72" s="22" t="s">
        <v>431</v>
      </c>
      <c r="W72">
        <v>35</v>
      </c>
      <c r="X72">
        <v>2</v>
      </c>
      <c r="Z72" s="15" cm="1">
        <f t="array" ref="Z72">VALUE(LEFT(A72, MIN(IFERROR(FIND({"o","p"}, A72), LEN(A72)+1))-1))</f>
        <v>35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36B7BF-4793-40D9-B3B5-825389DF0028}">
  <sheetPr codeName="Sheet2"/>
  <dimension ref="A1:B28"/>
  <sheetViews>
    <sheetView workbookViewId="0"/>
  </sheetViews>
  <sheetFormatPr defaultColWidth="9" defaultRowHeight="13.9"/>
  <cols>
    <col min="1" max="1" width="16.6640625" style="1" bestFit="1" customWidth="1"/>
    <col min="2" max="2" width="82.1328125" style="1" bestFit="1" customWidth="1"/>
    <col min="3" max="16384" width="9" style="1"/>
  </cols>
  <sheetData>
    <row r="1" spans="1:2">
      <c r="A1" s="2" t="s">
        <v>124</v>
      </c>
      <c r="B1" s="2" t="s">
        <v>125</v>
      </c>
    </row>
    <row r="2" spans="1:2">
      <c r="A2" s="1" t="s">
        <v>2</v>
      </c>
      <c r="B2" s="1" t="s">
        <v>126</v>
      </c>
    </row>
    <row r="3" spans="1:2">
      <c r="A3" s="1" t="s">
        <v>3</v>
      </c>
      <c r="B3" s="1" t="s">
        <v>127</v>
      </c>
    </row>
    <row r="4" spans="1:2">
      <c r="A4" s="1" t="s">
        <v>4</v>
      </c>
      <c r="B4" s="1" t="s">
        <v>128</v>
      </c>
    </row>
    <row r="5" spans="1:2">
      <c r="A5" s="1" t="s">
        <v>5</v>
      </c>
      <c r="B5" s="1" t="s">
        <v>129</v>
      </c>
    </row>
    <row r="6" spans="1:2">
      <c r="A6" s="1" t="s">
        <v>6</v>
      </c>
      <c r="B6" s="1" t="s">
        <v>130</v>
      </c>
    </row>
    <row r="7" spans="1:2">
      <c r="A7" s="1" t="s">
        <v>7</v>
      </c>
      <c r="B7" s="1" t="s">
        <v>131</v>
      </c>
    </row>
    <row r="8" spans="1:2">
      <c r="A8" s="1" t="s">
        <v>10</v>
      </c>
      <c r="B8" s="1" t="s">
        <v>132</v>
      </c>
    </row>
    <row r="9" spans="1:2">
      <c r="A9" s="1" t="s">
        <v>12</v>
      </c>
      <c r="B9" s="1" t="s">
        <v>133</v>
      </c>
    </row>
    <row r="10" spans="1:2">
      <c r="A10" s="1" t="s">
        <v>13</v>
      </c>
      <c r="B10" s="1" t="s">
        <v>134</v>
      </c>
    </row>
    <row r="11" spans="1:2">
      <c r="A11" s="1" t="s">
        <v>14</v>
      </c>
      <c r="B11" s="1" t="s">
        <v>135</v>
      </c>
    </row>
    <row r="12" spans="1:2">
      <c r="A12" s="1" t="s">
        <v>15</v>
      </c>
      <c r="B12" s="1" t="s">
        <v>136</v>
      </c>
    </row>
    <row r="13" spans="1:2">
      <c r="A13" s="1" t="s">
        <v>16</v>
      </c>
      <c r="B13" s="1" t="s">
        <v>137</v>
      </c>
    </row>
    <row r="14" spans="1:2">
      <c r="A14" s="1" t="s">
        <v>18</v>
      </c>
      <c r="B14" s="1" t="s">
        <v>138</v>
      </c>
    </row>
    <row r="15" spans="1:2">
      <c r="A15" s="1" t="s">
        <v>19</v>
      </c>
      <c r="B15" s="1" t="s">
        <v>139</v>
      </c>
    </row>
    <row r="16" spans="1:2">
      <c r="A16" s="1" t="s">
        <v>20</v>
      </c>
      <c r="B16" s="1" t="s">
        <v>140</v>
      </c>
    </row>
    <row r="17" spans="1:2">
      <c r="A17" s="1" t="s">
        <v>21</v>
      </c>
      <c r="B17" s="1" t="s">
        <v>21</v>
      </c>
    </row>
    <row r="18" spans="1:2">
      <c r="A18" s="1" t="s">
        <v>22</v>
      </c>
      <c r="B18" s="1" t="s">
        <v>141</v>
      </c>
    </row>
    <row r="19" spans="1:2">
      <c r="A19" s="1" t="s">
        <v>23</v>
      </c>
      <c r="B19" s="1" t="s">
        <v>142</v>
      </c>
    </row>
    <row r="20" spans="1:2">
      <c r="A20" s="1" t="s">
        <v>24</v>
      </c>
      <c r="B20" s="1" t="s">
        <v>143</v>
      </c>
    </row>
    <row r="21" spans="1:2">
      <c r="A21" s="1" t="s">
        <v>25</v>
      </c>
      <c r="B21" s="1" t="s">
        <v>25</v>
      </c>
    </row>
    <row r="22" spans="1:2">
      <c r="A22" s="1" t="s">
        <v>26</v>
      </c>
      <c r="B22" s="1" t="s">
        <v>144</v>
      </c>
    </row>
    <row r="23" spans="1:2">
      <c r="A23" s="1" t="s">
        <v>27</v>
      </c>
      <c r="B23" s="1" t="s">
        <v>145</v>
      </c>
    </row>
    <row r="24" spans="1:2">
      <c r="A24" s="1" t="s">
        <v>28</v>
      </c>
      <c r="B24" s="1" t="s">
        <v>146</v>
      </c>
    </row>
    <row r="25" spans="1:2">
      <c r="A25" s="2" t="s">
        <v>29</v>
      </c>
      <c r="B25" s="2" t="s">
        <v>147</v>
      </c>
    </row>
    <row r="27" spans="1:2">
      <c r="A27" s="1" t="s">
        <v>148</v>
      </c>
    </row>
    <row r="28" spans="1:2">
      <c r="A28" s="1" t="s">
        <v>149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Classification result</vt:lpstr>
      <vt:lpstr>Model output</vt:lpstr>
      <vt:lpstr>Schema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Eric Tang</dc:creator>
  <cp:keywords/>
  <dc:description/>
  <cp:lastModifiedBy>Eric Tang</cp:lastModifiedBy>
  <cp:revision/>
  <dcterms:created xsi:type="dcterms:W3CDTF">2024-02-07T07:43:00Z</dcterms:created>
  <dcterms:modified xsi:type="dcterms:W3CDTF">2024-12-06T14:35:17Z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6BD3FE08F50D43308719C3E877096B98_12</vt:lpwstr>
  </property>
  <property fmtid="{D5CDD505-2E9C-101B-9397-08002B2CF9AE}" pid="3" name="KSOProductBuildVer">
    <vt:lpwstr>2052-12.1.0.16388</vt:lpwstr>
  </property>
</Properties>
</file>