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048B0E79-2183-4D1D-A0CF-8033A19058E9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result'!$B$1:$B$64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4" i="16" l="1"/>
  <c r="AI4" i="16"/>
  <c r="AJ4" i="16"/>
  <c r="AK4" i="16"/>
  <c r="AH5" i="16"/>
  <c r="AI5" i="16"/>
  <c r="AJ5" i="16"/>
  <c r="AK5" i="16" s="1"/>
  <c r="AH6" i="16"/>
  <c r="AI6" i="16"/>
  <c r="AJ6" i="16"/>
  <c r="AK6" i="16"/>
  <c r="AH7" i="16"/>
  <c r="AI7" i="16"/>
  <c r="AJ7" i="16"/>
  <c r="AK7" i="16"/>
  <c r="AH8" i="16"/>
  <c r="AI8" i="16"/>
  <c r="AJ8" i="16"/>
  <c r="AK8" i="16"/>
  <c r="AH9" i="16"/>
  <c r="AK9" i="16" s="1"/>
  <c r="AI9" i="16"/>
  <c r="AJ9" i="16"/>
  <c r="AH10" i="16"/>
  <c r="AI10" i="16"/>
  <c r="AJ10" i="16"/>
  <c r="AK10" i="16" s="1"/>
  <c r="AH11" i="16"/>
  <c r="AI11" i="16"/>
  <c r="AJ11" i="16"/>
  <c r="AK11" i="16"/>
  <c r="AH12" i="16"/>
  <c r="AI12" i="16"/>
  <c r="AJ12" i="16"/>
  <c r="AK12" i="16"/>
  <c r="AH13" i="16"/>
  <c r="AI13" i="16"/>
  <c r="AJ13" i="16"/>
  <c r="AK13" i="16"/>
  <c r="AH14" i="16"/>
  <c r="AK14" i="16" s="1"/>
  <c r="AI14" i="16"/>
  <c r="AJ14" i="16"/>
  <c r="AH15" i="16"/>
  <c r="AI15" i="16"/>
  <c r="AJ15" i="16"/>
  <c r="AK15" i="16" s="1"/>
  <c r="AH16" i="16"/>
  <c r="AI16" i="16"/>
  <c r="AJ16" i="16"/>
  <c r="AK16" i="16"/>
  <c r="AH17" i="16"/>
  <c r="AI17" i="16"/>
  <c r="AJ17" i="16"/>
  <c r="AK17" i="16"/>
  <c r="AH18" i="16"/>
  <c r="AI18" i="16"/>
  <c r="AJ18" i="16"/>
  <c r="AK18" i="16"/>
  <c r="AH19" i="16"/>
  <c r="AI19" i="16"/>
  <c r="AJ19" i="16"/>
  <c r="AK19" i="16"/>
  <c r="AH20" i="16"/>
  <c r="AI20" i="16"/>
  <c r="AJ20" i="16"/>
  <c r="AK20" i="16" s="1"/>
  <c r="AH21" i="16"/>
  <c r="AI21" i="16"/>
  <c r="AJ21" i="16"/>
  <c r="AK21" i="16"/>
  <c r="AH22" i="16"/>
  <c r="AI22" i="16"/>
  <c r="AJ22" i="16"/>
  <c r="AK22" i="16"/>
  <c r="AH23" i="16"/>
  <c r="AI23" i="16"/>
  <c r="AJ23" i="16"/>
  <c r="AK23" i="16"/>
  <c r="AH24" i="16"/>
  <c r="AI24" i="16"/>
  <c r="AJ24" i="16"/>
  <c r="AK24" i="16"/>
  <c r="AH25" i="16"/>
  <c r="AI25" i="16"/>
  <c r="AJ25" i="16"/>
  <c r="AK25" i="16" s="1"/>
  <c r="AH26" i="16"/>
  <c r="AI26" i="16"/>
  <c r="AJ26" i="16"/>
  <c r="AK26" i="16"/>
  <c r="AH27" i="16"/>
  <c r="AI27" i="16"/>
  <c r="AJ27" i="16"/>
  <c r="AK27" i="16"/>
  <c r="AH28" i="16"/>
  <c r="AK28" i="16" s="1"/>
  <c r="AI28" i="16"/>
  <c r="AJ28" i="16"/>
  <c r="AH29" i="16"/>
  <c r="AI29" i="16"/>
  <c r="AJ29" i="16"/>
  <c r="AK29" i="16"/>
  <c r="AH30" i="16"/>
  <c r="AI30" i="16"/>
  <c r="AJ30" i="16"/>
  <c r="AK30" i="16" s="1"/>
  <c r="AH31" i="16"/>
  <c r="AI31" i="16"/>
  <c r="AJ31" i="16"/>
  <c r="AK31" i="16"/>
  <c r="AH32" i="16"/>
  <c r="AI32" i="16"/>
  <c r="AJ32" i="16"/>
  <c r="AK32" i="16"/>
  <c r="AH33" i="16"/>
  <c r="AI33" i="16"/>
  <c r="AJ33" i="16"/>
  <c r="AK33" i="16"/>
  <c r="AH34" i="16"/>
  <c r="AK34" i="16" s="1"/>
  <c r="AI34" i="16"/>
  <c r="AJ34" i="16"/>
  <c r="AH35" i="16"/>
  <c r="AI35" i="16"/>
  <c r="AJ35" i="16"/>
  <c r="AK35" i="16" s="1"/>
  <c r="AH36" i="16"/>
  <c r="AK36" i="16" s="1"/>
  <c r="AI36" i="16"/>
  <c r="AJ36" i="16"/>
  <c r="AH37" i="16"/>
  <c r="AI37" i="16"/>
  <c r="AJ37" i="16"/>
  <c r="AK37" i="16"/>
  <c r="AK3" i="16"/>
  <c r="AJ3" i="16"/>
  <c r="AI3" i="16"/>
  <c r="AH3" i="16"/>
  <c r="Z3" i="15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AE3" i="16" l="1" a="1"/>
  <c r="AE3" i="16" s="1"/>
  <c r="T13" i="16" a="1"/>
  <c r="T13" i="16" s="1"/>
  <c r="W13" i="16" s="1"/>
  <c r="T33" i="16" a="1"/>
  <c r="T33" i="16" s="1"/>
  <c r="T14" i="16" a="1"/>
  <c r="T14" i="16" s="1"/>
  <c r="T15" i="16" a="1"/>
  <c r="T15" i="16" s="1"/>
  <c r="T16" i="16" a="1"/>
  <c r="T1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20" i="16" a="1"/>
  <c r="T20" i="16" s="1"/>
  <c r="W20" i="16" s="1"/>
  <c r="T24" i="16" a="1"/>
  <c r="T24" i="16" s="1"/>
  <c r="W24" i="16" s="1"/>
  <c r="T21" i="16" a="1"/>
  <c r="T21" i="16" s="1"/>
  <c r="W21" i="16" s="1"/>
  <c r="T27" i="16" a="1"/>
  <c r="T27" i="16" s="1"/>
  <c r="W27" i="16" s="1"/>
  <c r="T22" i="16" a="1"/>
  <c r="T22" i="16" s="1"/>
  <c r="T28" i="16" a="1"/>
  <c r="T28" i="16" s="1"/>
  <c r="W28" i="16" s="1"/>
  <c r="T23" i="16" a="1"/>
  <c r="T23" i="16" s="1"/>
  <c r="T4" i="16" a="1"/>
  <c r="T4" i="16" s="1"/>
  <c r="W4" i="16" s="1"/>
  <c r="T26" i="16" a="1"/>
  <c r="T26" i="16" s="1"/>
  <c r="W26" i="16" s="1"/>
  <c r="T5" i="16" a="1"/>
  <c r="T5" i="16" s="1"/>
  <c r="W5" i="16" s="1"/>
  <c r="T25" i="16" a="1"/>
  <c r="T25" i="16" s="1"/>
  <c r="W25" i="16" s="1"/>
  <c r="T6" i="16" a="1"/>
  <c r="T6" i="16" s="1"/>
  <c r="W6" i="16" s="1"/>
  <c r="T36" i="16" a="1"/>
  <c r="T36" i="16" s="1"/>
  <c r="T7" i="16" a="1"/>
  <c r="T7" i="16" s="1"/>
  <c r="T35" i="16" a="1"/>
  <c r="T35" i="16" s="1"/>
  <c r="W35" i="16" s="1"/>
  <c r="T8" i="16" a="1"/>
  <c r="T8" i="16" s="1"/>
  <c r="W8" i="16" s="1"/>
  <c r="T29" i="16" a="1"/>
  <c r="T29" i="16" s="1"/>
  <c r="W29" i="16" s="1"/>
  <c r="T9" i="16" a="1"/>
  <c r="T9" i="16" s="1"/>
  <c r="W9" i="16" s="1"/>
  <c r="T34" i="16" a="1"/>
  <c r="T34" i="16" s="1"/>
  <c r="T10" i="16" a="1"/>
  <c r="T10" i="16" s="1"/>
  <c r="W10" i="16" s="1"/>
  <c r="T30" i="16" a="1"/>
  <c r="T30" i="16" s="1"/>
  <c r="W3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D7" i="16" a="1"/>
  <c r="D7" i="16" s="1"/>
  <c r="D27" i="16" a="1"/>
  <c r="D27" i="16" s="1"/>
  <c r="D33" i="16" a="1"/>
  <c r="D33" i="16" s="1"/>
  <c r="D8" i="16" a="1"/>
  <c r="D8" i="16" s="1"/>
  <c r="D9" i="16" a="1"/>
  <c r="D9" i="16" s="1"/>
  <c r="D10" i="16" a="1"/>
  <c r="D10" i="16" s="1"/>
  <c r="D11" i="16" a="1"/>
  <c r="D11" i="16" s="1"/>
  <c r="D31" i="16" a="1"/>
  <c r="D31" i="16" s="1"/>
  <c r="D12" i="16" a="1"/>
  <c r="D12" i="16" s="1"/>
  <c r="D37" i="16" a="1"/>
  <c r="D37" i="16" s="1"/>
  <c r="D13" i="16" a="1"/>
  <c r="D13" i="16" s="1"/>
  <c r="D14" i="16" a="1"/>
  <c r="D14" i="16" s="1"/>
  <c r="D34" i="16" a="1"/>
  <c r="D34" i="16" s="1"/>
  <c r="D15" i="16" a="1"/>
  <c r="D15" i="16" s="1"/>
  <c r="D35" i="16" a="1"/>
  <c r="D35" i="16" s="1"/>
  <c r="D16" i="16" a="1"/>
  <c r="D16" i="16" s="1"/>
  <c r="D36" i="16" a="1"/>
  <c r="D36" i="16" s="1"/>
  <c r="D17" i="16" a="1"/>
  <c r="D17" i="16" s="1"/>
  <c r="D18" i="16" a="1"/>
  <c r="D18" i="16" s="1"/>
  <c r="D3" i="16" a="1"/>
  <c r="D3" i="16" s="1"/>
  <c r="D19" i="16" a="1"/>
  <c r="D19" i="16" s="1"/>
  <c r="D4" i="16" a="1"/>
  <c r="D4" i="16" s="1"/>
  <c r="D20" i="16" a="1"/>
  <c r="D20" i="16" s="1"/>
  <c r="D5" i="16" a="1"/>
  <c r="D5" i="16" s="1"/>
  <c r="D21" i="16" a="1"/>
  <c r="D21" i="16" s="1"/>
  <c r="D6" i="16" a="1"/>
  <c r="D6" i="16" s="1"/>
  <c r="D22" i="16" a="1"/>
  <c r="D22" i="16" s="1"/>
  <c r="D28" i="16" a="1"/>
  <c r="D28" i="16" s="1"/>
  <c r="D23" i="16" a="1"/>
  <c r="D23" i="16" s="1"/>
  <c r="D24" i="16" a="1"/>
  <c r="D24" i="16" s="1"/>
  <c r="D30" i="16" a="1"/>
  <c r="D30" i="16" s="1"/>
  <c r="D25" i="16" a="1"/>
  <c r="D25" i="16" s="1"/>
  <c r="D29" i="16" a="1"/>
  <c r="D29" i="16" s="1"/>
  <c r="D26" i="16" a="1"/>
  <c r="D26" i="16" s="1"/>
  <c r="D32" i="16" a="1"/>
  <c r="D32" i="16" s="1"/>
  <c r="I4" i="16" a="1"/>
  <c r="I4" i="16" s="1"/>
  <c r="I24" i="16" a="1"/>
  <c r="I24" i="16" s="1"/>
  <c r="F24" i="16" s="1" a="1"/>
  <c r="F24" i="16" s="1"/>
  <c r="AD28" i="16" a="1"/>
  <c r="AD28" i="16" s="1"/>
  <c r="Y28" i="16" s="1"/>
  <c r="AE13" i="16" a="1"/>
  <c r="AE13" i="16" s="1"/>
  <c r="AE33" i="16" a="1"/>
  <c r="AE33" i="16" s="1"/>
  <c r="AE14" i="16" a="1"/>
  <c r="AE14" i="16" s="1"/>
  <c r="AE15" i="16" a="1"/>
  <c r="AE15" i="16" s="1"/>
  <c r="I5" i="16" a="1"/>
  <c r="I5" i="16" s="1"/>
  <c r="I25" i="16" a="1"/>
  <c r="I25" i="16" s="1"/>
  <c r="AD9" i="16" a="1"/>
  <c r="AD9" i="16" s="1"/>
  <c r="Y9" i="16" s="1"/>
  <c r="AD29" i="16" a="1"/>
  <c r="AD29" i="16" s="1"/>
  <c r="Y29" i="16" s="1"/>
  <c r="AE34" i="16" a="1"/>
  <c r="AE34" i="16" s="1"/>
  <c r="AE16" i="16" a="1"/>
  <c r="AE16" i="16" s="1"/>
  <c r="I6" i="16" a="1"/>
  <c r="I6" i="16" s="1"/>
  <c r="F6" i="16" s="1" a="1"/>
  <c r="F6" i="16" s="1"/>
  <c r="I26" i="16" a="1"/>
  <c r="I26" i="16" s="1"/>
  <c r="AD10" i="16" a="1"/>
  <c r="AD10" i="16" s="1"/>
  <c r="Y10" i="16" s="1"/>
  <c r="AD30" i="16" a="1"/>
  <c r="AD30" i="16" s="1"/>
  <c r="Y30" i="16" s="1"/>
  <c r="I7" i="16" a="1"/>
  <c r="I7" i="16" s="1"/>
  <c r="F7" i="16" s="1" a="1"/>
  <c r="F7" i="16" s="1"/>
  <c r="I27" i="16" a="1"/>
  <c r="I27" i="16" s="1"/>
  <c r="F27" i="16" s="1" a="1"/>
  <c r="F27" i="16" s="1"/>
  <c r="AD11" i="16" a="1"/>
  <c r="AD11" i="16" s="1"/>
  <c r="Y11" i="16" s="1"/>
  <c r="AD31" i="16" a="1"/>
  <c r="AD31" i="16" s="1"/>
  <c r="Y31" i="16" s="1"/>
  <c r="I8" i="16" a="1"/>
  <c r="I8" i="16" s="1"/>
  <c r="I28" i="16" a="1"/>
  <c r="I28" i="16" s="1"/>
  <c r="AD12" i="16" a="1"/>
  <c r="AD12" i="16" s="1"/>
  <c r="Y12" i="16" s="1"/>
  <c r="AD32" i="16" a="1"/>
  <c r="AD32" i="16" s="1"/>
  <c r="Y32" i="16" s="1"/>
  <c r="AE17" i="16" a="1"/>
  <c r="AE17" i="16" s="1"/>
  <c r="AE37" i="16" a="1"/>
  <c r="AE37" i="16" s="1"/>
  <c r="I9" i="16" a="1"/>
  <c r="I9" i="16" s="1"/>
  <c r="I29" i="16" a="1"/>
  <c r="I29" i="16" s="1"/>
  <c r="AD13" i="16" a="1"/>
  <c r="AD13" i="16" s="1"/>
  <c r="Y13" i="16" s="1"/>
  <c r="AD33" i="16" a="1"/>
  <c r="AD33" i="16" s="1"/>
  <c r="Y33" i="16" s="1"/>
  <c r="AE18" i="16" a="1"/>
  <c r="AE18" i="16" s="1"/>
  <c r="I10" i="16" a="1"/>
  <c r="I10" i="16" s="1"/>
  <c r="I30" i="16" a="1"/>
  <c r="I30" i="16" s="1"/>
  <c r="AD14" i="16" a="1"/>
  <c r="AD14" i="16" s="1"/>
  <c r="Y14" i="16" s="1"/>
  <c r="AD34" i="16" a="1"/>
  <c r="AD34" i="16" s="1"/>
  <c r="Y34" i="16" s="1"/>
  <c r="AE19" i="16" a="1"/>
  <c r="AE19" i="16" s="1"/>
  <c r="I11" i="16" a="1"/>
  <c r="I11" i="16" s="1"/>
  <c r="I31" i="16" a="1"/>
  <c r="I31" i="16" s="1"/>
  <c r="AD15" i="16" a="1"/>
  <c r="AD15" i="16" s="1"/>
  <c r="Y15" i="16" s="1"/>
  <c r="AD35" i="16" a="1"/>
  <c r="AD35" i="16" s="1"/>
  <c r="Y35" i="16" s="1"/>
  <c r="AE20" i="16" a="1"/>
  <c r="AE20" i="16" s="1"/>
  <c r="I12" i="16" a="1"/>
  <c r="I12" i="16" s="1"/>
  <c r="I32" i="16" a="1"/>
  <c r="I32" i="16" s="1"/>
  <c r="AD16" i="16" a="1"/>
  <c r="AD16" i="16" s="1"/>
  <c r="Y16" i="16" s="1"/>
  <c r="AD36" i="16" a="1"/>
  <c r="AD36" i="16" s="1"/>
  <c r="Y36" i="16" s="1"/>
  <c r="AE21" i="16" a="1"/>
  <c r="AE21" i="16" s="1"/>
  <c r="AE25" i="16" a="1"/>
  <c r="AE25" i="16" s="1"/>
  <c r="AE32" i="16" a="1"/>
  <c r="AE32" i="16" s="1"/>
  <c r="I13" i="16" a="1"/>
  <c r="I13" i="16" s="1"/>
  <c r="I33" i="16" a="1"/>
  <c r="I33" i="16" s="1"/>
  <c r="F33" i="16" s="1" a="1"/>
  <c r="F33" i="16" s="1"/>
  <c r="AD17" i="16" a="1"/>
  <c r="AD17" i="16" s="1"/>
  <c r="Y17" i="16" s="1"/>
  <c r="AD37" i="16" a="1"/>
  <c r="AD37" i="16" s="1"/>
  <c r="Y37" i="16" s="1"/>
  <c r="AE22" i="16" a="1"/>
  <c r="AE22" i="16" s="1"/>
  <c r="AE31" i="16" a="1"/>
  <c r="AE31" i="16" s="1"/>
  <c r="I14" i="16" a="1"/>
  <c r="I14" i="16" s="1"/>
  <c r="I34" i="16" a="1"/>
  <c r="I34" i="16" s="1"/>
  <c r="AD18" i="16" a="1"/>
  <c r="AD18" i="16" s="1"/>
  <c r="Y18" i="16" s="1"/>
  <c r="AD3" i="16" a="1"/>
  <c r="AD3" i="16" s="1"/>
  <c r="Y3" i="16" s="1"/>
  <c r="AE23" i="16" a="1"/>
  <c r="AE23" i="16" s="1"/>
  <c r="AE5" i="16" a="1"/>
  <c r="AE5" i="16" s="1"/>
  <c r="I15" i="16" a="1"/>
  <c r="I15" i="16" s="1"/>
  <c r="F15" i="16" s="1" a="1"/>
  <c r="F15" i="16" s="1"/>
  <c r="I35" i="16" a="1"/>
  <c r="I35" i="16" s="1"/>
  <c r="AD19" i="16" a="1"/>
  <c r="AD19" i="16" s="1"/>
  <c r="Y19" i="16" s="1"/>
  <c r="AE4" i="16" a="1"/>
  <c r="AE4" i="16" s="1"/>
  <c r="AE24" i="16" a="1"/>
  <c r="AE24" i="16" s="1"/>
  <c r="AE36" i="16" a="1"/>
  <c r="AE36" i="16" s="1"/>
  <c r="I16" i="16" a="1"/>
  <c r="I16" i="16" s="1"/>
  <c r="I36" i="16" a="1"/>
  <c r="I36" i="16" s="1"/>
  <c r="AD20" i="16" a="1"/>
  <c r="AD20" i="16" s="1"/>
  <c r="Y20" i="16" s="1"/>
  <c r="AE35" i="16" a="1"/>
  <c r="AE35" i="16" s="1"/>
  <c r="I17" i="16" a="1"/>
  <c r="I17" i="16" s="1"/>
  <c r="I37" i="16" a="1"/>
  <c r="I37" i="16" s="1"/>
  <c r="AD21" i="16" a="1"/>
  <c r="AD21" i="16" s="1"/>
  <c r="Y21" i="16" s="1"/>
  <c r="AE6" i="16" a="1"/>
  <c r="AE6" i="16" s="1"/>
  <c r="AE26" i="16" a="1"/>
  <c r="AE26" i="16" s="1"/>
  <c r="AE29" i="16" a="1"/>
  <c r="AE29" i="16" s="1"/>
  <c r="I18" i="16" a="1"/>
  <c r="I18" i="16" s="1"/>
  <c r="I3" i="16" a="1"/>
  <c r="I3" i="16" s="1"/>
  <c r="AD22" i="16" a="1"/>
  <c r="AD22" i="16" s="1"/>
  <c r="Y22" i="16" s="1"/>
  <c r="AE7" i="16" a="1"/>
  <c r="AE7" i="16" s="1"/>
  <c r="AE27" i="16" a="1"/>
  <c r="AE27" i="16" s="1"/>
  <c r="AE8" i="16" a="1"/>
  <c r="AE8" i="16" s="1"/>
  <c r="AE30" i="16" a="1"/>
  <c r="AE30" i="16" s="1"/>
  <c r="I19" i="16" a="1"/>
  <c r="I19" i="16" s="1"/>
  <c r="AD4" i="16" a="1"/>
  <c r="AD4" i="16" s="1"/>
  <c r="Y4" i="16" s="1"/>
  <c r="AD23" i="16" a="1"/>
  <c r="AD23" i="16" s="1"/>
  <c r="Y23" i="16" s="1"/>
  <c r="AE28" i="16" a="1"/>
  <c r="AE28" i="16" s="1"/>
  <c r="I20" i="16" a="1"/>
  <c r="I20" i="16" s="1"/>
  <c r="F20" i="16" s="1" a="1"/>
  <c r="F20" i="16" s="1"/>
  <c r="AD5" i="16" a="1"/>
  <c r="AD5" i="16" s="1"/>
  <c r="Y5" i="16" s="1"/>
  <c r="AD24" i="16" a="1"/>
  <c r="AD24" i="16" s="1"/>
  <c r="Y24" i="16" s="1"/>
  <c r="AE9" i="16" a="1"/>
  <c r="AE9" i="16" s="1"/>
  <c r="I21" i="16" a="1"/>
  <c r="I21" i="16" s="1"/>
  <c r="F21" i="16" s="1" a="1"/>
  <c r="F21" i="16" s="1"/>
  <c r="AD6" i="16" a="1"/>
  <c r="AD6" i="16" s="1"/>
  <c r="Y6" i="16" s="1"/>
  <c r="AD25" i="16" a="1"/>
  <c r="AD25" i="16" s="1"/>
  <c r="Y25" i="16" s="1"/>
  <c r="AE10" i="16" a="1"/>
  <c r="AE10" i="16" s="1"/>
  <c r="I22" i="16" a="1"/>
  <c r="I22" i="16" s="1"/>
  <c r="AD7" i="16" a="1"/>
  <c r="AD7" i="16" s="1"/>
  <c r="Y7" i="16" s="1"/>
  <c r="AD26" i="16" a="1"/>
  <c r="AD26" i="16" s="1"/>
  <c r="Y26" i="16" s="1"/>
  <c r="AE11" i="16" a="1"/>
  <c r="AE11" i="16" s="1"/>
  <c r="I23" i="16" a="1"/>
  <c r="I23" i="16" s="1"/>
  <c r="AD8" i="16" a="1"/>
  <c r="AD8" i="16" s="1"/>
  <c r="Y8" i="16" s="1"/>
  <c r="AD27" i="16" a="1"/>
  <c r="AD27" i="16" s="1"/>
  <c r="Y27" i="16" s="1"/>
  <c r="AE12" i="16" a="1"/>
  <c r="AE12" i="16" s="1"/>
  <c r="C19" i="16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X22" i="16" a="1"/>
  <c r="X22" i="16" s="1"/>
  <c r="O31" i="16" a="1"/>
  <c r="O31" i="16" s="1"/>
  <c r="O11" i="16" a="1"/>
  <c r="O11" i="16" s="1"/>
  <c r="F26" i="16" a="1"/>
  <c r="F2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F22" i="16" a="1"/>
  <c r="F22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B23" i="16"/>
  <c r="C3" i="16"/>
  <c r="C18" i="16"/>
  <c r="O5" i="16" a="1"/>
  <c r="O5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L35" i="16" a="1"/>
  <c r="L15" i="16" a="1"/>
  <c r="L3" i="16" a="1"/>
  <c r="L31" i="16" a="1"/>
  <c r="L25" i="16" a="1"/>
  <c r="R20" i="16" a="1"/>
  <c r="L11" i="16" a="1"/>
  <c r="L27" i="16" a="1"/>
  <c r="L5" i="16" a="1"/>
  <c r="R4" i="16" a="1"/>
  <c r="L21" i="16" a="1"/>
  <c r="R27" i="16" a="1"/>
  <c r="R14" i="16" a="1"/>
  <c r="L17" i="16" a="1"/>
  <c r="L9" i="16" a="1"/>
  <c r="L23" i="16" a="1"/>
  <c r="R5" i="16" a="1"/>
  <c r="R34" i="16" a="1"/>
  <c r="R37" i="16" a="1"/>
  <c r="R36" i="16" a="1"/>
  <c r="R19" i="16" a="1"/>
  <c r="R18" i="16" a="1"/>
  <c r="L29" i="16" a="1"/>
  <c r="R10" i="16" a="1"/>
  <c r="L20" i="16" a="1"/>
  <c r="L34" i="16" a="1"/>
  <c r="R23" i="16" a="1"/>
  <c r="R24" i="16" a="1"/>
  <c r="R13" i="16" a="1"/>
  <c r="R16" i="16" a="1"/>
  <c r="L19" i="16" a="1"/>
  <c r="R12" i="16" a="1"/>
  <c r="L10" i="16" a="1"/>
  <c r="L18" i="16" a="1"/>
  <c r="L26" i="16" a="1"/>
  <c r="R33" i="16" a="1"/>
  <c r="R32" i="16" a="1"/>
  <c r="R9" i="16" a="1"/>
  <c r="R31" i="16" a="1"/>
  <c r="L30" i="16" a="1"/>
  <c r="L22" i="16" a="1"/>
  <c r="L33" i="16" a="1"/>
  <c r="R3" i="16" a="1"/>
  <c r="R30" i="16" a="1"/>
  <c r="L13" i="16" a="1"/>
  <c r="L6" i="16" a="1"/>
  <c r="L24" i="16" a="1"/>
  <c r="L16" i="16" a="1"/>
  <c r="R7" i="16" a="1"/>
  <c r="L4" i="16" a="1"/>
  <c r="R21" i="16" a="1"/>
  <c r="R22" i="16" a="1"/>
  <c r="R26" i="16" a="1"/>
  <c r="R6" i="16" a="1"/>
  <c r="R25" i="16" a="1"/>
  <c r="L28" i="16" a="1"/>
  <c r="L8" i="16" a="1"/>
  <c r="L37" i="16" a="1"/>
  <c r="R29" i="16" a="1"/>
  <c r="R35" i="16" a="1"/>
  <c r="L7" i="16" a="1"/>
  <c r="R28" i="16" a="1"/>
  <c r="R17" i="16" a="1"/>
  <c r="R11" i="16" a="1"/>
  <c r="L36" i="16" a="1"/>
  <c r="L14" i="16" a="1"/>
  <c r="R15" i="16" a="1"/>
  <c r="R8" i="16" a="1"/>
  <c r="L32" i="16" a="1"/>
  <c r="L12" i="16" a="1"/>
  <c r="AG17" i="16" l="1"/>
  <c r="AC23" i="16"/>
  <c r="W23" i="16"/>
  <c r="AC4" i="16"/>
  <c r="AC36" i="16"/>
  <c r="AC16" i="16"/>
  <c r="AC32" i="16"/>
  <c r="W22" i="16"/>
  <c r="AC19" i="16"/>
  <c r="AC12" i="16"/>
  <c r="AC27" i="16"/>
  <c r="AC28" i="16"/>
  <c r="AC8" i="16"/>
  <c r="AC35" i="16"/>
  <c r="AC31" i="16"/>
  <c r="AC22" i="16"/>
  <c r="AC15" i="16"/>
  <c r="AC11" i="16"/>
  <c r="AC26" i="16"/>
  <c r="AC3" i="16"/>
  <c r="W34" i="16"/>
  <c r="AC7" i="16"/>
  <c r="AC18" i="16"/>
  <c r="W18" i="16"/>
  <c r="AC30" i="16"/>
  <c r="W37" i="16"/>
  <c r="AC34" i="16"/>
  <c r="AC10" i="16"/>
  <c r="AC25" i="16"/>
  <c r="AC14" i="16"/>
  <c r="W16" i="16"/>
  <c r="AC6" i="16"/>
  <c r="AC21" i="16"/>
  <c r="W7" i="16"/>
  <c r="W15" i="16"/>
  <c r="AC37" i="16"/>
  <c r="W36" i="16"/>
  <c r="W14" i="16"/>
  <c r="AC17" i="16"/>
  <c r="W33" i="16"/>
  <c r="AC24" i="16"/>
  <c r="AC33" i="16"/>
  <c r="AC29" i="16"/>
  <c r="AC5" i="16"/>
  <c r="AC20" i="16"/>
  <c r="AC13" i="16"/>
  <c r="AC9" i="16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10" i="16" a="1"/>
  <c r="S28" i="16" a="1"/>
  <c r="M10" i="16" a="1"/>
  <c r="S19" i="16" a="1"/>
  <c r="M28" i="16" a="1"/>
  <c r="S11" i="16" a="1"/>
  <c r="M30" i="16" a="1"/>
  <c r="M8" i="16" a="1"/>
  <c r="S29" i="16" a="1"/>
  <c r="S4" i="16" a="1"/>
  <c r="S9" i="16" a="1"/>
  <c r="S35" i="16" a="1"/>
  <c r="M11" i="16" a="1"/>
  <c r="S5" i="16" a="1"/>
  <c r="M12" i="16" a="1"/>
  <c r="S12" i="16" a="1"/>
  <c r="M6" i="16" a="1"/>
  <c r="M37" i="16" a="1"/>
  <c r="S26" i="16" a="1"/>
  <c r="S37" i="16" a="1"/>
  <c r="M24" i="16" a="1"/>
  <c r="M25" i="16" a="1"/>
  <c r="M19" i="16" a="1"/>
  <c r="M13" i="16" a="1"/>
  <c r="S32" i="16" a="1"/>
  <c r="M26" i="16" a="1"/>
  <c r="S31" i="16" a="1"/>
  <c r="S17" i="16" a="1"/>
  <c r="M9" i="16" a="1"/>
  <c r="S16" i="16" a="1"/>
  <c r="S18" i="16" a="1"/>
  <c r="S30" i="16" a="1"/>
  <c r="M22" i="16" a="1"/>
  <c r="M21" i="16" a="1"/>
  <c r="S36" i="16" a="1"/>
  <c r="M34" i="16" a="1"/>
  <c r="M15" i="16" a="1"/>
  <c r="S6" i="16" a="1"/>
  <c r="M23" i="16" a="1"/>
  <c r="S15" i="16" a="1"/>
  <c r="S34" i="16" a="1"/>
  <c r="M33" i="16" a="1"/>
  <c r="M32" i="16" a="1"/>
  <c r="S8" i="16" a="1"/>
  <c r="M29" i="16" a="1"/>
  <c r="M20" i="16" a="1"/>
  <c r="M3" i="16" a="1"/>
  <c r="S3" i="16" a="1"/>
  <c r="M4" i="16" a="1"/>
  <c r="M27" i="16" a="1"/>
  <c r="S7" i="16" a="1"/>
  <c r="M7" i="16" a="1"/>
  <c r="S22" i="16" a="1"/>
  <c r="M36" i="16" a="1"/>
  <c r="M5" i="16" a="1"/>
  <c r="M31" i="16" a="1"/>
  <c r="M16" i="16" a="1"/>
  <c r="S33" i="16" a="1"/>
  <c r="M17" i="16" a="1"/>
  <c r="M35" i="16" a="1"/>
  <c r="S25" i="16" a="1"/>
  <c r="M18" i="16" a="1"/>
  <c r="M14" i="16" a="1"/>
  <c r="S23" i="16" a="1"/>
  <c r="S27" i="16" a="1"/>
  <c r="S21" i="16" a="1"/>
  <c r="S13" i="16" a="1"/>
  <c r="S24" i="16" a="1"/>
  <c r="S14" i="16" a="1"/>
  <c r="S20" i="16" a="1"/>
  <c r="M17" i="16" l="1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S12" i="16"/>
  <c r="S18" i="16"/>
  <c r="S10" i="16"/>
  <c r="S23" i="16"/>
  <c r="S26" i="16"/>
  <c r="S4" i="16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12" i="16" a="1"/>
  <c r="N11" i="16" a="1"/>
  <c r="N17" i="16" a="1"/>
  <c r="N36" i="16" a="1"/>
  <c r="N33" i="16" a="1"/>
  <c r="N23" i="16" a="1"/>
  <c r="N6" i="16" a="1"/>
  <c r="N31" i="16" a="1"/>
  <c r="N35" i="16" a="1"/>
  <c r="N22" i="16" a="1"/>
  <c r="N28" i="16" a="1"/>
  <c r="N4" i="16" a="1"/>
  <c r="N13" i="16" a="1"/>
  <c r="N8" i="16" a="1"/>
  <c r="N37" i="16" a="1"/>
  <c r="N14" i="16" a="1"/>
  <c r="N9" i="16" a="1"/>
  <c r="N25" i="16" a="1"/>
  <c r="N18" i="16" a="1"/>
  <c r="N26" i="16" a="1"/>
  <c r="N24" i="16" a="1"/>
  <c r="N5" i="16" a="1"/>
  <c r="N15" i="16" a="1"/>
  <c r="N27" i="16" a="1"/>
  <c r="N34" i="16" a="1"/>
  <c r="N32" i="16" a="1"/>
  <c r="N7" i="16" a="1"/>
  <c r="N30" i="16" a="1"/>
  <c r="N16" i="16" a="1"/>
  <c r="N19" i="16" a="1"/>
  <c r="N3" i="16" a="1"/>
  <c r="N21" i="16" a="1"/>
  <c r="N29" i="16" a="1"/>
  <c r="N10" i="16" a="1"/>
  <c r="N20" i="16" a="1"/>
  <c r="AS28" i="16" l="1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<sst xmlns="http://schemas.openxmlformats.org/spreadsheetml/2006/main" count="741" uniqueCount="378">
  <si>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</si>
  <si>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</si>
  <si>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</si>
  <si>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</si>
  <si>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</si>
  <si>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</si>
  <si>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</si>
  <si>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</si>
  <si>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</si>
  <si>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</si>
  <si>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</si>
  <si>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</si>
  <si>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</si>
  <si>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</si>
  <si>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</si>
  <si>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</si>
  <si>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</si>
  <si>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</si>
  <si>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</si>
  <si>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</si>
  <si>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</si>
  <si>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</si>
  <si>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</si>
  <si>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</si>
  <si>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</si>
  <si>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</si>
  <si>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</si>
  <si>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</si>
  <si>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</si>
  <si>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</si>
  <si>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</si>
  <si>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</si>
  <si>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</si>
  <si>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</si>
  <si>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</si>
  <si>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</si>
  <si>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</si>
  <si>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</si>
  <si>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</si>
  <si>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</si>
  <si>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</si>
  <si>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</si>
  <si>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</si>
  <si>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</si>
  <si>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</si>
  <si>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</si>
  <si>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</si>
  <si>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</si>
  <si>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</si>
  <si>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</si>
  <si>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</si>
  <si>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</si>
  <si>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</si>
  <si>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</si>
  <si>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</si>
  <si>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</si>
  <si>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</si>
  <si>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</si>
  <si>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</si>
  <si>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</si>
  <si>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</si>
  <si>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</si>
  <si>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</si>
  <si>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</si>
  <si>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</si>
  <si>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</si>
  <si>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</si>
  <si>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</si>
  <si>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</si>
  <si>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</si>
  <si>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</si>
  <si>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</si>
  <si>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</si>
  <si>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</si>
  <si>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</si>
  <si>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</si>
  <si>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</si>
  <si>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</si>
  <si>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</si>
  <si>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</si>
  <si>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</si>
  <si>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</si>
  <si>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</si>
  <si>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</si>
  <si>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</si>
  <si>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</si>
  <si>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</si>
  <si>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</si>
  <si>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</si>
  <si>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</si>
  <si>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</si>
  <si>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</si>
  <si>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</si>
  <si>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</si>
  <si>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</si>
  <si>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</si>
  <si>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</si>
  <si>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</si>
  <si>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</si>
  <si>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</si>
  <si>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</si>
  <si>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</si>
  <si>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</si>
  <si>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</si>
  <si>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</si>
  <si>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</si>
  <si>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</si>
  <si>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</si>
  <si>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</si>
  <si>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</si>
  <si>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</si>
  <si>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</si>
  <si>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</si>
  <si>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</si>
  <si>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</si>
  <si>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</si>
  <si>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</si>
  <si>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</si>
  <si>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</si>
  <si>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</si>
  <si>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</si>
  <si>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</si>
  <si>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</si>
  <si>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</si>
  <si>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</si>
  <si>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</si>
  <si>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</si>
  <si>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</si>
  <si>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</si>
  <si>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</si>
  <si>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</si>
  <si>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</si>
  <si>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</si>
  <si>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</si>
  <si>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</si>
  <si>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</si>
  <si>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</si>
  <si>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</si>
  <si>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</si>
  <si>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</si>
  <si>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</si>
  <si>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</si>
  <si>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</si>
  <si>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</si>
  <si>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</si>
  <si>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</si>
  <si>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</si>
  <si>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</si>
  <si>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</si>
  <si>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</si>
  <si>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</si>
  <si>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</si>
  <si>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</si>
  <si>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</si>
  <si>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</si>
  <si>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</si>
  <si>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</si>
  <si>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</si>
  <si>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</si>
  <si>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</si>
  <si>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</si>
  <si>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</si>
  <si>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</si>
  <si>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</si>
  <si>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</si>
  <si>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</si>
  <si>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</si>
  <si>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</si>
  <si>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2.5cm</t>
  </si>
  <si>
    <t>intermediate</t>
  </si>
  <si>
    <t>high</t>
  </si>
  <si>
    <t>low</t>
  </si>
  <si>
    <t>LN extent</t>
  </si>
  <si>
    <t>Not identified</t>
  </si>
  <si>
    <t>Present</t>
  </si>
  <si>
    <t>Nontoxic uninodular goitre</t>
  </si>
  <si>
    <t>Left central compartment</t>
  </si>
  <si>
    <t>11g</t>
  </si>
  <si>
    <t>2 x 1.5 x 1.5 cm</t>
  </si>
  <si>
    <t>2cm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</si>
  <si>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</si>
  <si>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</si>
  <si>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</si>
  <si>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</si>
  <si>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</si>
  <si>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</si>
  <si>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</si>
  <si>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</si>
  <si>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</si>
  <si>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</si>
  <si>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4.5 mm</t>
  </si>
  <si>
    <t>Left level III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</si>
  <si>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</si>
  <si>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</si>
  <si>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</si>
  <si>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</si>
  <si>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</si>
  <si>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</si>
  <si>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</si>
  <si>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</si>
  <si>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</si>
  <si>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</si>
  <si>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</si>
  <si>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</si>
  <si>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</si>
  <si>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</si>
  <si>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central</t>
  </si>
  <si>
    <t>oncocytic classic</t>
  </si>
  <si>
    <t>20 mm</t>
  </si>
  <si>
    <t>minimally invasive</t>
  </si>
  <si>
    <t>63 mm</t>
  </si>
  <si>
    <t>papillary</t>
  </si>
  <si>
    <t>7 mm</t>
  </si>
  <si>
    <t>Extensive (= or &gt; 4 vessels)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</si>
  <si>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</si>
  <si>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</si>
  <si>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</si>
  <si>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30/04/2024</t>
  </si>
  <si>
    <t>pT3b</t>
  </si>
  <si>
    <t>31/05/2024</t>
  </si>
  <si>
    <t>24/05/2024</t>
  </si>
  <si>
    <t>pT3a</t>
  </si>
  <si>
    <t>29/05/2024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</si>
  <si>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</si>
  <si>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</si>
  <si>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</si>
  <si>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</si>
  <si>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</si>
  <si>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</si>
  <si>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</si>
  <si>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</si>
  <si>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</si>
  <si>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</si>
  <si>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</si>
  <si>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</si>
  <si>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</si>
  <si>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</si>
  <si>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</si>
  <si>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</si>
  <si>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</si>
  <si>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</si>
  <si>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</si>
  <si>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</si>
  <si>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</si>
  <si>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</si>
  <si>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</si>
  <si>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</si>
  <si>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</si>
  <si>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</si>
  <si>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</si>
  <si>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Focal (&lt; 4 vessels)</t>
  </si>
  <si>
    <t>Suspicious foci</t>
  </si>
  <si>
    <t>Right level III</t>
  </si>
  <si>
    <t>Present (focal)</t>
  </si>
  <si>
    <t>follicular</t>
  </si>
  <si>
    <t>lung, bone</t>
  </si>
  <si>
    <t>left lateral level II, III, IV</t>
  </si>
  <si>
    <t>PATIENT ID</t>
  </si>
  <si>
    <t>Site of extrathyroidal extension</t>
  </si>
  <si>
    <t>29/01/2024</t>
  </si>
  <si>
    <t>NX</t>
  </si>
  <si>
    <t>MX</t>
  </si>
  <si>
    <t>26/02/2024</t>
  </si>
  <si>
    <t>8 mm &amp; 2 mm</t>
  </si>
  <si>
    <t>Uninvolved by carcinoma</t>
  </si>
  <si>
    <t>fatty soft tissue at isthmus</t>
  </si>
  <si>
    <t>29/04/2024</t>
  </si>
  <si>
    <t>17/05/2024</t>
  </si>
  <si>
    <t>Anterior surface: &lt; 0.1 mm from carcinoma (block 3)</t>
  </si>
  <si>
    <t>Invading only strap muscles</t>
  </si>
  <si>
    <t>Clear</t>
  </si>
  <si>
    <t>14/06/2024</t>
  </si>
  <si>
    <t>19g</t>
  </si>
  <si>
    <t>Present (minimal)</t>
  </si>
  <si>
    <t>19/01/2024</t>
  </si>
  <si>
    <t>21/06/2024</t>
  </si>
  <si>
    <t>Cancer</t>
  </si>
  <si>
    <t>27/12/2023</t>
  </si>
  <si>
    <t>Inferior, Lateral, Superior, Posterior</t>
  </si>
  <si>
    <t>Margin</t>
  </si>
  <si>
    <t>7g</t>
  </si>
  <si>
    <t>Touched posterior and lateral margins and involvement of extrathyroid soft tissue</t>
  </si>
  <si>
    <t>Invading soft tissue and strap muscles</t>
  </si>
  <si>
    <t>Anterior margin: Involved by tumour, Posterior margin: Involved by tumour, Lateral margin: Less than 0.1 mm</t>
  </si>
  <si>
    <t>4 mm</t>
  </si>
  <si>
    <t>15g</t>
  </si>
  <si>
    <t>27 x 22 x 17 mm</t>
  </si>
  <si>
    <t>27g</t>
  </si>
  <si>
    <t>16 mm</t>
  </si>
  <si>
    <t>Focal penetration through the thin fibrous capsule</t>
  </si>
  <si>
    <t>40g.</t>
  </si>
  <si>
    <t>25 x 15 x 15 mm</t>
  </si>
  <si>
    <t>36 x 32 x 26 mm</t>
  </si>
  <si>
    <t>24g</t>
  </si>
  <si>
    <t>8 mm</t>
  </si>
  <si>
    <t>Uninvolved by carcinoma, closest 3mm from anterior margin.</t>
  </si>
  <si>
    <t>isthmic side resection end</t>
  </si>
  <si>
    <t>1.5 cm</t>
  </si>
  <si>
    <t>Lymphovascular permeation is present.</t>
  </si>
  <si>
    <t>present</t>
  </si>
  <si>
    <t>1.2 cm</t>
  </si>
  <si>
    <t>Central neck, Right level 2, 3, 4</t>
  </si>
  <si>
    <t>9mm</t>
  </si>
  <si>
    <t>Right lateral neck level II,III,IV</t>
  </si>
  <si>
    <t>Microscopic extrathyroidal extension to skeletal muscle anterior to the thyroid gland is present</t>
  </si>
  <si>
    <t>2.2mm</t>
  </si>
  <si>
    <t>Hurthle cell</t>
  </si>
  <si>
    <t>isthmus</t>
  </si>
  <si>
    <t>0.5 cm</t>
  </si>
  <si>
    <t>12 mm</t>
  </si>
  <si>
    <t>4.5 x 3 x 2cm</t>
  </si>
  <si>
    <t>Anterior and posterior margins focally involved.</t>
  </si>
  <si>
    <t>6 cm superoinferiorly, 3.2 cm transversely and 2.5 cm anteroposteriorly</t>
  </si>
  <si>
    <t>Focally into adjacent fibroadipose tissue</t>
  </si>
  <si>
    <t>28g</t>
  </si>
  <si>
    <t>18/11/2021</t>
  </si>
  <si>
    <t>2.5 cm</t>
  </si>
  <si>
    <t>left lateral neck, left central compartment, level II,III,IV</t>
  </si>
  <si>
    <t>partly surrounded</t>
  </si>
  <si>
    <t>Anterior surface : Focally involved by carcinoma</t>
  </si>
  <si>
    <t>Microscopic invasive of the surrounding fat at the 2 mm tumor nodule.</t>
  </si>
  <si>
    <t>right central compartment</t>
  </si>
  <si>
    <t>several</t>
  </si>
  <si>
    <t>14g</t>
  </si>
  <si>
    <t>Gross extrathyroidal extension to overlying strap muscle</t>
  </si>
  <si>
    <t>Negative</t>
  </si>
  <si>
    <t>Positive</t>
  </si>
  <si>
    <t>Suspected Cancer</t>
  </si>
  <si>
    <t>Margins uninvolved</t>
  </si>
  <si>
    <t>central compartment</t>
  </si>
  <si>
    <t>Anterior margin: Involved by invasive carcinoma (block 5)</t>
  </si>
  <si>
    <t>Nontoxic</t>
  </si>
  <si>
    <t>uninodular</t>
  </si>
  <si>
    <t>&lt; 4</t>
  </si>
  <si>
    <t xml:space="preserve"> focally noted</t>
  </si>
  <si>
    <t>Uninvolved by carcinoma: 0.3 mm from anterior margin.</t>
  </si>
  <si>
    <t>lateral neck lymph nodes, levels I, II, III, IV, or V or retropharyngeal lymph nodes</t>
  </si>
  <si>
    <t>not mentioned</t>
  </si>
  <si>
    <t>Left, level II-VB, central compartment, encasing Lt IJV / phrenic nerve / CNX</t>
  </si>
  <si>
    <t>non-invasive follicular thyroid neoplasm with papillary-like nuclear features</t>
  </si>
  <si>
    <t>BRAF, KRAS or NRAS</t>
  </si>
  <si>
    <t>central, III</t>
  </si>
  <si>
    <t>level VI, pretracheal, paratracheal, or prelaryngeal/Delphian, or upper mediastinal</t>
  </si>
  <si>
    <t>Posterior margin: involved by carcinoma, Anterior margin : 0.3 mm, Lateral margin  : less than 0.1 mm</t>
  </si>
  <si>
    <t>right, central</t>
  </si>
  <si>
    <t>Indeterminate</t>
  </si>
  <si>
    <t>minimal microscopic clearance of &lt;1 mm from the anterior surface.</t>
  </si>
  <si>
    <t>Partially encapsulated, while in other areas have an invasive front.</t>
  </si>
  <si>
    <t>The anterior, posterior and lateral surfaces are clear by 0.4 mm, 0.9 mm and 1.5 mm respectively (Block 2). The superior and inferior surfaces are grossly well clear.</t>
  </si>
  <si>
    <t>5 cm</t>
  </si>
  <si>
    <t>Posterior surface</t>
  </si>
  <si>
    <t>close to resection margins</t>
  </si>
  <si>
    <t>22 mm</t>
  </si>
  <si>
    <t>Uninvolved</t>
  </si>
  <si>
    <t>Left central compartment, Left level 2, 3, 4 cervical</t>
  </si>
  <si>
    <t>one</t>
  </si>
  <si>
    <t>?</t>
  </si>
  <si>
    <t>carcinoma</t>
  </si>
  <si>
    <t>4 or more</t>
  </si>
  <si>
    <t>Focal capsular invasion</t>
  </si>
  <si>
    <t>microcarcinoma</t>
  </si>
  <si>
    <t>CA</t>
  </si>
  <si>
    <t>Extensive (= or &gt;4 vessels)</t>
  </si>
  <si>
    <t>&gt;4</t>
  </si>
  <si>
    <t>Invading subcutaneous soft tissues, larynx, trachea, esophagus or recurrent laryngeal nerve (please correlate with surgical and radiological findings)</t>
  </si>
  <si>
    <t>Involved by carcinoma, specify:
- Deep margin: Involved (block A1, A7, A8)
- Superior pole margin: Involved (A1)</t>
  </si>
  <si>
    <t>larynx and part of carotid sheath</t>
  </si>
  <si>
    <t>Posterior, Inferior</t>
  </si>
  <si>
    <t>2</t>
  </si>
  <si>
    <t>IVA</t>
  </si>
  <si>
    <t>IVB</t>
  </si>
  <si>
    <t>CLASSIFICATION RESULT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</si>
  <si>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</si>
  <si>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</si>
  <si>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</si>
  <si>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</si>
  <si>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</si>
  <si>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t>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</si>
</sst>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/>
    <xf numFmtId="9" fontId="9" fillId="0" borderId="0" applyFont="0" applyFill="0" applyBorder="0" applyAlignment="0" applyProtection="0"/>
    <xf numFmtId="0" fontId="4" fillId="0" borderId="0"/>
    <xf numFmtId="0" fontId="3" fillId="0" borderId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5" borderId="0" applyNumberFormat="0" applyBorder="0" applyAlignment="0" applyProtection="0"/>
    <xf numFmtId="0" fontId="18" fillId="7" borderId="9" applyNumberFormat="0" applyAlignment="0" applyProtection="0"/>
    <xf numFmtId="0" fontId="19" fillId="8" borderId="10" applyNumberFormat="0" applyAlignment="0" applyProtection="0"/>
    <xf numFmtId="0" fontId="20" fillId="8" borderId="9" applyNumberFormat="0" applyAlignment="0" applyProtection="0"/>
    <xf numFmtId="0" fontId="21" fillId="0" borderId="11" applyNumberFormat="0" applyFill="0" applyAlignment="0" applyProtection="0"/>
    <xf numFmtId="0" fontId="22" fillId="9" borderId="12" applyNumberFormat="0" applyAlignment="0" applyProtection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4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4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4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4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4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4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5" fillId="6" borderId="0" applyNumberFormat="0" applyBorder="0" applyAlignment="0" applyProtection="0"/>
    <xf numFmtId="0" fontId="2" fillId="10" borderId="13" applyNumberFormat="0" applyFont="0" applyAlignment="0" applyProtection="0"/>
    <xf numFmtId="0" fontId="24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2">
    <xf numFmtId="0" fontId="0" fillId="0" borderId="0" xfId="0"/>
    <xf numFmtId="0" fontId="5" fillId="0" borderId="0" xfId="0" applyFont="1"/>
    <xf numFmtId="0" fontId="5" fillId="0" borderId="1" xfId="0" applyFont="1" applyBorder="1"/>
    <xf numFmtId="0" fontId="8" fillId="0" borderId="0" xfId="0" applyFont="1" applyAlignment="1">
      <alignment horizontal="center" vertical="center"/>
    </xf>
    <xf numFmtId="0" fontId="10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 wrapText="1"/>
    </xf>
    <xf numFmtId="1" fontId="8" fillId="0" borderId="4" xfId="0" applyNumberFormat="1" applyFont="1" applyBorder="1" applyAlignment="1">
      <alignment horizontal="center"/>
    </xf>
    <xf numFmtId="10" fontId="8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0" fontId="0" fillId="0" borderId="0" xfId="0" applyAlignment="1">
      <alignment wrapText="1"/>
    </xf>
    <xf numFmtId="1" fontId="10" fillId="0" borderId="5" xfId="0" applyNumberFormat="1" applyFont="1" applyBorder="1" applyAlignment="1">
      <alignment horizontal="center" vertical="center"/>
    </xf>
    <xf numFmtId="1" fontId="8" fillId="0" borderId="0" xfId="0" applyNumberFormat="1" applyFont="1" applyAlignment="1">
      <alignment horizontal="center"/>
    </xf>
    <xf numFmtId="1" fontId="10" fillId="0" borderId="16" xfId="0" applyNumberFormat="1" applyFont="1" applyBorder="1" applyAlignment="1">
      <alignment horizontal="center" vertical="center"/>
    </xf>
    <xf numFmtId="1" fontId="8" fillId="0" borderId="15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8" fillId="0" borderId="5" xfId="0" applyNumberFormat="1" applyFont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0" fillId="0" borderId="3" xfId="0" applyBorder="1"/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2" fontId="10" fillId="0" borderId="2" xfId="0" applyNumberFormat="1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10" fillId="2" borderId="0" xfId="0" applyFont="1" applyFill="1" applyAlignment="1">
      <alignment horizontal="center"/>
    </xf>
    <xf numFmtId="1" fontId="10" fillId="3" borderId="4" xfId="0" applyNumberFormat="1" applyFont="1" applyFill="1" applyBorder="1" applyAlignment="1">
      <alignment horizontal="center"/>
    </xf>
    <xf numFmtId="1" fontId="10" fillId="3" borderId="0" xfId="0" applyNumberFormat="1" applyFont="1" applyFill="1" applyAlignment="1">
      <alignment horizontal="center"/>
    </xf>
    <xf numFmtId="1" fontId="10" fillId="3" borderId="15" xfId="0" applyNumberFormat="1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1328125" customWidth="1"/>
    <col min="6" max="6" width="10.796875" style="17"/>
    <col min="8" max="8" width="12.33203125" customWidth="1"/>
    <col min="9" max="9" width="11.796875" style="17" customWidth="1"/>
    <col min="10" max="10" width="13.73046875" style="17" customWidth="1"/>
    <col min="11" max="11" width="12.79687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customWidth="1"/>
    <col min="23" max="23" width="12.5312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2.1328125" customWidth="1"/>
    <col min="39" max="44" width="10.796875" customWidth="1"/>
    <col min="45" max="47" width="10.6640625" customWidth="1"/>
  </cols>
  <sheetData>
    <row r="1" spans="1:47" s="4" customFormat="1">
      <c r="A1" s="48" t="s">
        <v>376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19"/>
      <c r="AG1" s="49" t="s">
        <v>371</v>
      </c>
      <c r="AH1" s="50"/>
      <c r="AI1" s="50"/>
      <c r="AJ1" s="50"/>
      <c r="AK1" s="50"/>
      <c r="AL1" s="49" t="s">
        <v>202</v>
      </c>
      <c r="AM1" s="50"/>
      <c r="AN1" s="50"/>
      <c r="AO1" s="50"/>
      <c r="AP1" s="50"/>
      <c r="AQ1" s="49" t="s">
        <v>203</v>
      </c>
      <c r="AR1" s="50"/>
      <c r="AS1" s="50"/>
      <c r="AT1" s="50"/>
      <c r="AU1" s="51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172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372</v>
      </c>
      <c r="N2" s="43" t="s">
        <v>373</v>
      </c>
      <c r="O2" s="5" t="s">
        <v>13</v>
      </c>
      <c r="P2" s="5" t="s">
        <v>14</v>
      </c>
      <c r="Q2" s="5" t="s">
        <v>15</v>
      </c>
      <c r="R2" s="6" t="s">
        <v>374</v>
      </c>
      <c r="S2" s="43" t="s">
        <v>375</v>
      </c>
      <c r="T2" s="5" t="s">
        <v>16</v>
      </c>
      <c r="U2" s="5" t="s">
        <v>17</v>
      </c>
      <c r="V2" s="5" t="s">
        <v>18</v>
      </c>
      <c r="W2" s="6" t="s">
        <v>215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377</v>
      </c>
      <c r="AE2" s="5" t="s">
        <v>279</v>
      </c>
      <c r="AF2" s="7"/>
      <c r="AG2" s="25" t="s">
        <v>148</v>
      </c>
      <c r="AH2" s="8" t="s">
        <v>149</v>
      </c>
      <c r="AI2" s="8" t="s">
        <v>150</v>
      </c>
      <c r="AJ2" s="8" t="s">
        <v>151</v>
      </c>
      <c r="AK2" s="8" t="s">
        <v>152</v>
      </c>
      <c r="AL2" s="9" t="s">
        <v>148</v>
      </c>
      <c r="AM2" s="8" t="s">
        <v>149</v>
      </c>
      <c r="AN2" s="8" t="s">
        <v>150</v>
      </c>
      <c r="AO2" s="8" t="s">
        <v>151</v>
      </c>
      <c r="AP2" s="8" t="s">
        <v>152</v>
      </c>
      <c r="AQ2" s="9" t="s">
        <v>148</v>
      </c>
      <c r="AR2" s="8" t="s">
        <v>149</v>
      </c>
      <c r="AS2" s="8" t="s">
        <v>150</v>
      </c>
      <c r="AT2" s="8" t="s">
        <v>151</v>
      </c>
      <c r="AU2" s="27" t="s">
        <v>152</v>
      </c>
    </row>
    <row r="3" spans="1:47">
      <c r="A3" s="13">
        <v>1</v>
      </c>
      <c r="B3" s="16">
        <f>_xlfn.MAXIFS('Model output'!B:B,'Model output'!Z:Z,'Classification result'!$A3)</f>
        <v>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7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 t="shared" ref="Y3:Y24" si="1">IF(OR(ISNUMBER(SEARCH("soft tissue", AD3)), ISNUMBER(SEARCH("adipose tissue", AD3)), ISNUMBER(SEARCH("muscles", AD3)), ISNUMBER(SEARCH("microscopic", AD3)), ISNUMBER(SEARCH("positive",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40" t="str">
        <f t="shared" ref="AG3:AG37" si="2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44" t="str">
        <f>IF(OR(ISNUMBER(SEARCH("non-invasive follicular",O3,1)), ISNUMBER(SEARCH("papillary-like nuclear features",P3,1)), ISNUMBER(SEARCH("non-invasive follicular",P3,1)),ISNUMBER(SEARCH("papillary-like nuclear features",P3,1))),"NIFTP",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44">
        <f>IF(OR(ISNUMBER(SEARCH("non-invasive follicular",O3,1)), ISNUMBER(SEARCH("papillary-like nuclear features",P3,1)), ISNUMBER(SEARCH("non-invasive follicular",P3,1)),ISNUMBER(SEARCH("papillary-like nuclear features",P3,1))),"NIFTP",IF(AND(K3&gt;0,G3="positive",H3="central"),"1a",IF(AND(K3&gt;0,G3="positive",H3="lateral"),"1b",IF(AND(K3=0,J3=0),"x",0))))</f>
        <v>0</v>
      </c>
      <c r="AJ3" s="44">
        <f>IF(OR(ISNUMBER(SEARCH("non-invasive follicular",O3,1)), ISNUMBER(SEARCH("papillary-like nuclear features",P3,1)), ISNUMBER(SEARCH("non-invasive follicular",P3,1)),ISNUMBER(SEARCH("papillary-like nuclear features",P3,1))),"NIFTP",IF(I3="unknown","x",IF(I3="negative",0,1)))</f>
        <v>0</v>
      </c>
      <c r="AK3" s="45" t="str">
        <f>IF(OR(ISNUMBER(SEARCH("non-invasive follicular",O3,1)), ISNUMBER(SEARCH("papillary-like nuclear features",P3,1)), ISNUMBER(SEARCH("non-invasive follicular",P3,1)),ISNUMBER(SEARCH("papillary-like nuclear features",P3,1)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10" t="s">
        <v>171</v>
      </c>
      <c r="AM3" s="26" t="s">
        <v>195</v>
      </c>
      <c r="AN3" s="26" t="s">
        <v>196</v>
      </c>
      <c r="AO3" s="26">
        <v>0</v>
      </c>
      <c r="AP3" s="26" t="s">
        <v>31</v>
      </c>
      <c r="AQ3" s="10">
        <f t="shared" ref="AQ3:AQ37" si="3">IF(AL3=AG3,1,0)</f>
        <v>1</v>
      </c>
      <c r="AR3" s="26">
        <f t="shared" ref="AR3:AR37" si="4">IF(AM3=AH3,1,0)</f>
        <v>1</v>
      </c>
      <c r="AS3" s="26">
        <f>IF(AI3=AN3,1,IF(OR(AND(AN3="x",AI3=0),AND(AI3="x",AN3=0)),1,0))</f>
        <v>1</v>
      </c>
      <c r="AT3" s="26">
        <f>IF(AO3=AJ3,1,0)</f>
        <v>1</v>
      </c>
      <c r="AU3" s="28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0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5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7" t="str">
        <f t="shared" si="1"/>
        <v>negative</v>
      </c>
      <c r="AC4" s="17" t="str">
        <f t="shared" ref="AC4:AC37" si="6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1" t="str">
        <f t="shared" si="2"/>
        <v>low</v>
      </c>
      <c r="AH4" s="38" t="str">
        <f t="shared" ref="AH4:AH37" si="7">IF(OR(ISNUMBER(SEARCH("non-invasive follicular",O4,1)), ISNUMBER(SEARCH("papillary-like nuclear features",P4,1)), ISNUMBER(SEARCH("non-invasive follicular",P4,1)),ISNUMBER(SEARCH("papillary-like nuclear features",P4,1))),"NIFTP", IF(OR(D4="4b",AND(AC4="positive",OR(ISNUMBER(SEARCH("prevertebral",AD4)),ISNUMBER(SEARCH("fascia",AD4)),ISNUMBER(SEARCH("carotid artery",AD4)),ISNUMBER(SEARCH("mediastinal",AD4))))),"4b",IF(OR(D4="4a",AND(AC4="positive",OR(ISNUMBER(SEARCH("soft tissue",AD4)),ISNUMBER(SEARCH("larynx",AD4)),ISNUMBER(SEARCH("trachea",AD4)),ISNUMBER(SEARCH("esophagus",AD4)),ISNUMBER(SEARCH("recurrent laryngeal nerve",AD4)),ISNUMBER(SEARCH("RLN",AD4))))),"4a", IF(OR(D4="3b", AC4="positive",ISNUMBER(SEARCH("strap",AD4)),ISNUMBER(SEARCH("sternothyroid",AD4)),ISNUMBER(SEARCH("sternohyoid",AD4)),ISNUMBER(SEARCH("thyrohyoid",AD4)),ISNUMBER(SEARCH("omohyoid",AD4))),"3b",IF(OR(D4="3a", AND(S4&lt;&gt;"",S4&gt;4)),"3a",IF(AND(S4&lt;&gt;"", S4&lt;=4,S4&gt;2),"2",IF(AND(S4&lt;&gt;"",S4&lt;=2,S4&gt;1),"1b",IF(AND(S4&lt;&gt;"",S4&lt;=1),"1a","1a"))))))))</f>
        <v>2</v>
      </c>
      <c r="AI4" s="38" t="str">
        <f t="shared" ref="AI4:AI37" si="8">IF(OR(ISNUMBER(SEARCH("non-invasive follicular",O4,1)), ISNUMBER(SEARCH("papillary-like nuclear features",P4,1)), ISNUMBER(SEARCH("non-invasive follicular",P4,1)),ISNUMBER(SEARCH("papillary-like nuclear features",P4,1))),"NIFTP",IF(AND(K4&gt;0,G4="positive",H4="central"),"1a",IF(AND(K4&gt;0,G4="positive",H4="lateral"),"1b",IF(AND(K4=0,J4=0),"x",0))))</f>
        <v>x</v>
      </c>
      <c r="AJ4" s="38">
        <f t="shared" ref="AJ4:AJ37" si="9">IF(OR(ISNUMBER(SEARCH("non-invasive follicular",O4,1)), ISNUMBER(SEARCH("papillary-like nuclear features",P4,1)), ISNUMBER(SEARCH("non-invasive follicular",P4,1)),ISNUMBER(SEARCH("papillary-like nuclear features",P4,1))),"NIFTP",IF(I4="unknown","x",IF(I4="negative",0,1)))</f>
        <v>0</v>
      </c>
      <c r="AK4" s="46" t="str">
        <f t="shared" ref="AK4:AK37" si="10">IF(OR(ISNUMBER(SEARCH("non-invasive follicular",O4,1)), ISNUMBER(SEARCH("papillary-like nuclear features",P4,1)), ISNUMBER(SEARCH("non-invasive follicular",P4,1)),ISNUMBER(SEARCH("papillary-like nuclear features",P4,1)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10" t="s">
        <v>171</v>
      </c>
      <c r="AM4" s="26" t="s">
        <v>368</v>
      </c>
      <c r="AN4" s="26" t="s">
        <v>196</v>
      </c>
      <c r="AO4" s="26">
        <v>0</v>
      </c>
      <c r="AP4" s="26" t="s">
        <v>31</v>
      </c>
      <c r="AQ4" s="10">
        <f t="shared" si="3"/>
        <v>1</v>
      </c>
      <c r="AR4" s="26">
        <f t="shared" si="4"/>
        <v>1</v>
      </c>
      <c r="AS4" s="26">
        <f t="shared" ref="AS4:AS37" si="11">IF(AI4=AN4,1,IF(OR(AND(AN4="x",AI4=0),AND(AI4="x",AN4=0)),1,0))</f>
        <v>1</v>
      </c>
      <c r="AT4" s="26">
        <f t="shared" ref="AT4:AU37" si="12">IF(AO4=AJ4,1,0)</f>
        <v>1</v>
      </c>
      <c r="AU4" s="28">
        <f t="shared" si="12"/>
        <v>1</v>
      </c>
    </row>
    <row r="5" spans="1:47">
      <c r="A5" s="13">
        <v>3</v>
      </c>
      <c r="B5" s="16">
        <f>_xlfn.MAXIFS('Model output'!B:B,'Model output'!Z:Z,'Classification result'!$A5)</f>
        <v>0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8mm&amp;2mm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5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"/>
        <v>positive</v>
      </c>
      <c r="AC5" s="17" t="str">
        <f t="shared" si="6"/>
        <v>negative</v>
      </c>
      <c r="AD5" t="str" cm="1">
        <f t="array" ref="AD5">_xlfn.TEXTJOIN("; ",TRUE,_xlfn._xlws.FILTER('Model output'!S:S,'Model output'!Z:Z=A5))</f>
        <v>Microscopic invasive of the surrounding fat at the 2 mm tumor nodule.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1" t="str">
        <f t="shared" si="2"/>
        <v>intermediate</v>
      </c>
      <c r="AH5" s="38" t="str">
        <f t="shared" si="7"/>
        <v>1a</v>
      </c>
      <c r="AI5" s="38" t="str">
        <f t="shared" si="8"/>
        <v>1a</v>
      </c>
      <c r="AJ5" s="38">
        <f t="shared" si="9"/>
        <v>0</v>
      </c>
      <c r="AK5" s="46" t="str">
        <f t="shared" si="10"/>
        <v>I</v>
      </c>
      <c r="AL5" s="10" t="s">
        <v>169</v>
      </c>
      <c r="AM5" s="26" t="s">
        <v>197</v>
      </c>
      <c r="AN5" s="26" t="s">
        <v>197</v>
      </c>
      <c r="AO5" s="26">
        <v>0</v>
      </c>
      <c r="AP5" s="26" t="s">
        <v>31</v>
      </c>
      <c r="AQ5" s="10">
        <f t="shared" si="3"/>
        <v>1</v>
      </c>
      <c r="AR5" s="26">
        <f t="shared" si="4"/>
        <v>1</v>
      </c>
      <c r="AS5" s="26">
        <f t="shared" si="11"/>
        <v>1</v>
      </c>
      <c r="AT5" s="26">
        <f t="shared" si="12"/>
        <v>1</v>
      </c>
      <c r="AU5" s="28">
        <f t="shared" si="12"/>
        <v>1</v>
      </c>
    </row>
    <row r="6" spans="1:47">
      <c r="A6" s="13">
        <v>4</v>
      </c>
      <c r="B6" s="16">
        <f>_xlfn.MAXIFS('Model output'!B:B,'Model output'!Z:Z,'Classification result'!$A6)</f>
        <v>0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5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7" t="str">
        <f t="shared" si="1"/>
        <v>positive</v>
      </c>
      <c r="AC6" s="17" t="str">
        <f t="shared" si="6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1" t="str">
        <f t="shared" si="2"/>
        <v>intermediate</v>
      </c>
      <c r="AH6" s="38" t="str">
        <f t="shared" si="7"/>
        <v>1b</v>
      </c>
      <c r="AI6" s="38" t="str">
        <f t="shared" si="8"/>
        <v>1a</v>
      </c>
      <c r="AJ6" s="38">
        <f t="shared" si="9"/>
        <v>0</v>
      </c>
      <c r="AK6" s="46" t="str">
        <f t="shared" si="10"/>
        <v>II</v>
      </c>
      <c r="AL6" s="10" t="s">
        <v>169</v>
      </c>
      <c r="AM6" s="38" t="s">
        <v>195</v>
      </c>
      <c r="AN6" s="26" t="s">
        <v>197</v>
      </c>
      <c r="AO6" s="26">
        <v>0</v>
      </c>
      <c r="AP6" s="26" t="s">
        <v>43</v>
      </c>
      <c r="AQ6" s="10">
        <f t="shared" si="3"/>
        <v>1</v>
      </c>
      <c r="AR6" s="26">
        <f t="shared" si="4"/>
        <v>1</v>
      </c>
      <c r="AS6" s="26">
        <f t="shared" si="11"/>
        <v>1</v>
      </c>
      <c r="AT6" s="26">
        <f t="shared" si="12"/>
        <v>1</v>
      </c>
      <c r="AU6" s="28">
        <f t="shared" si="12"/>
        <v>1</v>
      </c>
    </row>
    <row r="7" spans="1:47">
      <c r="A7" s="13">
        <v>5</v>
      </c>
      <c r="B7" s="16">
        <f>_xlfn.MAXIFS('Model output'!B:B,'Model output'!Z:Z,'Classification result'!$A7)</f>
        <v>0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5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7" t="str">
        <f t="shared" si="1"/>
        <v>positive</v>
      </c>
      <c r="AC7" s="17" t="str">
        <f t="shared" si="6"/>
        <v>positive</v>
      </c>
      <c r="AD7" t="str" cm="1">
        <f t="array" ref="AD7">_xlfn.TEXTJOIN("; ",TRUE,_xlfn._xlws.FILTER('Model output'!S:S,'Model output'!Z:Z=A7))</f>
        <v>Invading soft tissue and strap muscles; Present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1" t="str">
        <f t="shared" si="2"/>
        <v>high</v>
      </c>
      <c r="AH7" s="38" t="str">
        <f t="shared" si="7"/>
        <v>4a</v>
      </c>
      <c r="AI7" s="38" t="str">
        <f t="shared" si="8"/>
        <v>1a</v>
      </c>
      <c r="AJ7" s="38">
        <f t="shared" si="9"/>
        <v>0</v>
      </c>
      <c r="AK7" s="46" t="str">
        <f t="shared" si="10"/>
        <v>I</v>
      </c>
      <c r="AL7" s="10" t="s">
        <v>170</v>
      </c>
      <c r="AM7" s="26" t="s">
        <v>198</v>
      </c>
      <c r="AN7" s="26" t="s">
        <v>197</v>
      </c>
      <c r="AO7" s="26">
        <v>0</v>
      </c>
      <c r="AP7" s="26" t="s">
        <v>31</v>
      </c>
      <c r="AQ7" s="10">
        <f t="shared" si="3"/>
        <v>1</v>
      </c>
      <c r="AR7" s="26">
        <f t="shared" si="4"/>
        <v>0</v>
      </c>
      <c r="AS7" s="26">
        <f t="shared" si="11"/>
        <v>1</v>
      </c>
      <c r="AT7" s="26">
        <f t="shared" si="12"/>
        <v>1</v>
      </c>
      <c r="AU7" s="28">
        <f t="shared" si="12"/>
        <v>1</v>
      </c>
    </row>
    <row r="8" spans="1:47">
      <c r="A8" s="13">
        <v>6</v>
      </c>
      <c r="B8" s="16">
        <f>_xlfn.MAXIFS('Model output'!B:B,'Model output'!Z:Z,'Classification result'!$A8)</f>
        <v>45416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2</v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5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"/>
        <v>negative</v>
      </c>
      <c r="AC8" s="17" t="str">
        <f t="shared" si="6"/>
        <v>negative</v>
      </c>
      <c r="AD8" t="str" cm="1">
        <f t="array" ref="AD8">_xlfn.TEXTJOIN("; ",TRUE,_xlfn._xlws.FILTER('Model output'!S:S,'Model output'!Z:Z=A8))</f>
        <v/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1" t="str">
        <f t="shared" si="2"/>
        <v>low</v>
      </c>
      <c r="AH8" s="38" t="str">
        <f t="shared" si="7"/>
        <v>1b</v>
      </c>
      <c r="AI8" s="38" t="str">
        <f t="shared" si="8"/>
        <v>x</v>
      </c>
      <c r="AJ8" s="38">
        <f t="shared" si="9"/>
        <v>0</v>
      </c>
      <c r="AK8" s="46" t="str">
        <f t="shared" si="10"/>
        <v>I</v>
      </c>
      <c r="AL8" s="10" t="s">
        <v>171</v>
      </c>
      <c r="AM8" s="38" t="s">
        <v>196</v>
      </c>
      <c r="AN8" s="26" t="s">
        <v>196</v>
      </c>
      <c r="AO8" s="26">
        <v>0</v>
      </c>
      <c r="AP8" s="26" t="s">
        <v>31</v>
      </c>
      <c r="AQ8" s="10">
        <f t="shared" si="3"/>
        <v>1</v>
      </c>
      <c r="AR8" s="26">
        <f t="shared" si="4"/>
        <v>0</v>
      </c>
      <c r="AS8" s="26">
        <f t="shared" si="11"/>
        <v>1</v>
      </c>
      <c r="AT8" s="26">
        <f t="shared" si="12"/>
        <v>1</v>
      </c>
      <c r="AU8" s="28">
        <f t="shared" si="12"/>
        <v>1</v>
      </c>
    </row>
    <row r="9" spans="1:47">
      <c r="A9" s="13">
        <v>7</v>
      </c>
      <c r="B9" s="16">
        <f>_xlfn.MAXIFS('Model output'!B:B,'Model output'!Z:Z,'Classification result'!$A9)</f>
        <v>0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5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"/>
        <v>negative</v>
      </c>
      <c r="AC9" s="17" t="str">
        <f t="shared" si="6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1" t="str">
        <f t="shared" si="2"/>
        <v>low</v>
      </c>
      <c r="AH9" s="38" t="str">
        <f t="shared" si="7"/>
        <v>1a</v>
      </c>
      <c r="AI9" s="38">
        <f t="shared" si="8"/>
        <v>0</v>
      </c>
      <c r="AJ9" s="38">
        <f t="shared" si="9"/>
        <v>0</v>
      </c>
      <c r="AK9" s="46" t="str">
        <f t="shared" si="10"/>
        <v>I</v>
      </c>
      <c r="AL9" s="10" t="s">
        <v>171</v>
      </c>
      <c r="AM9" s="26" t="s">
        <v>197</v>
      </c>
      <c r="AN9" s="26" t="s">
        <v>196</v>
      </c>
      <c r="AO9" s="26">
        <v>0</v>
      </c>
      <c r="AP9" s="26" t="s">
        <v>31</v>
      </c>
      <c r="AQ9" s="10">
        <f t="shared" si="3"/>
        <v>1</v>
      </c>
      <c r="AR9" s="26">
        <f t="shared" si="4"/>
        <v>1</v>
      </c>
      <c r="AS9" s="26">
        <f t="shared" si="11"/>
        <v>1</v>
      </c>
      <c r="AT9" s="26">
        <f t="shared" si="12"/>
        <v>1</v>
      </c>
      <c r="AU9" s="28">
        <f t="shared" si="12"/>
        <v>1</v>
      </c>
    </row>
    <row r="10" spans="1:47">
      <c r="A10" s="13">
        <v>8</v>
      </c>
      <c r="B10" s="16">
        <f>_xlfn.MAXIFS('Model output'!B:B,'Model output'!Z:Z,'Classification result'!$A10)</f>
        <v>0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5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1"/>
        <v>negative</v>
      </c>
      <c r="AC10" s="17" t="str">
        <f t="shared" si="6"/>
        <v>negative</v>
      </c>
      <c r="AD10" t="str" cm="1">
        <f t="array" ref="AD10">_xlfn.TEXTJOIN("; ",TRUE,_xlfn._xlws.FILTER('Model output'!S:S,'Model output'!Z:Z=A10))</f>
        <v>Not identified</v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1" t="str">
        <f t="shared" si="2"/>
        <v>low</v>
      </c>
      <c r="AH10" s="38" t="str">
        <f t="shared" si="7"/>
        <v>1b</v>
      </c>
      <c r="AI10" s="38" t="str">
        <f t="shared" si="8"/>
        <v>x</v>
      </c>
      <c r="AJ10" s="38">
        <f t="shared" si="9"/>
        <v>0</v>
      </c>
      <c r="AK10" s="46" t="str">
        <f t="shared" si="10"/>
        <v>I</v>
      </c>
      <c r="AL10" s="10" t="s">
        <v>171</v>
      </c>
      <c r="AM10" s="26" t="s">
        <v>195</v>
      </c>
      <c r="AN10" s="26" t="s">
        <v>196</v>
      </c>
      <c r="AO10" s="26">
        <v>0</v>
      </c>
      <c r="AP10" s="26" t="s">
        <v>31</v>
      </c>
      <c r="AQ10" s="10">
        <f t="shared" si="3"/>
        <v>1</v>
      </c>
      <c r="AR10" s="26">
        <f t="shared" si="4"/>
        <v>1</v>
      </c>
      <c r="AS10" s="26">
        <f t="shared" si="11"/>
        <v>1</v>
      </c>
      <c r="AT10" s="26">
        <f t="shared" si="12"/>
        <v>1</v>
      </c>
      <c r="AU10" s="28">
        <f t="shared" si="12"/>
        <v>1</v>
      </c>
    </row>
    <row r="11" spans="1:47">
      <c r="A11" s="13">
        <v>9</v>
      </c>
      <c r="B11" s="16">
        <f>_xlfn.MAXIFS('Model output'!B:B,'Model output'!Z:Z,'Classification result'!$A11)</f>
        <v>45537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X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5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"/>
        <v>negative</v>
      </c>
      <c r="AC11" s="17" t="str">
        <f t="shared" si="6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1" t="str">
        <f t="shared" si="2"/>
        <v>low</v>
      </c>
      <c r="AH11" s="38" t="str">
        <f t="shared" si="7"/>
        <v>2</v>
      </c>
      <c r="AI11" s="38" t="str">
        <f t="shared" si="8"/>
        <v>1a</v>
      </c>
      <c r="AJ11" s="38">
        <f t="shared" si="9"/>
        <v>0</v>
      </c>
      <c r="AK11" s="46" t="str">
        <f t="shared" si="10"/>
        <v>II</v>
      </c>
      <c r="AL11" s="10" t="s">
        <v>169</v>
      </c>
      <c r="AM11" s="26" t="s">
        <v>368</v>
      </c>
      <c r="AN11" s="26" t="s">
        <v>197</v>
      </c>
      <c r="AO11" s="26">
        <v>0</v>
      </c>
      <c r="AP11" s="26" t="s">
        <v>43</v>
      </c>
      <c r="AQ11" s="10">
        <f t="shared" si="3"/>
        <v>0</v>
      </c>
      <c r="AR11" s="26">
        <f t="shared" si="4"/>
        <v>1</v>
      </c>
      <c r="AS11" s="26">
        <f t="shared" si="11"/>
        <v>1</v>
      </c>
      <c r="AT11" s="26">
        <f t="shared" si="12"/>
        <v>1</v>
      </c>
      <c r="AU11" s="28">
        <f t="shared" si="12"/>
        <v>1</v>
      </c>
    </row>
    <row r="12" spans="1:47">
      <c r="A12" s="13">
        <v>10</v>
      </c>
      <c r="B12" s="16">
        <f>_xlfn.MAXIFS('Model output'!B:B,'Model output'!Z:Z,'Classification result'!$A12)</f>
        <v>0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5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1"/>
        <v>negative</v>
      </c>
      <c r="AC12" s="17" t="str">
        <f t="shared" si="6"/>
        <v>negative</v>
      </c>
      <c r="AD12" t="str" cm="1">
        <f t="array" ref="AD12">_xlfn.TEXTJOIN("; ",TRUE,_xlfn._xlws.FILTER('Model output'!S:S,'Model output'!Z:Z=A12))</f>
        <v>Not identified</v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1" t="str">
        <f t="shared" si="2"/>
        <v>low</v>
      </c>
      <c r="AH12" s="38" t="str">
        <f t="shared" si="7"/>
        <v>1b</v>
      </c>
      <c r="AI12" s="38" t="str">
        <f t="shared" si="8"/>
        <v>1a</v>
      </c>
      <c r="AJ12" s="38">
        <f t="shared" si="9"/>
        <v>0</v>
      </c>
      <c r="AK12" s="46" t="str">
        <f t="shared" si="10"/>
        <v>I</v>
      </c>
      <c r="AL12" s="10" t="s">
        <v>171</v>
      </c>
      <c r="AM12" s="26" t="s">
        <v>195</v>
      </c>
      <c r="AN12" s="26" t="s">
        <v>197</v>
      </c>
      <c r="AO12" s="26">
        <v>0</v>
      </c>
      <c r="AP12" s="26" t="s">
        <v>31</v>
      </c>
      <c r="AQ12" s="10">
        <f t="shared" si="3"/>
        <v>1</v>
      </c>
      <c r="AR12" s="26">
        <f t="shared" si="4"/>
        <v>1</v>
      </c>
      <c r="AS12" s="26">
        <f t="shared" si="11"/>
        <v>1</v>
      </c>
      <c r="AT12" s="26">
        <f t="shared" si="12"/>
        <v>1</v>
      </c>
      <c r="AU12" s="28">
        <f t="shared" si="12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5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"/>
        <v>negative</v>
      </c>
      <c r="AC13" s="17" t="str">
        <f t="shared" si="6"/>
        <v>negative</v>
      </c>
      <c r="AD13" t="str" cm="1">
        <f t="array" ref="AD13">_xlfn.TEXTJOIN("; ",TRUE,_xlfn._xlws.FILTER('Model output'!S:S,'Model output'!Z:Z=A13))</f>
        <v>Not identified</v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1" t="str">
        <f t="shared" si="2"/>
        <v>low</v>
      </c>
      <c r="AH13" s="38" t="str">
        <f t="shared" si="7"/>
        <v>3a</v>
      </c>
      <c r="AI13" s="38" t="str">
        <f t="shared" si="8"/>
        <v>x</v>
      </c>
      <c r="AJ13" s="38">
        <f t="shared" si="9"/>
        <v>0</v>
      </c>
      <c r="AK13" s="46" t="str">
        <f t="shared" si="10"/>
        <v>II</v>
      </c>
      <c r="AL13" s="10" t="s">
        <v>171</v>
      </c>
      <c r="AM13" s="26" t="s">
        <v>199</v>
      </c>
      <c r="AN13" s="26" t="s">
        <v>196</v>
      </c>
      <c r="AO13" s="26">
        <v>0</v>
      </c>
      <c r="AP13" s="26" t="s">
        <v>43</v>
      </c>
      <c r="AQ13" s="10">
        <f t="shared" si="3"/>
        <v>1</v>
      </c>
      <c r="AR13" s="26">
        <f t="shared" si="4"/>
        <v>1</v>
      </c>
      <c r="AS13" s="26">
        <f t="shared" si="11"/>
        <v>1</v>
      </c>
      <c r="AT13" s="26">
        <f t="shared" si="12"/>
        <v>1</v>
      </c>
      <c r="AU13" s="28">
        <f t="shared" si="12"/>
        <v>1</v>
      </c>
    </row>
    <row r="14" spans="1:47">
      <c r="A14" s="13">
        <v>12</v>
      </c>
      <c r="B14" s="16">
        <f>_xlfn.MAXIFS('Model output'!B:B,'Model output'!Z:Z,'Classification result'!$A14)</f>
        <v>45356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vessels)&lt; 4</v>
      </c>
      <c r="W14" t="str">
        <f t="shared" si="5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"/>
        <v>negative</v>
      </c>
      <c r="AC14" s="17" t="str">
        <f t="shared" si="6"/>
        <v>negative</v>
      </c>
      <c r="AD14" t="str" cm="1">
        <f t="array" ref="AD14">_xlfn.TEXTJOIN("; ",TRUE,_xlfn._xlws.FILTER('Model output'!S:S,'Model output'!Z:Z=A14))</f>
        <v>Not identified</v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1" t="str">
        <f t="shared" si="2"/>
        <v>low</v>
      </c>
      <c r="AH14" s="38" t="str">
        <f t="shared" si="7"/>
        <v>3a</v>
      </c>
      <c r="AI14" s="38" t="str">
        <f t="shared" si="8"/>
        <v>x</v>
      </c>
      <c r="AJ14" s="38">
        <f t="shared" si="9"/>
        <v>0</v>
      </c>
      <c r="AK14" s="46" t="str">
        <f t="shared" si="10"/>
        <v>II</v>
      </c>
      <c r="AL14" s="10" t="s">
        <v>169</v>
      </c>
      <c r="AM14" s="26" t="s">
        <v>199</v>
      </c>
      <c r="AN14" s="26" t="s">
        <v>196</v>
      </c>
      <c r="AO14" s="26">
        <v>0</v>
      </c>
      <c r="AP14" s="26" t="s">
        <v>43</v>
      </c>
      <c r="AQ14" s="10">
        <f t="shared" si="3"/>
        <v>0</v>
      </c>
      <c r="AR14" s="26">
        <f t="shared" si="4"/>
        <v>1</v>
      </c>
      <c r="AS14" s="26">
        <f t="shared" si="11"/>
        <v>1</v>
      </c>
      <c r="AT14" s="26">
        <f t="shared" si="12"/>
        <v>1</v>
      </c>
      <c r="AU14" s="28">
        <f t="shared" si="12"/>
        <v>1</v>
      </c>
    </row>
    <row r="15" spans="1:47">
      <c r="A15" s="13">
        <v>13</v>
      </c>
      <c r="B15" s="16">
        <f>_xlfn.MAXIFS('Model output'!B:B,'Model output'!Z:Z,'Classification result'!$A15)</f>
        <v>45509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/>
      </c>
      <c r="N15" t="str" cm="1">
        <f t="array" ref="N15">IF(MaxSize((SplitDimensions(M15)))=0, "", MaxSize((SplitDimensions(M15))))</f>
        <v/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5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7" t="str">
        <f t="shared" si="1"/>
        <v>positive</v>
      </c>
      <c r="AC15" s="17" t="str">
        <f t="shared" si="6"/>
        <v>negative</v>
      </c>
      <c r="AD15" t="str" cm="1">
        <f t="array" ref="AD15">_xlfn.TEXTJOIN("; ",TRUE,_xlfn._xlws.FILTER('Model output'!S:S,'Model output'!Z:Z=A15))</f>
        <v>Present; Present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1" t="str">
        <f t="shared" si="2"/>
        <v>intermediate</v>
      </c>
      <c r="AH15" s="38" t="str">
        <f t="shared" si="7"/>
        <v>3a</v>
      </c>
      <c r="AI15" s="38" t="str">
        <f t="shared" si="8"/>
        <v>1b</v>
      </c>
      <c r="AJ15" s="38">
        <f t="shared" si="9"/>
        <v>0</v>
      </c>
      <c r="AK15" s="46" t="str">
        <f t="shared" si="10"/>
        <v>II</v>
      </c>
      <c r="AL15" s="10" t="s">
        <v>170</v>
      </c>
      <c r="AM15" s="26" t="s">
        <v>200</v>
      </c>
      <c r="AN15" s="26" t="s">
        <v>195</v>
      </c>
      <c r="AO15" s="26">
        <v>0</v>
      </c>
      <c r="AP15" s="26" t="s">
        <v>67</v>
      </c>
      <c r="AQ15" s="10">
        <f t="shared" si="3"/>
        <v>0</v>
      </c>
      <c r="AR15" s="26">
        <f t="shared" si="4"/>
        <v>0</v>
      </c>
      <c r="AS15" s="26">
        <f t="shared" si="11"/>
        <v>1</v>
      </c>
      <c r="AT15" s="26">
        <f t="shared" si="12"/>
        <v>1</v>
      </c>
      <c r="AU15" s="28">
        <f t="shared" si="12"/>
        <v>0</v>
      </c>
    </row>
    <row r="16" spans="1:47">
      <c r="A16" s="13">
        <v>14</v>
      </c>
      <c r="B16" s="16">
        <f>_xlfn.MAXIFS('Model output'!B:B,'Model output'!Z:Z,'Classification result'!$A16)</f>
        <v>45630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vessels)&lt; 4</v>
      </c>
      <c r="W16" t="str">
        <f t="shared" si="5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"/>
        <v>positive</v>
      </c>
      <c r="AC16" s="17" t="str">
        <f t="shared" si="6"/>
        <v>positive</v>
      </c>
      <c r="AD16" t="str" cm="1">
        <f t="array" ref="AD16">_xlfn.TEXTJOIN("; ",TRUE,_xlfn._xlws.FILTER('Model output'!S:S,'Model output'!Z:Z=A16))</f>
        <v>Invading only strap muscles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1" t="str">
        <f t="shared" si="2"/>
        <v>high</v>
      </c>
      <c r="AH16" s="38" t="str">
        <f t="shared" si="7"/>
        <v>3b</v>
      </c>
      <c r="AI16" s="38" t="str">
        <f t="shared" si="8"/>
        <v>x</v>
      </c>
      <c r="AJ16" s="38">
        <f t="shared" si="9"/>
        <v>0</v>
      </c>
      <c r="AK16" s="46" t="str">
        <f t="shared" si="10"/>
        <v>I</v>
      </c>
      <c r="AL16" s="10" t="s">
        <v>170</v>
      </c>
      <c r="AM16" s="26" t="s">
        <v>198</v>
      </c>
      <c r="AN16" s="26" t="s">
        <v>196</v>
      </c>
      <c r="AO16" s="26">
        <v>0</v>
      </c>
      <c r="AP16" s="26" t="s">
        <v>31</v>
      </c>
      <c r="AQ16" s="10">
        <f t="shared" si="3"/>
        <v>1</v>
      </c>
      <c r="AR16" s="26">
        <f t="shared" si="4"/>
        <v>1</v>
      </c>
      <c r="AS16" s="26">
        <f t="shared" si="11"/>
        <v>1</v>
      </c>
      <c r="AT16" s="26">
        <f t="shared" si="12"/>
        <v>1</v>
      </c>
      <c r="AU16" s="28">
        <f t="shared" si="12"/>
        <v>1</v>
      </c>
    </row>
    <row r="17" spans="1:47">
      <c r="A17" s="13">
        <v>15</v>
      </c>
      <c r="B17" s="16">
        <f>_xlfn.MAXIFS('Model output'!B:B,'Model output'!Z:Z,'Classification result'!$A17)</f>
        <v>0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5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7" t="str">
        <f t="shared" si="1"/>
        <v>negative</v>
      </c>
      <c r="AC17" s="17" t="str">
        <f t="shared" si="6"/>
        <v>negative</v>
      </c>
      <c r="AD17" t="str" cm="1">
        <f t="array" ref="AD17">_xlfn.TEXTJOIN("; ",TRUE,_xlfn._xlws.FILTER('Model output'!S:S,'Model output'!Z:Z=A17))</f>
        <v>Negative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1" t="str">
        <f t="shared" si="2"/>
        <v>NIFTP</v>
      </c>
      <c r="AH17" s="38" t="str">
        <f t="shared" si="7"/>
        <v>NIFTP</v>
      </c>
      <c r="AI17" s="38" t="str">
        <f t="shared" si="8"/>
        <v>NIFTP</v>
      </c>
      <c r="AJ17" s="38" t="str">
        <f t="shared" si="9"/>
        <v>NIFTP</v>
      </c>
      <c r="AK17" s="46" t="str">
        <f t="shared" si="10"/>
        <v>NIFTP</v>
      </c>
      <c r="AL17" s="10" t="s">
        <v>74</v>
      </c>
      <c r="AM17" s="26" t="s">
        <v>74</v>
      </c>
      <c r="AN17" s="26" t="s">
        <v>74</v>
      </c>
      <c r="AO17" s="26" t="s">
        <v>74</v>
      </c>
      <c r="AP17" s="26" t="s">
        <v>74</v>
      </c>
      <c r="AQ17" s="10">
        <f t="shared" si="3"/>
        <v>1</v>
      </c>
      <c r="AR17" s="26">
        <f t="shared" si="4"/>
        <v>1</v>
      </c>
      <c r="AS17" s="26">
        <f t="shared" si="11"/>
        <v>1</v>
      </c>
      <c r="AT17" s="26">
        <f t="shared" si="12"/>
        <v>1</v>
      </c>
      <c r="AU17" s="28">
        <f t="shared" si="12"/>
        <v>1</v>
      </c>
    </row>
    <row r="18" spans="1:47">
      <c r="A18" s="13">
        <v>16</v>
      </c>
      <c r="B18" s="16">
        <f>_xlfn.MAXIFS('Model output'!B:B,'Model output'!Z:Z,'Classification result'!$A18)</f>
        <v>45537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0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5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"/>
        <v>positive</v>
      </c>
      <c r="AC18" s="17" t="str">
        <f t="shared" si="6"/>
        <v>negative</v>
      </c>
      <c r="AD18" t="str" cm="1">
        <f t="array" ref="AD18">_xlfn.TEXTJOIN("; ",TRUE,_xlfn._xlws.FILTER('Model output'!S:S,'Model output'!Z:Z=A18))</f>
        <v>Not identified; Present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1" t="str">
        <f t="shared" si="2"/>
        <v>intermediate</v>
      </c>
      <c r="AH18" s="38" t="str">
        <f t="shared" si="7"/>
        <v>2</v>
      </c>
      <c r="AI18" s="38">
        <f t="shared" si="8"/>
        <v>0</v>
      </c>
      <c r="AJ18" s="38">
        <f t="shared" si="9"/>
        <v>0</v>
      </c>
      <c r="AK18" s="46" t="str">
        <f t="shared" si="10"/>
        <v>I</v>
      </c>
      <c r="AL18" s="10" t="s">
        <v>169</v>
      </c>
      <c r="AM18" s="26" t="s">
        <v>368</v>
      </c>
      <c r="AN18" s="26">
        <v>0</v>
      </c>
      <c r="AO18" s="26">
        <v>0</v>
      </c>
      <c r="AP18" s="26" t="s">
        <v>31</v>
      </c>
      <c r="AQ18" s="10">
        <f t="shared" si="3"/>
        <v>1</v>
      </c>
      <c r="AR18" s="26">
        <f t="shared" si="4"/>
        <v>1</v>
      </c>
      <c r="AS18" s="26">
        <f t="shared" si="11"/>
        <v>1</v>
      </c>
      <c r="AT18" s="26">
        <f t="shared" si="12"/>
        <v>1</v>
      </c>
      <c r="AU18" s="28">
        <f t="shared" si="12"/>
        <v>1</v>
      </c>
    </row>
    <row r="19" spans="1:47">
      <c r="A19" s="13">
        <v>17</v>
      </c>
      <c r="B19" s="16">
        <f>_xlfn.MAXIFS('Model output'!B:B,'Model output'!Z:Z,'Classification result'!$A19)</f>
        <v>0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5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1"/>
        <v>negative</v>
      </c>
      <c r="AC19" s="17" t="str">
        <f t="shared" si="6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1" t="str">
        <f t="shared" si="2"/>
        <v>intermediate</v>
      </c>
      <c r="AH19" s="38" t="str">
        <f t="shared" si="7"/>
        <v>1b</v>
      </c>
      <c r="AI19" s="38" t="str">
        <f t="shared" si="8"/>
        <v>1b</v>
      </c>
      <c r="AJ19" s="38">
        <f t="shared" si="9"/>
        <v>0</v>
      </c>
      <c r="AK19" s="46" t="str">
        <f t="shared" si="10"/>
        <v>I</v>
      </c>
      <c r="AL19" s="10" t="s">
        <v>169</v>
      </c>
      <c r="AM19" s="26" t="s">
        <v>195</v>
      </c>
      <c r="AN19" s="26" t="s">
        <v>195</v>
      </c>
      <c r="AO19" s="26">
        <v>0</v>
      </c>
      <c r="AP19" s="26" t="s">
        <v>31</v>
      </c>
      <c r="AQ19" s="10">
        <f t="shared" si="3"/>
        <v>1</v>
      </c>
      <c r="AR19" s="26">
        <f t="shared" si="4"/>
        <v>1</v>
      </c>
      <c r="AS19" s="26">
        <f t="shared" si="11"/>
        <v>1</v>
      </c>
      <c r="AT19" s="26">
        <f t="shared" si="12"/>
        <v>1</v>
      </c>
      <c r="AU19" s="28">
        <f t="shared" si="12"/>
        <v>1</v>
      </c>
    </row>
    <row r="20" spans="1:47">
      <c r="A20" s="13">
        <v>18</v>
      </c>
      <c r="B20" s="16">
        <f>_xlfn.MAXIFS('Model output'!B:B,'Model output'!Z:Z,'Classification result'!$A20)</f>
        <v>45385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>1.5cm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1.5cm</v>
      </c>
      <c r="N20" cm="1">
        <f t="array" ref="N20">IF(MaxSize((SplitDimensions(M20)))=0, "", MaxSize((SplitDimensions(M20))))</f>
        <v>1.5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5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7" t="str">
        <f t="shared" si="1"/>
        <v>positive</v>
      </c>
      <c r="AC20" s="17" t="str">
        <f t="shared" si="6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1" t="str">
        <f t="shared" si="2"/>
        <v>high</v>
      </c>
      <c r="AH20" s="38" t="str">
        <f t="shared" si="7"/>
        <v>4a</v>
      </c>
      <c r="AI20" s="38" t="str">
        <f t="shared" si="8"/>
        <v>1a</v>
      </c>
      <c r="AJ20" s="38">
        <f t="shared" si="9"/>
        <v>0</v>
      </c>
      <c r="AK20" s="46" t="str">
        <f t="shared" si="10"/>
        <v>III</v>
      </c>
      <c r="AL20" s="10" t="s">
        <v>170</v>
      </c>
      <c r="AM20" s="26" t="s">
        <v>200</v>
      </c>
      <c r="AN20" s="26" t="s">
        <v>197</v>
      </c>
      <c r="AO20" s="26">
        <v>0</v>
      </c>
      <c r="AP20" s="26" t="s">
        <v>67</v>
      </c>
      <c r="AQ20" s="10">
        <f t="shared" si="3"/>
        <v>1</v>
      </c>
      <c r="AR20" s="26">
        <f t="shared" si="4"/>
        <v>1</v>
      </c>
      <c r="AS20" s="26">
        <f t="shared" si="11"/>
        <v>1</v>
      </c>
      <c r="AT20" s="26">
        <f t="shared" si="12"/>
        <v>1</v>
      </c>
      <c r="AU20" s="28">
        <f t="shared" si="12"/>
        <v>1</v>
      </c>
    </row>
    <row r="21" spans="1:47">
      <c r="A21" s="13">
        <v>19</v>
      </c>
      <c r="B21" s="16">
        <f>_xlfn.MAXIFS('Model output'!B:B,'Model output'!Z:Z,'Classification result'!$A21)</f>
        <v>0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5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"/>
        <v>negative</v>
      </c>
      <c r="AC21" s="17" t="str">
        <f t="shared" si="6"/>
        <v>negative</v>
      </c>
      <c r="AD21" t="str" cm="1">
        <f t="array" ref="AD21">_xlfn.TEXTJOIN("; ",TRUE,_xlfn._xlws.FILTER('Model output'!S:S,'Model output'!Z:Z=A21))</f>
        <v>Not identified</v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1" t="str">
        <f t="shared" si="2"/>
        <v>low</v>
      </c>
      <c r="AH21" s="38" t="str">
        <f t="shared" si="7"/>
        <v>1a</v>
      </c>
      <c r="AI21" s="38">
        <f t="shared" si="8"/>
        <v>0</v>
      </c>
      <c r="AJ21" s="38">
        <f t="shared" si="9"/>
        <v>0</v>
      </c>
      <c r="AK21" s="46" t="str">
        <f t="shared" si="10"/>
        <v>I</v>
      </c>
      <c r="AL21" s="10" t="s">
        <v>171</v>
      </c>
      <c r="AM21" s="26" t="s">
        <v>197</v>
      </c>
      <c r="AN21" s="26">
        <v>0</v>
      </c>
      <c r="AO21" s="26">
        <v>0</v>
      </c>
      <c r="AP21" s="26" t="s">
        <v>31</v>
      </c>
      <c r="AQ21" s="10">
        <f t="shared" si="3"/>
        <v>1</v>
      </c>
      <c r="AR21" s="26">
        <f t="shared" si="4"/>
        <v>1</v>
      </c>
      <c r="AS21" s="26">
        <f t="shared" si="11"/>
        <v>1</v>
      </c>
      <c r="AT21" s="26">
        <f t="shared" si="12"/>
        <v>1</v>
      </c>
      <c r="AU21" s="28">
        <f t="shared" si="12"/>
        <v>1</v>
      </c>
    </row>
    <row r="22" spans="1:47">
      <c r="A22" s="13">
        <v>20</v>
      </c>
      <c r="B22" s="16">
        <f>_xlfn.MAXIFS('Model output'!B:B,'Model output'!Z:Z,'Classification result'!$A22)</f>
        <v>0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1b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>notmentioned</v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1.5cm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1.5cm</v>
      </c>
      <c r="S22" cm="1">
        <f t="array" ref="S22">IF(MaxSize((SplitDimensions(R22)))=0, "", MaxSize((SplitDimensions(R22))))</f>
        <v>1.5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5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1"/>
        <v>positive</v>
      </c>
      <c r="AC22" s="17" t="str">
        <f t="shared" si="6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1" t="str">
        <f t="shared" si="2"/>
        <v>intermediate</v>
      </c>
      <c r="AH22" s="38" t="str">
        <f t="shared" si="7"/>
        <v>1b</v>
      </c>
      <c r="AI22" s="38" t="str">
        <f t="shared" si="8"/>
        <v>1a</v>
      </c>
      <c r="AJ22" s="38">
        <f t="shared" si="9"/>
        <v>0</v>
      </c>
      <c r="AK22" s="46" t="str">
        <f t="shared" si="10"/>
        <v>II</v>
      </c>
      <c r="AL22" s="10" t="s">
        <v>169</v>
      </c>
      <c r="AM22" s="26" t="s">
        <v>195</v>
      </c>
      <c r="AN22" s="26" t="s">
        <v>197</v>
      </c>
      <c r="AO22" s="26">
        <v>0</v>
      </c>
      <c r="AP22" s="26" t="s">
        <v>43</v>
      </c>
      <c r="AQ22" s="10">
        <f t="shared" si="3"/>
        <v>1</v>
      </c>
      <c r="AR22" s="26">
        <f t="shared" si="4"/>
        <v>1</v>
      </c>
      <c r="AS22" s="26">
        <f t="shared" si="11"/>
        <v>1</v>
      </c>
      <c r="AT22" s="26">
        <f t="shared" si="12"/>
        <v>1</v>
      </c>
      <c r="AU22" s="28">
        <f t="shared" si="12"/>
        <v>1</v>
      </c>
    </row>
    <row r="23" spans="1:47">
      <c r="A23" s="13">
        <v>21</v>
      </c>
      <c r="B23" s="16">
        <f>_xlfn.MAXIFS('Model output'!B:B,'Model output'!Z:Z,'Classification result'!$A23)</f>
        <v>45413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1b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5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7" t="str">
        <f t="shared" si="1"/>
        <v>positive</v>
      </c>
      <c r="AC23" s="17" t="str">
        <f t="shared" si="6"/>
        <v>negative</v>
      </c>
      <c r="AD23" t="str" cm="1">
        <f t="array" ref="AD23">_xlfn.TEXTJOIN("; ",TRUE,_xlfn._xlws.FILTER('Model output'!S:S,'Model output'!Z:Z=A23))</f>
        <v>Present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1" t="str">
        <f t="shared" si="2"/>
        <v>intermediate</v>
      </c>
      <c r="AH23" s="38" t="str">
        <f t="shared" si="7"/>
        <v>1b</v>
      </c>
      <c r="AI23" s="38" t="str">
        <f t="shared" si="8"/>
        <v>1a</v>
      </c>
      <c r="AJ23" s="38">
        <f t="shared" si="9"/>
        <v>0</v>
      </c>
      <c r="AK23" s="46" t="str">
        <f t="shared" si="10"/>
        <v>I</v>
      </c>
      <c r="AL23" s="10" t="s">
        <v>169</v>
      </c>
      <c r="AM23" s="26" t="s">
        <v>195</v>
      </c>
      <c r="AN23" s="26" t="s">
        <v>197</v>
      </c>
      <c r="AO23" s="26">
        <v>0</v>
      </c>
      <c r="AP23" s="26" t="s">
        <v>31</v>
      </c>
      <c r="AQ23" s="10">
        <f t="shared" si="3"/>
        <v>1</v>
      </c>
      <c r="AR23" s="26">
        <f t="shared" si="4"/>
        <v>1</v>
      </c>
      <c r="AS23" s="26">
        <f t="shared" si="11"/>
        <v>1</v>
      </c>
      <c r="AT23" s="26">
        <f t="shared" si="12"/>
        <v>1</v>
      </c>
      <c r="AU23" s="28">
        <f t="shared" si="12"/>
        <v>1</v>
      </c>
    </row>
    <row r="24" spans="1:47">
      <c r="A24" s="13">
        <v>22</v>
      </c>
      <c r="B24" s="16">
        <f>_xlfn.MAXIFS('Model output'!B:B,'Model output'!Z:Z,'Classification result'!$A24)</f>
        <v>45505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5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Y24" s="17" t="str">
        <f t="shared" si="1"/>
        <v>negative</v>
      </c>
      <c r="AC24" s="17" t="str">
        <f t="shared" si="6"/>
        <v>negative</v>
      </c>
      <c r="AD24" t="str" cm="1">
        <f t="array" ref="AD24">_xlfn.TEXTJOIN("; ",TRUE,_xlfn._xlws.FILTER('Model output'!S:S,'Model output'!Z:Z=A24))</f>
        <v>Not identified</v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1" t="str">
        <f t="shared" si="2"/>
        <v>low</v>
      </c>
      <c r="AH24" s="38" t="str">
        <f t="shared" si="7"/>
        <v>1a</v>
      </c>
      <c r="AI24" s="38">
        <f t="shared" si="8"/>
        <v>0</v>
      </c>
      <c r="AJ24" s="38">
        <f t="shared" si="9"/>
        <v>0</v>
      </c>
      <c r="AK24" s="46" t="str">
        <f t="shared" si="10"/>
        <v>I</v>
      </c>
      <c r="AL24" s="10" t="s">
        <v>171</v>
      </c>
      <c r="AM24" s="26" t="s">
        <v>197</v>
      </c>
      <c r="AN24" s="26">
        <v>0</v>
      </c>
      <c r="AO24" s="26">
        <v>0</v>
      </c>
      <c r="AP24" s="26" t="s">
        <v>31</v>
      </c>
      <c r="AQ24" s="10">
        <f t="shared" si="3"/>
        <v>1</v>
      </c>
      <c r="AR24" s="26">
        <f t="shared" si="4"/>
        <v>1</v>
      </c>
      <c r="AS24" s="26">
        <f t="shared" si="11"/>
        <v>1</v>
      </c>
      <c r="AT24" s="26">
        <f t="shared" si="12"/>
        <v>1</v>
      </c>
      <c r="AU24" s="28">
        <f t="shared" si="12"/>
        <v>1</v>
      </c>
    </row>
    <row r="25" spans="1:47">
      <c r="A25" s="13">
        <v>23</v>
      </c>
      <c r="B25" s="16">
        <f>_xlfn.MAXIFS('Model output'!B:B,'Model output'!Z:Z,'Classification result'!$A25)</f>
        <v>45413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1b</v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5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7" t="str">
        <f>IF(OR(ISNUMBER(SEARCH("soft tissue", AD25)), ISNUMBER(SEARCH("adipose tissue", AD25)), ISNUMBER(SEARCH("muscles", AD25)), ISNUMBER(SEARCH("microscopic", AD25)), ISNUMBER(SEARCH("positive", AD25)), ISNUMBER(SEARCH("minimal", AD25)), ISNUMBER(SEARCH("surrounding fat", AD25)), ISNUMBER(SEARCH("present", AD25)), ISNUMBER(SEARCH("yes", AD25))), "positive", "negative")</f>
        <v>positive</v>
      </c>
      <c r="AC25" s="17" t="str">
        <f t="shared" si="6"/>
        <v>negative</v>
      </c>
      <c r="AD25" t="str" cm="1">
        <f t="array" ref="AD25">_xlfn.TEXTJOIN("; ",TRUE,_xlfn._xlws.FILTER('Model output'!S:S,'Model output'!Z:Z=A25))</f>
        <v>Positive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1" t="str">
        <f t="shared" si="2"/>
        <v>intermediate</v>
      </c>
      <c r="AH25" s="38" t="str">
        <f t="shared" si="7"/>
        <v>1b</v>
      </c>
      <c r="AI25" s="38">
        <f t="shared" si="8"/>
        <v>0</v>
      </c>
      <c r="AJ25" s="38">
        <f t="shared" si="9"/>
        <v>0</v>
      </c>
      <c r="AK25" s="46" t="str">
        <f t="shared" si="10"/>
        <v>I</v>
      </c>
      <c r="AL25" s="10" t="s">
        <v>169</v>
      </c>
      <c r="AM25" s="26" t="s">
        <v>195</v>
      </c>
      <c r="AN25" s="26">
        <v>0</v>
      </c>
      <c r="AO25" s="26">
        <v>0</v>
      </c>
      <c r="AP25" s="26" t="s">
        <v>31</v>
      </c>
      <c r="AQ25" s="10">
        <f t="shared" si="3"/>
        <v>1</v>
      </c>
      <c r="AR25" s="26">
        <f t="shared" si="4"/>
        <v>1</v>
      </c>
      <c r="AS25" s="26">
        <f t="shared" si="11"/>
        <v>1</v>
      </c>
      <c r="AT25" s="26">
        <f t="shared" si="12"/>
        <v>1</v>
      </c>
      <c r="AU25" s="28">
        <f t="shared" si="12"/>
        <v>1</v>
      </c>
    </row>
    <row r="26" spans="1:47">
      <c r="A26" s="13">
        <v>24</v>
      </c>
      <c r="B26" s="16">
        <f>_xlfn.MAXIFS('Model output'!B:B,'Model output'!Z:Z,'Classification result'!$A26)</f>
        <v>45566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17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5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ref="Y26:Y37" si="13">IF(OR(ISNUMBER(SEARCH("soft tissue", AD26)), ISNUMBER(SEARCH("adipose tissue", AD26)), ISNUMBER(SEARCH("muscles", AD26)), ISNUMBER(SEARCH("microscopic", AD26)), ISNUMBER(SEARCH("positive", AD26)), ISNUMBER(SEARCH("minimal", AD26)), ISNUMBER(SEARCH("surrounding fat", AD26)), ISNUMBER(SEARCH("present", AD26)), ISNUMBER(SEARCH("yes", AD26))), "positive", "negative")</f>
        <v>positive</v>
      </c>
      <c r="AC26" s="17" t="str">
        <f t="shared" si="6"/>
        <v>negative</v>
      </c>
      <c r="AD26" t="str" cm="1">
        <f t="array" ref="AD26">_xlfn.TEXTJOIN("; ",TRUE,_xlfn._xlws.FILTER('Model output'!S:S,'Model output'!Z:Z=A26))</f>
        <v>Present (minimal)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1" t="str">
        <f t="shared" si="2"/>
        <v>intermediate</v>
      </c>
      <c r="AH26" s="38" t="str">
        <f t="shared" si="7"/>
        <v>4a</v>
      </c>
      <c r="AI26" s="38" t="str">
        <f t="shared" si="8"/>
        <v>1b</v>
      </c>
      <c r="AJ26" s="38">
        <f t="shared" si="9"/>
        <v>0</v>
      </c>
      <c r="AK26" s="46" t="str">
        <f t="shared" si="10"/>
        <v>III</v>
      </c>
      <c r="AL26" s="10" t="s">
        <v>170</v>
      </c>
      <c r="AM26" s="26" t="s">
        <v>200</v>
      </c>
      <c r="AN26" s="26" t="s">
        <v>195</v>
      </c>
      <c r="AO26" s="26">
        <v>0</v>
      </c>
      <c r="AP26" s="26" t="s">
        <v>67</v>
      </c>
      <c r="AQ26" s="10">
        <f t="shared" si="3"/>
        <v>0</v>
      </c>
      <c r="AR26" s="26">
        <f t="shared" si="4"/>
        <v>1</v>
      </c>
      <c r="AS26" s="26">
        <f t="shared" si="11"/>
        <v>1</v>
      </c>
      <c r="AT26" s="26">
        <f t="shared" si="12"/>
        <v>1</v>
      </c>
      <c r="AU26" s="28">
        <f t="shared" si="12"/>
        <v>1</v>
      </c>
    </row>
    <row r="27" spans="1:47">
      <c r="A27" s="13">
        <v>25</v>
      </c>
      <c r="B27" s="16">
        <f>_xlfn.MAXIFS('Model output'!B:B,'Model output'!Z:Z,'Classification result'!$A27)</f>
        <v>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5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3"/>
        <v>negative</v>
      </c>
      <c r="AC27" s="17" t="str">
        <f t="shared" si="6"/>
        <v>negative</v>
      </c>
      <c r="AD27" t="str" cm="1">
        <f t="array" ref="AD27">_xlfn.TEXTJOIN("; ",TRUE,_xlfn._xlws.FILTER('Model output'!S:S,'Model output'!Z:Z=A27))</f>
        <v>Absent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1" t="str">
        <f t="shared" si="2"/>
        <v>low</v>
      </c>
      <c r="AH27" s="38" t="str">
        <f t="shared" si="7"/>
        <v>1b</v>
      </c>
      <c r="AI27" s="38" t="str">
        <f t="shared" si="8"/>
        <v>x</v>
      </c>
      <c r="AJ27" s="38">
        <f t="shared" si="9"/>
        <v>0</v>
      </c>
      <c r="AK27" s="46" t="str">
        <f t="shared" si="10"/>
        <v>I</v>
      </c>
      <c r="AL27" s="10" t="s">
        <v>171</v>
      </c>
      <c r="AM27" s="26" t="s">
        <v>195</v>
      </c>
      <c r="AN27" s="26" t="s">
        <v>196</v>
      </c>
      <c r="AO27" s="26">
        <v>0</v>
      </c>
      <c r="AP27" s="26" t="s">
        <v>31</v>
      </c>
      <c r="AQ27" s="10">
        <f t="shared" si="3"/>
        <v>1</v>
      </c>
      <c r="AR27" s="26">
        <f t="shared" si="4"/>
        <v>1</v>
      </c>
      <c r="AS27" s="26">
        <f t="shared" si="11"/>
        <v>1</v>
      </c>
      <c r="AT27" s="26">
        <f t="shared" si="12"/>
        <v>1</v>
      </c>
      <c r="AU27" s="28">
        <f t="shared" si="12"/>
        <v>1</v>
      </c>
    </row>
    <row r="28" spans="1:47">
      <c r="A28" s="13">
        <v>26</v>
      </c>
      <c r="B28" s="16">
        <f>_xlfn.MAXIFS('Model output'!B:B,'Model output'!Z:Z,'Classification result'!$A28)</f>
        <v>0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5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7" t="str">
        <f t="shared" si="13"/>
        <v>positive</v>
      </c>
      <c r="AC28" s="17" t="str">
        <f t="shared" si="6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1" t="str">
        <f t="shared" si="2"/>
        <v>intermediate</v>
      </c>
      <c r="AH28" s="38" t="str">
        <f t="shared" si="7"/>
        <v>1b</v>
      </c>
      <c r="AI28" s="38">
        <f t="shared" si="8"/>
        <v>0</v>
      </c>
      <c r="AJ28" s="38">
        <f t="shared" si="9"/>
        <v>0</v>
      </c>
      <c r="AK28" s="46" t="str">
        <f t="shared" si="10"/>
        <v>I</v>
      </c>
      <c r="AL28" s="10" t="s">
        <v>170</v>
      </c>
      <c r="AM28" s="26" t="s">
        <v>198</v>
      </c>
      <c r="AN28" s="26" t="s">
        <v>196</v>
      </c>
      <c r="AO28" s="26">
        <v>0</v>
      </c>
      <c r="AP28" s="26" t="s">
        <v>43</v>
      </c>
      <c r="AQ28" s="10">
        <f t="shared" si="3"/>
        <v>0</v>
      </c>
      <c r="AR28" s="26">
        <f t="shared" si="4"/>
        <v>0</v>
      </c>
      <c r="AS28" s="26">
        <f t="shared" si="11"/>
        <v>1</v>
      </c>
      <c r="AT28" s="26">
        <f t="shared" si="12"/>
        <v>1</v>
      </c>
      <c r="AU28" s="28">
        <f t="shared" si="12"/>
        <v>0</v>
      </c>
    </row>
    <row r="29" spans="1:47">
      <c r="A29" s="13">
        <v>27</v>
      </c>
      <c r="B29" s="16">
        <f>_xlfn.MAXIFS('Model output'!B:B,'Model output'!Z:Z,'Classification result'!$A29)</f>
        <v>0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22mm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22mm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5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3"/>
        <v>negative</v>
      </c>
      <c r="AC29" s="17" t="str">
        <f t="shared" si="6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1" t="str">
        <f t="shared" si="2"/>
        <v>low</v>
      </c>
      <c r="AH29" s="38" t="str">
        <f t="shared" si="7"/>
        <v>2</v>
      </c>
      <c r="AI29" s="38" t="str">
        <f t="shared" si="8"/>
        <v>1a</v>
      </c>
      <c r="AJ29" s="38">
        <f t="shared" si="9"/>
        <v>0</v>
      </c>
      <c r="AK29" s="46" t="str">
        <f t="shared" si="10"/>
        <v>I</v>
      </c>
      <c r="AL29" s="10" t="s">
        <v>171</v>
      </c>
      <c r="AM29" s="26" t="s">
        <v>197</v>
      </c>
      <c r="AN29" s="26" t="s">
        <v>197</v>
      </c>
      <c r="AO29" s="26">
        <v>0</v>
      </c>
      <c r="AP29" s="26" t="s">
        <v>31</v>
      </c>
      <c r="AQ29" s="10">
        <f t="shared" si="3"/>
        <v>1</v>
      </c>
      <c r="AR29" s="26">
        <f t="shared" si="4"/>
        <v>0</v>
      </c>
      <c r="AS29" s="26">
        <f t="shared" si="11"/>
        <v>1</v>
      </c>
      <c r="AT29" s="26">
        <f t="shared" si="12"/>
        <v>1</v>
      </c>
      <c r="AU29" s="28">
        <f t="shared" si="12"/>
        <v>1</v>
      </c>
    </row>
    <row r="30" spans="1:47">
      <c r="A30" s="13">
        <v>28</v>
      </c>
      <c r="B30" s="16">
        <f>_xlfn.MAXIFS('Model output'!B:B,'Model output'!Z:Z,'Classification result'!$A30)</f>
        <v>0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5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3"/>
        <v>negative</v>
      </c>
      <c r="AC30" s="17" t="str">
        <f t="shared" si="6"/>
        <v>negative</v>
      </c>
      <c r="AD30" t="str" cm="1">
        <f t="array" ref="AD30">_xlfn.TEXTJOIN("; ",TRUE,_xlfn._xlws.FILTER('Model output'!S:S,'Model output'!Z:Z=A30))</f>
        <v/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1" t="str">
        <f t="shared" si="2"/>
        <v>low</v>
      </c>
      <c r="AH30" s="38" t="str">
        <f t="shared" si="7"/>
        <v>1a</v>
      </c>
      <c r="AI30" s="38" t="str">
        <f t="shared" si="8"/>
        <v>1a</v>
      </c>
      <c r="AJ30" s="38">
        <f t="shared" si="9"/>
        <v>0</v>
      </c>
      <c r="AK30" s="46" t="str">
        <f t="shared" si="10"/>
        <v>II</v>
      </c>
      <c r="AL30" s="10" t="s">
        <v>171</v>
      </c>
      <c r="AM30" s="26" t="s">
        <v>197</v>
      </c>
      <c r="AN30" s="26" t="s">
        <v>197</v>
      </c>
      <c r="AO30" s="26">
        <v>0</v>
      </c>
      <c r="AP30" s="26" t="s">
        <v>43</v>
      </c>
      <c r="AQ30" s="10">
        <f t="shared" si="3"/>
        <v>1</v>
      </c>
      <c r="AR30" s="26">
        <f t="shared" si="4"/>
        <v>1</v>
      </c>
      <c r="AS30" s="26">
        <f t="shared" si="11"/>
        <v>1</v>
      </c>
      <c r="AT30" s="26">
        <f t="shared" si="12"/>
        <v>1</v>
      </c>
      <c r="AU30" s="28">
        <f t="shared" si="12"/>
        <v>1</v>
      </c>
    </row>
    <row r="31" spans="1:47">
      <c r="A31" s="13">
        <v>29</v>
      </c>
      <c r="B31" s="16">
        <f>_xlfn.MAXIFS('Model output'!B:B,'Model output'!Z:Z,'Classification result'!$A31)</f>
        <v>45242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5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3"/>
        <v>negative</v>
      </c>
      <c r="AC31" s="17" t="str">
        <f t="shared" si="6"/>
        <v>negative</v>
      </c>
      <c r="AD31" t="str" cm="1">
        <f t="array" ref="AD31">_xlfn.TEXTJOIN("; ",TRUE,_xlfn._xlws.FILTER('Model output'!S:S,'Model output'!Z:Z=A31))</f>
        <v>Not identified</v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1" t="str">
        <f t="shared" si="2"/>
        <v>low</v>
      </c>
      <c r="AH31" s="38" t="str">
        <f t="shared" si="7"/>
        <v>1a</v>
      </c>
      <c r="AI31" s="38" t="str">
        <f t="shared" si="8"/>
        <v>x</v>
      </c>
      <c r="AJ31" s="38">
        <f t="shared" si="9"/>
        <v>0</v>
      </c>
      <c r="AK31" s="46" t="str">
        <f t="shared" si="10"/>
        <v>I</v>
      </c>
      <c r="AL31" s="10" t="s">
        <v>171</v>
      </c>
      <c r="AM31" s="26" t="s">
        <v>197</v>
      </c>
      <c r="AN31" s="26" t="s">
        <v>196</v>
      </c>
      <c r="AO31" s="26">
        <v>0</v>
      </c>
      <c r="AP31" s="26" t="s">
        <v>31</v>
      </c>
      <c r="AQ31" s="10">
        <f t="shared" si="3"/>
        <v>1</v>
      </c>
      <c r="AR31" s="26">
        <f t="shared" si="4"/>
        <v>1</v>
      </c>
      <c r="AS31" s="26">
        <f t="shared" si="11"/>
        <v>1</v>
      </c>
      <c r="AT31" s="26">
        <f t="shared" si="12"/>
        <v>1</v>
      </c>
      <c r="AU31" s="28">
        <f t="shared" si="12"/>
        <v>1</v>
      </c>
    </row>
    <row r="32" spans="1:47">
      <c r="A32" s="13">
        <v>30</v>
      </c>
      <c r="B32" s="16">
        <f>_xlfn.MAXIFS('Model output'!B:B,'Model output'!Z:Z,'Classification result'!$A32)</f>
        <v>0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5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13"/>
        <v>negative</v>
      </c>
      <c r="AC32" s="17" t="str">
        <f t="shared" si="6"/>
        <v>negative</v>
      </c>
      <c r="AD32" t="str" cm="1">
        <f t="array" ref="AD32">_xlfn.TEXTJOIN("; ",TRUE,_xlfn._xlws.FILTER('Model output'!S:S,'Model output'!Z:Z=A32))</f>
        <v/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1" t="str">
        <f t="shared" si="2"/>
        <v>intermediate</v>
      </c>
      <c r="AH32" s="38" t="str">
        <f t="shared" si="7"/>
        <v>1b</v>
      </c>
      <c r="AI32" s="38" t="str">
        <f t="shared" si="8"/>
        <v>1b</v>
      </c>
      <c r="AJ32" s="38">
        <f t="shared" si="9"/>
        <v>0</v>
      </c>
      <c r="AK32" s="46" t="str">
        <f t="shared" si="10"/>
        <v>I</v>
      </c>
      <c r="AL32" s="10" t="s">
        <v>169</v>
      </c>
      <c r="AM32" s="26" t="s">
        <v>195</v>
      </c>
      <c r="AN32" s="26" t="s">
        <v>195</v>
      </c>
      <c r="AO32" s="26">
        <v>0</v>
      </c>
      <c r="AP32" s="26" t="s">
        <v>31</v>
      </c>
      <c r="AQ32" s="10">
        <f t="shared" si="3"/>
        <v>1</v>
      </c>
      <c r="AR32" s="26">
        <f t="shared" si="4"/>
        <v>1</v>
      </c>
      <c r="AS32" s="26">
        <f t="shared" si="11"/>
        <v>1</v>
      </c>
      <c r="AT32" s="26">
        <f t="shared" si="12"/>
        <v>1</v>
      </c>
      <c r="AU32" s="28">
        <f t="shared" si="12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5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3"/>
        <v>positive</v>
      </c>
      <c r="AC33" s="17" t="str">
        <f t="shared" si="6"/>
        <v>negative</v>
      </c>
      <c r="AD33" t="str" cm="1">
        <f t="array" ref="AD33">_xlfn.TEXTJOIN("; ",TRUE,_xlfn._xlws.FILTER('Model output'!S:S,'Model output'!Z:Z=A33))</f>
        <v>Present; Present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1" t="str">
        <f t="shared" si="2"/>
        <v>intermediate</v>
      </c>
      <c r="AH33" s="38" t="str">
        <f t="shared" si="7"/>
        <v>3a</v>
      </c>
      <c r="AI33" s="38" t="str">
        <f t="shared" si="8"/>
        <v>1a</v>
      </c>
      <c r="AJ33" s="38">
        <f t="shared" si="9"/>
        <v>0</v>
      </c>
      <c r="AK33" s="46" t="str">
        <f t="shared" si="10"/>
        <v>II</v>
      </c>
      <c r="AL33" s="10" t="s">
        <v>170</v>
      </c>
      <c r="AM33" s="26" t="s">
        <v>201</v>
      </c>
      <c r="AN33" s="26" t="s">
        <v>197</v>
      </c>
      <c r="AO33" s="26">
        <v>0</v>
      </c>
      <c r="AP33" s="26" t="s">
        <v>369</v>
      </c>
      <c r="AQ33" s="10">
        <f t="shared" si="3"/>
        <v>0</v>
      </c>
      <c r="AR33" s="26">
        <f t="shared" si="4"/>
        <v>0</v>
      </c>
      <c r="AS33" s="26">
        <f t="shared" si="11"/>
        <v>1</v>
      </c>
      <c r="AT33" s="26">
        <f t="shared" si="12"/>
        <v>1</v>
      </c>
      <c r="AU33" s="28">
        <f t="shared" si="12"/>
        <v>0</v>
      </c>
    </row>
    <row r="34" spans="1:48">
      <c r="A34" s="13">
        <v>32</v>
      </c>
      <c r="B34" s="16">
        <f>_xlfn.MAXIFS('Model output'!B:B,'Model output'!Z:Z,'Classification result'!$A34)</f>
        <v>44837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3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carcinoma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vessels)4 or more</v>
      </c>
      <c r="W34" t="str">
        <f t="shared" si="5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3"/>
        <v>positive</v>
      </c>
      <c r="AC34" s="17" t="str">
        <f t="shared" si="6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1" t="str">
        <f t="shared" si="2"/>
        <v>high</v>
      </c>
      <c r="AH34" s="38" t="str">
        <f t="shared" si="7"/>
        <v>1a</v>
      </c>
      <c r="AI34" s="38" t="str">
        <f t="shared" si="8"/>
        <v>1a</v>
      </c>
      <c r="AJ34" s="38">
        <f t="shared" si="9"/>
        <v>0</v>
      </c>
      <c r="AK34" s="46" t="str">
        <f t="shared" si="10"/>
        <v>II</v>
      </c>
      <c r="AL34" s="10" t="s">
        <v>170</v>
      </c>
      <c r="AM34" s="26" t="s">
        <v>199</v>
      </c>
      <c r="AN34" s="26">
        <v>0</v>
      </c>
      <c r="AO34" s="26">
        <v>0</v>
      </c>
      <c r="AP34" s="26" t="s">
        <v>43</v>
      </c>
      <c r="AQ34" s="10">
        <f t="shared" si="3"/>
        <v>1</v>
      </c>
      <c r="AR34" s="26">
        <f t="shared" si="4"/>
        <v>0</v>
      </c>
      <c r="AS34" s="26">
        <f t="shared" si="11"/>
        <v>0</v>
      </c>
      <c r="AT34" s="26">
        <f t="shared" si="12"/>
        <v>1</v>
      </c>
      <c r="AU34" s="28">
        <f t="shared" si="12"/>
        <v>1</v>
      </c>
    </row>
    <row r="35" spans="1:48">
      <c r="A35" s="13">
        <v>33</v>
      </c>
      <c r="B35" s="16">
        <f>_xlfn.MAXIFS('Model output'!B:B,'Model output'!Z:Z,'Classification result'!$A35)</f>
        <v>44517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5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3"/>
        <v>negative</v>
      </c>
      <c r="AC35" s="17" t="str">
        <f t="shared" si="6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1" t="str">
        <f t="shared" si="2"/>
        <v>high</v>
      </c>
      <c r="AH35" s="38" t="str">
        <f t="shared" si="7"/>
        <v>1a</v>
      </c>
      <c r="AI35" s="38" t="str">
        <f t="shared" si="8"/>
        <v>x</v>
      </c>
      <c r="AJ35" s="38">
        <f t="shared" si="9"/>
        <v>1</v>
      </c>
      <c r="AK35" s="46" t="str">
        <f t="shared" si="10"/>
        <v>II</v>
      </c>
      <c r="AL35" s="10" t="s">
        <v>170</v>
      </c>
      <c r="AM35" s="26" t="s">
        <v>197</v>
      </c>
      <c r="AN35" s="26" t="s">
        <v>196</v>
      </c>
      <c r="AO35" s="26">
        <v>1</v>
      </c>
      <c r="AP35" s="26" t="s">
        <v>43</v>
      </c>
      <c r="AQ35" s="10">
        <f t="shared" si="3"/>
        <v>1</v>
      </c>
      <c r="AR35" s="26">
        <f t="shared" si="4"/>
        <v>1</v>
      </c>
      <c r="AS35" s="26">
        <f t="shared" si="11"/>
        <v>1</v>
      </c>
      <c r="AT35" s="26">
        <f t="shared" si="12"/>
        <v>1</v>
      </c>
      <c r="AU35" s="28">
        <f t="shared" si="12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W36" t="str">
        <f t="shared" si="5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7" t="str">
        <f t="shared" si="13"/>
        <v>positive</v>
      </c>
      <c r="AC36" s="17" t="str">
        <f t="shared" si="6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 (please correlate with surgical and radiological findings); larynx and part of carotid sheath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1" t="str">
        <f t="shared" si="2"/>
        <v>high</v>
      </c>
      <c r="AH36" s="38" t="str">
        <f t="shared" si="7"/>
        <v>4a</v>
      </c>
      <c r="AI36" s="38">
        <f t="shared" si="8"/>
        <v>0</v>
      </c>
      <c r="AJ36" s="38">
        <f t="shared" si="9"/>
        <v>0</v>
      </c>
      <c r="AK36" s="46" t="str">
        <f t="shared" si="10"/>
        <v>III</v>
      </c>
      <c r="AL36" s="10" t="s">
        <v>170</v>
      </c>
      <c r="AM36" s="26" t="s">
        <v>200</v>
      </c>
      <c r="AN36" s="26">
        <v>0</v>
      </c>
      <c r="AO36" s="26">
        <v>0</v>
      </c>
      <c r="AP36" s="26" t="s">
        <v>67</v>
      </c>
      <c r="AQ36" s="10">
        <f t="shared" si="3"/>
        <v>1</v>
      </c>
      <c r="AR36" s="26">
        <f t="shared" si="4"/>
        <v>1</v>
      </c>
      <c r="AS36" s="26">
        <f t="shared" si="11"/>
        <v>1</v>
      </c>
      <c r="AT36" s="26">
        <f t="shared" si="12"/>
        <v>1</v>
      </c>
      <c r="AU36" s="28">
        <f t="shared" si="12"/>
        <v>1</v>
      </c>
    </row>
    <row r="37" spans="1:48">
      <c r="A37" s="29">
        <v>35</v>
      </c>
      <c r="B37" s="30">
        <f>_xlfn.MAXIFS('Model output'!B:B,'Model output'!Z:Z,'Classification result'!$A37)</f>
        <v>44508</v>
      </c>
      <c r="C37" s="31">
        <f>_xlfn.MAXIFS('Model output'!C:C,'Model output'!Z:Z,'Classification result'!$A37)</f>
        <v>62</v>
      </c>
      <c r="D37" s="31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3</v>
      </c>
      <c r="E37" s="31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31" cm="1">
        <f t="array" ref="F37">IF(AND(SUBSTITUTE(_xlfn.TEXTJOIN("/", TRUE, _xlfn._xlws.FILTER('Model output'!F:F, 'Model output'!Z:Z=A37)),"M", "")="", I37="negative"),0,IF(I37="positive",1,0))</f>
        <v>1</v>
      </c>
      <c r="G37" s="32" t="str">
        <f t="shared" si="0"/>
        <v>positive</v>
      </c>
      <c r="H37" s="32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31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31">
        <f>IF(IFERROR(INDEX('Model output'!I:I, MATCH(A37, 'Model output'!Z:Z, 0)), "") &lt; K37, "", IFERROR(INDEX('Model output'!I:I, MATCH(A37, 'Model output'!Z:Z, 0)), ""))</f>
        <v>35</v>
      </c>
      <c r="K37" s="31">
        <f>IFERROR(INDEX('Model output'!J:J, MATCH(A37, 'Model output'!Z:Z, 0)), "")</f>
        <v>7</v>
      </c>
      <c r="L37" s="33" t="str" cm="1">
        <f t="array" ref="L37">ReplaceTo(ReplaceAnd(SUBSTITUTE(SUBSTITUTE(_xlfn.TEXTJOIN("; ", TRUE, _xlfn._xlws.FILTER('Model output'!K:K, 'Model output'!Z:Z=A37)), " ", ""), ",", ";")))</f>
        <v/>
      </c>
      <c r="M37" s="32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/>
      </c>
      <c r="N37" s="32" t="str" cm="1">
        <f t="array" ref="N37">IF(MaxSize((SplitDimensions(M37)))=0, "", MaxSize((SplitDimensions(M37))))</f>
        <v/>
      </c>
      <c r="O37" s="32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2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2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2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2" cm="1">
        <f t="array" ref="S37">IF(MaxSize((SplitDimensions(R37)))=0, "", MaxSize((SplitDimensions(R37))))</f>
        <v>2.5</v>
      </c>
      <c r="T37" s="31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31"/>
      <c r="V37" s="32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2" t="str">
        <f t="shared" si="5"/>
        <v>minimal</v>
      </c>
      <c r="X37" s="32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31" t="str">
        <f t="shared" si="13"/>
        <v>positive</v>
      </c>
      <c r="Z37" s="31"/>
      <c r="AA37" s="31"/>
      <c r="AB37" s="31"/>
      <c r="AC37" s="31" t="str">
        <f t="shared" si="6"/>
        <v>negative</v>
      </c>
      <c r="AD37" s="32" t="str" cm="1">
        <f t="array" ref="AD37">_xlfn.TEXTJOIN("; ",TRUE,_xlfn._xlws.FILTER('Model output'!S:S,'Model output'!Z:Z=A37))</f>
        <v>Present</v>
      </c>
      <c r="AE37" s="31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31"/>
      <c r="AG37" s="42" t="str">
        <f t="shared" si="2"/>
        <v>high</v>
      </c>
      <c r="AH37" s="39" t="str">
        <f t="shared" si="7"/>
        <v>2</v>
      </c>
      <c r="AI37" s="39" t="str">
        <f t="shared" si="8"/>
        <v>1b</v>
      </c>
      <c r="AJ37" s="39">
        <f t="shared" si="9"/>
        <v>1</v>
      </c>
      <c r="AK37" s="47" t="str">
        <f t="shared" si="10"/>
        <v>IVB</v>
      </c>
      <c r="AL37" s="34" t="s">
        <v>170</v>
      </c>
      <c r="AM37" s="39" t="s">
        <v>368</v>
      </c>
      <c r="AN37" s="35" t="s">
        <v>195</v>
      </c>
      <c r="AO37" s="35">
        <v>1</v>
      </c>
      <c r="AP37" s="35" t="s">
        <v>370</v>
      </c>
      <c r="AQ37" s="34">
        <f t="shared" si="3"/>
        <v>1</v>
      </c>
      <c r="AR37" s="35">
        <f t="shared" si="4"/>
        <v>1</v>
      </c>
      <c r="AS37" s="35">
        <f t="shared" si="11"/>
        <v>1</v>
      </c>
      <c r="AT37" s="35">
        <f t="shared" si="12"/>
        <v>1</v>
      </c>
      <c r="AU37" s="36">
        <f t="shared" si="12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M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225</v>
      </c>
      <c r="B1" t="s">
        <v>226</v>
      </c>
      <c r="C1" t="s">
        <v>227</v>
      </c>
      <c r="D1" t="s">
        <v>228</v>
      </c>
      <c r="E1" t="s">
        <v>229</v>
      </c>
      <c r="F1" t="s">
        <v>230</v>
      </c>
      <c r="G1" t="s">
        <v>231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237</v>
      </c>
      <c r="N1" t="s">
        <v>238</v>
      </c>
      <c r="O1" t="s">
        <v>239</v>
      </c>
      <c r="P1" t="s">
        <v>240</v>
      </c>
      <c r="Q1" t="s">
        <v>241</v>
      </c>
      <c r="R1" t="s">
        <v>242</v>
      </c>
      <c r="S1" t="s">
        <v>258</v>
      </c>
      <c r="T1" t="s">
        <v>243</v>
      </c>
      <c r="U1" t="s">
        <v>244</v>
      </c>
      <c r="V1" t="s">
        <v>245</v>
      </c>
      <c r="W1" t="s">
        <v>246</v>
      </c>
      <c r="X1" t="s">
        <v>247</v>
      </c>
      <c r="Z1" s="14" t="s">
        <v>257</v>
      </c>
    </row>
    <row r="2" spans="1:26">
      <c r="A2" t="s">
        <v>30</v>
      </c>
      <c r="B2" t="s">
        <v>259</v>
      </c>
      <c r="C2">
        <v>67</v>
      </c>
      <c r="D2" t="s">
        <v>158</v>
      </c>
      <c r="I2">
        <v>1</v>
      </c>
      <c r="J2">
        <v>0</v>
      </c>
      <c r="L2" t="s">
        <v>211</v>
      </c>
      <c r="M2" t="s">
        <v>33</v>
      </c>
      <c r="N2" t="s">
        <v>204</v>
      </c>
      <c r="O2">
        <v>2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G3" t="s">
        <v>176</v>
      </c>
      <c r="I3">
        <v>1</v>
      </c>
      <c r="J3">
        <v>1</v>
      </c>
      <c r="L3" t="s">
        <v>211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t="s">
        <v>262</v>
      </c>
      <c r="C4">
        <v>39</v>
      </c>
      <c r="D4" t="s">
        <v>159</v>
      </c>
      <c r="L4" t="s">
        <v>211</v>
      </c>
      <c r="M4" t="s">
        <v>205</v>
      </c>
      <c r="N4" t="s">
        <v>37</v>
      </c>
      <c r="P4" t="s">
        <v>173</v>
      </c>
      <c r="R4" t="s">
        <v>318</v>
      </c>
      <c r="S4" t="s">
        <v>173</v>
      </c>
      <c r="V4" t="s">
        <v>319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211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t="s">
        <v>216</v>
      </c>
      <c r="D6" t="s">
        <v>157</v>
      </c>
      <c r="E6" t="s">
        <v>165</v>
      </c>
      <c r="I6">
        <v>5</v>
      </c>
      <c r="J6">
        <v>1</v>
      </c>
      <c r="K6" t="s">
        <v>40</v>
      </c>
      <c r="L6" t="s">
        <v>32</v>
      </c>
      <c r="M6" t="s">
        <v>33</v>
      </c>
      <c r="N6" t="s">
        <v>263</v>
      </c>
      <c r="O6">
        <v>2</v>
      </c>
      <c r="S6" t="s">
        <v>320</v>
      </c>
      <c r="V6" t="s">
        <v>264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I7">
        <v>0</v>
      </c>
      <c r="J7">
        <v>0</v>
      </c>
      <c r="L7" t="s">
        <v>175</v>
      </c>
      <c r="N7" t="s">
        <v>280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t="s">
        <v>217</v>
      </c>
      <c r="D8" t="s">
        <v>156</v>
      </c>
      <c r="E8" t="s">
        <v>165</v>
      </c>
      <c r="I8">
        <v>6</v>
      </c>
      <c r="J8">
        <v>3</v>
      </c>
      <c r="K8" t="s">
        <v>44</v>
      </c>
      <c r="L8" t="s">
        <v>211</v>
      </c>
      <c r="M8" t="s">
        <v>205</v>
      </c>
      <c r="N8" t="s">
        <v>45</v>
      </c>
      <c r="O8">
        <v>1</v>
      </c>
      <c r="R8" t="s">
        <v>174</v>
      </c>
      <c r="S8" t="s">
        <v>265</v>
      </c>
      <c r="V8" t="s">
        <v>281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G9" t="s">
        <v>321</v>
      </c>
      <c r="I9" t="s">
        <v>322</v>
      </c>
      <c r="J9">
        <v>1</v>
      </c>
      <c r="L9" t="s">
        <v>211</v>
      </c>
      <c r="N9" t="s">
        <v>323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t="s">
        <v>266</v>
      </c>
      <c r="C10">
        <v>34</v>
      </c>
      <c r="D10" t="s">
        <v>161</v>
      </c>
      <c r="E10" t="s">
        <v>165</v>
      </c>
      <c r="I10">
        <v>5</v>
      </c>
      <c r="J10">
        <v>1</v>
      </c>
      <c r="K10" t="s">
        <v>48</v>
      </c>
      <c r="L10" t="s">
        <v>211</v>
      </c>
      <c r="M10" t="s">
        <v>207</v>
      </c>
      <c r="N10" t="s">
        <v>208</v>
      </c>
      <c r="O10">
        <v>2</v>
      </c>
      <c r="P10" t="s">
        <v>249</v>
      </c>
      <c r="R10" t="s">
        <v>174</v>
      </c>
      <c r="S10" t="s">
        <v>282</v>
      </c>
      <c r="V10" t="s">
        <v>283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t="s">
        <v>266</v>
      </c>
      <c r="C11">
        <v>34</v>
      </c>
      <c r="G11" t="s">
        <v>176</v>
      </c>
      <c r="I11">
        <v>2</v>
      </c>
      <c r="J11">
        <v>1</v>
      </c>
      <c r="K11" t="s">
        <v>48</v>
      </c>
      <c r="L11" t="s">
        <v>211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G12" t="s">
        <v>176</v>
      </c>
      <c r="I12">
        <v>1</v>
      </c>
      <c r="J12">
        <v>1</v>
      </c>
      <c r="L12" t="s">
        <v>211</v>
      </c>
      <c r="N12" t="s">
        <v>177</v>
      </c>
      <c r="O12">
        <v>1</v>
      </c>
      <c r="R12" t="s">
        <v>324</v>
      </c>
      <c r="S12" t="s">
        <v>174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>
        <v>45416</v>
      </c>
      <c r="C13">
        <v>66</v>
      </c>
      <c r="D13" t="s">
        <v>159</v>
      </c>
      <c r="L13" t="s">
        <v>254</v>
      </c>
      <c r="M13" t="s">
        <v>209</v>
      </c>
      <c r="N13" t="s">
        <v>178</v>
      </c>
      <c r="P13" t="s">
        <v>325</v>
      </c>
      <c r="R13" t="s">
        <v>174</v>
      </c>
      <c r="V13" t="s">
        <v>326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I14">
        <v>1</v>
      </c>
      <c r="J14">
        <v>0</v>
      </c>
      <c r="L14" t="s">
        <v>175</v>
      </c>
      <c r="N14" t="s">
        <v>179</v>
      </c>
      <c r="O14">
        <v>1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t="s">
        <v>267</v>
      </c>
      <c r="C15">
        <v>67</v>
      </c>
      <c r="D15" t="s">
        <v>157</v>
      </c>
      <c r="I15">
        <v>1</v>
      </c>
      <c r="J15">
        <v>0</v>
      </c>
      <c r="L15" t="s">
        <v>211</v>
      </c>
      <c r="M15" t="s">
        <v>33</v>
      </c>
      <c r="N15" t="s">
        <v>284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I16">
        <v>0</v>
      </c>
      <c r="J16">
        <v>0</v>
      </c>
      <c r="N16" t="s">
        <v>285</v>
      </c>
      <c r="O16">
        <v>2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t="s">
        <v>219</v>
      </c>
      <c r="C17">
        <v>78</v>
      </c>
      <c r="D17" t="s">
        <v>158</v>
      </c>
      <c r="L17" t="s">
        <v>211</v>
      </c>
      <c r="M17" t="s">
        <v>205</v>
      </c>
      <c r="N17" t="s">
        <v>56</v>
      </c>
      <c r="P17" t="s">
        <v>173</v>
      </c>
      <c r="S17" t="s">
        <v>173</v>
      </c>
      <c r="V17" t="s">
        <v>268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L18" t="s">
        <v>327</v>
      </c>
      <c r="N18" t="s">
        <v>98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>
        <v>45537</v>
      </c>
      <c r="C19">
        <v>55</v>
      </c>
      <c r="D19" t="s">
        <v>159</v>
      </c>
      <c r="E19" t="s">
        <v>260</v>
      </c>
      <c r="I19">
        <v>8</v>
      </c>
      <c r="J19">
        <v>4</v>
      </c>
      <c r="L19" t="s">
        <v>211</v>
      </c>
      <c r="M19" t="s">
        <v>205</v>
      </c>
      <c r="N19" t="s">
        <v>286</v>
      </c>
      <c r="O19">
        <v>3</v>
      </c>
      <c r="R19" t="s">
        <v>174</v>
      </c>
      <c r="V19" t="s">
        <v>328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329</v>
      </c>
      <c r="I20">
        <v>10</v>
      </c>
      <c r="J20">
        <v>2</v>
      </c>
      <c r="K20" t="s">
        <v>109</v>
      </c>
      <c r="L20" t="s">
        <v>211</v>
      </c>
      <c r="N20" t="s">
        <v>287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t="s">
        <v>220</v>
      </c>
      <c r="C21">
        <v>24</v>
      </c>
      <c r="D21" t="s">
        <v>158</v>
      </c>
      <c r="I21">
        <v>1</v>
      </c>
      <c r="J21">
        <v>1</v>
      </c>
      <c r="L21" t="s">
        <v>211</v>
      </c>
      <c r="M21" t="s">
        <v>205</v>
      </c>
      <c r="N21" t="s">
        <v>288</v>
      </c>
      <c r="P21" t="s">
        <v>173</v>
      </c>
      <c r="S21" t="s">
        <v>173</v>
      </c>
      <c r="V21" t="s">
        <v>330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L22" t="s">
        <v>211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t="s">
        <v>219</v>
      </c>
      <c r="C23">
        <v>70</v>
      </c>
      <c r="D23" t="s">
        <v>221</v>
      </c>
      <c r="L23" t="s">
        <v>254</v>
      </c>
      <c r="M23" t="s">
        <v>209</v>
      </c>
      <c r="N23" t="s">
        <v>180</v>
      </c>
      <c r="O23">
        <v>2</v>
      </c>
      <c r="P23" t="s">
        <v>173</v>
      </c>
      <c r="R23" t="s">
        <v>289</v>
      </c>
      <c r="S23" t="s">
        <v>173</v>
      </c>
      <c r="V23" t="s">
        <v>264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23">
        <v>45443</v>
      </c>
      <c r="C24">
        <v>70</v>
      </c>
      <c r="L24" t="s">
        <v>331</v>
      </c>
      <c r="M24" t="s">
        <v>332</v>
      </c>
      <c r="N24" t="s">
        <v>290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22">
        <v>45356</v>
      </c>
      <c r="C25">
        <v>67</v>
      </c>
      <c r="D25" t="s">
        <v>154</v>
      </c>
      <c r="E25" t="s">
        <v>260</v>
      </c>
      <c r="L25" t="s">
        <v>254</v>
      </c>
      <c r="M25" t="s">
        <v>209</v>
      </c>
      <c r="N25" t="s">
        <v>180</v>
      </c>
      <c r="O25">
        <v>2</v>
      </c>
      <c r="P25" t="s">
        <v>250</v>
      </c>
      <c r="Q25" t="s">
        <v>333</v>
      </c>
      <c r="R25" t="s">
        <v>334</v>
      </c>
      <c r="S25" t="s">
        <v>173</v>
      </c>
      <c r="V25" t="s">
        <v>335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0</v>
      </c>
      <c r="J26">
        <v>0</v>
      </c>
      <c r="L26" t="s">
        <v>254</v>
      </c>
      <c r="N26" t="s">
        <v>181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22">
        <v>45509</v>
      </c>
      <c r="C27">
        <v>66</v>
      </c>
      <c r="D27" t="s">
        <v>160</v>
      </c>
      <c r="E27" t="s">
        <v>166</v>
      </c>
      <c r="G27" t="s">
        <v>336</v>
      </c>
      <c r="I27">
        <v>19</v>
      </c>
      <c r="J27">
        <v>2</v>
      </c>
      <c r="K27" t="s">
        <v>337</v>
      </c>
      <c r="L27" t="s">
        <v>211</v>
      </c>
      <c r="M27" t="s">
        <v>205</v>
      </c>
      <c r="N27" t="s">
        <v>210</v>
      </c>
      <c r="O27">
        <v>1</v>
      </c>
      <c r="R27" t="s">
        <v>174</v>
      </c>
      <c r="S27" t="s">
        <v>174</v>
      </c>
      <c r="V27" t="s">
        <v>326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D28" t="s">
        <v>162</v>
      </c>
      <c r="E28" t="s">
        <v>166</v>
      </c>
      <c r="G28" t="s">
        <v>338</v>
      </c>
      <c r="L28" t="s">
        <v>276</v>
      </c>
      <c r="P28" t="s">
        <v>174</v>
      </c>
      <c r="R28" t="s">
        <v>174</v>
      </c>
      <c r="S28" t="s">
        <v>174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22">
        <v>45630</v>
      </c>
      <c r="C29">
        <v>51</v>
      </c>
      <c r="D29" t="s">
        <v>218</v>
      </c>
      <c r="L29" t="s">
        <v>211</v>
      </c>
      <c r="M29" t="s">
        <v>205</v>
      </c>
      <c r="N29" t="s">
        <v>71</v>
      </c>
      <c r="P29" t="s">
        <v>250</v>
      </c>
      <c r="Q29" t="s">
        <v>333</v>
      </c>
      <c r="R29" t="s">
        <v>174</v>
      </c>
      <c r="S29" t="s">
        <v>269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G30" t="s">
        <v>176</v>
      </c>
      <c r="L30" t="s">
        <v>35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B31" t="s">
        <v>222</v>
      </c>
      <c r="C31">
        <v>64</v>
      </c>
      <c r="I31">
        <v>0</v>
      </c>
      <c r="J31">
        <v>0</v>
      </c>
      <c r="L31" t="s">
        <v>254</v>
      </c>
      <c r="M31" t="s">
        <v>339</v>
      </c>
      <c r="N31" t="s">
        <v>291</v>
      </c>
      <c r="O31">
        <v>1</v>
      </c>
      <c r="P31" t="s">
        <v>325</v>
      </c>
      <c r="R31" t="s">
        <v>325</v>
      </c>
      <c r="S31" t="s">
        <v>325</v>
      </c>
      <c r="T31" t="s">
        <v>340</v>
      </c>
      <c r="V31" t="s">
        <v>325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L32" t="s">
        <v>211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22">
        <v>45537</v>
      </c>
      <c r="D33" t="s">
        <v>159</v>
      </c>
      <c r="E33" t="s">
        <v>163</v>
      </c>
      <c r="I33">
        <v>6</v>
      </c>
      <c r="J33">
        <v>0</v>
      </c>
      <c r="L33" t="s">
        <v>211</v>
      </c>
      <c r="M33" t="s">
        <v>205</v>
      </c>
      <c r="N33" t="s">
        <v>292</v>
      </c>
      <c r="O33">
        <v>2</v>
      </c>
      <c r="P33" t="s">
        <v>251</v>
      </c>
      <c r="R33" t="s">
        <v>174</v>
      </c>
      <c r="S33" t="s">
        <v>173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G34" t="s">
        <v>248</v>
      </c>
      <c r="I34">
        <v>1</v>
      </c>
      <c r="J34">
        <v>1</v>
      </c>
      <c r="L34" t="s">
        <v>211</v>
      </c>
      <c r="N34" t="s">
        <v>293</v>
      </c>
      <c r="O34">
        <v>1</v>
      </c>
      <c r="R34" t="s">
        <v>174</v>
      </c>
      <c r="S34" t="s">
        <v>174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B35" t="s">
        <v>271</v>
      </c>
      <c r="C35">
        <v>49</v>
      </c>
      <c r="D35" t="s">
        <v>158</v>
      </c>
      <c r="E35" t="s">
        <v>166</v>
      </c>
      <c r="G35" t="s">
        <v>252</v>
      </c>
      <c r="I35">
        <v>21</v>
      </c>
      <c r="J35">
        <v>5</v>
      </c>
      <c r="K35" t="s">
        <v>294</v>
      </c>
      <c r="L35" t="s">
        <v>211</v>
      </c>
      <c r="M35" t="s">
        <v>205</v>
      </c>
      <c r="N35" t="s">
        <v>68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D36" t="s">
        <v>156</v>
      </c>
      <c r="E36" t="s">
        <v>164</v>
      </c>
      <c r="G36" t="s">
        <v>341</v>
      </c>
      <c r="I36">
        <v>2</v>
      </c>
      <c r="J36">
        <v>1</v>
      </c>
      <c r="L36" t="s">
        <v>211</v>
      </c>
      <c r="N36" t="s">
        <v>183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22">
        <v>45385</v>
      </c>
      <c r="C37">
        <v>55</v>
      </c>
      <c r="D37" t="s">
        <v>155</v>
      </c>
      <c r="E37" t="s">
        <v>165</v>
      </c>
      <c r="G37" t="s">
        <v>342</v>
      </c>
      <c r="I37">
        <v>4</v>
      </c>
      <c r="J37">
        <v>4</v>
      </c>
      <c r="L37" t="s">
        <v>211</v>
      </c>
      <c r="M37" t="s">
        <v>205</v>
      </c>
      <c r="N37" t="s">
        <v>37</v>
      </c>
      <c r="O37">
        <v>1</v>
      </c>
      <c r="R37" t="s">
        <v>174</v>
      </c>
      <c r="S37" t="s">
        <v>269</v>
      </c>
      <c r="V37" t="s">
        <v>343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G38" t="s">
        <v>344</v>
      </c>
      <c r="I38">
        <v>12</v>
      </c>
      <c r="J38">
        <v>1</v>
      </c>
      <c r="K38" t="s">
        <v>297</v>
      </c>
      <c r="L38" t="s">
        <v>211</v>
      </c>
      <c r="N38" t="s">
        <v>297</v>
      </c>
      <c r="O38">
        <v>1</v>
      </c>
      <c r="P38" t="s">
        <v>345</v>
      </c>
      <c r="R38" t="s">
        <v>174</v>
      </c>
      <c r="S38" t="s">
        <v>174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B39" t="s">
        <v>271</v>
      </c>
      <c r="C39">
        <v>23</v>
      </c>
      <c r="I39">
        <v>1</v>
      </c>
      <c r="J39">
        <v>0</v>
      </c>
      <c r="L39" t="s">
        <v>211</v>
      </c>
      <c r="M39" t="s">
        <v>205</v>
      </c>
      <c r="N39" t="s">
        <v>184</v>
      </c>
      <c r="O39">
        <v>1</v>
      </c>
      <c r="P39" t="s">
        <v>173</v>
      </c>
      <c r="S39" t="s">
        <v>173</v>
      </c>
      <c r="V39" t="s">
        <v>295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I40">
        <v>0</v>
      </c>
      <c r="J40">
        <v>0</v>
      </c>
      <c r="L40" t="s">
        <v>175</v>
      </c>
      <c r="N40" t="s">
        <v>272</v>
      </c>
      <c r="O40">
        <v>1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B41" t="s">
        <v>216</v>
      </c>
      <c r="C41">
        <v>61</v>
      </c>
      <c r="D41" t="s">
        <v>159</v>
      </c>
      <c r="E41" t="s">
        <v>166</v>
      </c>
      <c r="G41" t="s">
        <v>296</v>
      </c>
      <c r="I41">
        <v>4</v>
      </c>
      <c r="J41">
        <v>3</v>
      </c>
      <c r="K41" t="s">
        <v>337</v>
      </c>
      <c r="L41" t="s">
        <v>211</v>
      </c>
      <c r="N41" t="s">
        <v>297</v>
      </c>
      <c r="O41">
        <v>2</v>
      </c>
      <c r="P41" t="s">
        <v>298</v>
      </c>
      <c r="S41" t="s">
        <v>299</v>
      </c>
      <c r="V41" t="s">
        <v>346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I42">
        <v>0</v>
      </c>
      <c r="J42">
        <v>0</v>
      </c>
      <c r="L42" t="s">
        <v>276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B43" s="22">
        <v>45413</v>
      </c>
      <c r="C43">
        <v>51</v>
      </c>
      <c r="D43" t="s">
        <v>159</v>
      </c>
      <c r="E43" t="s">
        <v>166</v>
      </c>
      <c r="G43" t="s">
        <v>206</v>
      </c>
      <c r="I43">
        <v>7</v>
      </c>
      <c r="J43">
        <v>4</v>
      </c>
      <c r="L43" t="s">
        <v>211</v>
      </c>
      <c r="M43" t="s">
        <v>205</v>
      </c>
      <c r="N43" t="s">
        <v>88</v>
      </c>
      <c r="O43">
        <v>1</v>
      </c>
      <c r="P43" t="s">
        <v>174</v>
      </c>
      <c r="R43" t="s">
        <v>174</v>
      </c>
      <c r="S43" t="s">
        <v>174</v>
      </c>
      <c r="V43" t="s">
        <v>326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I44">
        <v>1</v>
      </c>
      <c r="J44">
        <v>0</v>
      </c>
      <c r="N44" t="s">
        <v>185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90</v>
      </c>
      <c r="B45" s="22">
        <v>45505</v>
      </c>
      <c r="C45">
        <v>50</v>
      </c>
      <c r="D45" t="s">
        <v>157</v>
      </c>
      <c r="E45" t="s">
        <v>260</v>
      </c>
      <c r="F45" t="s">
        <v>261</v>
      </c>
      <c r="I45">
        <v>1</v>
      </c>
      <c r="J45">
        <v>0</v>
      </c>
      <c r="L45" t="s">
        <v>211</v>
      </c>
      <c r="M45" t="s">
        <v>205</v>
      </c>
      <c r="N45" t="s">
        <v>186</v>
      </c>
      <c r="O45">
        <v>1</v>
      </c>
      <c r="P45" t="s">
        <v>173</v>
      </c>
      <c r="R45" t="s">
        <v>347</v>
      </c>
      <c r="S45" t="s">
        <v>173</v>
      </c>
      <c r="V45" t="s">
        <v>348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156</v>
      </c>
      <c r="E46" t="s">
        <v>163</v>
      </c>
      <c r="F46" t="s">
        <v>167</v>
      </c>
      <c r="L46" t="s">
        <v>211</v>
      </c>
      <c r="N46" t="s">
        <v>187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92</v>
      </c>
      <c r="B47" s="22">
        <v>45413</v>
      </c>
      <c r="C47">
        <v>61</v>
      </c>
      <c r="D47" t="s">
        <v>158</v>
      </c>
      <c r="E47" t="s">
        <v>260</v>
      </c>
      <c r="F47" t="s">
        <v>167</v>
      </c>
      <c r="I47">
        <v>1</v>
      </c>
      <c r="J47">
        <v>0</v>
      </c>
      <c r="L47" t="s">
        <v>211</v>
      </c>
      <c r="M47" t="s">
        <v>33</v>
      </c>
      <c r="N47" t="s">
        <v>300</v>
      </c>
      <c r="O47">
        <v>2</v>
      </c>
      <c r="P47" t="s">
        <v>325</v>
      </c>
      <c r="R47" t="s">
        <v>326</v>
      </c>
      <c r="S47" t="s">
        <v>326</v>
      </c>
      <c r="V47" t="s">
        <v>325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I48">
        <v>0</v>
      </c>
      <c r="J48">
        <v>0</v>
      </c>
      <c r="L48" t="s">
        <v>254</v>
      </c>
      <c r="N48" t="s">
        <v>188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94</v>
      </c>
      <c r="B49" s="22">
        <v>45566</v>
      </c>
      <c r="C49">
        <v>55</v>
      </c>
      <c r="D49" t="s">
        <v>155</v>
      </c>
      <c r="E49" t="s">
        <v>164</v>
      </c>
      <c r="G49" t="s">
        <v>301</v>
      </c>
      <c r="I49">
        <v>17</v>
      </c>
      <c r="J49">
        <v>9</v>
      </c>
      <c r="K49" t="s">
        <v>302</v>
      </c>
      <c r="L49" t="s">
        <v>211</v>
      </c>
      <c r="M49" t="s">
        <v>205</v>
      </c>
      <c r="N49" t="s">
        <v>349</v>
      </c>
      <c r="O49">
        <v>2</v>
      </c>
      <c r="P49" t="s">
        <v>189</v>
      </c>
      <c r="R49" t="s">
        <v>253</v>
      </c>
      <c r="S49" t="s">
        <v>273</v>
      </c>
      <c r="V49" t="s">
        <v>350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G50" t="s">
        <v>303</v>
      </c>
      <c r="N50" t="s">
        <v>168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96</v>
      </c>
      <c r="B51" t="s">
        <v>274</v>
      </c>
      <c r="C51">
        <v>42</v>
      </c>
      <c r="D51" t="s">
        <v>158</v>
      </c>
      <c r="L51" t="s">
        <v>211</v>
      </c>
      <c r="M51" t="s">
        <v>205</v>
      </c>
      <c r="N51" t="s">
        <v>79</v>
      </c>
      <c r="O51">
        <v>1</v>
      </c>
      <c r="P51" t="s">
        <v>189</v>
      </c>
      <c r="R51" t="s">
        <v>189</v>
      </c>
      <c r="S51" t="s">
        <v>189</v>
      </c>
      <c r="V51" t="s">
        <v>270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D52" t="s">
        <v>156</v>
      </c>
      <c r="L52" t="s">
        <v>211</v>
      </c>
      <c r="N52" t="s">
        <v>98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99</v>
      </c>
      <c r="B53" t="s">
        <v>275</v>
      </c>
      <c r="C53">
        <v>73</v>
      </c>
      <c r="D53" t="s">
        <v>159</v>
      </c>
      <c r="I53">
        <v>1</v>
      </c>
      <c r="J53">
        <v>0</v>
      </c>
      <c r="L53" t="s">
        <v>211</v>
      </c>
      <c r="M53" t="s">
        <v>205</v>
      </c>
      <c r="N53" t="s">
        <v>79</v>
      </c>
      <c r="O53">
        <v>1</v>
      </c>
      <c r="P53" t="s">
        <v>173</v>
      </c>
      <c r="R53" t="s">
        <v>304</v>
      </c>
      <c r="S53" t="s">
        <v>304</v>
      </c>
      <c r="V53" t="s">
        <v>351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G54" t="s">
        <v>206</v>
      </c>
      <c r="I54">
        <v>1</v>
      </c>
      <c r="J54">
        <v>1</v>
      </c>
      <c r="L54" t="s">
        <v>276</v>
      </c>
      <c r="N54" t="s">
        <v>98</v>
      </c>
      <c r="O54">
        <v>1</v>
      </c>
      <c r="R54" t="s">
        <v>174</v>
      </c>
      <c r="S54" t="s">
        <v>174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101</v>
      </c>
      <c r="B55" t="s">
        <v>275</v>
      </c>
      <c r="C55">
        <v>39</v>
      </c>
      <c r="D55" t="s">
        <v>157</v>
      </c>
      <c r="E55" t="s">
        <v>164</v>
      </c>
      <c r="I55">
        <v>2</v>
      </c>
      <c r="J55">
        <v>1</v>
      </c>
      <c r="K55" t="s">
        <v>305</v>
      </c>
      <c r="L55" t="s">
        <v>211</v>
      </c>
      <c r="N55" t="s">
        <v>352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I56">
        <v>0</v>
      </c>
      <c r="J56">
        <v>0</v>
      </c>
      <c r="L56" t="s">
        <v>306</v>
      </c>
      <c r="N56" t="s">
        <v>179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103</v>
      </c>
      <c r="B57" t="s">
        <v>275</v>
      </c>
      <c r="C57">
        <v>57</v>
      </c>
      <c r="D57" t="s">
        <v>157</v>
      </c>
      <c r="E57" t="s">
        <v>165</v>
      </c>
      <c r="G57" t="s">
        <v>307</v>
      </c>
      <c r="I57">
        <v>5</v>
      </c>
      <c r="J57">
        <v>1</v>
      </c>
      <c r="K57" t="s">
        <v>104</v>
      </c>
      <c r="L57" t="s">
        <v>211</v>
      </c>
      <c r="N57" t="s">
        <v>308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L58" t="s">
        <v>211</v>
      </c>
      <c r="N58" t="s">
        <v>185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106</v>
      </c>
      <c r="B59" s="22">
        <v>45242</v>
      </c>
      <c r="C59">
        <v>63</v>
      </c>
      <c r="D59" t="s">
        <v>157</v>
      </c>
      <c r="L59" t="s">
        <v>211</v>
      </c>
      <c r="M59" t="s">
        <v>205</v>
      </c>
      <c r="N59" t="s">
        <v>212</v>
      </c>
      <c r="O59">
        <v>1</v>
      </c>
      <c r="P59" t="s">
        <v>173</v>
      </c>
      <c r="S59" t="s">
        <v>173</v>
      </c>
      <c r="V59" t="s">
        <v>353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I60">
        <v>0</v>
      </c>
      <c r="J60">
        <v>0</v>
      </c>
      <c r="L60" t="s">
        <v>211</v>
      </c>
      <c r="N60" t="s">
        <v>185</v>
      </c>
      <c r="O60">
        <v>1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108</v>
      </c>
      <c r="B61" t="s">
        <v>277</v>
      </c>
      <c r="C61">
        <v>39</v>
      </c>
      <c r="D61" t="s">
        <v>158</v>
      </c>
      <c r="E61" t="s">
        <v>164</v>
      </c>
      <c r="G61" t="s">
        <v>354</v>
      </c>
      <c r="I61">
        <v>24</v>
      </c>
      <c r="J61">
        <v>3</v>
      </c>
      <c r="K61" t="s">
        <v>190</v>
      </c>
      <c r="L61" t="s">
        <v>211</v>
      </c>
      <c r="M61" t="s">
        <v>33</v>
      </c>
      <c r="N61" t="s">
        <v>309</v>
      </c>
      <c r="O61">
        <v>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110</v>
      </c>
      <c r="C62">
        <v>39</v>
      </c>
      <c r="E62" t="s">
        <v>164</v>
      </c>
      <c r="G62" t="s">
        <v>191</v>
      </c>
      <c r="I62">
        <v>4</v>
      </c>
      <c r="J62">
        <v>1</v>
      </c>
      <c r="L62" t="s">
        <v>276</v>
      </c>
      <c r="O62">
        <v>1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111</v>
      </c>
      <c r="B63" t="s">
        <v>223</v>
      </c>
      <c r="D63" t="s">
        <v>159</v>
      </c>
      <c r="E63" t="s">
        <v>165</v>
      </c>
      <c r="G63" t="s">
        <v>355</v>
      </c>
      <c r="I63">
        <v>1</v>
      </c>
      <c r="J63">
        <v>1</v>
      </c>
      <c r="K63" t="s">
        <v>153</v>
      </c>
      <c r="L63" t="s">
        <v>211</v>
      </c>
      <c r="M63" t="s">
        <v>33</v>
      </c>
      <c r="N63" t="s">
        <v>310</v>
      </c>
      <c r="O63">
        <v>2</v>
      </c>
      <c r="P63" t="s">
        <v>174</v>
      </c>
      <c r="R63" t="s">
        <v>174</v>
      </c>
      <c r="S63" t="s">
        <v>174</v>
      </c>
      <c r="V63" t="s">
        <v>311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112</v>
      </c>
      <c r="B64" s="23">
        <v>43304</v>
      </c>
      <c r="C64">
        <v>60</v>
      </c>
      <c r="L64" t="s">
        <v>356</v>
      </c>
      <c r="N64" t="s">
        <v>182</v>
      </c>
      <c r="R64" t="s">
        <v>174</v>
      </c>
      <c r="S64" t="s">
        <v>174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113</v>
      </c>
      <c r="B65" s="22">
        <v>44837</v>
      </c>
      <c r="D65" t="s">
        <v>160</v>
      </c>
      <c r="E65" t="s">
        <v>260</v>
      </c>
      <c r="G65" t="s">
        <v>329</v>
      </c>
      <c r="I65">
        <v>3</v>
      </c>
      <c r="J65">
        <v>1</v>
      </c>
      <c r="L65" t="s">
        <v>114</v>
      </c>
      <c r="M65" t="s">
        <v>357</v>
      </c>
      <c r="N65" t="s">
        <v>312</v>
      </c>
      <c r="P65" t="s">
        <v>213</v>
      </c>
      <c r="Q65" t="s">
        <v>358</v>
      </c>
      <c r="R65" t="s">
        <v>359</v>
      </c>
      <c r="S65" t="s">
        <v>313</v>
      </c>
      <c r="V65" t="s">
        <v>278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115</v>
      </c>
      <c r="B66" s="23">
        <v>44629</v>
      </c>
      <c r="C66">
        <v>72</v>
      </c>
      <c r="L66" t="s">
        <v>254</v>
      </c>
      <c r="N66" t="s">
        <v>314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116</v>
      </c>
      <c r="B67" t="s">
        <v>315</v>
      </c>
      <c r="D67" t="s">
        <v>157</v>
      </c>
      <c r="L67" t="s">
        <v>211</v>
      </c>
      <c r="M67" t="s">
        <v>360</v>
      </c>
      <c r="N67" t="s">
        <v>48</v>
      </c>
      <c r="O67">
        <v>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117</v>
      </c>
      <c r="B68" s="23">
        <v>44517</v>
      </c>
      <c r="C68">
        <v>41</v>
      </c>
      <c r="H68" t="s">
        <v>255</v>
      </c>
      <c r="L68" t="s">
        <v>361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 ht="42.75">
      <c r="A69" t="s">
        <v>118</v>
      </c>
      <c r="B69" t="s">
        <v>224</v>
      </c>
      <c r="D69" t="s">
        <v>155</v>
      </c>
      <c r="E69" t="s">
        <v>163</v>
      </c>
      <c r="I69">
        <v>1</v>
      </c>
      <c r="J69">
        <v>0</v>
      </c>
      <c r="L69" t="s">
        <v>211</v>
      </c>
      <c r="M69" t="s">
        <v>214</v>
      </c>
      <c r="N69" t="s">
        <v>192</v>
      </c>
      <c r="O69">
        <v>3</v>
      </c>
      <c r="P69" t="s">
        <v>362</v>
      </c>
      <c r="Q69" t="s">
        <v>363</v>
      </c>
      <c r="R69" t="s">
        <v>174</v>
      </c>
      <c r="S69" t="s">
        <v>364</v>
      </c>
      <c r="V69" s="24" t="s">
        <v>365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119</v>
      </c>
      <c r="B70" s="23">
        <v>44825</v>
      </c>
      <c r="C70">
        <v>63</v>
      </c>
      <c r="L70" t="s">
        <v>211</v>
      </c>
      <c r="N70" t="s">
        <v>193</v>
      </c>
      <c r="S70" t="s">
        <v>366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120</v>
      </c>
      <c r="B71" s="22">
        <v>44508</v>
      </c>
      <c r="D71" t="s">
        <v>160</v>
      </c>
      <c r="E71" t="s">
        <v>166</v>
      </c>
      <c r="G71" t="s">
        <v>256</v>
      </c>
      <c r="I71">
        <v>35</v>
      </c>
      <c r="J71">
        <v>7</v>
      </c>
      <c r="L71" t="s">
        <v>211</v>
      </c>
      <c r="M71" t="s">
        <v>214</v>
      </c>
      <c r="N71" t="s">
        <v>316</v>
      </c>
      <c r="P71" t="s">
        <v>174</v>
      </c>
      <c r="R71" t="s">
        <v>174</v>
      </c>
      <c r="S71" t="s">
        <v>174</v>
      </c>
      <c r="V71" t="s">
        <v>367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121</v>
      </c>
      <c r="B72" s="23">
        <v>44419</v>
      </c>
      <c r="C72">
        <v>62</v>
      </c>
      <c r="G72" t="s">
        <v>317</v>
      </c>
      <c r="H72" t="s">
        <v>194</v>
      </c>
      <c r="L72" t="s">
        <v>361</v>
      </c>
      <c r="N72" t="s">
        <v>182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122</v>
      </c>
      <c r="B1" s="2" t="s">
        <v>123</v>
      </c>
    </row>
    <row r="2" spans="1:2">
      <c r="A2" s="1" t="s">
        <v>2</v>
      </c>
      <c r="B2" s="1" t="s">
        <v>124</v>
      </c>
    </row>
    <row r="3" spans="1:2">
      <c r="A3" s="1" t="s">
        <v>3</v>
      </c>
      <c r="B3" s="1" t="s">
        <v>125</v>
      </c>
    </row>
    <row r="4" spans="1:2">
      <c r="A4" s="1" t="s">
        <v>4</v>
      </c>
      <c r="B4" s="1" t="s">
        <v>126</v>
      </c>
    </row>
    <row r="5" spans="1:2">
      <c r="A5" s="1" t="s">
        <v>5</v>
      </c>
      <c r="B5" s="1" t="s">
        <v>127</v>
      </c>
    </row>
    <row r="6" spans="1:2">
      <c r="A6" s="1" t="s">
        <v>6</v>
      </c>
      <c r="B6" s="1" t="s">
        <v>128</v>
      </c>
    </row>
    <row r="7" spans="1:2">
      <c r="A7" s="1" t="s">
        <v>7</v>
      </c>
      <c r="B7" s="1" t="s">
        <v>129</v>
      </c>
    </row>
    <row r="8" spans="1:2">
      <c r="A8" s="1" t="s">
        <v>10</v>
      </c>
      <c r="B8" s="1" t="s">
        <v>130</v>
      </c>
    </row>
    <row r="9" spans="1:2">
      <c r="A9" s="1" t="s">
        <v>12</v>
      </c>
      <c r="B9" s="1" t="s">
        <v>131</v>
      </c>
    </row>
    <row r="10" spans="1:2">
      <c r="A10" s="1" t="s">
        <v>13</v>
      </c>
      <c r="B10" s="1" t="s">
        <v>132</v>
      </c>
    </row>
    <row r="11" spans="1:2">
      <c r="A11" s="1" t="s">
        <v>14</v>
      </c>
      <c r="B11" s="1" t="s">
        <v>133</v>
      </c>
    </row>
    <row r="12" spans="1:2">
      <c r="A12" s="1" t="s">
        <v>15</v>
      </c>
      <c r="B12" s="1" t="s">
        <v>134</v>
      </c>
    </row>
    <row r="13" spans="1:2">
      <c r="A13" s="1" t="s">
        <v>16</v>
      </c>
      <c r="B13" s="1" t="s">
        <v>135</v>
      </c>
    </row>
    <row r="14" spans="1:2">
      <c r="A14" s="1" t="s">
        <v>18</v>
      </c>
      <c r="B14" s="1" t="s">
        <v>136</v>
      </c>
    </row>
    <row r="15" spans="1:2">
      <c r="A15" s="1" t="s">
        <v>19</v>
      </c>
      <c r="B15" s="1" t="s">
        <v>137</v>
      </c>
    </row>
    <row r="16" spans="1:2">
      <c r="A16" s="1" t="s">
        <v>20</v>
      </c>
      <c r="B16" s="1" t="s">
        <v>138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139</v>
      </c>
    </row>
    <row r="19" spans="1:2">
      <c r="A19" s="1" t="s">
        <v>23</v>
      </c>
      <c r="B19" s="1" t="s">
        <v>140</v>
      </c>
    </row>
    <row r="20" spans="1:2">
      <c r="A20" s="1" t="s">
        <v>24</v>
      </c>
      <c r="B20" s="1" t="s">
        <v>141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142</v>
      </c>
    </row>
    <row r="23" spans="1:2">
      <c r="A23" s="1" t="s">
        <v>27</v>
      </c>
      <c r="B23" s="1" t="s">
        <v>143</v>
      </c>
    </row>
    <row r="24" spans="1:2">
      <c r="A24" s="1" t="s">
        <v>28</v>
      </c>
      <c r="B24" s="1" t="s">
        <v>144</v>
      </c>
    </row>
    <row r="25" spans="1:2">
      <c r="A25" s="2" t="s">
        <v>29</v>
      </c>
      <c r="B25" s="2" t="s">
        <v>145</v>
      </c>
    </row>
    <row r="27" spans="1:2">
      <c r="A27" s="1" t="s">
        <v>146</v>
      </c>
    </row>
    <row r="28" spans="1:2">
      <c r="A28" s="1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2025-06-26T10:57:00Z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