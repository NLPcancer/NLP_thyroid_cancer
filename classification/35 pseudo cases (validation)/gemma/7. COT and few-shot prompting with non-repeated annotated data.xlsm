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FE57CDAE-66B1-4DB2-9493-0BDC9EC11551}"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4" i="16" l="1"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AC3" i="16"/>
  <c r="V4" i="16" a="1"/>
  <c r="V4" i="16" s="1"/>
  <c r="Y4" i="16" s="1"/>
  <c r="V5" i="16" a="1"/>
  <c r="V5" i="16" s="1"/>
  <c r="Y5" i="16" s="1"/>
  <c r="V6" i="16" a="1"/>
  <c r="V6" i="16" s="1"/>
  <c r="V7" i="16" a="1"/>
  <c r="V7" i="16" s="1"/>
  <c r="V8" i="16" a="1"/>
  <c r="V8" i="16" s="1"/>
  <c r="Y8" i="16" s="1"/>
  <c r="V9" i="16" a="1"/>
  <c r="V9" i="16" s="1"/>
  <c r="Y9" i="16" s="1"/>
  <c r="V10" i="16" a="1"/>
  <c r="V10" i="16" s="1"/>
  <c r="Y10" i="16" s="1"/>
  <c r="V11" i="16" a="1"/>
  <c r="V11" i="16" s="1"/>
  <c r="Y11" i="16" s="1"/>
  <c r="V12" i="16" a="1"/>
  <c r="V12" i="16" s="1"/>
  <c r="Y12" i="16" s="1"/>
  <c r="V13" i="16" a="1"/>
  <c r="V13" i="16" s="1"/>
  <c r="Y13" i="16" s="1"/>
  <c r="V14" i="16" a="1"/>
  <c r="V14" i="16" s="1"/>
  <c r="V15" i="16" a="1"/>
  <c r="V15" i="16" s="1"/>
  <c r="V16" i="16" a="1"/>
  <c r="V16" i="16" s="1"/>
  <c r="V17" i="16" a="1"/>
  <c r="V17" i="16" s="1"/>
  <c r="Y17" i="16" s="1"/>
  <c r="V18" i="16" a="1"/>
  <c r="V18" i="16" s="1"/>
  <c r="V19" i="16" a="1"/>
  <c r="V19" i="16" s="1"/>
  <c r="Y19" i="16" s="1"/>
  <c r="V20" i="16" a="1"/>
  <c r="V20" i="16" s="1"/>
  <c r="V21" i="16" a="1"/>
  <c r="V21" i="16" s="1"/>
  <c r="Y21" i="16" s="1"/>
  <c r="V22" i="16" a="1"/>
  <c r="V22" i="16" s="1"/>
  <c r="V23" i="16" a="1"/>
  <c r="V23" i="16" s="1"/>
  <c r="V24" i="16" a="1"/>
  <c r="V24" i="16" s="1"/>
  <c r="Y24" i="16" s="1"/>
  <c r="V25" i="16" a="1"/>
  <c r="V25" i="16" s="1"/>
  <c r="Y25" i="16" s="1"/>
  <c r="V26" i="16" a="1"/>
  <c r="V26" i="16" s="1"/>
  <c r="V27" i="16" a="1"/>
  <c r="V27" i="16" s="1"/>
  <c r="Y27" i="16" s="1"/>
  <c r="V28" i="16" a="1"/>
  <c r="V28" i="16" s="1"/>
  <c r="Y28" i="16" s="1"/>
  <c r="V29" i="16" a="1"/>
  <c r="V29" i="16" s="1"/>
  <c r="Y29" i="16" s="1"/>
  <c r="V30" i="16" a="1"/>
  <c r="V30" i="16" s="1"/>
  <c r="Y30" i="16" s="1"/>
  <c r="V31" i="16" a="1"/>
  <c r="V31" i="16" s="1"/>
  <c r="Y31" i="16" s="1"/>
  <c r="V32" i="16" a="1"/>
  <c r="V32" i="16" s="1"/>
  <c r="V33" i="16" a="1"/>
  <c r="V33" i="16" s="1"/>
  <c r="V34" i="16" a="1"/>
  <c r="V34" i="16" s="1"/>
  <c r="V35" i="16" a="1"/>
  <c r="V35" i="16" s="1"/>
  <c r="Y35" i="16" s="1"/>
  <c r="V36" i="16" a="1"/>
  <c r="V36" i="16" s="1"/>
  <c r="V37" i="16" a="1"/>
  <c r="V37" i="16" s="1"/>
  <c r="V3" i="16" a="1"/>
  <c r="V3" i="16" s="1"/>
  <c r="Y3"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F36" i="16" a="1"/>
  <c r="F36" i="16" s="1"/>
  <c r="F37" i="16" a="1"/>
  <c r="F37" i="16" s="1"/>
  <c r="F3" i="16" a="1"/>
  <c r="F3" i="16" s="1"/>
  <c r="F4" i="16" a="1"/>
  <c r="F4" i="16" s="1"/>
  <c r="F5" i="16" a="1"/>
  <c r="F5" i="16" s="1"/>
  <c r="F6" i="16" a="1"/>
  <c r="F6" i="16" s="1"/>
  <c r="K4" i="16" l="1"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3" i="16" a="1"/>
  <c r="K23" i="16" s="1"/>
  <c r="K24" i="16" a="1"/>
  <c r="K24" i="16" s="1"/>
  <c r="K25" i="16" a="1"/>
  <c r="K25" i="16" s="1"/>
  <c r="K26" i="16" a="1"/>
  <c r="K26" i="16" s="1"/>
  <c r="K27" i="16" a="1"/>
  <c r="K27" i="16" s="1"/>
  <c r="K28" i="16" a="1"/>
  <c r="K28" i="16" s="1"/>
  <c r="K29" i="16" a="1"/>
  <c r="K29" i="16" s="1"/>
  <c r="K30" i="16" a="1"/>
  <c r="K30" i="16" s="1"/>
  <c r="K31" i="16" a="1"/>
  <c r="K31" i="16" s="1"/>
  <c r="K32" i="16" a="1"/>
  <c r="K32" i="16" s="1"/>
  <c r="K33" i="16" a="1"/>
  <c r="K33" i="16" s="1"/>
  <c r="K34" i="16" a="1"/>
  <c r="K34" i="16" s="1"/>
  <c r="K35" i="16" a="1"/>
  <c r="K35" i="16" s="1"/>
  <c r="K36" i="16" a="1"/>
  <c r="K36" i="16" s="1"/>
  <c r="K37" i="16" a="1"/>
  <c r="K37" i="16" s="1"/>
  <c r="K3" i="16" a="1"/>
  <c r="K3" i="16" s="1"/>
  <c r="AF4" i="16" a="1"/>
  <c r="AF4" i="16" s="1"/>
  <c r="AF5" i="16" a="1"/>
  <c r="AF5" i="16" s="1"/>
  <c r="AF6" i="16" a="1"/>
  <c r="AF6" i="16" s="1"/>
  <c r="AF7" i="16" a="1"/>
  <c r="AF7" i="16" s="1"/>
  <c r="AF8" i="16" a="1"/>
  <c r="AF8" i="16" s="1"/>
  <c r="AF9" i="16" a="1"/>
  <c r="AF9" i="16" s="1"/>
  <c r="AF10" i="16" a="1"/>
  <c r="AF10" i="16" s="1"/>
  <c r="AF11" i="16" a="1"/>
  <c r="AF11" i="16" s="1"/>
  <c r="AF12" i="16" a="1"/>
  <c r="AF12" i="16" s="1"/>
  <c r="AF13" i="16" a="1"/>
  <c r="AF13" i="16" s="1"/>
  <c r="AF14" i="16" a="1"/>
  <c r="AF14" i="16" s="1"/>
  <c r="AF15" i="16" a="1"/>
  <c r="AF15" i="16" s="1"/>
  <c r="AF16" i="16" a="1"/>
  <c r="AF16" i="16" s="1"/>
  <c r="AF17" i="16" a="1"/>
  <c r="AF17" i="16" s="1"/>
  <c r="AF18" i="16" a="1"/>
  <c r="AF18" i="16" s="1"/>
  <c r="AF19" i="16" a="1"/>
  <c r="AF19" i="16" s="1"/>
  <c r="AF20" i="16" a="1"/>
  <c r="AF20" i="16" s="1"/>
  <c r="AF21" i="16" a="1"/>
  <c r="AF21" i="16" s="1"/>
  <c r="AF22" i="16" a="1"/>
  <c r="AF22" i="16" s="1"/>
  <c r="AF23" i="16" a="1"/>
  <c r="AF23" i="16" s="1"/>
  <c r="AF24" i="16" a="1"/>
  <c r="AF24" i="16" s="1"/>
  <c r="AF25" i="16" a="1"/>
  <c r="AF25" i="16" s="1"/>
  <c r="AF26" i="16" a="1"/>
  <c r="AF26" i="16" s="1"/>
  <c r="AF27" i="16" a="1"/>
  <c r="AF27" i="16" s="1"/>
  <c r="AF28" i="16" a="1"/>
  <c r="AF28" i="16" s="1"/>
  <c r="AF29" i="16" a="1"/>
  <c r="AF29" i="16" s="1"/>
  <c r="AF30" i="16" a="1"/>
  <c r="AF30" i="16" s="1"/>
  <c r="AF31" i="16" a="1"/>
  <c r="AF31" i="16" s="1"/>
  <c r="AF32" i="16" a="1"/>
  <c r="AF32" i="16" s="1"/>
  <c r="AF33" i="16" a="1"/>
  <c r="AF33" i="16" s="1"/>
  <c r="AF34" i="16" a="1"/>
  <c r="AF34" i="16" s="1"/>
  <c r="AF35" i="16" a="1"/>
  <c r="AF35" i="16" s="1"/>
  <c r="AF36" i="16" a="1"/>
  <c r="AF36" i="16" s="1"/>
  <c r="AF37" i="16" a="1"/>
  <c r="AF37" i="16" s="1"/>
  <c r="AF3" i="16" a="1"/>
  <c r="AF3" i="16" s="1"/>
  <c r="AG3" i="16" a="1"/>
  <c r="AG3" i="16" s="1"/>
  <c r="AB3" i="16" s="1"/>
  <c r="AG4" i="16" a="1"/>
  <c r="AG4" i="16" s="1"/>
  <c r="AG5" i="16" a="1"/>
  <c r="AG5" i="16" s="1"/>
  <c r="AG6" i="16" a="1"/>
  <c r="AG6" i="16" s="1"/>
  <c r="AG7" i="16" a="1"/>
  <c r="AG7" i="16" s="1"/>
  <c r="AG8" i="16" a="1"/>
  <c r="AG8" i="16" s="1"/>
  <c r="AG9" i="16" a="1"/>
  <c r="AG9" i="16" s="1"/>
  <c r="AG10" i="16" a="1"/>
  <c r="AG10" i="16" s="1"/>
  <c r="AG11" i="16" a="1"/>
  <c r="AG11" i="16" s="1"/>
  <c r="AG12" i="16" a="1"/>
  <c r="AG12" i="16" s="1"/>
  <c r="AG13" i="16" a="1"/>
  <c r="AG13" i="16" s="1"/>
  <c r="AG14" i="16" a="1"/>
  <c r="AG14" i="16" s="1"/>
  <c r="AG15" i="16" a="1"/>
  <c r="AG15" i="16" s="1"/>
  <c r="AG16" i="16" a="1"/>
  <c r="AG16" i="16" s="1"/>
  <c r="AG17" i="16" a="1"/>
  <c r="AG17" i="16" s="1"/>
  <c r="AG18" i="16" a="1"/>
  <c r="AG18" i="16" s="1"/>
  <c r="AG19" i="16" a="1"/>
  <c r="AG19" i="16" s="1"/>
  <c r="AG20" i="16" a="1"/>
  <c r="AG20" i="16" s="1"/>
  <c r="AG21" i="16" a="1"/>
  <c r="AG21" i="16" s="1"/>
  <c r="AG22" i="16" a="1"/>
  <c r="AG22" i="16" s="1"/>
  <c r="AG23" i="16" a="1"/>
  <c r="AG23" i="16" s="1"/>
  <c r="AG24" i="16" a="1"/>
  <c r="AG24" i="16" s="1"/>
  <c r="AG25" i="16" a="1"/>
  <c r="AG25" i="16" s="1"/>
  <c r="AG26" i="16" a="1"/>
  <c r="AG26" i="16" s="1"/>
  <c r="AG27" i="16" a="1"/>
  <c r="AG27" i="16" s="1"/>
  <c r="AG28" i="16" a="1"/>
  <c r="AG28" i="16" s="1"/>
  <c r="AG29" i="16" a="1"/>
  <c r="AG29" i="16" s="1"/>
  <c r="AG30" i="16" a="1"/>
  <c r="AG30" i="16" s="1"/>
  <c r="AG31" i="16" a="1"/>
  <c r="AG31" i="16" s="1"/>
  <c r="AG32" i="16" a="1"/>
  <c r="AG32" i="16" s="1"/>
  <c r="AG33" i="16" a="1"/>
  <c r="AG33" i="16" s="1"/>
  <c r="AG34" i="16" a="1"/>
  <c r="AG34" i="16" s="1"/>
  <c r="AG35" i="16" a="1"/>
  <c r="AG35" i="16" s="1"/>
  <c r="AG36" i="16" a="1"/>
  <c r="AG36" i="16" s="1"/>
  <c r="AG37" i="16" a="1"/>
  <c r="AG37" i="16" s="1"/>
  <c r="AE8" i="16" l="1"/>
  <c r="AA8" i="16"/>
  <c r="AE3" i="16"/>
  <c r="AA3" i="16"/>
  <c r="AE18" i="16"/>
  <c r="AA18" i="16"/>
  <c r="AE37" i="16"/>
  <c r="AA37" i="16"/>
  <c r="AE17" i="16"/>
  <c r="AA17" i="16"/>
  <c r="AE16" i="16"/>
  <c r="AA16" i="16"/>
  <c r="AE33" i="16"/>
  <c r="AA33" i="16"/>
  <c r="AE13" i="16"/>
  <c r="AA13" i="16"/>
  <c r="AE31" i="16"/>
  <c r="AA31" i="16"/>
  <c r="AE11" i="16"/>
  <c r="AA11" i="16"/>
  <c r="AE30" i="16"/>
  <c r="AA30" i="16"/>
  <c r="AE10" i="16"/>
  <c r="AA10" i="16"/>
  <c r="AE22" i="16"/>
  <c r="AA22" i="16"/>
  <c r="AE21" i="16"/>
  <c r="AA21" i="16"/>
  <c r="AE19" i="16"/>
  <c r="AA19" i="16"/>
  <c r="AE29" i="16"/>
  <c r="AA29" i="16"/>
  <c r="AE28" i="16"/>
  <c r="AA28" i="16"/>
  <c r="AE36" i="16"/>
  <c r="AA36" i="16"/>
  <c r="AE12" i="16"/>
  <c r="AA12" i="16"/>
  <c r="AE9" i="16"/>
  <c r="AA9" i="16"/>
  <c r="AE27" i="16"/>
  <c r="AA27" i="16"/>
  <c r="AA26" i="16"/>
  <c r="AE26" i="16"/>
  <c r="AE7" i="16"/>
  <c r="AA7" i="16"/>
  <c r="AA25" i="16"/>
  <c r="AE25" i="16"/>
  <c r="AE20" i="16"/>
  <c r="AA20" i="16"/>
  <c r="AE32" i="16"/>
  <c r="AA32" i="16"/>
  <c r="AA6" i="16"/>
  <c r="AE6" i="16"/>
  <c r="AA24" i="16"/>
  <c r="AE24" i="16"/>
  <c r="AA5" i="16"/>
  <c r="AE5" i="16"/>
  <c r="AE23" i="16"/>
  <c r="AA23" i="16"/>
  <c r="AA4" i="16"/>
  <c r="AE4" i="16"/>
  <c r="AE35" i="16"/>
  <c r="AA35" i="16"/>
  <c r="AE15" i="16"/>
  <c r="AA15" i="16"/>
  <c r="AE34" i="16"/>
  <c r="AA34" i="16"/>
  <c r="AE14" i="16"/>
  <c r="AA14"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E19" i="16" l="1"/>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H27" i="16" a="1"/>
  <c r="H27" i="16" s="1"/>
  <c r="H7" i="16" a="1"/>
  <c r="H7" i="16" s="1"/>
  <c r="Z22" i="16" a="1"/>
  <c r="Z22" i="16" s="1"/>
  <c r="Q31" i="16" a="1"/>
  <c r="Q31" i="16" s="1"/>
  <c r="Q11" i="16" a="1"/>
  <c r="Q11" i="16" s="1"/>
  <c r="H26" i="16" a="1"/>
  <c r="H26" i="16" s="1"/>
  <c r="H6" i="16" a="1"/>
  <c r="H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H22" i="16" a="1"/>
  <c r="H22"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M3" i="16"/>
  <c r="R21" i="16" a="1"/>
  <c r="R21" i="16" s="1"/>
  <c r="G22" i="16" a="1"/>
  <c r="G22" i="16" s="1"/>
  <c r="G3" i="16" a="1"/>
  <c r="G3" i="16" s="1"/>
  <c r="G40" i="16" s="1"/>
  <c r="S15" i="16" a="1"/>
  <c r="S15" i="16" s="1"/>
  <c r="S35" i="16" a="1"/>
  <c r="S35" i="16" s="1"/>
  <c r="M17" i="16"/>
  <c r="M3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AL26" i="16" s="1"/>
  <c r="G14" i="16" a="1"/>
  <c r="G14" i="16" s="1"/>
  <c r="S23" i="16" a="1"/>
  <c r="S23" i="16" s="1"/>
  <c r="R7" i="16" a="1"/>
  <c r="R7" i="16" s="1"/>
  <c r="AL7" i="16" s="1"/>
  <c r="R27" i="16" a="1"/>
  <c r="R27" i="16" s="1"/>
  <c r="M5" i="16"/>
  <c r="M25" i="16"/>
  <c r="M6" i="16"/>
  <c r="M26" i="16"/>
  <c r="M7" i="16"/>
  <c r="M27" i="16"/>
  <c r="S26" i="16" a="1"/>
  <c r="S26" i="16" s="1"/>
  <c r="M8" i="16"/>
  <c r="M28" i="16"/>
  <c r="R11" i="16" a="1"/>
  <c r="R11" i="16" s="1"/>
  <c r="M16" i="16"/>
  <c r="M36" i="16"/>
  <c r="R19" i="16" a="1"/>
  <c r="R19" i="16" s="1"/>
  <c r="G31" i="16" a="1"/>
  <c r="G31" i="16" s="1"/>
  <c r="G13" i="16" a="1"/>
  <c r="G13" i="16" s="1"/>
  <c r="S4" i="16" a="1"/>
  <c r="S4" i="16" s="1"/>
  <c r="S24" i="16" a="1"/>
  <c r="S24" i="16" s="1"/>
  <c r="R8" i="16" a="1"/>
  <c r="R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32" i="16"/>
  <c r="M13" i="16"/>
  <c r="M33" i="16"/>
  <c r="R16" i="16" a="1"/>
  <c r="R16" i="16" s="1"/>
  <c r="M14" i="16"/>
  <c r="M34" i="16"/>
  <c r="R17" i="16" a="1"/>
  <c r="R17" i="16" s="1"/>
  <c r="G26" i="16" a="1"/>
  <c r="G26" i="16" s="1"/>
  <c r="G6" i="16" a="1"/>
  <c r="G6" i="16" s="1"/>
  <c r="S11" i="16" a="1"/>
  <c r="S11" i="16" s="1"/>
  <c r="S31" i="16" a="1"/>
  <c r="S31" i="16" s="1"/>
  <c r="R15" i="16" a="1"/>
  <c r="R15" i="16" s="1"/>
  <c r="R35" i="16" a="1"/>
  <c r="R35" i="16" s="1"/>
  <c r="R36" i="16" a="1"/>
  <c r="R36" i="16" s="1"/>
  <c r="M15" i="16"/>
  <c r="M35" i="16"/>
  <c r="M22" i="16"/>
  <c r="X4" i="16" a="1"/>
  <c r="X4" i="16" s="1"/>
  <c r="X24" i="16" a="1"/>
  <c r="X24" i="16" s="1"/>
  <c r="X5" i="16" a="1"/>
  <c r="X5" i="16" s="1"/>
  <c r="X25" i="16" a="1"/>
  <c r="X25" i="16" s="1"/>
  <c r="X6" i="16" a="1"/>
  <c r="X6" i="16" s="1"/>
  <c r="Y6" i="16" s="1"/>
  <c r="X26" i="16" a="1"/>
  <c r="X26" i="16" s="1"/>
  <c r="Y26" i="16" s="1"/>
  <c r="X7" i="16" a="1"/>
  <c r="X7" i="16" s="1"/>
  <c r="Y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Y32" i="16" s="1"/>
  <c r="X13" i="16" a="1"/>
  <c r="X13" i="16" s="1"/>
  <c r="X33" i="16" a="1"/>
  <c r="X33" i="16" s="1"/>
  <c r="Y33" i="16" s="1"/>
  <c r="X14" i="16" a="1"/>
  <c r="X14" i="16" s="1"/>
  <c r="Y14" i="16" s="1"/>
  <c r="X34" i="16" a="1"/>
  <c r="X34" i="16" s="1"/>
  <c r="Y34" i="16" s="1"/>
  <c r="X15" i="16" a="1"/>
  <c r="X15" i="16" s="1"/>
  <c r="Y15" i="16" s="1"/>
  <c r="X35" i="16" a="1"/>
  <c r="X35" i="16" s="1"/>
  <c r="X16" i="16" a="1"/>
  <c r="X16" i="16" s="1"/>
  <c r="Y16" i="16" s="1"/>
  <c r="X36" i="16" a="1"/>
  <c r="X36" i="16" s="1"/>
  <c r="Y36" i="16" s="1"/>
  <c r="X17" i="16" a="1"/>
  <c r="X17" i="16" s="1"/>
  <c r="X37" i="16" a="1"/>
  <c r="X37" i="16" s="1"/>
  <c r="Y37" i="16" s="1"/>
  <c r="X18" i="16" a="1"/>
  <c r="X18" i="16" s="1"/>
  <c r="Y18" i="16" s="1"/>
  <c r="X3" i="16" a="1"/>
  <c r="X3" i="16" s="1"/>
  <c r="X19" i="16" a="1"/>
  <c r="X19" i="16" s="1"/>
  <c r="X20" i="16" a="1"/>
  <c r="X20" i="16" s="1"/>
  <c r="Y20" i="16" s="1"/>
  <c r="X21" i="16" a="1"/>
  <c r="X21" i="16" s="1"/>
  <c r="X22" i="16" a="1"/>
  <c r="X22" i="16" s="1"/>
  <c r="Y22" i="16" s="1"/>
  <c r="X23" i="16" a="1"/>
  <c r="X23" i="16" s="1"/>
  <c r="Y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AJ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AJ36" i="16" s="1"/>
  <c r="Q16" i="16" a="1"/>
  <c r="Q16" i="16" s="1"/>
  <c r="AJ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T8" i="16" a="1"/>
  <c r="T14" i="16" a="1"/>
  <c r="N26" i="16" a="1"/>
  <c r="T23" i="16" a="1"/>
  <c r="N23" i="16" a="1"/>
  <c r="T26" i="16" a="1"/>
  <c r="N8" i="16" a="1"/>
  <c r="N31" i="16" a="1"/>
  <c r="N37" i="16" a="1"/>
  <c r="T9" i="16" a="1"/>
  <c r="T16" i="16" a="1"/>
  <c r="N7" i="16" a="1"/>
  <c r="T11" i="16" a="1"/>
  <c r="N10" i="16" a="1"/>
  <c r="T6" i="16" a="1"/>
  <c r="N12" i="16" a="1"/>
  <c r="T4" i="16" a="1"/>
  <c r="T37" i="16" a="1"/>
  <c r="N3" i="16" a="1"/>
  <c r="N32" i="16" a="1"/>
  <c r="N27" i="16" a="1"/>
  <c r="N34" i="16" a="1"/>
  <c r="T25" i="16" a="1"/>
  <c r="N11" i="16" a="1"/>
  <c r="T20" i="16" a="1"/>
  <c r="T19" i="16" a="1"/>
  <c r="T18" i="16" a="1"/>
  <c r="T17" i="16" a="1"/>
  <c r="N21" i="16" a="1"/>
  <c r="N29" i="16" a="1"/>
  <c r="N22" i="16" a="1"/>
  <c r="N17" i="16" a="1"/>
  <c r="N35" i="16" a="1"/>
  <c r="T35" i="16" a="1"/>
  <c r="N28" i="16" a="1"/>
  <c r="N16" i="16" a="1"/>
  <c r="T15" i="16" a="1"/>
  <c r="N15" i="16" a="1"/>
  <c r="T21" i="16" a="1"/>
  <c r="T30" i="16" a="1"/>
  <c r="T10" i="16" a="1"/>
  <c r="N19" i="16" a="1"/>
  <c r="T7" i="16" a="1"/>
  <c r="T31" i="16" a="1"/>
  <c r="N33" i="16" a="1"/>
  <c r="T32" i="16" a="1"/>
  <c r="T34" i="16" a="1"/>
  <c r="N30" i="16" a="1"/>
  <c r="N20" i="16" a="1"/>
  <c r="T27" i="16" a="1"/>
  <c r="N18" i="16" a="1"/>
  <c r="N36" i="16" a="1"/>
  <c r="N6" i="16" a="1"/>
  <c r="T36" i="16" a="1"/>
  <c r="N4" i="16" a="1"/>
  <c r="T33" i="16" a="1"/>
  <c r="T3" i="16" a="1"/>
  <c r="N5" i="16" a="1"/>
  <c r="N25" i="16" a="1"/>
  <c r="N14" i="16" a="1"/>
  <c r="T12" i="16" a="1"/>
  <c r="N9" i="16" a="1"/>
  <c r="T28" i="16" a="1"/>
  <c r="T5" i="16" a="1"/>
  <c r="N24" i="16" a="1"/>
  <c r="T24" i="16" a="1"/>
  <c r="T22" i="16" a="1"/>
  <c r="T13" i="16" a="1"/>
  <c r="T29" i="16" a="1"/>
  <c r="N13" i="16" a="1"/>
  <c r="AL8" i="16" l="1"/>
  <c r="AJ26" i="16"/>
  <c r="AJ7" i="16"/>
  <c r="AJ28" i="16"/>
  <c r="AL24" i="16"/>
  <c r="AM24" i="16" s="1"/>
  <c r="AM32" i="16"/>
  <c r="AM26" i="16"/>
  <c r="AM7" i="16"/>
  <c r="AM27" i="16"/>
  <c r="AM12" i="16"/>
  <c r="AL29" i="16"/>
  <c r="AM29" i="16" s="1"/>
  <c r="R3" i="16" a="1"/>
  <c r="R3" i="16" s="1"/>
  <c r="AL9" i="16"/>
  <c r="AL25" i="16"/>
  <c r="AL20" i="16"/>
  <c r="AM20" i="16" s="1"/>
  <c r="AL36" i="16"/>
  <c r="AM36" i="16" s="1"/>
  <c r="AL21" i="16"/>
  <c r="AM21" i="16" s="1"/>
  <c r="AL4" i="16"/>
  <c r="AM4" i="16" s="1"/>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L14" i="16"/>
  <c r="I19" i="16"/>
  <c r="AK19" i="16" s="1"/>
  <c r="L19" i="16"/>
  <c r="L31" i="16"/>
  <c r="I31" i="16"/>
  <c r="I30" i="16"/>
  <c r="AK30" i="16" s="1"/>
  <c r="L30" i="16"/>
  <c r="L29" i="16"/>
  <c r="I29" i="16"/>
  <c r="AK29" i="16" s="1"/>
  <c r="I13" i="16"/>
  <c r="L13" i="16"/>
  <c r="L22" i="16"/>
  <c r="I22" i="16"/>
  <c r="AK22" i="16" s="1"/>
  <c r="I36" i="16"/>
  <c r="L36" i="16"/>
  <c r="I3" i="16"/>
  <c r="L3" i="16"/>
  <c r="L18" i="16"/>
  <c r="I18" i="16"/>
  <c r="AK18" i="16" s="1"/>
  <c r="L33" i="16"/>
  <c r="I33" i="16"/>
  <c r="AK33" i="16" s="1"/>
  <c r="I35" i="16"/>
  <c r="L35" i="16"/>
  <c r="I32" i="16"/>
  <c r="AK32" i="16" s="1"/>
  <c r="L32" i="16"/>
  <c r="I15" i="16"/>
  <c r="AK15" i="16" s="1"/>
  <c r="L15" i="16"/>
  <c r="I12" i="16"/>
  <c r="AK12" i="16" s="1"/>
  <c r="L12" i="16"/>
  <c r="I24" i="16"/>
  <c r="L24" i="16"/>
  <c r="I8" i="16"/>
  <c r="L8" i="16"/>
  <c r="L11" i="16"/>
  <c r="I11" i="16"/>
  <c r="AK11" i="16" s="1"/>
  <c r="I16" i="16"/>
  <c r="L16" i="16"/>
  <c r="AL31" i="16"/>
  <c r="L4" i="16"/>
  <c r="I4" i="16"/>
  <c r="AK4" i="16" s="1"/>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U13" i="16" a="1"/>
  <c r="U30" i="16" a="1"/>
  <c r="O4" i="16" a="1"/>
  <c r="O32" i="16" a="1"/>
  <c r="U10" i="16" a="1"/>
  <c r="U14" i="16" a="1"/>
  <c r="O20" i="16" a="1"/>
  <c r="O28" i="16" a="1"/>
  <c r="U21" i="16" a="1"/>
  <c r="U36" i="16" a="1"/>
  <c r="O3" i="16" a="1"/>
  <c r="O34" i="16" a="1"/>
  <c r="U9" i="16" a="1"/>
  <c r="U20" i="16" a="1"/>
  <c r="U35" i="16" a="1"/>
  <c r="U25" i="16" a="1"/>
  <c r="O14" i="16" a="1"/>
  <c r="O26" i="16" a="1"/>
  <c r="O5" i="16" a="1"/>
  <c r="U12" i="16" a="1"/>
  <c r="O8" i="16" a="1"/>
  <c r="O19" i="16" a="1"/>
  <c r="O23" i="16" a="1"/>
  <c r="O7" i="16" a="1"/>
  <c r="U32" i="16" a="1"/>
  <c r="U34" i="16" a="1"/>
  <c r="O27" i="16" a="1"/>
  <c r="U16" i="16" a="1"/>
  <c r="O36" i="16" a="1"/>
  <c r="U26" i="16" a="1"/>
  <c r="U19" i="16" a="1"/>
  <c r="O37" i="16" a="1"/>
  <c r="U17" i="16" a="1"/>
  <c r="O9" i="16" a="1"/>
  <c r="O21" i="16" a="1"/>
  <c r="U8" i="16" a="1"/>
  <c r="U29" i="16" a="1"/>
  <c r="O15" i="16" a="1"/>
  <c r="O29" i="16" a="1"/>
  <c r="O18" i="16" a="1"/>
  <c r="O16" i="16" a="1"/>
  <c r="O17" i="16" a="1"/>
  <c r="U6" i="16" a="1"/>
  <c r="U18" i="16" a="1"/>
  <c r="O22" i="16" a="1"/>
  <c r="O25" i="16" a="1"/>
  <c r="O6" i="16" a="1"/>
  <c r="O11" i="16" a="1"/>
  <c r="U5" i="16" a="1"/>
  <c r="O33" i="16" a="1"/>
  <c r="U33" i="16" a="1"/>
  <c r="U24" i="16" a="1"/>
  <c r="O10" i="16" a="1"/>
  <c r="O12" i="16" a="1"/>
  <c r="O13" i="16" a="1"/>
  <c r="U3" i="16" a="1"/>
  <c r="U11" i="16" a="1"/>
  <c r="U23" i="16" a="1"/>
  <c r="O30" i="16" a="1"/>
  <c r="U7" i="16" a="1"/>
  <c r="O24" i="16" a="1"/>
  <c r="U27" i="16" a="1"/>
  <c r="U31" i="16" a="1"/>
  <c r="U15" i="16" a="1"/>
  <c r="O35" i="16" a="1"/>
  <c r="U22" i="16" a="1"/>
  <c r="U28" i="16" a="1"/>
  <c r="U37" i="16" a="1"/>
  <c r="U4" i="16" a="1"/>
  <c r="O31" i="16" a="1"/>
  <c r="AK31" i="16" l="1"/>
  <c r="AK35" i="16"/>
  <c r="AK14" i="16"/>
  <c r="AK16" i="16"/>
  <c r="AK8" i="16"/>
  <c r="AK27" i="16"/>
  <c r="AK13" i="16"/>
  <c r="AK21" i="16"/>
  <c r="AK10" i="16"/>
  <c r="AM10" i="16" s="1"/>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AJ33" i="16" s="1"/>
  <c r="U31" i="16"/>
  <c r="AJ31" i="16" s="1"/>
  <c r="U19" i="16"/>
  <c r="AJ19" i="16" s="1"/>
  <c r="U22" i="16"/>
  <c r="AJ22" i="16" s="1"/>
  <c r="U15" i="16"/>
  <c r="AJ15" i="16" s="1"/>
  <c r="U37" i="16"/>
  <c r="AJ37" i="16" s="1"/>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U12" i="16"/>
  <c r="AJ12" i="16" s="1"/>
  <c r="U18" i="16"/>
  <c r="AJ18" i="16" s="1"/>
  <c r="U10" i="16"/>
  <c r="AJ10" i="16" s="1"/>
  <c r="U23" i="16"/>
  <c r="AJ23" i="16" s="1"/>
  <c r="U26" i="16"/>
  <c r="U4" i="16"/>
  <c r="AJ4" i="16" s="1"/>
  <c r="U9" i="16"/>
  <c r="AJ9" i="16" s="1"/>
  <c r="U34" i="16"/>
  <c r="AJ34" i="16" s="1"/>
  <c r="AM34" i="16" s="1"/>
  <c r="AV37" i="16"/>
  <c r="AU37" i="16"/>
  <c r="AV36" i="16"/>
  <c r="AV35" i="16"/>
  <c r="AU35" i="16"/>
  <c r="AV34" i="16"/>
  <c r="AU34" i="16"/>
  <c r="AV33" i="16"/>
  <c r="AU33" i="16"/>
  <c r="AU32" i="16"/>
  <c r="AV31" i="16"/>
  <c r="AU31" i="16"/>
  <c r="AV30" i="16"/>
  <c r="AU30" i="16"/>
  <c r="AU29" i="16"/>
  <c r="AV28" i="16"/>
  <c r="AV27" i="16"/>
  <c r="AU27" i="16"/>
  <c r="AV26" i="16"/>
  <c r="AU26" i="16"/>
  <c r="AV25" i="16"/>
  <c r="AU23" i="16"/>
  <c r="AV22" i="16"/>
  <c r="AU22" i="16"/>
  <c r="AV20" i="16"/>
  <c r="AU20" i="16"/>
  <c r="AU19" i="16"/>
  <c r="AU18" i="16"/>
  <c r="P22" i="16" a="1"/>
  <c r="P29" i="16" a="1"/>
  <c r="P26" i="16" a="1"/>
  <c r="P31" i="16" a="1"/>
  <c r="P37" i="16" a="1"/>
  <c r="P21" i="16" a="1"/>
  <c r="P35" i="16" a="1"/>
  <c r="P34" i="16" a="1"/>
  <c r="P4" i="16" a="1"/>
  <c r="P3" i="16" a="1"/>
  <c r="P24" i="16" a="1"/>
  <c r="P23" i="16" a="1"/>
  <c r="P11" i="16" a="1"/>
  <c r="P5" i="16" a="1"/>
  <c r="P14" i="16" a="1"/>
  <c r="P18" i="16" a="1"/>
  <c r="P15" i="16" a="1"/>
  <c r="P12" i="16" a="1"/>
  <c r="P17" i="16" a="1"/>
  <c r="P16" i="16" a="1"/>
  <c r="P6" i="16" a="1"/>
  <c r="P10" i="16" a="1"/>
  <c r="P36" i="16" a="1"/>
  <c r="P20" i="16" a="1"/>
  <c r="P33" i="16" a="1"/>
  <c r="P7" i="16" a="1"/>
  <c r="P32" i="16" a="1"/>
  <c r="P25" i="16" a="1"/>
  <c r="P27" i="16" a="1"/>
  <c r="P28" i="16" a="1"/>
  <c r="P8" i="16" a="1"/>
  <c r="P13" i="16" a="1"/>
  <c r="P30" i="16" a="1"/>
  <c r="P9" i="16" a="1"/>
  <c r="P19" i="16" a="1"/>
  <c r="AM31" i="16" l="1"/>
  <c r="AM9" i="16"/>
  <c r="AM3" i="16"/>
  <c r="AM33" i="16"/>
  <c r="AM6"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I3" i="16" l="1"/>
  <c r="AD3" i="16" s="1"/>
  <c r="AT33" i="16"/>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<sst xmlns="http://schemas.openxmlformats.org/spreadsheetml/2006/main" count="948" uniqueCount="371">
  <si>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</si>
  <si>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</si>
  <si>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</si>
  <si>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</si>
  <si>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</si>
  <si>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</si>
  <si>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</si>
  <si>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</si>
  <si>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</si>
  <si>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</si>
  <si>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</si>
  <si>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</si>
  <si>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</si>
  <si>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</si>
  <si>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</si>
  <si>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</si>
  <si>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</si>
  <si>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</si>
  <si>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</si>
  <si>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</si>
  <si>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</si>
  <si>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</si>
  <si>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</si>
  <si>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</si>
  <si>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</si>
  <si>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</si>
  <si>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</si>
  <si>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</si>
  <si>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</si>
  <si>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</si>
  <si>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</si>
  <si>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</si>
  <si>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</si>
  <si>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</si>
  <si>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</si>
  <si>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</si>
  <si>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</si>
  <si>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</si>
  <si>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</si>
  <si>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</si>
  <si>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</si>
  <si>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</si>
  <si>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</si>
  <si>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</si>
  <si>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</si>
  <si>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</si>
  <si>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</si>
  <si>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</si>
  <si>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</si>
  <si>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</si>
  <si>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</si>
  <si>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</si>
  <si>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</si>
  <si>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</si>
  <si>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</si>
  <si>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</si>
  <si>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</si>
  <si>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</si>
  <si>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</si>
  <si>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</si>
  <si>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</si>
  <si>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</si>
  <si>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</si>
  <si>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</si>
  <si>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</si>
  <si>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</si>
  <si>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</si>
  <si>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</si>
  <si>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</si>
  <si>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</si>
  <si>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</si>
  <si>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</si>
  <si>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</si>
  <si>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</si>
  <si>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</si>
  <si>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</si>
  <si>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</si>
  <si>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</si>
  <si>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</si>
  <si>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</si>
  <si>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</si>
  <si>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</si>
  <si>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</si>
  <si>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</si>
  <si>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</si>
  <si>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</si>
  <si>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</si>
  <si>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</si>
  <si>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</si>
  <si>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</si>
  <si>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</si>
  <si>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</si>
  <si>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</si>
  <si>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</si>
  <si>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</si>
  <si>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</si>
  <si>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</si>
  <si>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</si>
  <si>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</si>
  <si>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</si>
  <si>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</si>
  <si>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</si>
  <si>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</si>
  <si>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</si>
  <si>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</si>
  <si>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</si>
  <si>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</si>
  <si>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</si>
  <si>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</si>
  <si>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</si>
  <si>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</si>
  <si>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</si>
  <si>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</si>
  <si>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</si>
  <si>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</si>
  <si>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</si>
  <si>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</si>
  <si>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</si>
  <si>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</si>
  <si>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</si>
  <si>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</si>
  <si>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</si>
  <si>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</si>
  <si>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</si>
  <si>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</si>
  <si>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</si>
  <si>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</si>
  <si>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</si>
  <si>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</si>
  <si>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</si>
  <si>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</si>
  <si>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</si>
  <si>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</si>
  <si>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</si>
  <si>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</si>
  <si>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</si>
  <si>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</si>
  <si>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</si>
  <si>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</si>
  <si>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</si>
  <si>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</si>
  <si>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</si>
  <si>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</si>
  <si>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</si>
  <si>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</si>
  <si>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</si>
  <si>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</si>
  <si>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</si>
  <si>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</si>
  <si>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</si>
  <si>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</si>
  <si>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</si>
  <si>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</si>
  <si>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</si>
  <si>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</si>
  <si>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</si>
  <si>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</si>
  <si>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</si>
  <si>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</si>
  <si>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</si>
  <si>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</si>
  <si>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N1a</t>
  </si>
  <si>
    <t>N1b</t>
  </si>
  <si>
    <t>M0</t>
  </si>
  <si>
    <t>M1</t>
  </si>
  <si>
    <t>2.5cm</t>
  </si>
  <si>
    <t>intermediate</t>
  </si>
  <si>
    <t>high</t>
  </si>
  <si>
    <t>low</t>
  </si>
  <si>
    <t>LN extent</t>
  </si>
  <si>
    <t>Papillary carcinoma</t>
  </si>
  <si>
    <t>Not identified</t>
  </si>
  <si>
    <t>8g</t>
  </si>
  <si>
    <t>23g</t>
  </si>
  <si>
    <t>infiltrative follicular subtype</t>
  </si>
  <si>
    <t>Present</t>
  </si>
  <si>
    <t>2cm</t>
  </si>
  <si>
    <t>Minimally invasive follicular carcinoma</t>
  </si>
  <si>
    <t>50 mm and 30 mm respectively</t>
  </si>
  <si>
    <t>50 mm</t>
  </si>
  <si>
    <t>4cm</t>
  </si>
  <si>
    <t>Cancer of thyroid</t>
  </si>
  <si>
    <t>1.3cm</t>
  </si>
  <si>
    <t>Papillary carcinoma, classic subtype</t>
  </si>
  <si>
    <t>2mm</t>
  </si>
  <si>
    <t>10g</t>
  </si>
  <si>
    <t>10 mm</t>
  </si>
  <si>
    <t>6g</t>
  </si>
  <si>
    <t>Absent</t>
  </si>
  <si>
    <t>Focal involvement by invasive carcinoma at posterior surface</t>
  </si>
  <si>
    <t>7 mm (microscopical dimension)</t>
  </si>
  <si>
    <t>4.5 mm</t>
  </si>
  <si>
    <t>24.5 mm</t>
  </si>
  <si>
    <t>3cm</t>
  </si>
  <si>
    <t>1b</t>
  </si>
  <si>
    <t>x</t>
  </si>
  <si>
    <t>1a</t>
  </si>
  <si>
    <t>3b</t>
  </si>
  <si>
    <t>3a</t>
  </si>
  <si>
    <t>4a</t>
  </si>
  <si>
    <t>4b</t>
  </si>
  <si>
    <t>GROUND TRUTH</t>
  </si>
  <si>
    <t>PERFORMANCE</t>
  </si>
  <si>
    <t>13 mm</t>
  </si>
  <si>
    <t>classic</t>
  </si>
  <si>
    <t>63 mm</t>
  </si>
  <si>
    <t>papillary</t>
  </si>
  <si>
    <t>tall cell</t>
  </si>
  <si>
    <r>
      <t>NoFociVIFTC</t>
    </r>
    <r>
      <rPr>
        <b/>
        <sz val="11"/>
        <rFont val="Calibri (Body)"/>
      </rPr>
      <t xml:space="preserve"> (extensive/minimal)</t>
    </r>
  </si>
  <si>
    <t>pT1b</t>
  </si>
  <si>
    <t>pT2</t>
  </si>
  <si>
    <t>pN1a</t>
  </si>
  <si>
    <t>pT3b</t>
  </si>
  <si>
    <t>pT3a</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</si>
  <si>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</si>
  <si>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</si>
  <si>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</si>
  <si>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</si>
  <si>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</si>
  <si>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</si>
  <si>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</si>
  <si>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</si>
  <si>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</si>
  <si>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</si>
  <si>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</si>
  <si>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</si>
  <si>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</si>
  <si>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</si>
  <si>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</si>
  <si>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</si>
  <si>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</si>
  <si>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</si>
  <si>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</si>
  <si>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</si>
  <si>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</si>
  <si>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</si>
  <si>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</si>
  <si>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</si>
  <si>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</si>
  <si>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Multinodular goitre</t>
  </si>
  <si>
    <t>Papillary carcinoma, encapsulated classic subtype</t>
  </si>
  <si>
    <t>Resection margins clear</t>
  </si>
  <si>
    <t>40g</t>
  </si>
  <si>
    <t>Focal (&lt; 4 vessels)</t>
  </si>
  <si>
    <t>Suspicious foci</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</si>
  <si>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</si>
  <si>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</si>
  <si>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</si>
  <si>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</si>
  <si>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</si>
  <si>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</si>
  <si>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</si>
  <si>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</si>
  <si>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</si>
  <si>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</si>
  <si>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</si>
  <si>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fatty soft tissue at isthmus</t>
  </si>
  <si>
    <t>Not mentioned</t>
  </si>
  <si>
    <t>3 mm (block A7)</t>
  </si>
  <si>
    <t>Anterior surface: &lt; 0.1 mm from carcinoma (block 3)</t>
  </si>
  <si>
    <t>27 x 22 x 17 mm (mid pole tumor)</t>
  </si>
  <si>
    <t>TX</t>
  </si>
  <si>
    <t>Positive</t>
  </si>
  <si>
    <t>The tumour measures less than 0.1 mm from the anterior, posterior and lateral margins</t>
  </si>
  <si>
    <t>Left SCF LN</t>
  </si>
  <si>
    <t>Invading only strap muscles</t>
  </si>
  <si>
    <t>Clear</t>
  </si>
  <si>
    <t>The isthmic margin is clear.</t>
  </si>
  <si>
    <t>Minimal</t>
  </si>
  <si>
    <t>Present (minimal)</t>
  </si>
  <si>
    <t>Right lateral neck LNs</t>
  </si>
  <si>
    <t>2 (upper pole and lower pole)</t>
  </si>
  <si>
    <t>Microscopic extrathyroidal extension to skeletal muscle anterior to the thyroid gland is present (Block B2)</t>
  </si>
  <si>
    <t>Cancer</t>
  </si>
  <si>
    <t>Anterior: 1 mm (block 1), Posterior: 2 mm (block 3), Isthmic: 4 mm (block 3)</t>
  </si>
  <si>
    <t>Anterior and posterior margins focally involved</t>
  </si>
  <si>
    <t>Margin</t>
  </si>
  <si>
    <t>Indeterminate</t>
  </si>
  <si>
    <t>Margins involved</t>
  </si>
  <si>
    <t>Classic</t>
  </si>
  <si>
    <t>Microscopic invasive of the surrounding fat at the 2 mm tumor nodule. No gross invasion was detected. No involvement of skeletal muscle bundles is detected.</t>
  </si>
  <si>
    <t>7g</t>
  </si>
  <si>
    <t>pT1</t>
  </si>
  <si>
    <t>Touched posterior and lateral margins with involvement of extrathyroid soft tissue</t>
  </si>
  <si>
    <t>Several</t>
  </si>
  <si>
    <t>PTC (Papillary Thyroid Cancer)</t>
  </si>
  <si>
    <t>14g (Right thyroid) and 9g (Left thyroid)</t>
  </si>
  <si>
    <t>Oncocytic classic</t>
  </si>
  <si>
    <t>20 mm (Lower pole tumour)</t>
  </si>
  <si>
    <t>Focal Invasion</t>
  </si>
  <si>
    <t>Invading soft tissue and strap muscles</t>
  </si>
  <si>
    <t>Anterior margin: Involved by tumour, Posterior margin: Involved by tumour</t>
  </si>
  <si>
    <t>4 or more</t>
  </si>
  <si>
    <t>Negative</t>
  </si>
  <si>
    <t>15g (Right thyroid) and 9g (Left thyroid)</t>
  </si>
  <si>
    <t>Left, central, compartment, neck, multiple (&gt;5)</t>
  </si>
  <si>
    <t>1 (right lobe)</t>
  </si>
  <si>
    <t>Anterior margin: Involved by invasive carcinoma</t>
  </si>
  <si>
    <t>Margins uninvolved</t>
  </si>
  <si>
    <t>Right thyroid nodule</t>
  </si>
  <si>
    <t>minimally invasive follicular carcinoma</t>
  </si>
  <si>
    <t>&lt;4</t>
  </si>
  <si>
    <t>Uninvolved by carcinoma: 0.3 mm from anterior margin</t>
  </si>
  <si>
    <t>invades surrounding skeletal muscle</t>
  </si>
  <si>
    <t>Encapsulated classic</t>
  </si>
  <si>
    <t>Tumor is present</t>
  </si>
  <si>
    <t>40 x 20 x 20 mm (left thyroid lobe)</t>
  </si>
  <si>
    <t>Suspicious</t>
  </si>
  <si>
    <t>36 x 32 x 26 mm</t>
  </si>
  <si>
    <t>24g (right) and 9g (left)</t>
  </si>
  <si>
    <t>The carcinoma reaches the anterior and anterolateral capsule without breaching the capsule.</t>
  </si>
  <si>
    <t>Involved by carcinoma</t>
  </si>
  <si>
    <t>Anterior margin : 0.3 mm, Posterior margin: involved by carcinoma, Lateral margin  : less than 0.1 mm, Isthmic margin  : More than 10 mm</t>
  </si>
  <si>
    <t>The anterior, posterior and lateral surfaces are clear by 0.4 mm, 0.9 mm and 1.5 mm respectively (Block 2). The superior and inferior surfaces are grossly well clear. The isthmic margin is clear (Block 1)</t>
  </si>
  <si>
    <t>Not applicable</t>
  </si>
  <si>
    <t>4.3 cm</t>
  </si>
  <si>
    <t>9mm</t>
  </si>
  <si>
    <t>Multiple enlarged</t>
  </si>
  <si>
    <t>4 or more (encases right RLN)</t>
  </si>
  <si>
    <t>0.2 mm (block B2)</t>
  </si>
  <si>
    <t>Cancer of thyroid - right lobe</t>
  </si>
  <si>
    <t>Right thyroid 1cm tumour with gross ETE to strap muscle</t>
  </si>
  <si>
    <t>4 cm</t>
  </si>
  <si>
    <t>1 out of 2 lymph nodes involved by papillary carcinoma</t>
  </si>
  <si>
    <t>Hurthle cell</t>
  </si>
  <si>
    <t>5 (middle pole) and 2.5 (isthmus)</t>
  </si>
  <si>
    <t>12 mm</t>
  </si>
  <si>
    <t>4.5 x 3 x 2cm (for left thyroid)</t>
  </si>
  <si>
    <t>1 (for left thyroid)</t>
  </si>
  <si>
    <t>invading to carotid sheath and wrapped around RLN at lower pole</t>
  </si>
  <si>
    <t>Present, posteriorly it invaded to muscular layer of esophagus and prevertebral fascia</t>
  </si>
  <si>
    <t>Left central compartment LN</t>
  </si>
  <si>
    <t>Focally into adjacent fibroadipose tissue</t>
  </si>
  <si>
    <t>Involved</t>
  </si>
  <si>
    <t>28g (left lobe)</t>
  </si>
  <si>
    <t>Lung, Bone</t>
  </si>
  <si>
    <t>16g (Right thyroid), 1g (Left thyroid remnant)</t>
  </si>
  <si>
    <t>Tall cell variant</t>
  </si>
  <si>
    <t>Left lateral level II, III, IV</t>
  </si>
  <si>
    <t>Lung</t>
  </si>
  <si>
    <t>No extranodal extension</t>
  </si>
  <si>
    <t>11g (left) and 5g (right)</t>
  </si>
  <si>
    <t>Encapsulated</t>
  </si>
  <si>
    <t>Tumor focally involves the anterior margins (block 4)</t>
  </si>
  <si>
    <t>&lt; 4</t>
  </si>
  <si>
    <t>Left thyroid tumour occupying almost entire left lobe</t>
  </si>
  <si>
    <t>Identified</t>
  </si>
  <si>
    <t>The capsule is infiltrated by the tumor cells</t>
  </si>
  <si>
    <t>The mid to lower pole tumor measures 0.3 mm from both the anterior and posterior margins</t>
  </si>
  <si>
    <t>12g</t>
  </si>
  <si>
    <t>19g (weight)</t>
  </si>
  <si>
    <t>Microscopic clearance is seen at the posterior and anterior margins, measuring 0.3 mm and 0.5 mm, respectively.</t>
  </si>
  <si>
    <t>5 x 3 x 2 cm</t>
  </si>
  <si>
    <t>Present (lower pole tumour completely encased right RLN)</t>
  </si>
  <si>
    <t>Uninvolved by carcinoma, specify location and distance (mm): 0.5 mm, anterior and posterior aspects of isthmus</t>
  </si>
  <si>
    <t>Left, thyroid gland, 4cm, muscular layer of esophagus, prevertebral fascia</t>
  </si>
  <si>
    <t>Tumor excised en bloc with RLN</t>
  </si>
  <si>
    <t>Free of involvement</t>
  </si>
  <si>
    <t>Extensive (= or &gt;4 vessels)</t>
  </si>
  <si>
    <t>Invading subcutaneous soft tissues, larynx, trachea, esophagus or recurrent laryngeal nerve</t>
  </si>
  <si>
    <t>Tumour present in extrathyroidal adipose tissue (C12) and involves the cauterized margin of antero-inferior pole (C12)</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</si>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</sst>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9" fillId="0" borderId="0" applyFont="0" applyFill="0" applyBorder="0" applyAlignment="0" applyProtection="0"/>
    <xf numFmtId="0" fontId="3" fillId="0" borderId="0"/>
    <xf numFmtId="0" fontId="2" fillId="0" borderId="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8" applyNumberFormat="0" applyAlignment="0" applyProtection="0"/>
    <xf numFmtId="0" fontId="19" fillId="8" borderId="9" applyNumberFormat="0" applyAlignment="0" applyProtection="0"/>
    <xf numFmtId="0" fontId="20" fillId="8" borderId="8" applyNumberFormat="0" applyAlignment="0" applyProtection="0"/>
    <xf numFmtId="0" fontId="21" fillId="0" borderId="10" applyNumberFormat="0" applyFill="0" applyAlignment="0" applyProtection="0"/>
    <xf numFmtId="0" fontId="22" fillId="9" borderId="11"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5" fillId="0" borderId="13" applyNumberFormat="0" applyFill="0" applyAlignment="0" applyProtection="0"/>
    <xf numFmtId="0" fontId="24"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5" fillId="6" borderId="0" applyNumberFormat="0" applyBorder="0" applyAlignment="0" applyProtection="0"/>
    <xf numFmtId="0" fontId="1" fillId="10" borderId="12"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50">
    <xf numFmtId="0" fontId="0" fillId="0" borderId="0" xfId="0"/>
    <xf numFmtId="0" fontId="4" fillId="0" borderId="0" xfId="0" applyFont="1"/>
    <xf numFmtId="0" fontId="4" fillId="0" borderId="1" xfId="0" applyFont="1" applyBorder="1"/>
    <xf numFmtId="0" fontId="6" fillId="0" borderId="2" xfId="0" applyFont="1" applyBorder="1" applyAlignment="1">
      <alignment horizontal="center" vertical="center"/>
    </xf>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4" xfId="0" applyNumberFormat="1" applyFont="1" applyBorder="1" applyAlignment="1">
      <alignment horizontal="center" vertical="center" wrapText="1"/>
    </xf>
    <xf numFmtId="1" fontId="8" fillId="0" borderId="3" xfId="0" applyNumberFormat="1" applyFont="1" applyBorder="1" applyAlignment="1">
      <alignment horizontal="center"/>
    </xf>
    <xf numFmtId="10" fontId="8"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2" fillId="0" borderId="0" xfId="1" applyNumberFormat="1" applyFont="1" applyFill="1" applyBorder="1"/>
    <xf numFmtId="14" fontId="0" fillId="0" borderId="0" xfId="0" applyNumberFormat="1"/>
    <xf numFmtId="15" fontId="0" fillId="0" borderId="0" xfId="0" applyNumberFormat="1"/>
    <xf numFmtId="0" fontId="0" fillId="0" borderId="2" xfId="0" applyBorder="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applyAlignment="1">
      <alignment horizontal="left"/>
    </xf>
    <xf numFmtId="1" fontId="8" fillId="0" borderId="4" xfId="0" applyNumberFormat="1" applyFont="1" applyBorder="1" applyAlignment="1">
      <alignment horizontal="center"/>
    </xf>
    <xf numFmtId="1" fontId="8" fillId="0" borderId="2" xfId="0" applyNumberFormat="1" applyFont="1" applyBorder="1" applyAlignment="1">
      <alignment horizontal="center"/>
    </xf>
    <xf numFmtId="1" fontId="10" fillId="0" borderId="4" xfId="0" applyNumberFormat="1" applyFont="1" applyBorder="1" applyAlignment="1">
      <alignment horizontal="center" vertical="center"/>
    </xf>
    <xf numFmtId="1" fontId="8" fillId="0" borderId="0" xfId="0" applyNumberFormat="1" applyFont="1" applyAlignment="1">
      <alignment horizontal="center"/>
    </xf>
    <xf numFmtId="1" fontId="10" fillId="0" borderId="15" xfId="0" applyNumberFormat="1" applyFont="1" applyBorder="1" applyAlignment="1">
      <alignment horizontal="center" vertical="center"/>
    </xf>
    <xf numFmtId="1" fontId="8" fillId="0" borderId="14" xfId="0" applyNumberFormat="1" applyFont="1" applyBorder="1" applyAlignment="1">
      <alignment horizontal="center"/>
    </xf>
    <xf numFmtId="1" fontId="8" fillId="0" borderId="15" xfId="0" applyNumberFormat="1" applyFont="1" applyBorder="1" applyAlignment="1">
      <alignment horizontal="center"/>
    </xf>
    <xf numFmtId="0" fontId="10" fillId="2" borderId="0" xfId="0" applyFont="1" applyFill="1" applyAlignment="1">
      <alignment horizontal="center"/>
    </xf>
    <xf numFmtId="1" fontId="10" fillId="3" borderId="3" xfId="0" applyNumberFormat="1" applyFont="1" applyFill="1" applyBorder="1" applyAlignment="1">
      <alignment horizontal="center"/>
    </xf>
    <xf numFmtId="1" fontId="10" fillId="3" borderId="0" xfId="0" applyNumberFormat="1" applyFont="1" applyFill="1" applyAlignment="1">
      <alignment horizontal="center"/>
    </xf>
    <xf numFmtId="1" fontId="10" fillId="3" borderId="14" xfId="0" applyNumberFormat="1" applyFont="1" applyFill="1" applyBorder="1" applyAlignment="1">
      <alignment horizontal="center"/>
    </xf>
    <xf numFmtId="0" fontId="8" fillId="0" borderId="0" xfId="0" applyFont="1" applyFill="1" applyAlignment="1">
      <alignment horizontal="center"/>
    </xf>
    <xf numFmtId="1" fontId="8" fillId="0" borderId="3" xfId="0" applyNumberFormat="1" applyFont="1" applyFill="1" applyBorder="1" applyAlignment="1">
      <alignment horizontal="center"/>
    </xf>
    <xf numFmtId="1" fontId="8" fillId="0" borderId="0" xfId="0" applyNumberFormat="1" applyFont="1" applyFill="1" applyAlignment="1">
      <alignment horizontal="center"/>
    </xf>
    <xf numFmtId="0" fontId="8" fillId="0" borderId="3" xfId="0" applyFont="1" applyFill="1" applyBorder="1" applyAlignment="1">
      <alignment horizontal="center"/>
    </xf>
    <xf numFmtId="0" fontId="8" fillId="0" borderId="2" xfId="0" applyFont="1" applyFill="1" applyBorder="1" applyAlignment="1">
      <alignment horizontal="center"/>
    </xf>
    <xf numFmtId="1" fontId="8" fillId="0" borderId="4" xfId="0" applyNumberFormat="1" applyFont="1" applyFill="1" applyBorder="1" applyAlignment="1">
      <alignment horizontal="center"/>
    </xf>
    <xf numFmtId="1" fontId="8" fillId="0" borderId="2" xfId="0" applyNumberFormat="1" applyFont="1" applyFill="1" applyBorder="1" applyAlignment="1">
      <alignment horizontal="center"/>
    </xf>
    <xf numFmtId="0" fontId="8" fillId="0" borderId="4" xfId="0" applyFont="1" applyFill="1" applyBorder="1" applyAlignment="1">
      <alignment horizontal="center"/>
    </xf>
    <xf numFmtId="2" fontId="10" fillId="0" borderId="2" xfId="0" applyNumberFormat="1" applyFont="1" applyBorder="1" applyAlignment="1">
      <alignment horizontal="center" vertical="center" wrapText="1"/>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8"/>
    <col min="6" max="6" width="11.73046875" customWidth="1"/>
    <col min="7" max="7" width="10.46484375" customWidth="1"/>
    <col min="8" max="8" width="10.796875" style="18"/>
    <col min="10" max="10" width="12.33203125" customWidth="1"/>
    <col min="11" max="11" width="11.796875" style="18" customWidth="1"/>
    <col min="12" max="12" width="12.53125" style="18" bestFit="1" customWidth="1"/>
    <col min="13" max="13" width="12.46484375" style="18" bestFit="1" customWidth="1"/>
    <col min="14" max="14" width="10.796875" hidden="1" customWidth="1"/>
    <col min="15" max="15" width="11.86328125" hidden="1" customWidth="1"/>
    <col min="16" max="16" width="9.6640625" customWidth="1"/>
    <col min="17" max="17" width="26.33203125" customWidth="1"/>
    <col min="18" max="18" width="24.796875" customWidth="1"/>
    <col min="19" max="19" width="17.6640625" hidden="1" customWidth="1"/>
    <col min="20" max="20" width="0" hidden="1" customWidth="1"/>
    <col min="22" max="22" width="14.6640625" style="18" customWidth="1"/>
    <col min="23" max="23" width="14.6640625" style="18" hidden="1" customWidth="1"/>
    <col min="24" max="24" width="23.53125" customWidth="1"/>
    <col min="25" max="25" width="11.929687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4.73046875" bestFit="1" customWidth="1"/>
    <col min="41" max="46" width="10.796875" customWidth="1"/>
    <col min="47" max="49" width="10.6640625" customWidth="1"/>
  </cols>
  <sheetData>
    <row r="1" spans="1:49" s="5" customFormat="1">
      <c r="A1" s="37" t="s">
        <v>367</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20"/>
      <c r="AI1" s="38" t="s">
        <v>370</v>
      </c>
      <c r="AJ1" s="39"/>
      <c r="AK1" s="39"/>
      <c r="AL1" s="39"/>
      <c r="AM1" s="39"/>
      <c r="AN1" s="38" t="s">
        <v>201</v>
      </c>
      <c r="AO1" s="39"/>
      <c r="AP1" s="39"/>
      <c r="AQ1" s="39"/>
      <c r="AR1" s="39"/>
      <c r="AS1" s="38" t="s">
        <v>202</v>
      </c>
      <c r="AT1" s="39"/>
      <c r="AU1" s="39"/>
      <c r="AV1" s="39"/>
      <c r="AW1" s="40"/>
    </row>
    <row r="2" spans="1:49" s="4" customFormat="1" ht="42">
      <c r="A2" s="6" t="s">
        <v>0</v>
      </c>
      <c r="B2" s="6" t="s">
        <v>1</v>
      </c>
      <c r="C2" s="3" t="s">
        <v>2</v>
      </c>
      <c r="D2" s="3" t="s">
        <v>3</v>
      </c>
      <c r="E2" s="6" t="s">
        <v>4</v>
      </c>
      <c r="F2" s="6" t="s">
        <v>5</v>
      </c>
      <c r="G2" s="6" t="s">
        <v>6</v>
      </c>
      <c r="H2" s="6" t="s">
        <v>7</v>
      </c>
      <c r="I2" s="6" t="s">
        <v>8</v>
      </c>
      <c r="J2" s="6" t="s">
        <v>169</v>
      </c>
      <c r="K2" s="6" t="s">
        <v>9</v>
      </c>
      <c r="L2" s="6" t="s">
        <v>10</v>
      </c>
      <c r="M2" s="6" t="s">
        <v>11</v>
      </c>
      <c r="N2" s="6" t="s">
        <v>12</v>
      </c>
      <c r="O2" s="6" t="s">
        <v>368</v>
      </c>
      <c r="P2" s="49" t="s">
        <v>369</v>
      </c>
      <c r="Q2" s="6" t="s">
        <v>13</v>
      </c>
      <c r="R2" s="6" t="s">
        <v>14</v>
      </c>
      <c r="S2" s="6" t="s">
        <v>15</v>
      </c>
      <c r="T2" s="7" t="s">
        <v>365</v>
      </c>
      <c r="U2" s="49" t="s">
        <v>366</v>
      </c>
      <c r="V2" s="6" t="s">
        <v>16</v>
      </c>
      <c r="W2" s="6" t="s">
        <v>17</v>
      </c>
      <c r="X2" s="6" t="s">
        <v>18</v>
      </c>
      <c r="Y2" s="7" t="s">
        <v>208</v>
      </c>
      <c r="Z2" s="6" t="s">
        <v>19</v>
      </c>
      <c r="AA2" s="6" t="s">
        <v>20</v>
      </c>
      <c r="AB2" s="6" t="s">
        <v>21</v>
      </c>
      <c r="AC2" s="6" t="s">
        <v>22</v>
      </c>
      <c r="AD2" s="7" t="s">
        <v>23</v>
      </c>
      <c r="AE2" s="6" t="s">
        <v>24</v>
      </c>
      <c r="AF2" s="7" t="s">
        <v>364</v>
      </c>
      <c r="AG2" s="6" t="s">
        <v>276</v>
      </c>
      <c r="AH2" s="8"/>
      <c r="AI2" s="32" t="s">
        <v>147</v>
      </c>
      <c r="AJ2" s="9" t="s">
        <v>148</v>
      </c>
      <c r="AK2" s="9" t="s">
        <v>149</v>
      </c>
      <c r="AL2" s="9" t="s">
        <v>150</v>
      </c>
      <c r="AM2" s="9" t="s">
        <v>151</v>
      </c>
      <c r="AN2" s="10" t="s">
        <v>147</v>
      </c>
      <c r="AO2" s="9" t="s">
        <v>148</v>
      </c>
      <c r="AP2" s="9" t="s">
        <v>149</v>
      </c>
      <c r="AQ2" s="9" t="s">
        <v>150</v>
      </c>
      <c r="AR2" s="9" t="s">
        <v>151</v>
      </c>
      <c r="AS2" s="10" t="s">
        <v>147</v>
      </c>
      <c r="AT2" s="9" t="s">
        <v>148</v>
      </c>
      <c r="AU2" s="9" t="s">
        <v>149</v>
      </c>
      <c r="AV2" s="9" t="s">
        <v>150</v>
      </c>
      <c r="AW2" s="34" t="s">
        <v>151</v>
      </c>
    </row>
    <row r="3" spans="1:49">
      <c r="A3" s="14">
        <v>1</v>
      </c>
      <c r="B3" s="17">
        <f>_xlfn.MAXIFS('Model output'!B:B,'Model output'!Z:Z,'Classification result'!$A3)</f>
        <v>45320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18">
        <f>IFERROR(INDEX('Model output'!J:J, MATCH(A3, 'Model output'!Z:Z, 0)), "")</f>
        <v>0</v>
      </c>
      <c r="N3" s="19"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v>
      </c>
      <c r="R3" t="str" cm="1">
        <f t="array" ref="R3">Q3 &amp; " " &amp;IF(ISERROR(INDEX(_xlfn._xlws.FILTER('Model output'!M:M, ('Model output'!Z:Z=A3)*('Model output'!M:M&lt;&gt;"")), 1)), " ", LOWER(INDEX(_xlfn._xlws.FILTER('Model output'!M:M, ('Model output'!Z:Z=A3)*('Model output'!M:M&lt;&gt;"")), 1)))</f>
        <v>papillary infiltrative follicular</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AA3" s="18" t="str">
        <f>IF(OR(ISNUMBER(SEARCH("soft tissue", AF3)), ISNUMBER(SEARCH("adipose tissue", AF3)), ISNUMBER(SEARCH("muscles", AF3)), ISNUMBER(SEARCH("microscopic", AF3)), ISNUMBER(SEARCH("minimal", AF3)), ISNUMBER(SEARCH("surrounding fat", AF3)), ISNUMBER(SEARCH("present", AF3)), ISNUMBER(SEARCH("yes", AF3))), "positive", "negative")</f>
        <v>positive</v>
      </c>
      <c r="AB3" s="18" t="str">
        <f t="shared" ref="AB3:AD3" si="1">IF(OR(ISNUMBER(SEARCH("soft tissue", AG3)), ISNUMBER(SEARCH("adipose tissue", AG3)), ISNUMBER(SEARCH("muscles", AG3)), ISNUMBER(SEARCH("microscopic", AG3)), ISNUMBER(SEARCH("minimal", AG3)), ISNUMBER(SEARCH("surrounding fat", AG3)), ISNUMBER(SEARCH("present", AG3)), ISNUMBER(SEARCH("yes", AG3))), "positive", "negative")</f>
        <v>negative</v>
      </c>
      <c r="AC3" s="18" t="str">
        <f t="shared" si="1"/>
        <v>negative</v>
      </c>
      <c r="AD3" s="18" t="str">
        <f t="shared" si="1"/>
        <v>negative</v>
      </c>
      <c r="AE3" s="18"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Present</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positive</v>
      </c>
      <c r="AI3" s="44"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intermediate</v>
      </c>
      <c r="AJ3" s="41" t="str">
        <f t="shared" ref="AJ3:AJ31" si="2">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1" t="str">
        <f t="shared" ref="AK3:AK16" si="3">IF(OR(ISNUMBER(SEARCH("non-invasive follicular",Q3,1)),ISNUMBER(SEARCH("non-invasive follicular",R3,1))),"NIFTP",IF(AND(M3&gt;0,I3="positive",J3="central"),"1a",IF(AND(M3&gt;0,I3="positive",J3="lateral"),"1b",IF(AND(M3=0,L3=0),"x",0))))</f>
        <v>x</v>
      </c>
      <c r="AL3" s="41">
        <f t="shared" ref="AL3:AL16" si="4">IF(OR(ISNUMBER(SEARCH("non-invasive follicular",Q3,1)),ISNUMBER(SEARCH("non-invasive follicular",R3,1))),"NIFTP",IF(K3="unknown","x",IF(K3="negative",0,1)))</f>
        <v>0</v>
      </c>
      <c r="AM3" s="41" t="str">
        <f t="shared" ref="AM3:AM16" si="5">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42" t="s">
        <v>168</v>
      </c>
      <c r="AO3" s="43" t="s">
        <v>194</v>
      </c>
      <c r="AP3" s="43" t="s">
        <v>195</v>
      </c>
      <c r="AQ3" s="43">
        <v>0</v>
      </c>
      <c r="AR3" s="43" t="s">
        <v>31</v>
      </c>
      <c r="AS3" s="11">
        <f t="shared" ref="AS3:AS37" si="6">IF(AN3=AI3,1,0)</f>
        <v>0</v>
      </c>
      <c r="AT3" s="33">
        <f t="shared" ref="AT3:AT37" si="7">IF(AO3=AJ3,1,0)</f>
        <v>1</v>
      </c>
      <c r="AU3" s="33">
        <f t="shared" ref="AU3:AU37" si="8">IF(AK3=AP3,1,IF(OR(AND(AP3="x",AK3=0),AND(AK3="x",AP3=0)),1,0))</f>
        <v>1</v>
      </c>
      <c r="AV3" s="33">
        <f t="shared" ref="AV3:AV37" si="9">IF(AQ3=AL3,1,0)</f>
        <v>1</v>
      </c>
      <c r="AW3" s="35">
        <f t="shared" ref="AW3:AW37" si="10">IF(AR3=AM3,1,0)</f>
        <v>1</v>
      </c>
    </row>
    <row r="4" spans="1:49">
      <c r="A4" s="14">
        <v>2</v>
      </c>
      <c r="B4" s="17">
        <f>_xlfn.MAXIFS('Model output'!B:B,'Model output'!Z:Z,'Classification result'!$A4)</f>
        <v>45348</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8">
        <f>IF(IFERROR(INDEX('Model output'!I:I, MATCH(A4, 'Model output'!Z:Z, 0)), "") &lt; M4, "", IFERROR(INDEX('Model output'!I:I, MATCH(A4, 'Model output'!Z:Z, 0)), ""))</f>
        <v>0</v>
      </c>
      <c r="M4" s="18">
        <f>IFERROR(INDEX('Model output'!J:J, MATCH(A4, 'Model output'!Z:Z, 0)), "")</f>
        <v>0</v>
      </c>
      <c r="N4" s="19"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v>
      </c>
      <c r="R4" t="str" cm="1">
        <f t="array" ref="R4">IF(ISERROR(INDEX(_xlfn._xlws.FILTER('Model output'!M:M, ('Model output'!Z:Z=A4)*('Model output'!M:M&lt;&gt;"")), 1)), " ", LOWER(INDEX(_xlfn._xlws.FILTER('Model output'!M:M, ('Model output'!Z:Z=A4)*('Model output'!M:M&lt;&gt;"")), 1)))</f>
        <v>classic</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1">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ref="AA4:AA37" si="12">IF(OR(ISNUMBER(SEARCH("soft tissue", AF4)), ISNUMBER(SEARCH("adipose tissue", AF4)), ISNUMBER(SEARCH("muscles", AF4)), ISNUMBER(SEARCH("microscopic", AF4)), ISNUMBER(SEARCH("minimal", AF4)), ISNUMBER(SEARCH("surrounding fat", AF4)), ISNUMBER(SEARCH("present", AF4)), ISNUMBER(SEARCH("yes", AF4))), "positive", "negative")</f>
        <v>negative</v>
      </c>
      <c r="AE4" s="18" t="str">
        <f t="shared" ref="AE4:AE37" si="13">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mentioned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4" t="str">
        <f>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1" t="str">
        <f t="shared" si="2"/>
        <v>2</v>
      </c>
      <c r="AK4" s="41" t="str">
        <f t="shared" si="3"/>
        <v>x</v>
      </c>
      <c r="AL4" s="41">
        <f t="shared" si="4"/>
        <v>0</v>
      </c>
      <c r="AM4" s="41" t="str">
        <f t="shared" si="5"/>
        <v>I</v>
      </c>
      <c r="AN4" s="42" t="s">
        <v>168</v>
      </c>
      <c r="AO4" s="43" t="s">
        <v>361</v>
      </c>
      <c r="AP4" s="43" t="s">
        <v>195</v>
      </c>
      <c r="AQ4" s="43">
        <v>0</v>
      </c>
      <c r="AR4" s="43" t="s">
        <v>31</v>
      </c>
      <c r="AS4" s="11">
        <f t="shared" si="6"/>
        <v>1</v>
      </c>
      <c r="AT4" s="33">
        <f t="shared" si="7"/>
        <v>1</v>
      </c>
      <c r="AU4" s="33">
        <f t="shared" si="8"/>
        <v>1</v>
      </c>
      <c r="AV4" s="33">
        <f t="shared" si="9"/>
        <v>1</v>
      </c>
      <c r="AW4" s="35">
        <f t="shared" si="10"/>
        <v>1</v>
      </c>
    </row>
    <row r="5" spans="1:49">
      <c r="A5" s="14">
        <v>3</v>
      </c>
      <c r="B5" s="17">
        <f>_xlfn.MAXIFS('Model output'!B:B,'Model output'!Z:Z,'Classification result'!$A5)</f>
        <v>45373</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18">
        <f>IFERROR(INDEX('Model output'!J:J, MATCH(A5, 'Model output'!Z:Z, 0)), "")</f>
        <v>1</v>
      </c>
      <c r="N5" s="19"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1"/>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2"/>
        <v>positive</v>
      </c>
      <c r="AE5" s="18" t="str">
        <f t="shared" si="13"/>
        <v>negative</v>
      </c>
      <c r="AF5" t="str" cm="1">
        <f t="array" ref="AF5">_xlfn.TEXTJOIN("; ",TRUE,_xlfn._xlws.FILTER('Model output'!S:S,'Model output'!Z:Z=A5))</f>
        <v>Microscopic invasive of the surrounding fat at the 2 mm tumor nodule. No gross invasion was detected. No involvement of skeletal muscle bundles is detected.; Not mentioned</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4" t="str">
        <f t="shared" ref="AI5:AI37" si="14">IF(OR(ISNUMBER(SEARCH("non-invasive follicular",Q5,1)),ISNUMBER(SEARCH("non-invasive follicular",R5,1))),"NIFTP", IF(OR(K5="positive",AE5="positive",AND(OR(ISNUMBER(SEARCH("follicular", Q5)),ISNUMBER(SEARCH("FTC", Q5))),Y5="extensive"),AND(I5="positive",ISNUMBER(P5),P5&gt;3),AL5=1),"high",IF(OR(ISNUMBER(SEARCH("positive",AA5,1)),ISNUMBER(SEARCH("tall",R5,1)),ISNUMBER(SEARCH("hobnail",R5,1)),ISNUMBER(SEARCH("cribriform",R5,1)),ISNUMBER(SEARCH("diffuse",R5,1)),ISNUMBER(SEARCH("columnar",R5,1)),ISNUMBER(SEARCH("solid",R5,1)),ISNUMBER(SEARCH("tall",Q5,1)),ISNUMBER(SEARCH("hobnail",Q5,1)),ISNUMBER(SEARCH("cribriform",Q5,1)),ISNUMBER(SEARCH("diffuse",Q5,1)),ISNUMBER(SEARCH("columnar",Q5,1)),ISNUMBER(SEARCH("solid",Q5,1)),AND(OR(ISNUMBER(SEARCH("papillary carcinoma",Q5,1)),ISNUMBER(SEARCH("papillary microcarcinoma",Q5,1))),V5="positive"),,AND(AND(ISNUMBER(M5),M5&gt;=5),P5=""),AND(AND(ISNUMBER(M5),M5&gt;=5),AND(ISNUMBER(P5),P5&gt;=1)),J5="lateral"),"intermediate","low")))</f>
        <v>intermediate</v>
      </c>
      <c r="AJ5" s="41" t="str">
        <f t="shared" si="2"/>
        <v>1a</v>
      </c>
      <c r="AK5" s="41" t="str">
        <f t="shared" si="3"/>
        <v>1a</v>
      </c>
      <c r="AL5" s="41">
        <f t="shared" si="4"/>
        <v>0</v>
      </c>
      <c r="AM5" s="41" t="str">
        <f t="shared" si="5"/>
        <v>I</v>
      </c>
      <c r="AN5" s="42" t="s">
        <v>166</v>
      </c>
      <c r="AO5" s="43" t="s">
        <v>196</v>
      </c>
      <c r="AP5" s="43" t="s">
        <v>196</v>
      </c>
      <c r="AQ5" s="43">
        <v>0</v>
      </c>
      <c r="AR5" s="43" t="s">
        <v>31</v>
      </c>
      <c r="AS5" s="11">
        <f t="shared" si="6"/>
        <v>1</v>
      </c>
      <c r="AT5" s="33">
        <f t="shared" si="7"/>
        <v>1</v>
      </c>
      <c r="AU5" s="33">
        <f t="shared" si="8"/>
        <v>1</v>
      </c>
      <c r="AV5" s="33">
        <f t="shared" si="9"/>
        <v>1</v>
      </c>
      <c r="AW5" s="35">
        <f t="shared" si="10"/>
        <v>1</v>
      </c>
    </row>
    <row r="6" spans="1:49">
      <c r="A6" s="14">
        <v>4</v>
      </c>
      <c r="B6" s="17">
        <f>_xlfn.MAXIFS('Model output'!B:B,'Model output'!Z:Z,'Classification result'!$A6)</f>
        <v>45412</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4</v>
      </c>
      <c r="M6" s="18">
        <f>IFERROR(INDEX('Model output'!J:J, MATCH(A6, 'Model output'!Z:Z, 0)), "")</f>
        <v>1</v>
      </c>
      <c r="N6" s="19" t="str" cm="1">
        <f t="array" ref="N6">ReplaceTo(ReplaceAnd(SUBSTITUTE(SUBSTITUTE(_xlfn.TEXTJOIN("; ", TRUE, _xlfn._xlws.FILTER('Model output'!K:K, 'Model output'!Z:Z=A6)), " ", ""), ",", ";")))</f>
        <v>9.5mm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t="str" cm="1">
        <f t="array" ref="R6">IF(ISERROR(INDEX(_xlfn._xlws.FILTER('Model output'!M:M, ('Model output'!Z:Z=A6)*('Model output'!M:M&lt;&gt;"")), 1)), " ", LOWER(INDEX(_xlfn._xlws.FILTER('Model output'!M:M, ('Model output'!Z:Z=A6)*('Model output'!M:M&lt;&gt;"")), 1)))</f>
        <v>classic</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identified</v>
      </c>
      <c r="Y6" t="str">
        <f t="shared" si="11"/>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AA6" s="18" t="str">
        <f t="shared" si="12"/>
        <v>positive</v>
      </c>
      <c r="AE6" s="18" t="str">
        <f t="shared" si="13"/>
        <v>negative</v>
      </c>
      <c r="AF6" t="str" cm="1">
        <f t="array" ref="AF6">_xlfn.TEXTJOIN("; ",TRUE,_xlfn._xlws.FILTER('Model output'!S:S,'Model output'!Z:Z=A6))</f>
        <v>fatty soft tissue at isthmus; Not mentioned</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4" t="str">
        <f t="shared" si="14"/>
        <v>intermediate</v>
      </c>
      <c r="AJ6" s="41" t="str">
        <f t="shared" si="2"/>
        <v>1b</v>
      </c>
      <c r="AK6" s="41" t="str">
        <f t="shared" si="3"/>
        <v>1a</v>
      </c>
      <c r="AL6" s="41">
        <f t="shared" si="4"/>
        <v>0</v>
      </c>
      <c r="AM6" s="41" t="str">
        <f t="shared" si="5"/>
        <v>II</v>
      </c>
      <c r="AN6" s="42" t="s">
        <v>166</v>
      </c>
      <c r="AO6" s="41" t="s">
        <v>194</v>
      </c>
      <c r="AP6" s="43" t="s">
        <v>196</v>
      </c>
      <c r="AQ6" s="43">
        <v>0</v>
      </c>
      <c r="AR6" s="43" t="s">
        <v>43</v>
      </c>
      <c r="AS6" s="11">
        <f t="shared" si="6"/>
        <v>1</v>
      </c>
      <c r="AT6" s="33">
        <f t="shared" si="7"/>
        <v>1</v>
      </c>
      <c r="AU6" s="33">
        <f t="shared" si="8"/>
        <v>1</v>
      </c>
      <c r="AV6" s="33">
        <f t="shared" si="9"/>
        <v>1</v>
      </c>
      <c r="AW6" s="35">
        <f t="shared" si="10"/>
        <v>1</v>
      </c>
    </row>
    <row r="7" spans="1:49">
      <c r="A7" s="14">
        <v>5</v>
      </c>
      <c r="B7" s="17">
        <f>_xlfn.MAXIFS('Model output'!B:B,'Model output'!Z:Z,'Classification result'!$A7)</f>
        <v>45411</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18">
        <f>IFERROR(INDEX('Model output'!J:J, MATCH(A7, 'Model output'!Z:Z, 0)), "")</f>
        <v>1</v>
      </c>
      <c r="N7" s="19" t="str" cm="1">
        <f t="array" ref="N7">ReplaceTo(ReplaceAnd(SUBSTITUTE(SUBSTITUTE(_xlfn.TEXTJOIN("; ", TRUE, _xlfn._xlws.FILTER('Model output'!K:K, 'Model output'!Z:Z=A7)), " ", ""), ",", ";")))</f>
        <v>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v>
      </c>
      <c r="R7" t="str" cm="1">
        <f t="array" ref="R7">IF(ISERROR(INDEX(_xlfn._xlws.FILTER('Model output'!M:M, ('Model output'!Z:Z=A7)*('Model output'!M:M&lt;&gt;"")), 1)), " ", LOWER(INDEX(_xlfn._xlws.FILTER('Model output'!M:M, ('Model output'!Z:Z=A7)*('Model output'!M:M&lt;&gt;"")), 1)))</f>
        <v>oncocytic classic</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4 or moreNot mentioned</v>
      </c>
      <c r="Y7" t="str">
        <f t="shared" si="11"/>
        <v>extensive</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8" t="str">
        <f t="shared" si="12"/>
        <v>positive</v>
      </c>
      <c r="AE7" s="18" t="str">
        <f t="shared" si="13"/>
        <v>positive</v>
      </c>
      <c r="AF7" t="str" cm="1">
        <f t="array" ref="AF7">_xlfn.TEXTJOIN("; ",TRUE,_xlfn._xlws.FILTER('Model output'!S:S,'Model output'!Z:Z=A7))</f>
        <v>Invading soft tissue and strap muscles; No extranodal extension; Present</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4" t="str">
        <f t="shared" si="14"/>
        <v>high</v>
      </c>
      <c r="AJ7" s="41" t="str">
        <f t="shared" si="2"/>
        <v>4a</v>
      </c>
      <c r="AK7" s="41" t="str">
        <f t="shared" si="3"/>
        <v>1a</v>
      </c>
      <c r="AL7" s="41">
        <f t="shared" si="4"/>
        <v>0</v>
      </c>
      <c r="AM7" s="41" t="str">
        <f t="shared" si="5"/>
        <v>I</v>
      </c>
      <c r="AN7" s="42" t="s">
        <v>167</v>
      </c>
      <c r="AO7" s="43" t="s">
        <v>197</v>
      </c>
      <c r="AP7" s="43" t="s">
        <v>196</v>
      </c>
      <c r="AQ7" s="43">
        <v>0</v>
      </c>
      <c r="AR7" s="43" t="s">
        <v>31</v>
      </c>
      <c r="AS7" s="11">
        <f t="shared" si="6"/>
        <v>1</v>
      </c>
      <c r="AT7" s="33">
        <f t="shared" si="7"/>
        <v>0</v>
      </c>
      <c r="AU7" s="33">
        <f t="shared" si="8"/>
        <v>1</v>
      </c>
      <c r="AV7" s="33">
        <f t="shared" si="9"/>
        <v>1</v>
      </c>
      <c r="AW7" s="35">
        <f t="shared" si="10"/>
        <v>1</v>
      </c>
    </row>
    <row r="8" spans="1:49">
      <c r="A8" s="14">
        <v>6</v>
      </c>
      <c r="B8" s="17">
        <f>_xlfn.MAXIFS('Model output'!B:B,'Model output'!Z:Z,'Classification result'!$A8)</f>
        <v>45387</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X</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
      </c>
      <c r="K8" s="18"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5</v>
      </c>
      <c r="M8" s="18">
        <f>IFERROR(INDEX('Model output'!J:J, MATCH(A8, 'Model output'!Z:Z, 0)), "")</f>
        <v>0</v>
      </c>
      <c r="N8" s="19" t="str" cm="1">
        <f t="array" ref="N8">ReplaceTo(ReplaceAnd(SUBSTITUTE(SUBSTITUTE(_xlfn.TEXTJOIN("; ", TRUE, _xlfn._xlws.FILTER('Model output'!K:K, 'Model output'!Z:Z=A8)), " ", ""), ",", ";")))</f>
        <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
      </c>
      <c r="P8" t="str" cm="1">
        <f t="array" ref="P8">IF(MaxSize((SplitDimensions(O8)))=0, "", MaxSize((SplitDimensions(O8))))</f>
        <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encapsulated</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4cm</v>
      </c>
      <c r="U8" cm="1">
        <f t="array" ref="U8">IF(MaxSize((SplitDimensions(T8)))=0, "", MaxSize((SplitDimensions(T8))))</f>
        <v>4</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1"/>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AA8" s="18" t="str">
        <f t="shared" si="12"/>
        <v>positive</v>
      </c>
      <c r="AE8" s="18" t="str">
        <f t="shared" si="13"/>
        <v>negative</v>
      </c>
      <c r="AF8" t="str" cm="1">
        <f t="array" ref="AF8">_xlfn.TEXTJOIN("; ",TRUE,_xlfn._xlws.FILTER('Model output'!S:S,'Model output'!Z:Z=A8))</f>
        <v>Present; Not mentioned</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4" t="str">
        <f t="shared" si="14"/>
        <v>intermediate</v>
      </c>
      <c r="AJ8" s="41" t="str">
        <f t="shared" si="2"/>
        <v>2</v>
      </c>
      <c r="AK8" s="41">
        <f t="shared" si="3"/>
        <v>0</v>
      </c>
      <c r="AL8" s="41">
        <f t="shared" si="4"/>
        <v>0</v>
      </c>
      <c r="AM8" s="41" t="str">
        <f t="shared" si="5"/>
        <v>I</v>
      </c>
      <c r="AN8" s="42" t="s">
        <v>168</v>
      </c>
      <c r="AO8" s="41" t="s">
        <v>195</v>
      </c>
      <c r="AP8" s="43" t="s">
        <v>195</v>
      </c>
      <c r="AQ8" s="43">
        <v>0</v>
      </c>
      <c r="AR8" s="43" t="s">
        <v>31</v>
      </c>
      <c r="AS8" s="11">
        <f t="shared" si="6"/>
        <v>0</v>
      </c>
      <c r="AT8" s="33">
        <f t="shared" si="7"/>
        <v>0</v>
      </c>
      <c r="AU8" s="33">
        <f t="shared" si="8"/>
        <v>1</v>
      </c>
      <c r="AV8" s="33">
        <f t="shared" si="9"/>
        <v>1</v>
      </c>
      <c r="AW8" s="35">
        <f t="shared" si="10"/>
        <v>1</v>
      </c>
    </row>
    <row r="9" spans="1:49">
      <c r="A9" s="14">
        <v>7</v>
      </c>
      <c r="B9" s="17">
        <f>_xlfn.MAXIFS('Model output'!B:B,'Model output'!Z:Z,'Classification result'!$A9)</f>
        <v>45429</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12</v>
      </c>
      <c r="M9" s="18">
        <f>IFERROR(INDEX('Model output'!J:J, MATCH(A9, 'Model output'!Z:Z, 0)), "")</f>
        <v>0</v>
      </c>
      <c r="N9" s="19" t="str" cm="1">
        <f t="array" ref="N9">ReplaceTo(ReplaceAnd(SUBSTITUTE(SUBSTITUTE(_xlfn.TEXTJOIN("; ", TRUE, _xlfn._xlws.FILTER('Model output'!K:K, 'Model output'!Z:Z=A9)), " ", ""), ",", ";")))</f>
        <v>Notmentioned</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Not mentioned</v>
      </c>
      <c r="Y9" t="str">
        <f t="shared" si="11"/>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2"/>
        <v>negative</v>
      </c>
      <c r="AE9" s="18" t="str">
        <f t="shared" si="13"/>
        <v>negative</v>
      </c>
      <c r="AF9" t="str" cm="1">
        <f t="array" ref="AF9">_xlfn.TEXTJOIN("; ",TRUE,_xlfn._xlws.FILTER('Model output'!S:S,'Model output'!Z:Z=A9))</f>
        <v>Not identified; Not mentioned</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4" t="str">
        <f t="shared" si="14"/>
        <v>low</v>
      </c>
      <c r="AJ9" s="41" t="str">
        <f t="shared" si="2"/>
        <v>1a</v>
      </c>
      <c r="AK9" s="41">
        <f t="shared" si="3"/>
        <v>0</v>
      </c>
      <c r="AL9" s="41">
        <f t="shared" si="4"/>
        <v>0</v>
      </c>
      <c r="AM9" s="41" t="str">
        <f t="shared" si="5"/>
        <v>I</v>
      </c>
      <c r="AN9" s="42" t="s">
        <v>168</v>
      </c>
      <c r="AO9" s="43" t="s">
        <v>196</v>
      </c>
      <c r="AP9" s="43" t="s">
        <v>195</v>
      </c>
      <c r="AQ9" s="43">
        <v>0</v>
      </c>
      <c r="AR9" s="43" t="s">
        <v>31</v>
      </c>
      <c r="AS9" s="11">
        <f t="shared" si="6"/>
        <v>1</v>
      </c>
      <c r="AT9" s="33">
        <f t="shared" si="7"/>
        <v>1</v>
      </c>
      <c r="AU9" s="33">
        <f t="shared" si="8"/>
        <v>1</v>
      </c>
      <c r="AV9" s="33">
        <f t="shared" si="9"/>
        <v>1</v>
      </c>
      <c r="AW9" s="35">
        <f t="shared" si="10"/>
        <v>1</v>
      </c>
    </row>
    <row r="10" spans="1:49">
      <c r="A10" s="14">
        <v>8</v>
      </c>
      <c r="B10" s="17">
        <f>_xlfn.MAXIFS('Model output'!B:B,'Model output'!Z:Z,'Classification result'!$A10)</f>
        <v>45443</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6</v>
      </c>
      <c r="M10" s="18">
        <f>IFERROR(INDEX('Model output'!J:J, MATCH(A10, 'Model output'!Z:Z, 0)), "")</f>
        <v>0</v>
      </c>
      <c r="N10" s="19" t="str" cm="1">
        <f t="array" ref="N10">ReplaceTo(ReplaceAnd(SUBSTITUTE(SUBSTITUTE(_xlfn.TEXTJOIN("; ", TRUE, _xlfn._xlws.FILTER('Model output'!K:K, 'Model output'!Z:Z=A10)), " ", ""), ",", ";")))</f>
        <v>Notmentioned</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Not mentioned</v>
      </c>
      <c r="Y10" t="str">
        <f t="shared" si="11"/>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2"/>
        <v>negative</v>
      </c>
      <c r="AE10" s="18" t="str">
        <f t="shared" si="13"/>
        <v>negative</v>
      </c>
      <c r="AF10" t="str" cm="1">
        <f t="array" ref="AF10">_xlfn.TEXTJOIN("; ",TRUE,_xlfn._xlws.FILTER('Model output'!S:S,'Model output'!Z:Z=A10))</f>
        <v>Not identified; Not mentioned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4" t="str">
        <f t="shared" si="14"/>
        <v>low</v>
      </c>
      <c r="AJ10" s="41" t="str">
        <f t="shared" si="2"/>
        <v>1b</v>
      </c>
      <c r="AK10" s="41">
        <f t="shared" si="3"/>
        <v>0</v>
      </c>
      <c r="AL10" s="41">
        <f t="shared" si="4"/>
        <v>0</v>
      </c>
      <c r="AM10" s="41" t="str">
        <f t="shared" si="5"/>
        <v>I</v>
      </c>
      <c r="AN10" s="42" t="s">
        <v>168</v>
      </c>
      <c r="AO10" s="43" t="s">
        <v>194</v>
      </c>
      <c r="AP10" s="43" t="s">
        <v>195</v>
      </c>
      <c r="AQ10" s="43">
        <v>0</v>
      </c>
      <c r="AR10" s="43" t="s">
        <v>31</v>
      </c>
      <c r="AS10" s="11">
        <f t="shared" si="6"/>
        <v>1</v>
      </c>
      <c r="AT10" s="33">
        <f t="shared" si="7"/>
        <v>1</v>
      </c>
      <c r="AU10" s="33">
        <f t="shared" si="8"/>
        <v>1</v>
      </c>
      <c r="AV10" s="33">
        <f t="shared" si="9"/>
        <v>1</v>
      </c>
      <c r="AW10" s="35">
        <f t="shared" si="10"/>
        <v>1</v>
      </c>
    </row>
    <row r="11" spans="1:49">
      <c r="A11" s="14">
        <v>9</v>
      </c>
      <c r="B11" s="17">
        <f>_xlfn.MAXIFS('Model output'!B:B,'Model output'!Z:Z,'Classification result'!$A11)</f>
        <v>45331</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7</v>
      </c>
      <c r="M11" s="18">
        <f>IFERROR(INDEX('Model output'!J:J, MATCH(A11, 'Model output'!Z:Z, 0)), "")</f>
        <v>4</v>
      </c>
      <c r="N11" s="19" t="str" cm="1">
        <f t="array" ref="N11">ReplaceTo(ReplaceAnd(SUBSTITUTE(SUBSTITUTE(_xlfn.TEXTJOIN("; ", TRUE, _xlfn._xlws.FILTER('Model output'!K:K, 'Model output'!Z:Z=A11)), " ", ""), ",", ";")))</f>
        <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
      </c>
      <c r="P11" t="str" cm="1">
        <f t="array" ref="P11">IF(MaxSize((SplitDimensions(O11)))=0, "", MaxSize((SplitDimensions(O11))))</f>
        <v/>
      </c>
      <c r="Q11" t="str" cm="1">
        <f t="array" ref="Q11">IF(ISERROR(INDEX(_xlfn._xlws.FILTER('Model output'!L:L, ('Model output'!Z:Z=A11)*('Model output'!L:L&lt;&gt;"")), 1)), " ", LOWER(INDEX(_xlfn._xlws.FILTER('Model output'!L:L, ('Model output'!Z:Z=A11)*('Model output'!L:L&lt;&gt;"")), 1)))</f>
        <v>papillary carcinoma, encapsulated classic subtype</v>
      </c>
      <c r="R11" t="str" cm="1">
        <f t="array" ref="R11">IF(ISERROR(INDEX(_xlfn._xlws.FILTER('Model output'!M:M, ('Model output'!Z:Z=A11)*('Model output'!M:M&lt;&gt;"")), 1)), " ", LOWER(INDEX(_xlfn._xlws.FILTER('Model output'!M:M, ('Model output'!Z:Z=A11)*('Model output'!M:M&lt;&gt;"")), 1)))</f>
        <v xml:space="preserve"> </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1"/>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8" t="str">
        <f t="shared" si="12"/>
        <v>negative</v>
      </c>
      <c r="AE11" s="18" t="str">
        <f t="shared" si="13"/>
        <v>negative</v>
      </c>
      <c r="AF11" t="str" cm="1">
        <f t="array" ref="AF11">_xlfn.TEXTJOIN("; ",TRUE,_xlfn._xlws.FILTER('Model output'!S:S,'Model output'!Z:Z=A11))</f>
        <v>Not identified; Not identified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4" t="str">
        <f t="shared" si="14"/>
        <v>low</v>
      </c>
      <c r="AJ11" s="41" t="str">
        <f t="shared" si="2"/>
        <v>1a</v>
      </c>
      <c r="AK11" s="41" t="str">
        <f t="shared" si="3"/>
        <v>1a</v>
      </c>
      <c r="AL11" s="41">
        <f t="shared" si="4"/>
        <v>0</v>
      </c>
      <c r="AM11" s="41" t="str">
        <f t="shared" si="5"/>
        <v>II</v>
      </c>
      <c r="AN11" s="42" t="s">
        <v>166</v>
      </c>
      <c r="AO11" s="43" t="s">
        <v>361</v>
      </c>
      <c r="AP11" s="43" t="s">
        <v>196</v>
      </c>
      <c r="AQ11" s="43">
        <v>0</v>
      </c>
      <c r="AR11" s="43" t="s">
        <v>43</v>
      </c>
      <c r="AS11" s="11">
        <f t="shared" si="6"/>
        <v>0</v>
      </c>
      <c r="AT11" s="33">
        <f t="shared" si="7"/>
        <v>0</v>
      </c>
      <c r="AU11" s="33">
        <f t="shared" si="8"/>
        <v>1</v>
      </c>
      <c r="AV11" s="33">
        <f t="shared" si="9"/>
        <v>1</v>
      </c>
      <c r="AW11" s="35">
        <f t="shared" si="10"/>
        <v>1</v>
      </c>
    </row>
    <row r="12" spans="1:49">
      <c r="A12" s="14">
        <v>10</v>
      </c>
      <c r="B12" s="17">
        <f>_xlfn.MAXIFS('Model output'!B:B,'Model output'!Z:Z,'Classification result'!$A12)</f>
        <v>45436</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8"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18">
        <f>IFERROR(INDEX('Model output'!J:J, MATCH(A12, 'Model output'!Z:Z, 0)), "")</f>
        <v>1</v>
      </c>
      <c r="N12" s="19"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v>
      </c>
      <c r="R12" t="str" cm="1">
        <f t="array" ref="R12">IF(ISERROR(INDEX(_xlfn._xlws.FILTER('Model output'!M:M, ('Model output'!Z:Z=A12)*('Model output'!M:M&lt;&gt;"")), 1)), " ", LOWER(INDEX(_xlfn._xlws.FILTER('Model output'!M:M, ('Model output'!Z:Z=A12)*('Model output'!M:M&lt;&gt;"")), 1)))</f>
        <v>classic</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1"/>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positive</v>
      </c>
      <c r="AA12" s="18" t="str">
        <f t="shared" si="12"/>
        <v>negative</v>
      </c>
      <c r="AE12" s="18" t="str">
        <f t="shared" si="13"/>
        <v>negative</v>
      </c>
      <c r="AF12" t="str" cm="1">
        <f t="array" ref="AF12">_xlfn.TEXTJOIN("; ",TRUE,_xlfn._xlws.FILTER('Model output'!S:S,'Model output'!Z:Z=A12))</f>
        <v>Not identified; Not identified</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4" t="str">
        <f t="shared" si="14"/>
        <v>low</v>
      </c>
      <c r="AJ12" s="41" t="str">
        <f t="shared" si="2"/>
        <v>1b</v>
      </c>
      <c r="AK12" s="41" t="str">
        <f t="shared" si="3"/>
        <v>1a</v>
      </c>
      <c r="AL12" s="41">
        <f t="shared" si="4"/>
        <v>0</v>
      </c>
      <c r="AM12" s="41" t="str">
        <f t="shared" si="5"/>
        <v>I</v>
      </c>
      <c r="AN12" s="42" t="s">
        <v>168</v>
      </c>
      <c r="AO12" s="43" t="s">
        <v>194</v>
      </c>
      <c r="AP12" s="43" t="s">
        <v>196</v>
      </c>
      <c r="AQ12" s="43">
        <v>0</v>
      </c>
      <c r="AR12" s="43" t="s">
        <v>31</v>
      </c>
      <c r="AS12" s="11">
        <f t="shared" si="6"/>
        <v>1</v>
      </c>
      <c r="AT12" s="33">
        <f t="shared" si="7"/>
        <v>1</v>
      </c>
      <c r="AU12" s="33">
        <f t="shared" si="8"/>
        <v>1</v>
      </c>
      <c r="AV12" s="33">
        <f t="shared" si="9"/>
        <v>1</v>
      </c>
      <c r="AW12" s="35">
        <f t="shared" si="10"/>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0</v>
      </c>
      <c r="M13" s="18">
        <f>IFERROR(INDEX('Model output'!J:J, MATCH(A13, 'Model output'!Z:Z, 0)), "")</f>
        <v>0</v>
      </c>
      <c r="N13" s="19"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1"/>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8" t="str">
        <f t="shared" si="12"/>
        <v>negative</v>
      </c>
      <c r="AE13" s="18" t="str">
        <f t="shared" si="13"/>
        <v>negative</v>
      </c>
      <c r="AF13" t="str" cm="1">
        <f t="array" ref="AF13">_xlfn.TEXTJOIN("; ",TRUE,_xlfn._xlws.FILTER('Model output'!S:S,'Model output'!Z:Z=A13))</f>
        <v>Not identified</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4" t="str">
        <f t="shared" si="14"/>
        <v>low</v>
      </c>
      <c r="AJ13" s="41" t="str">
        <f t="shared" si="2"/>
        <v>3a</v>
      </c>
      <c r="AK13" s="41" t="str">
        <f t="shared" si="3"/>
        <v>x</v>
      </c>
      <c r="AL13" s="41">
        <f t="shared" si="4"/>
        <v>0</v>
      </c>
      <c r="AM13" s="41" t="str">
        <f t="shared" si="5"/>
        <v>II</v>
      </c>
      <c r="AN13" s="42" t="s">
        <v>168</v>
      </c>
      <c r="AO13" s="43" t="s">
        <v>198</v>
      </c>
      <c r="AP13" s="43" t="s">
        <v>195</v>
      </c>
      <c r="AQ13" s="43">
        <v>0</v>
      </c>
      <c r="AR13" s="43" t="s">
        <v>43</v>
      </c>
      <c r="AS13" s="11">
        <f t="shared" si="6"/>
        <v>1</v>
      </c>
      <c r="AT13" s="33">
        <f t="shared" si="7"/>
        <v>1</v>
      </c>
      <c r="AU13" s="33">
        <f t="shared" si="8"/>
        <v>1</v>
      </c>
      <c r="AV13" s="33">
        <f t="shared" si="9"/>
        <v>1</v>
      </c>
      <c r="AW13" s="35">
        <f t="shared" si="10"/>
        <v>1</v>
      </c>
    </row>
    <row r="14" spans="1:49">
      <c r="A14" s="14">
        <v>12</v>
      </c>
      <c r="B14" s="17">
        <f>_xlfn.MAXIFS('Model output'!B:B,'Model output'!Z:Z,'Classification result'!$A14)</f>
        <v>45415</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
      </c>
      <c r="K14" s="18"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22</v>
      </c>
      <c r="M14" s="18">
        <f>IFERROR(INDEX('Model output'!J:J, MATCH(A14, 'Model output'!Z:Z, 0)), "")</f>
        <v>0</v>
      </c>
      <c r="N14" s="19" t="str" cm="1">
        <f t="array" ref="N14">ReplaceTo(ReplaceAnd(SUBSTITUTE(SUBSTITUTE(_xlfn.TEXTJOIN("; ", TRUE, _xlfn._xlws.FILTER('Model output'!K:K, 'Model output'!Z:Z=A14)), " ", ""), ",", ";")))</f>
        <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follicular</v>
      </c>
      <c r="R14" t="str" cm="1">
        <f t="array" ref="R14">IF(ISERROR(INDEX(_xlfn._xlws.FILTER('Model output'!M:M, ('Model output'!Z:Z=A14)*('Model output'!M:M&lt;&gt;"")), 1)), " ", LOWER(INDEX(_xlfn._xlws.FILTER('Model output'!M:M, ('Model output'!Z:Z=A14)*('Model output'!M:M&lt;&gt;"")), 1)))</f>
        <v>minimally invasive follicular carcinoma</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&lt;4</v>
      </c>
      <c r="Y14" t="str">
        <f t="shared" si="11"/>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AA14" s="18" t="str">
        <f t="shared" si="12"/>
        <v>negative</v>
      </c>
      <c r="AE14" s="18" t="str">
        <f t="shared" si="13"/>
        <v>negative</v>
      </c>
      <c r="AF14" t="str" cm="1">
        <f t="array" ref="AF14">_xlfn.TEXTJOIN("; ",TRUE,_xlfn._xlws.FILTER('Model output'!S:S,'Model output'!Z:Z=A14))</f>
        <v>Not identified; Not identified</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4" t="str">
        <f t="shared" si="14"/>
        <v>low</v>
      </c>
      <c r="AJ14" s="41" t="str">
        <f t="shared" si="2"/>
        <v>3a</v>
      </c>
      <c r="AK14" s="41">
        <f t="shared" si="3"/>
        <v>0</v>
      </c>
      <c r="AL14" s="41">
        <f t="shared" si="4"/>
        <v>0</v>
      </c>
      <c r="AM14" s="41" t="str">
        <f t="shared" si="5"/>
        <v>II</v>
      </c>
      <c r="AN14" s="42" t="s">
        <v>166</v>
      </c>
      <c r="AO14" s="43" t="s">
        <v>198</v>
      </c>
      <c r="AP14" s="43" t="s">
        <v>195</v>
      </c>
      <c r="AQ14" s="43">
        <v>0</v>
      </c>
      <c r="AR14" s="43" t="s">
        <v>43</v>
      </c>
      <c r="AS14" s="11">
        <f t="shared" si="6"/>
        <v>0</v>
      </c>
      <c r="AT14" s="33">
        <f t="shared" si="7"/>
        <v>1</v>
      </c>
      <c r="AU14" s="33">
        <f t="shared" si="8"/>
        <v>1</v>
      </c>
      <c r="AV14" s="33">
        <f t="shared" si="9"/>
        <v>1</v>
      </c>
      <c r="AW14" s="35">
        <f t="shared" si="10"/>
        <v>1</v>
      </c>
    </row>
    <row r="15" spans="1:49">
      <c r="A15" s="14">
        <v>13</v>
      </c>
      <c r="B15" s="17">
        <f>_xlfn.MAXIFS('Model output'!B:B,'Model output'!Z:Z,'Classification result'!$A15)</f>
        <v>45420</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8"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18">
        <f>IFERROR(INDEX('Model output'!J:J, MATCH(A15, 'Model output'!Z:Z, 0)), "")</f>
        <v>2</v>
      </c>
      <c r="N15" s="19" t="str" cm="1">
        <f t="array" ref="N15">ReplaceTo(ReplaceAnd(SUBSTITUTE(SUBSTITUTE(_xlfn.TEXTJOIN("; ", TRUE, _xlfn._xlws.FILTER('Model output'!K:K, 'Model output'!Z:Z=A15)), " ", ""), ",", ";")))</f>
        <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
      </c>
      <c r="P15" t="str" cm="1">
        <f t="array" ref="P15">IF(MaxSize((SplitDimensions(O15)))=0, "", MaxSize((SplitDimensions(O15))))</f>
        <v/>
      </c>
      <c r="Q15" t="str" cm="1">
        <f t="array" ref="Q15">IF(ISERROR(INDEX(_xlfn._xlws.FILTER('Model output'!L:L, ('Model output'!Z:Z=A15)*('Model output'!L:L&lt;&gt;"")), 1)), " ", LOWER(INDEX(_xlfn._xlws.FILTER('Model output'!L:L, ('Model output'!Z:Z=A15)*('Model output'!L:L&lt;&gt;"")), 1)))</f>
        <v>papillary</v>
      </c>
      <c r="R15" t="str" cm="1">
        <f t="array" ref="R15">IF(ISERROR(INDEX(_xlfn._xlws.FILTER('Model output'!M:M, ('Model output'!Z:Z=A15)*('Model output'!M:M&lt;&gt;"")), 1)), " ", LOWER(INDEX(_xlfn._xlws.FILTER('Model output'!M:M, ('Model output'!Z:Z=A15)*('Model output'!M:M&lt;&gt;"")), 1)))</f>
        <v>classic</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invades surrounding skeletal muscle4 or more</v>
      </c>
      <c r="Y15" t="str">
        <f t="shared" si="11"/>
        <v>extensive</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2"/>
        <v>positive</v>
      </c>
      <c r="AE15" s="18" t="str">
        <f t="shared" si="13"/>
        <v>negative</v>
      </c>
      <c r="AF15" t="str" cm="1">
        <f t="array" ref="AF15">_xlfn.TEXTJOIN("; ",TRUE,_xlfn._xlws.FILTER('Model output'!S:S,'Model output'!Z:Z=A15))</f>
        <v>Present; Present</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4" t="str">
        <f t="shared" si="14"/>
        <v>intermediate</v>
      </c>
      <c r="AJ15" s="41" t="str">
        <f t="shared" si="2"/>
        <v>3a</v>
      </c>
      <c r="AK15" s="41" t="str">
        <f t="shared" si="3"/>
        <v>1a</v>
      </c>
      <c r="AL15" s="41">
        <f t="shared" si="4"/>
        <v>0</v>
      </c>
      <c r="AM15" s="41" t="str">
        <f t="shared" si="5"/>
        <v>II</v>
      </c>
      <c r="AN15" s="42" t="s">
        <v>167</v>
      </c>
      <c r="AO15" s="43" t="s">
        <v>199</v>
      </c>
      <c r="AP15" s="43" t="s">
        <v>194</v>
      </c>
      <c r="AQ15" s="43">
        <v>0</v>
      </c>
      <c r="AR15" s="43" t="s">
        <v>68</v>
      </c>
      <c r="AS15" s="11">
        <f t="shared" si="6"/>
        <v>0</v>
      </c>
      <c r="AT15" s="33">
        <f t="shared" si="7"/>
        <v>0</v>
      </c>
      <c r="AU15" s="33">
        <f t="shared" si="8"/>
        <v>0</v>
      </c>
      <c r="AV15" s="33">
        <f t="shared" si="9"/>
        <v>1</v>
      </c>
      <c r="AW15" s="35">
        <f t="shared" si="10"/>
        <v>0</v>
      </c>
    </row>
    <row r="16" spans="1:49">
      <c r="A16" s="14">
        <v>14</v>
      </c>
      <c r="B16" s="17">
        <f>_xlfn.MAXIFS('Model output'!B:B,'Model output'!Z:Z,'Classification result'!$A16)</f>
        <v>45394</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8"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0</v>
      </c>
      <c r="M16" s="18">
        <f>IFERROR(INDEX('Model output'!J:J, MATCH(A16, 'Model output'!Z:Z, 0)), "")</f>
        <v>0</v>
      </c>
      <c r="N16" s="19" t="str" cm="1">
        <f t="array" ref="N16">ReplaceTo(ReplaceAnd(SUBSTITUTE(SUBSTITUTE(_xlfn.TEXTJOIN("; ", TRUE, _xlfn._xlws.FILTER('Model output'!K:K, 'Model output'!Z:Z=A16)), " ", ""), ",", ";")))</f>
        <v>Notmentioned</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v>
      </c>
      <c r="R16" t="str" cm="1">
        <f t="array" ref="R16">IF(ISERROR(INDEX(_xlfn._xlws.FILTER('Model output'!M:M, ('Model output'!Z:Z=A16)*('Model output'!M:M&lt;&gt;"")), 1)), " ", LOWER(INDEX(_xlfn._xlws.FILTER('Model output'!M:M, ('Model output'!Z:Z=A16)*('Model output'!M:M&lt;&gt;"")), 1)))</f>
        <v>encapsulated 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vessels)&lt; 4Not mentioned</v>
      </c>
      <c r="Y16" t="str">
        <f t="shared" si="11"/>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2"/>
        <v>positive</v>
      </c>
      <c r="AE16" s="18" t="str">
        <f t="shared" si="13"/>
        <v>positive</v>
      </c>
      <c r="AF16" t="str" cm="1">
        <f t="array" ref="AF16">_xlfn.TEXTJOIN("; ",TRUE,_xlfn._xlws.FILTER('Model output'!S:S,'Model output'!Z:Z=A16))</f>
        <v>Invading only strap muscles; Present</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4" t="str">
        <f t="shared" si="14"/>
        <v>high</v>
      </c>
      <c r="AJ16" s="41" t="str">
        <f t="shared" si="2"/>
        <v>3b</v>
      </c>
      <c r="AK16" s="41" t="str">
        <f t="shared" si="3"/>
        <v>x</v>
      </c>
      <c r="AL16" s="41">
        <f t="shared" si="4"/>
        <v>0</v>
      </c>
      <c r="AM16" s="41" t="str">
        <f t="shared" si="5"/>
        <v>I</v>
      </c>
      <c r="AN16" s="42" t="s">
        <v>167</v>
      </c>
      <c r="AO16" s="43" t="s">
        <v>197</v>
      </c>
      <c r="AP16" s="43" t="s">
        <v>195</v>
      </c>
      <c r="AQ16" s="43">
        <v>0</v>
      </c>
      <c r="AR16" s="43" t="s">
        <v>31</v>
      </c>
      <c r="AS16" s="11">
        <f t="shared" si="6"/>
        <v>1</v>
      </c>
      <c r="AT16" s="33">
        <f t="shared" si="7"/>
        <v>1</v>
      </c>
      <c r="AU16" s="33">
        <f t="shared" si="8"/>
        <v>1</v>
      </c>
      <c r="AV16" s="33">
        <f t="shared" si="9"/>
        <v>1</v>
      </c>
      <c r="AW16" s="35">
        <f t="shared" si="10"/>
        <v>1</v>
      </c>
    </row>
    <row r="17" spans="1:49">
      <c r="A17" s="14">
        <v>15</v>
      </c>
      <c r="B17" s="17">
        <f>_xlfn.MAXIFS('Model output'!B:B,'Model output'!Z:Z,'Classification result'!$A17)</f>
        <v>45441</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8"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8">
        <f>IF(IFERROR(INDEX('Model output'!I:I, MATCH(A17, 'Model output'!Z:Z, 0)), "") &lt; M17, "", IFERROR(INDEX('Model output'!I:I, MATCH(A17, 'Model output'!Z:Z, 0)), ""))</f>
        <v>7</v>
      </c>
      <c r="M17" s="18">
        <f>IFERROR(INDEX('Model output'!J:J, MATCH(A17, 'Model output'!Z:Z, 0)), "")</f>
        <v>0</v>
      </c>
      <c r="N17" s="19"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follicular</v>
      </c>
      <c r="R17" t="str" cm="1">
        <f t="array" ref="R17">IF(ISERROR(INDEX(_xlfn._xlws.FILTER('Model output'!M:M, ('Model output'!Z:Z=A17)*('Model output'!M:M&lt;&gt;"")), 1)), " ", LOWER(INDEX(_xlfn._xlws.FILTER('Model output'!M:M, ('Model output'!Z:Z=A17)*('Model output'!M:M&lt;&gt;"")), 1)))</f>
        <v xml:space="preserve"> </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v>
      </c>
      <c r="U17" t="str" cm="1">
        <f t="array" ref="U17">IF(MaxSize((SplitDimensions(T17)))=0, "", MaxSize((SplitDimensions(T17))))</f>
        <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1"/>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2"/>
        <v>negative</v>
      </c>
      <c r="AE17" s="18" t="str">
        <f t="shared" si="13"/>
        <v>negative</v>
      </c>
      <c r="AF17" t="str" cm="1">
        <f t="array" ref="AF17">_xlfn.TEXTJOIN("; ",TRUE,_xlfn._xlws.FILTER('Model output'!S:S,'Model output'!Z:Z=A17))</f>
        <v>Not identified</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4" t="s">
        <v>75</v>
      </c>
      <c r="AJ17" s="41" t="s">
        <v>75</v>
      </c>
      <c r="AK17" s="41" t="s">
        <v>75</v>
      </c>
      <c r="AL17" s="41" t="s">
        <v>75</v>
      </c>
      <c r="AM17" s="41" t="s">
        <v>75</v>
      </c>
      <c r="AN17" s="42" t="s">
        <v>75</v>
      </c>
      <c r="AO17" s="43" t="s">
        <v>75</v>
      </c>
      <c r="AP17" s="43" t="s">
        <v>75</v>
      </c>
      <c r="AQ17" s="43" t="s">
        <v>75</v>
      </c>
      <c r="AR17" s="43" t="s">
        <v>75</v>
      </c>
      <c r="AS17" s="11">
        <f t="shared" si="6"/>
        <v>1</v>
      </c>
      <c r="AT17" s="33">
        <f t="shared" si="7"/>
        <v>1</v>
      </c>
      <c r="AU17" s="33">
        <f t="shared" si="8"/>
        <v>1</v>
      </c>
      <c r="AV17" s="33">
        <f t="shared" si="9"/>
        <v>1</v>
      </c>
      <c r="AW17" s="35">
        <f t="shared" si="10"/>
        <v>1</v>
      </c>
    </row>
    <row r="18" spans="1:49">
      <c r="A18" s="14">
        <v>16</v>
      </c>
      <c r="B18" s="17">
        <f>_xlfn.MAXIFS('Model output'!B:B,'Model output'!Z:Z,'Classification result'!$A18)</f>
        <v>45331</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8"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8"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11</v>
      </c>
      <c r="M18" s="18">
        <f>IFERROR(INDEX('Model output'!J:J, MATCH(A18, 'Model output'!Z:Z, 0)), "")</f>
        <v>1</v>
      </c>
      <c r="N18" s="19"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 xml:space="preserve"> </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cm="1">
        <f t="array" ref="U18">IF(MaxSize((SplitDimensions(T18)))=0, "", MaxSize((SplitDimensions(T18))))</f>
        <v>3.6</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Not mentioned</v>
      </c>
      <c r="Y18" t="str">
        <f t="shared" si="11"/>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8" t="str">
        <f t="shared" si="12"/>
        <v>positive</v>
      </c>
      <c r="AE18" s="18" t="str">
        <f t="shared" si="13"/>
        <v>negative</v>
      </c>
      <c r="AF18" t="str" cm="1">
        <f t="array" ref="AF18">_xlfn.TEXTJOIN("; ",TRUE,_xlfn._xlws.FILTER('Model output'!S:S,'Model output'!Z:Z=A18))</f>
        <v>Not identified; Present</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4" t="str">
        <f t="shared" si="14"/>
        <v>intermediate</v>
      </c>
      <c r="AJ18" s="41" t="str">
        <f t="shared" si="2"/>
        <v>2</v>
      </c>
      <c r="AK18" s="41" t="str">
        <f t="shared" ref="AK18:AK37" si="15">IF(OR(ISNUMBER(SEARCH("non-invasive follicular",Q18,1)),ISNUMBER(SEARCH("non-invasive follicular",R18,1))),"NIFTP",IF(AND(M18&gt;0,I18="positive",J18="central"),"1a",IF(AND(M18&gt;0,I18="positive",J18="lateral"),"1b",IF(AND(M18=0,L18=0),"x",0))))</f>
        <v>1a</v>
      </c>
      <c r="AL18" s="41">
        <f t="shared" ref="AL18:AL37" si="16">IF(OR(ISNUMBER(SEARCH("non-invasive follicular",Q18,1)),ISNUMBER(SEARCH("non-invasive follicular",R18,1))),"NIFTP",IF(K18="unknown","x",IF(K18="negative",0,1)))</f>
        <v>0</v>
      </c>
      <c r="AM18" s="41" t="str">
        <f t="shared" ref="AM18:AM37" si="17">IF(OR(ISNUMBER(SEARCH("non-invasive follicular",Q18,1)),ISNUMBER(SEARCH("non-invasive follicular",R18,1))),"NIFTP",IF(AND(E18&lt;55,AL18=0),"I",IF(AND(E18&lt;55,AL18=1),"II",IF(AL18=1,"IVB",IF(AND(AJ18="4b",AL18=0),"IVA",IF(AND(AJ18="4a",AL18=0),"III",IF(AND(OR(AJ18="3a",AJ18="3b"),AL18=0),"II",IF(AND(AJ18="2",OR(AK18="1",AK18="1a",AK18="1b"),AL18=0),"II",IF(AND(OR(AJ18="1a",AJ18="1b",AJ18="1",AJ18="1 "),OR(AK18="1",AK18="1a",AK18="1b"),AL18=0),"II","I")))))))))</f>
        <v>I</v>
      </c>
      <c r="AN18" s="42" t="s">
        <v>166</v>
      </c>
      <c r="AO18" s="43" t="s">
        <v>361</v>
      </c>
      <c r="AP18" s="43">
        <v>0</v>
      </c>
      <c r="AQ18" s="43">
        <v>0</v>
      </c>
      <c r="AR18" s="43" t="s">
        <v>31</v>
      </c>
      <c r="AS18" s="11">
        <f t="shared" si="6"/>
        <v>1</v>
      </c>
      <c r="AT18" s="33">
        <f t="shared" si="7"/>
        <v>1</v>
      </c>
      <c r="AU18" s="33">
        <f t="shared" si="8"/>
        <v>0</v>
      </c>
      <c r="AV18" s="33">
        <f t="shared" si="9"/>
        <v>1</v>
      </c>
      <c r="AW18" s="35">
        <f t="shared" si="10"/>
        <v>1</v>
      </c>
    </row>
    <row r="19" spans="1:49">
      <c r="A19" s="14">
        <v>17</v>
      </c>
      <c r="B19" s="17">
        <f>_xlfn.MAXIFS('Model output'!B:B,'Model output'!Z:Z,'Classification result'!$A19)</f>
        <v>45457</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central</v>
      </c>
      <c r="K19" s="18"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21</v>
      </c>
      <c r="M19" s="18">
        <f>IFERROR(INDEX('Model output'!J:J, MATCH(A19, 'Model output'!Z:Z, 0)), "")</f>
        <v>5</v>
      </c>
      <c r="N19" s="19" t="str" cm="1">
        <f t="array" ref="N19">ReplaceTo(ReplaceAnd(SUBSTITUTE(SUBSTITUTE(_xlfn.TEXTJOIN("; ", TRUE, _xlfn._xlws.FILTER('Model output'!K:K, 'Model output'!Z:Z=A19)), " ", ""), ",", ";")))</f>
        <v>8</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t="str" cm="1">
        <f t="array" ref="R19">IF(ISERROR(INDEX(_xlfn._xlws.FILTER('Model output'!M:M, ('Model output'!Z:Z=A19)*('Model output'!M:M&lt;&gt;"")), 1)), " ", LOWER(INDEX(_xlfn._xlws.FILTER('Model output'!M:M, ('Model output'!Z:Z=A19)*('Model output'!M:M&lt;&gt;"")), 1)))</f>
        <v xml:space="preserve"> </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1"/>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2"/>
        <v>negative</v>
      </c>
      <c r="AE19" s="18" t="str">
        <f t="shared" si="13"/>
        <v>negative</v>
      </c>
      <c r="AF19" t="str" cm="1">
        <f t="array" ref="AF19">_xlfn.TEXTJOIN("; ",TRUE,_xlfn._xlws.FILTER('Model output'!S:S,'Model output'!Z:Z=A19))</f>
        <v>Not identified; Not mentioned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4" t="str">
        <f t="shared" si="14"/>
        <v>intermediate</v>
      </c>
      <c r="AJ19" s="41" t="str">
        <f t="shared" si="2"/>
        <v>1b</v>
      </c>
      <c r="AK19" s="41" t="str">
        <f t="shared" si="15"/>
        <v>1a</v>
      </c>
      <c r="AL19" s="41">
        <f t="shared" si="16"/>
        <v>0</v>
      </c>
      <c r="AM19" s="41" t="str">
        <f t="shared" si="17"/>
        <v>I</v>
      </c>
      <c r="AN19" s="42" t="s">
        <v>166</v>
      </c>
      <c r="AO19" s="43" t="s">
        <v>194</v>
      </c>
      <c r="AP19" s="43" t="s">
        <v>194</v>
      </c>
      <c r="AQ19" s="43">
        <v>0</v>
      </c>
      <c r="AR19" s="43" t="s">
        <v>31</v>
      </c>
      <c r="AS19" s="11">
        <f t="shared" si="6"/>
        <v>1</v>
      </c>
      <c r="AT19" s="33">
        <f t="shared" si="7"/>
        <v>1</v>
      </c>
      <c r="AU19" s="33">
        <f t="shared" si="8"/>
        <v>0</v>
      </c>
      <c r="AV19" s="33">
        <f t="shared" si="9"/>
        <v>1</v>
      </c>
      <c r="AW19" s="35">
        <f t="shared" si="10"/>
        <v>1</v>
      </c>
    </row>
    <row r="20" spans="1:49">
      <c r="A20" s="14">
        <v>18</v>
      </c>
      <c r="B20" s="17">
        <f>_xlfn.MAXIFS('Model output'!B:B,'Model output'!Z:Z,'Classification result'!$A20)</f>
        <v>45355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4</v>
      </c>
      <c r="M20" s="18">
        <f>IFERROR(INDEX('Model output'!J:J, MATCH(A20, 'Model output'!Z:Z, 0)), "")</f>
        <v>4</v>
      </c>
      <c r="N20" s="19" t="str" cm="1">
        <f t="array" ref="N20">ReplaceTo(ReplaceAnd(SUBSTITUTE(SUBSTITUTE(_xlfn.TEXTJOIN("; ", TRUE, _xlfn._xlws.FILTER('Model output'!K:K, 'Model output'!Z:Z=A20)), " ", ""), ",", ";")))</f>
        <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v>
      </c>
      <c r="R20" t="str" cm="1">
        <f t="array" ref="R20">IF(ISERROR(INDEX(_xlfn._xlws.FILTER('Model output'!M:M, ('Model output'!Z:Z=A20)*('Model output'!M:M&lt;&gt;"")), 1)), " ", LOWER(INDEX(_xlfn._xlws.FILTER('Model output'!M:M, ('Model output'!Z:Z=A20)*('Model output'!M:M&lt;&gt;"")), 1)))</f>
        <v>classic</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musclesNot mentioned</v>
      </c>
      <c r="Y20" t="str">
        <f t="shared" si="11"/>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8" t="str">
        <f t="shared" si="12"/>
        <v>positive</v>
      </c>
      <c r="AE20" s="18" t="str">
        <f t="shared" si="13"/>
        <v>positive</v>
      </c>
      <c r="AF20" t="str" cm="1">
        <f t="array" ref="AF20">_xlfn.TEXTJOIN("; ",TRUE,_xlfn._xlws.FILTER('Model output'!S:S,'Model output'!Z:Z=A20))</f>
        <v>Invading only strap muscles; Present</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4" t="str">
        <f t="shared" si="14"/>
        <v>high</v>
      </c>
      <c r="AJ20" s="41" t="str">
        <f t="shared" si="2"/>
        <v>4a</v>
      </c>
      <c r="AK20" s="41" t="str">
        <f t="shared" si="15"/>
        <v>1a</v>
      </c>
      <c r="AL20" s="41">
        <f t="shared" si="16"/>
        <v>0</v>
      </c>
      <c r="AM20" s="41" t="str">
        <f t="shared" si="17"/>
        <v>III</v>
      </c>
      <c r="AN20" s="42" t="s">
        <v>167</v>
      </c>
      <c r="AO20" s="43" t="s">
        <v>199</v>
      </c>
      <c r="AP20" s="43" t="s">
        <v>196</v>
      </c>
      <c r="AQ20" s="43">
        <v>0</v>
      </c>
      <c r="AR20" s="43" t="s">
        <v>68</v>
      </c>
      <c r="AS20" s="11">
        <f t="shared" si="6"/>
        <v>1</v>
      </c>
      <c r="AT20" s="33">
        <f t="shared" si="7"/>
        <v>1</v>
      </c>
      <c r="AU20" s="33">
        <f t="shared" si="8"/>
        <v>1</v>
      </c>
      <c r="AV20" s="33">
        <f t="shared" si="9"/>
        <v>1</v>
      </c>
      <c r="AW20" s="35">
        <f t="shared" si="10"/>
        <v>1</v>
      </c>
    </row>
    <row r="21" spans="1:49">
      <c r="A21" s="14">
        <v>19</v>
      </c>
      <c r="B21" s="17">
        <f>_xlfn.MAXIFS('Model output'!B:B,'Model output'!Z:Z,'Classification result'!$A21)</f>
        <v>45457</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18">
        <f>IFERROR(INDEX('Model output'!J:J, MATCH(A21, 'Model output'!Z:Z, 0)), "")</f>
        <v>0</v>
      </c>
      <c r="N21" s="19" t="str" cm="1">
        <f t="array" ref="N21">ReplaceTo(ReplaceAnd(SUBSTITUTE(SUBSTITUTE(_xlfn.TEXTJOIN("; ", TRUE, _xlfn._xlws.FILTER('Model output'!K:K, 'Model output'!Z:Z=A21)), " ", ""), ",", ";")))</f>
        <v>Notmentioned</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Not mentioned</v>
      </c>
      <c r="Y21" t="str">
        <f t="shared" si="11"/>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2"/>
        <v>negative</v>
      </c>
      <c r="AE21" s="18" t="str">
        <f t="shared" si="13"/>
        <v>negative</v>
      </c>
      <c r="AF21" t="str" cm="1">
        <f t="array" ref="AF21">_xlfn.TEXTJOIN("; ",TRUE,_xlfn._xlws.FILTER('Model output'!S:S,'Model output'!Z:Z=A21))</f>
        <v>Not identified; Not mentioned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4" t="str">
        <f t="shared" si="14"/>
        <v>low</v>
      </c>
      <c r="AJ21" s="41" t="str">
        <f t="shared" si="2"/>
        <v>1a</v>
      </c>
      <c r="AK21" s="41">
        <f t="shared" si="15"/>
        <v>0</v>
      </c>
      <c r="AL21" s="41">
        <f t="shared" si="16"/>
        <v>0</v>
      </c>
      <c r="AM21" s="41" t="str">
        <f t="shared" si="17"/>
        <v>I</v>
      </c>
      <c r="AN21" s="42" t="s">
        <v>168</v>
      </c>
      <c r="AO21" s="43" t="s">
        <v>196</v>
      </c>
      <c r="AP21" s="43">
        <v>0</v>
      </c>
      <c r="AQ21" s="43">
        <v>0</v>
      </c>
      <c r="AR21" s="43" t="s">
        <v>31</v>
      </c>
      <c r="AS21" s="11">
        <f t="shared" si="6"/>
        <v>1</v>
      </c>
      <c r="AT21" s="33">
        <f t="shared" si="7"/>
        <v>1</v>
      </c>
      <c r="AU21" s="33">
        <f t="shared" si="8"/>
        <v>1</v>
      </c>
      <c r="AV21" s="33">
        <f t="shared" si="9"/>
        <v>1</v>
      </c>
      <c r="AW21" s="35">
        <f t="shared" si="10"/>
        <v>1</v>
      </c>
    </row>
    <row r="22" spans="1:49">
      <c r="A22" s="14">
        <v>20</v>
      </c>
      <c r="B22" s="17">
        <f>_xlfn.MAXIFS('Model output'!B:B,'Model output'!Z:Z,'Classification result'!$A22)</f>
        <v>45373</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18">
        <f>IFERROR(INDEX('Model output'!J:J, MATCH(A22, 'Model output'!Z:Z, 0)), "")</f>
        <v>3</v>
      </c>
      <c r="N22" s="19" t="str" cm="1">
        <f t="array" ref="N22">ReplaceTo(ReplaceAnd(SUBSTITUTE(SUBSTITUTE(_xlfn.TEXTJOIN("; ", TRUE, _xlfn._xlws.FILTER('Model output'!K:K, 'Model output'!Z:Z=A22)), " ", ""), ",", ";")))</f>
        <v>Notmentioned</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v>
      </c>
      <c r="R22" t="str" cm="1">
        <f t="array" ref="R22">IF(ISERROR(INDEX(_xlfn._xlws.FILTER('Model output'!M:M, ('Model output'!Z:Z=A22)*('Model output'!M:M&lt;&gt;"")), 1)), " ", LOWER(INDEX(_xlfn._xlws.FILTER('Model output'!M:M, ('Model output'!Z:Z=A22)*('Model output'!M:M&lt;&gt;"")), 1)))</f>
        <v>not mentioned</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4 or moreNot mentioned</v>
      </c>
      <c r="Y22" t="str">
        <f t="shared" si="11"/>
        <v>extensive</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AA22" s="18" t="str">
        <f t="shared" si="12"/>
        <v>positive</v>
      </c>
      <c r="AE22" s="18" t="str">
        <f t="shared" si="13"/>
        <v>negative</v>
      </c>
      <c r="AF22" t="str" cm="1">
        <f t="array" ref="AF22">_xlfn.TEXTJOIN("; ",TRUE,_xlfn._xlws.FILTER('Model output'!S:S,'Model output'!Z:Z=A22))</f>
        <v>Present</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4" t="str">
        <f t="shared" si="14"/>
        <v>intermediate</v>
      </c>
      <c r="AJ22" s="41" t="str">
        <f t="shared" si="2"/>
        <v>1b</v>
      </c>
      <c r="AK22" s="41" t="str">
        <f t="shared" si="15"/>
        <v>1a</v>
      </c>
      <c r="AL22" s="41">
        <f t="shared" si="16"/>
        <v>0</v>
      </c>
      <c r="AM22" s="41" t="str">
        <f t="shared" si="17"/>
        <v>II</v>
      </c>
      <c r="AN22" s="42" t="s">
        <v>166</v>
      </c>
      <c r="AO22" s="43" t="s">
        <v>194</v>
      </c>
      <c r="AP22" s="43" t="s">
        <v>196</v>
      </c>
      <c r="AQ22" s="43">
        <v>0</v>
      </c>
      <c r="AR22" s="43" t="s">
        <v>43</v>
      </c>
      <c r="AS22" s="11">
        <f t="shared" si="6"/>
        <v>1</v>
      </c>
      <c r="AT22" s="33">
        <f t="shared" si="7"/>
        <v>1</v>
      </c>
      <c r="AU22" s="33">
        <f t="shared" si="8"/>
        <v>1</v>
      </c>
      <c r="AV22" s="33">
        <f t="shared" si="9"/>
        <v>1</v>
      </c>
      <c r="AW22" s="35">
        <f t="shared" si="10"/>
        <v>1</v>
      </c>
    </row>
    <row r="23" spans="1:49">
      <c r="A23" s="14">
        <v>21</v>
      </c>
      <c r="B23" s="17">
        <f>_xlfn.MAXIFS('Model output'!B:B,'Model output'!Z:Z,'Classification result'!$A23)</f>
        <v>45296</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8">
        <f>IF(IFERROR(INDEX('Model output'!I:I, MATCH(A23, 'Model output'!Z:Z, 0)), "") &lt; M23, "", IFERROR(INDEX('Model output'!I:I, MATCH(A23, 'Model output'!Z:Z, 0)), ""))</f>
        <v>7</v>
      </c>
      <c r="M23" s="18">
        <f>IFERROR(INDEX('Model output'!J:J, MATCH(A23, 'Model output'!Z:Z, 0)), "")</f>
        <v>4</v>
      </c>
      <c r="N23" s="19"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 xml:space="preserve"> </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cm="1">
        <f t="array" ref="U23">IF(MaxSize((SplitDimensions(T23)))=0, "", MaxSize((SplitDimensions(T23))))</f>
        <v>1.8</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4 or more</v>
      </c>
      <c r="Y23" t="str">
        <f t="shared" si="11"/>
        <v>extensive</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8" t="str">
        <f t="shared" si="12"/>
        <v>positive</v>
      </c>
      <c r="AE23" s="18" t="str">
        <f t="shared" si="13"/>
        <v>negative</v>
      </c>
      <c r="AF23" t="str" cm="1">
        <f t="array" ref="AF23">_xlfn.TEXTJOIN("; ",TRUE,_xlfn._xlws.FILTER('Model output'!S:S,'Model output'!Z:Z=A23))</f>
        <v>Present; Not mentioned</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4" t="str">
        <f t="shared" si="14"/>
        <v>intermediate</v>
      </c>
      <c r="AJ23" s="41" t="str">
        <f t="shared" si="2"/>
        <v>1b</v>
      </c>
      <c r="AK23" s="41" t="str">
        <f t="shared" si="15"/>
        <v>1a</v>
      </c>
      <c r="AL23" s="41">
        <f t="shared" si="16"/>
        <v>0</v>
      </c>
      <c r="AM23" s="41" t="str">
        <f t="shared" si="17"/>
        <v>I</v>
      </c>
      <c r="AN23" s="42" t="s">
        <v>166</v>
      </c>
      <c r="AO23" s="43" t="s">
        <v>194</v>
      </c>
      <c r="AP23" s="43" t="s">
        <v>196</v>
      </c>
      <c r="AQ23" s="43">
        <v>0</v>
      </c>
      <c r="AR23" s="43" t="s">
        <v>31</v>
      </c>
      <c r="AS23" s="11">
        <f t="shared" si="6"/>
        <v>1</v>
      </c>
      <c r="AT23" s="33">
        <f t="shared" si="7"/>
        <v>1</v>
      </c>
      <c r="AU23" s="33">
        <f t="shared" si="8"/>
        <v>1</v>
      </c>
      <c r="AV23" s="33">
        <f t="shared" si="9"/>
        <v>1</v>
      </c>
      <c r="AW23" s="35">
        <f t="shared" si="10"/>
        <v>1</v>
      </c>
    </row>
    <row r="24" spans="1:49">
      <c r="A24" s="14">
        <v>22</v>
      </c>
      <c r="B24" s="17">
        <f>_xlfn.MAXIFS('Model output'!B:B,'Model output'!Z:Z,'Classification result'!$A24)</f>
        <v>45299</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18">
        <f>IFERROR(INDEX('Model output'!J:J, MATCH(A24, 'Model output'!Z:Z, 0)), "")</f>
        <v>0</v>
      </c>
      <c r="N24" s="19"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t="str" cm="1">
        <f t="array" ref="R24">IF(ISERROR(INDEX(_xlfn._xlws.FILTER('Model output'!M:M, ('Model output'!Z:Z=A24)*('Model output'!M:M&lt;&gt;"")), 1)), " ", LOWER(INDEX(_xlfn._xlws.FILTER('Model output'!M:M, ('Model output'!Z:Z=A24)*('Model output'!M:M&lt;&gt;"")), 1)))</f>
        <v>classic</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1"/>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si="12"/>
        <v>negative</v>
      </c>
      <c r="AE24" s="18" t="str">
        <f t="shared" si="13"/>
        <v>negative</v>
      </c>
      <c r="AF24" t="str" cm="1">
        <f t="array" ref="AF24">_xlfn.TEXTJOIN("; ",TRUE,_xlfn._xlws.FILTER('Model output'!S:S,'Model output'!Z:Z=A24))</f>
        <v>Not identified; Not identified</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4" t="str">
        <f t="shared" si="14"/>
        <v>low</v>
      </c>
      <c r="AJ24" s="41" t="str">
        <f t="shared" si="2"/>
        <v>1a</v>
      </c>
      <c r="AK24" s="41">
        <f t="shared" si="15"/>
        <v>0</v>
      </c>
      <c r="AL24" s="41">
        <f t="shared" si="16"/>
        <v>0</v>
      </c>
      <c r="AM24" s="41" t="str">
        <f t="shared" si="17"/>
        <v>I</v>
      </c>
      <c r="AN24" s="42" t="s">
        <v>168</v>
      </c>
      <c r="AO24" s="43" t="s">
        <v>196</v>
      </c>
      <c r="AP24" s="43">
        <v>0</v>
      </c>
      <c r="AQ24" s="43">
        <v>0</v>
      </c>
      <c r="AR24" s="43" t="s">
        <v>31</v>
      </c>
      <c r="AS24" s="11">
        <f t="shared" si="6"/>
        <v>1</v>
      </c>
      <c r="AT24" s="33">
        <f t="shared" si="7"/>
        <v>1</v>
      </c>
      <c r="AU24" s="33">
        <f t="shared" si="8"/>
        <v>1</v>
      </c>
      <c r="AV24" s="33">
        <f t="shared" si="9"/>
        <v>1</v>
      </c>
      <c r="AW24" s="35">
        <f t="shared" si="10"/>
        <v>1</v>
      </c>
    </row>
    <row r="25" spans="1:49">
      <c r="A25" s="14">
        <v>23</v>
      </c>
      <c r="B25" s="17">
        <f>_xlfn.MAXIFS('Model output'!B:B,'Model output'!Z:Z,'Classification result'!$A25)</f>
        <v>45296</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1a</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18">
        <f>IFERROR(INDEX('Model output'!J:J, MATCH(A25, 'Model output'!Z:Z, 0)), "")</f>
        <v>0</v>
      </c>
      <c r="N25" s="19"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1"/>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8" t="str">
        <f t="shared" si="12"/>
        <v>positive</v>
      </c>
      <c r="AE25" s="18" t="str">
        <f t="shared" si="13"/>
        <v>negative</v>
      </c>
      <c r="AF25" t="str" cm="1">
        <f t="array" ref="AF25">_xlfn.TEXTJOIN("; ",TRUE,_xlfn._xlws.FILTER('Model output'!S:S,'Model output'!Z:Z=A25))</f>
        <v>Present; Not identified</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4" t="str">
        <f t="shared" si="14"/>
        <v>intermediate</v>
      </c>
      <c r="AJ25" s="43" t="str">
        <f t="shared" si="2"/>
        <v>3a</v>
      </c>
      <c r="AK25" s="41">
        <f t="shared" si="15"/>
        <v>0</v>
      </c>
      <c r="AL25" s="41">
        <f t="shared" si="16"/>
        <v>0</v>
      </c>
      <c r="AM25" s="41" t="str">
        <f t="shared" si="17"/>
        <v>II</v>
      </c>
      <c r="AN25" s="42" t="s">
        <v>166</v>
      </c>
      <c r="AO25" s="43" t="s">
        <v>194</v>
      </c>
      <c r="AP25" s="43">
        <v>0</v>
      </c>
      <c r="AQ25" s="43">
        <v>0</v>
      </c>
      <c r="AR25" s="43" t="s">
        <v>31</v>
      </c>
      <c r="AS25" s="11">
        <f t="shared" si="6"/>
        <v>1</v>
      </c>
      <c r="AT25" s="33">
        <f t="shared" si="7"/>
        <v>0</v>
      </c>
      <c r="AU25" s="33">
        <f t="shared" si="8"/>
        <v>1</v>
      </c>
      <c r="AV25" s="33">
        <f t="shared" si="9"/>
        <v>1</v>
      </c>
      <c r="AW25" s="35">
        <f t="shared" si="10"/>
        <v>0</v>
      </c>
    </row>
    <row r="26" spans="1:49">
      <c r="A26" s="14">
        <v>24</v>
      </c>
      <c r="B26" s="17">
        <f>_xlfn.MAXIFS('Model output'!B:B,'Model output'!Z:Z,'Classification result'!$A26)</f>
        <v>45301</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central</v>
      </c>
      <c r="K26" s="18"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15</v>
      </c>
      <c r="M26" s="18">
        <f>IFERROR(INDEX('Model output'!J:J, MATCH(A26, 'Model output'!Z:Z, 0)), "")</f>
        <v>9</v>
      </c>
      <c r="N26" s="19" t="str" cm="1">
        <f t="array" ref="N26">ReplaceTo(ReplaceAnd(SUBSTITUTE(SUBSTITUTE(_xlfn.TEXTJOIN("; ", TRUE, _xlfn._xlws.FILTER('Model output'!K:K, 'Model output'!Z:Z=A26)), " ", ""), ",", ";")))</f>
        <v>9mm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v>
      </c>
      <c r="P26" cm="1">
        <f t="array" ref="P26">IF(MaxSize((SplitDimensions(O26)))=0, "", MaxSize((SplitDimensions(O26))))</f>
        <v>0.9</v>
      </c>
      <c r="Q26" t="str" cm="1">
        <f t="array" ref="Q26">IF(ISERROR(INDEX(_xlfn._xlws.FILTER('Model output'!L:L, ('Model output'!Z:Z=A26)*('Model output'!L:L&lt;&gt;"")), 1)), " ", LOWER(INDEX(_xlfn._xlws.FILTER('Model output'!L:L, ('Model output'!Z:Z=A26)*('Model output'!L:L&lt;&gt;"")), 1)))</f>
        <v>papillary</v>
      </c>
      <c r="R26" t="str" cm="1">
        <f t="array" ref="R26">IF(ISERROR(INDEX(_xlfn._xlws.FILTER('Model output'!M:M, ('Model output'!Z:Z=A26)*('Model output'!M:M&lt;&gt;"")), 1)), " ", LOWER(INDEX(_xlfn._xlws.FILTER('Model output'!M:M, ('Model output'!Z:Z=A26)*('Model output'!M:M&lt;&gt;"")), 1)))</f>
        <v xml:space="preserve"> </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5x3x2cm</v>
      </c>
      <c r="U26" cm="1">
        <f t="array" ref="U26">IF(MaxSize((SplitDimensions(T26)))=0, "", MaxSize((SplitDimensions(T26))))</f>
        <v>5</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Minimal4 or more (encases right RLN)</v>
      </c>
      <c r="Y26" t="str">
        <f t="shared" si="11"/>
        <v>extensive</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2"/>
        <v>positive</v>
      </c>
      <c r="AE26" s="18" t="str">
        <f t="shared" si="13"/>
        <v>positive</v>
      </c>
      <c r="AF26" t="str" cm="1">
        <f t="array" ref="AF26">_xlfn.TEXTJOIN("; ",TRUE,_xlfn._xlws.FILTER('Model output'!S:S,'Model output'!Z:Z=A26))</f>
        <v>Present (minimal); Present (lower pole tumour completely encased right RLN)</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4" t="str">
        <f t="shared" si="14"/>
        <v>high</v>
      </c>
      <c r="AJ26" s="41" t="str">
        <f t="shared" si="2"/>
        <v>4a</v>
      </c>
      <c r="AK26" s="41" t="str">
        <f t="shared" si="15"/>
        <v>1a</v>
      </c>
      <c r="AL26" s="41">
        <f t="shared" si="16"/>
        <v>0</v>
      </c>
      <c r="AM26" s="41" t="str">
        <f t="shared" si="17"/>
        <v>III</v>
      </c>
      <c r="AN26" s="42" t="s">
        <v>167</v>
      </c>
      <c r="AO26" s="43" t="s">
        <v>199</v>
      </c>
      <c r="AP26" s="43" t="s">
        <v>194</v>
      </c>
      <c r="AQ26" s="43">
        <v>0</v>
      </c>
      <c r="AR26" s="43" t="s">
        <v>68</v>
      </c>
      <c r="AS26" s="11">
        <f t="shared" si="6"/>
        <v>1</v>
      </c>
      <c r="AT26" s="33">
        <f t="shared" si="7"/>
        <v>1</v>
      </c>
      <c r="AU26" s="33">
        <f t="shared" si="8"/>
        <v>0</v>
      </c>
      <c r="AV26" s="33">
        <f t="shared" si="9"/>
        <v>1</v>
      </c>
      <c r="AW26" s="35">
        <f t="shared" si="10"/>
        <v>1</v>
      </c>
    </row>
    <row r="27" spans="1:49">
      <c r="A27" s="14">
        <v>25</v>
      </c>
      <c r="B27" s="17">
        <f>_xlfn.MAXIFS('Model output'!B:B,'Model output'!Z:Z,'Classification result'!$A27)</f>
        <v>45310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18">
        <f>IFERROR(INDEX('Model output'!J:J, MATCH(A27, 'Model output'!Z:Z, 0)), "")</f>
        <v>0</v>
      </c>
      <c r="N27" s="19"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v>
      </c>
      <c r="R27" t="str" cm="1">
        <f t="array" ref="R27">IF(ISERROR(INDEX(_xlfn._xlws.FILTER('Model output'!M:M, ('Model output'!Z:Z=A27)*('Model output'!M:M&lt;&gt;"")), 1)), " ", LOWER(INDEX(_xlfn._xlws.FILTER('Model output'!M:M, ('Model output'!Z:Z=A27)*('Model output'!M:M&lt;&gt;"")), 1)))</f>
        <v xml:space="preserve"> </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11mm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11mm</v>
      </c>
      <c r="U27" cm="1">
        <f t="array" ref="U27">IF(MaxSize((SplitDimensions(T27)))=0, "", MaxSize((SplitDimensions(T27))))</f>
        <v>1.1000000000000001</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11"/>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8" t="str">
        <f t="shared" si="12"/>
        <v>negative</v>
      </c>
      <c r="AE27" s="18" t="str">
        <f t="shared" si="13"/>
        <v>negative</v>
      </c>
      <c r="AF27" t="str" cm="1">
        <f t="array" ref="AF27">_xlfn.TEXTJOIN("; ",TRUE,_xlfn._xlws.FILTER('Model output'!S:S,'Model output'!Z:Z=A27))</f>
        <v>Absent</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4" t="str">
        <f t="shared" si="14"/>
        <v>low</v>
      </c>
      <c r="AJ27" s="41" t="str">
        <f t="shared" si="2"/>
        <v>1b</v>
      </c>
      <c r="AK27" s="41" t="str">
        <f t="shared" si="15"/>
        <v>x</v>
      </c>
      <c r="AL27" s="41">
        <f t="shared" si="16"/>
        <v>0</v>
      </c>
      <c r="AM27" s="41" t="str">
        <f t="shared" si="17"/>
        <v>I</v>
      </c>
      <c r="AN27" s="42" t="s">
        <v>168</v>
      </c>
      <c r="AO27" s="43" t="s">
        <v>194</v>
      </c>
      <c r="AP27" s="43" t="s">
        <v>195</v>
      </c>
      <c r="AQ27" s="43">
        <v>0</v>
      </c>
      <c r="AR27" s="43" t="s">
        <v>31</v>
      </c>
      <c r="AS27" s="11">
        <f t="shared" si="6"/>
        <v>1</v>
      </c>
      <c r="AT27" s="33">
        <f t="shared" si="7"/>
        <v>1</v>
      </c>
      <c r="AU27" s="33">
        <f t="shared" si="8"/>
        <v>1</v>
      </c>
      <c r="AV27" s="33">
        <f t="shared" si="9"/>
        <v>1</v>
      </c>
      <c r="AW27" s="35">
        <f t="shared" si="10"/>
        <v>1</v>
      </c>
    </row>
    <row r="28" spans="1:49">
      <c r="A28" s="14">
        <v>26</v>
      </c>
      <c r="B28" s="17">
        <f>_xlfn.MAXIFS('Model output'!B:B,'Model output'!Z:Z,'Classification result'!$A28)</f>
        <v>45464</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8"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1</v>
      </c>
      <c r="M28" s="18">
        <f>IFERROR(INDEX('Model output'!J:J, MATCH(A28, 'Model output'!Z:Z, 0)), "")</f>
        <v>0</v>
      </c>
      <c r="N28" s="19" t="str" cm="1">
        <f t="array" ref="N28">ReplaceTo(ReplaceAnd(SUBSTITUTE(SUBSTITUTE(_xlfn.TEXTJOIN("; ", TRUE, _xlfn._xlws.FILTER('Model output'!K:K, 'Model output'!Z:Z=A28)), " ", ""), ",", ";")))</f>
        <v>Notmentioned</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v>
      </c>
      <c r="R28" t="str" cm="1">
        <f t="array" ref="R28">IF(ISERROR(INDEX(_xlfn._xlws.FILTER('Model output'!M:M, ('Model output'!Z:Z=A28)*('Model output'!M:M&lt;&gt;"")), 1)), " ", LOWER(INDEX(_xlfn._xlws.FILTER('Model output'!M:M, ('Model output'!Z:Z=A28)*('Model output'!M:M&lt;&gt;"")), 1)))</f>
        <v>classic</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Not mentioned</v>
      </c>
      <c r="Y28" t="str">
        <f t="shared" si="11"/>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8" t="str">
        <f t="shared" si="12"/>
        <v>positive</v>
      </c>
      <c r="AE28" s="18" t="str">
        <f t="shared" si="13"/>
        <v>positive</v>
      </c>
      <c r="AF28" t="str" cm="1">
        <f t="array" ref="AF28">_xlfn.TEXTJOIN("; ",TRUE,_xlfn._xlws.FILTER('Model output'!S:S,'Model output'!Z:Z=A28))</f>
        <v>Microscopic extrathyroidal extension to skeletal muscle anterior to the thyroid gland is present (Block B2); Right thyroid 1cm tumour with gross ETE to strap muscle</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4" t="str">
        <f t="shared" si="14"/>
        <v>high</v>
      </c>
      <c r="AJ28" s="41" t="str">
        <f t="shared" si="2"/>
        <v>3b</v>
      </c>
      <c r="AK28" s="41">
        <f t="shared" si="15"/>
        <v>0</v>
      </c>
      <c r="AL28" s="41">
        <f t="shared" si="16"/>
        <v>0</v>
      </c>
      <c r="AM28" s="41" t="str">
        <f t="shared" si="17"/>
        <v>II</v>
      </c>
      <c r="AN28" s="42" t="s">
        <v>167</v>
      </c>
      <c r="AO28" s="43" t="s">
        <v>197</v>
      </c>
      <c r="AP28" s="43" t="s">
        <v>195</v>
      </c>
      <c r="AQ28" s="43">
        <v>0</v>
      </c>
      <c r="AR28" s="43" t="s">
        <v>43</v>
      </c>
      <c r="AS28" s="11">
        <f t="shared" si="6"/>
        <v>1</v>
      </c>
      <c r="AT28" s="33">
        <f t="shared" si="7"/>
        <v>1</v>
      </c>
      <c r="AU28" s="33">
        <f t="shared" si="8"/>
        <v>1</v>
      </c>
      <c r="AV28" s="33">
        <f t="shared" si="9"/>
        <v>1</v>
      </c>
      <c r="AW28" s="35">
        <f t="shared" si="10"/>
        <v>1</v>
      </c>
    </row>
    <row r="29" spans="1:49">
      <c r="A29" s="14">
        <v>27</v>
      </c>
      <c r="B29" s="17">
        <f>_xlfn.MAXIFS('Model output'!B:B,'Model output'!Z:Z,'Classification result'!$A29)</f>
        <v>45464</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18">
        <f>IFERROR(INDEX('Model output'!J:J, MATCH(A29, 'Model output'!Z:Z, 0)), "")</f>
        <v>1</v>
      </c>
      <c r="N29" s="19" t="str" cm="1">
        <f t="array" ref="N29">ReplaceTo(ReplaceAnd(SUBSTITUTE(SUBSTITUTE(_xlfn.TEXTJOIN("; ", TRUE, _xlfn._xlws.FILTER('Model output'!K:K, 'Model output'!Z:Z=A29)), " ", ""), ",", ";")))</f>
        <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
      </c>
      <c r="P29" t="str" cm="1">
        <f t="array" ref="P29">IF(MaxSize((SplitDimensions(O29)))=0, "", MaxSize((SplitDimensions(O29))))</f>
        <v/>
      </c>
      <c r="Q29" t="str" cm="1">
        <f t="array" ref="Q29">IF(ISERROR(INDEX(_xlfn._xlws.FILTER('Model output'!L:L, ('Model output'!Z:Z=A29)*('Model output'!L:L&lt;&gt;"")), 1)), " ", LOWER(INDEX(_xlfn._xlws.FILTER('Model output'!L:L, ('Model output'!Z:Z=A29)*('Model output'!L:L&lt;&gt;"")), 1)))</f>
        <v>papillary</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4cm</v>
      </c>
      <c r="U29" cm="1">
        <f t="array" ref="U29">IF(MaxSize((SplitDimensions(T29)))=0, "", MaxSize((SplitDimensions(T29))))</f>
        <v>4</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1"/>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2"/>
        <v>negative</v>
      </c>
      <c r="AE29" s="18" t="str">
        <f t="shared" si="13"/>
        <v>negative</v>
      </c>
      <c r="AF29" t="str" cm="1">
        <f t="array" ref="AF29">_xlfn.TEXTJOIN("; ",TRUE,_xlfn._xlws.FILTER('Model output'!S:S,'Model output'!Z:Z=A29))</f>
        <v>Not identified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4" t="str">
        <f t="shared" si="14"/>
        <v>low</v>
      </c>
      <c r="AJ29" s="41" t="str">
        <f t="shared" si="2"/>
        <v>2</v>
      </c>
      <c r="AK29" s="41" t="str">
        <f t="shared" si="15"/>
        <v>1a</v>
      </c>
      <c r="AL29" s="41">
        <f t="shared" si="16"/>
        <v>0</v>
      </c>
      <c r="AM29" s="41" t="str">
        <f t="shared" si="17"/>
        <v>I</v>
      </c>
      <c r="AN29" s="42" t="s">
        <v>168</v>
      </c>
      <c r="AO29" s="43" t="s">
        <v>196</v>
      </c>
      <c r="AP29" s="43" t="s">
        <v>196</v>
      </c>
      <c r="AQ29" s="43">
        <v>0</v>
      </c>
      <c r="AR29" s="43" t="s">
        <v>31</v>
      </c>
      <c r="AS29" s="11">
        <f t="shared" si="6"/>
        <v>1</v>
      </c>
      <c r="AT29" s="33">
        <f t="shared" si="7"/>
        <v>0</v>
      </c>
      <c r="AU29" s="33">
        <f t="shared" si="8"/>
        <v>1</v>
      </c>
      <c r="AV29" s="33">
        <f t="shared" si="9"/>
        <v>1</v>
      </c>
      <c r="AW29" s="35">
        <f t="shared" si="10"/>
        <v>1</v>
      </c>
    </row>
    <row r="30" spans="1:49">
      <c r="A30" s="14">
        <v>28</v>
      </c>
      <c r="B30" s="17">
        <f>_xlfn.MAXIFS('Model output'!B:B,'Model output'!Z:Z,'Classification result'!$A30)</f>
        <v>45464</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18">
        <f>IFERROR(INDEX('Model output'!J:J, MATCH(A30, 'Model output'!Z:Z, 0)), "")</f>
        <v>1</v>
      </c>
      <c r="N30" s="19" t="str" cm="1">
        <f t="array" ref="N30">ReplaceTo(ReplaceAnd(SUBSTITUTE(SUBSTITUTE(_xlfn.TEXTJOIN("; ", TRUE, _xlfn._xlws.FILTER('Model output'!K:K, 'Model output'!Z:Z=A30)), " ", ""), ",", ";")))</f>
        <v>2.5</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
      </c>
      <c r="P30" t="str" cm="1">
        <f t="array" ref="P30">IF(MaxSize((SplitDimensions(O30)))=0, "", MaxSize((SplitDimensions(O30))))</f>
        <v/>
      </c>
      <c r="Q30" t="str" cm="1">
        <f t="array" ref="Q30">IF(ISERROR(INDEX(_xlfn._xlws.FILTER('Model output'!L:L, ('Model output'!Z:Z=A30)*('Model output'!L:L&lt;&gt;"")), 1)), " ", LOWER(INDEX(_xlfn._xlws.FILTER('Model output'!L:L, ('Model output'!Z:Z=A30)*('Model output'!L:L&lt;&gt;"")), 1)))</f>
        <v>papillary</v>
      </c>
      <c r="R30" t="str" cm="1">
        <f t="array" ref="R30">IF(ISERROR(INDEX(_xlfn._xlws.FILTER('Model output'!M:M, ('Model output'!Z:Z=A30)*('Model output'!M:M&lt;&gt;"")), 1)), " ", LOWER(INDEX(_xlfn._xlws.FILTER('Model output'!M:M, ('Model output'!Z:Z=A30)*('Model output'!M:M&lt;&gt;"")), 1)))</f>
        <v xml:space="preserve"> </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Not mentioned</v>
      </c>
      <c r="Y30" t="str">
        <f t="shared" si="11"/>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2"/>
        <v>negative</v>
      </c>
      <c r="AE30" s="18" t="str">
        <f t="shared" si="13"/>
        <v>negative</v>
      </c>
      <c r="AF30" t="str" cm="1">
        <f t="array" ref="AF30">_xlfn.TEXTJOIN("; ",TRUE,_xlfn._xlws.FILTER('Model output'!S:S,'Model output'!Z:Z=A30))</f>
        <v>Not identified; Not mentioned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4" t="str">
        <f t="shared" si="14"/>
        <v>low</v>
      </c>
      <c r="AJ30" s="41" t="str">
        <f t="shared" si="2"/>
        <v>1a</v>
      </c>
      <c r="AK30" s="41" t="str">
        <f t="shared" si="15"/>
        <v>1a</v>
      </c>
      <c r="AL30" s="41">
        <f t="shared" si="16"/>
        <v>0</v>
      </c>
      <c r="AM30" s="41" t="str">
        <f t="shared" si="17"/>
        <v>II</v>
      </c>
      <c r="AN30" s="42" t="s">
        <v>168</v>
      </c>
      <c r="AO30" s="43" t="s">
        <v>196</v>
      </c>
      <c r="AP30" s="43" t="s">
        <v>196</v>
      </c>
      <c r="AQ30" s="43">
        <v>0</v>
      </c>
      <c r="AR30" s="43" t="s">
        <v>43</v>
      </c>
      <c r="AS30" s="11">
        <f t="shared" si="6"/>
        <v>1</v>
      </c>
      <c r="AT30" s="33">
        <f t="shared" si="7"/>
        <v>1</v>
      </c>
      <c r="AU30" s="33">
        <f t="shared" si="8"/>
        <v>1</v>
      </c>
      <c r="AV30" s="33">
        <f t="shared" si="9"/>
        <v>1</v>
      </c>
      <c r="AW30" s="35">
        <f t="shared" si="10"/>
        <v>1</v>
      </c>
    </row>
    <row r="31" spans="1:49">
      <c r="A31" s="14">
        <v>29</v>
      </c>
      <c r="B31" s="17">
        <f>_xlfn.MAXIFS('Model output'!B:B,'Model output'!Z:Z,'Classification result'!$A31)</f>
        <v>45271</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8"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8">
        <f>IF(IFERROR(INDEX('Model output'!I:I, MATCH(A31, 'Model output'!Z:Z, 0)), "") &lt; M31, "", IFERROR(INDEX('Model output'!I:I, MATCH(A31, 'Model output'!Z:Z, 0)), ""))</f>
        <v>5</v>
      </c>
      <c r="M31" s="18">
        <f>IFERROR(INDEX('Model output'!J:J, MATCH(A31, 'Model output'!Z:Z, 0)), "")</f>
        <v>0</v>
      </c>
      <c r="N31" s="19"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v>
      </c>
      <c r="R31" t="str" cm="1">
        <f t="array" ref="R31">IF(ISERROR(INDEX(_xlfn._xlws.FILTER('Model output'!M:M, ('Model output'!Z:Z=A31)*('Model output'!M:M&lt;&gt;"")), 1)), " ", LOWER(INDEX(_xlfn._xlws.FILTER('Model output'!M:M, ('Model output'!Z:Z=A31)*('Model output'!M:M&lt;&gt;"")), 1)))</f>
        <v>classic</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1"/>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2"/>
        <v>negative</v>
      </c>
      <c r="AE31" s="18" t="str">
        <f t="shared" si="13"/>
        <v>negative</v>
      </c>
      <c r="AF31" t="str" cm="1">
        <f t="array" ref="AF31">_xlfn.TEXTJOIN("; ",TRUE,_xlfn._xlws.FILTER('Model output'!S:S,'Model output'!Z:Z=A31))</f>
        <v>Not identified; 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4" t="str">
        <f t="shared" si="14"/>
        <v>low</v>
      </c>
      <c r="AJ31" s="41" t="str">
        <f t="shared" si="2"/>
        <v>1a</v>
      </c>
      <c r="AK31" s="41">
        <f t="shared" si="15"/>
        <v>0</v>
      </c>
      <c r="AL31" s="41">
        <f t="shared" si="16"/>
        <v>0</v>
      </c>
      <c r="AM31" s="41" t="str">
        <f t="shared" si="17"/>
        <v>I</v>
      </c>
      <c r="AN31" s="42" t="s">
        <v>168</v>
      </c>
      <c r="AO31" s="43" t="s">
        <v>196</v>
      </c>
      <c r="AP31" s="43" t="s">
        <v>195</v>
      </c>
      <c r="AQ31" s="43">
        <v>0</v>
      </c>
      <c r="AR31" s="43" t="s">
        <v>31</v>
      </c>
      <c r="AS31" s="11">
        <f t="shared" si="6"/>
        <v>1</v>
      </c>
      <c r="AT31" s="33">
        <f t="shared" si="7"/>
        <v>1</v>
      </c>
      <c r="AU31" s="33">
        <f t="shared" si="8"/>
        <v>1</v>
      </c>
      <c r="AV31" s="33">
        <f t="shared" si="9"/>
        <v>1</v>
      </c>
      <c r="AW31" s="35">
        <f t="shared" si="10"/>
        <v>1</v>
      </c>
    </row>
    <row r="32" spans="1:49">
      <c r="A32" s="14">
        <v>30</v>
      </c>
      <c r="B32" s="17">
        <f>_xlfn.MAXIFS('Model output'!B:B,'Model output'!Z:Z,'Classification result'!$A32)</f>
        <v>45287</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central</v>
      </c>
      <c r="K32" s="18"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24</v>
      </c>
      <c r="M32" s="18">
        <f>IFERROR(INDEX('Model output'!J:J, MATCH(A32, 'Model output'!Z:Z, 0)), "")</f>
        <v>3</v>
      </c>
      <c r="N32" s="19"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v>
      </c>
      <c r="R32" t="str" cm="1">
        <f t="array" ref="R32">IF(ISERROR(INDEX(_xlfn._xlws.FILTER('Model output'!M:M, ('Model output'!Z:Z=A32)*('Model output'!M:M&lt;&gt;"")), 1)), " ", LOWER(INDEX(_xlfn._xlws.FILTER('Model output'!M:M, ('Model output'!Z:Z=A32)*('Model output'!M:M&lt;&gt;"")), 1)))</f>
        <v>infiltrative follicular subtype</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1"/>
        <v>minimal</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8" t="str">
        <f t="shared" si="12"/>
        <v>negative</v>
      </c>
      <c r="AE32" s="18" t="str">
        <f t="shared" si="13"/>
        <v>negative</v>
      </c>
      <c r="AF32" t="str" cm="1">
        <f t="array" ref="AF32">_xlfn.TEXTJOIN("; ",TRUE,_xlfn._xlws.FILTER('Model output'!S:S,'Model output'!Z:Z=A32))</f>
        <v>Not identified; Not identified</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4" t="str">
        <f t="shared" si="14"/>
        <v>low</v>
      </c>
      <c r="AJ32" s="41" t="str">
        <f t="shared" ref="AJ32:AJ37" si="18">IF(OR(ISNUMBER(SEARCH("non-invasive follicular",Q32)),ISNUMBER(SEARCH("papillary-like nuclear features",Q32)),ISNUMBER(SEARCH("non-invasive follicular",R32)),ISNUMBER(SEARCH("papillary-like nuclear features",R32))),"NIFTP", IF(OR(F32="4b",AND(AE32="positive",OR(ISNUMBER(SEARCH("prevertebral",AF32)),ISNUMBER(SEARCH("fascia",AF32)),ISNUMBER(SEARCH("carotid artery",AF32)),ISNUMBER(SEARCH("mediastinal",AF32))))),"4b",IF(OR(F32="4a",AND(AE32="positive",OR(ISNUMBER(SEARCH("soft tissue",AF32)),ISNUMBER(SEARCH("larynx",AF32)),ISNUMBER(SEARCH("trachea",AF32)),ISNUMBER(SEARCH("esophagus",AF32)),ISNUMBER(SEARCH("recurrent laryngeal nerve",AF32)),ISNUMBER(SEARCH("RLN",AF32))))),"4a", IF(OR(F32="3b", AE32="positive",ISNUMBER(SEARCH("strap",AF32)),ISNUMBER(SEARCH("sternothyroid",AF32)),ISNUMBER(SEARCH("sternohyoid",AF32)),ISNUMBER(SEARCH("thyrohyoid",AF32)),ISNUMBER(SEARCH("omohyoid",AF32))),"3b",IF(OR(F32="3a", AND(U32&lt;&gt;"",U32&gt;4)),"3a",IF(AND(U32&lt;&gt;"", U32&lt;=4,U32&gt;2),"2",IF(AND(U32&lt;&gt;"",U32&lt;=2,U32&gt;1),"1b",IF(AND(U32&lt;&gt;"",U32&lt;=1),"1a","1a"))))))))</f>
        <v>1b</v>
      </c>
      <c r="AK32" s="41" t="str">
        <f t="shared" si="15"/>
        <v>1a</v>
      </c>
      <c r="AL32" s="41">
        <f t="shared" si="16"/>
        <v>0</v>
      </c>
      <c r="AM32" s="41" t="str">
        <f t="shared" si="17"/>
        <v>I</v>
      </c>
      <c r="AN32" s="42" t="s">
        <v>166</v>
      </c>
      <c r="AO32" s="43" t="s">
        <v>194</v>
      </c>
      <c r="AP32" s="43" t="s">
        <v>194</v>
      </c>
      <c r="AQ32" s="43">
        <v>0</v>
      </c>
      <c r="AR32" s="43" t="s">
        <v>31</v>
      </c>
      <c r="AS32" s="11">
        <f t="shared" si="6"/>
        <v>0</v>
      </c>
      <c r="AT32" s="33">
        <f t="shared" si="7"/>
        <v>1</v>
      </c>
      <c r="AU32" s="33">
        <f t="shared" si="8"/>
        <v>0</v>
      </c>
      <c r="AV32" s="33">
        <f t="shared" si="9"/>
        <v>1</v>
      </c>
      <c r="AW32" s="35">
        <f t="shared" si="10"/>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18">
        <f>IFERROR(INDEX('Model output'!J:J, MATCH(A33, 'Model output'!Z:Z, 0)), "")</f>
        <v>1</v>
      </c>
      <c r="N33" s="19"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4.5x3x2cm(forleftthyroid)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4.5x3x2cm(forleftthyroid)</v>
      </c>
      <c r="U33"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invading to carotid sheath and wrapped around RLN at lower pole</v>
      </c>
      <c r="Y33" t="str">
        <f t="shared" si="11"/>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2"/>
        <v>positive</v>
      </c>
      <c r="AE33" s="18" t="str">
        <f t="shared" si="13"/>
        <v>negative</v>
      </c>
      <c r="AF33" t="str" cm="1">
        <f t="array" ref="AF33">_xlfn.TEXTJOIN("; ",TRUE,_xlfn._xlws.FILTER('Model output'!S:S,'Model output'!Z:Z=A33))</f>
        <v>Present; Present</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4" t="str">
        <f t="shared" si="14"/>
        <v>intermediate</v>
      </c>
      <c r="AJ33" s="41"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1a</v>
      </c>
      <c r="AK33" s="41" t="str">
        <f t="shared" si="15"/>
        <v>1a</v>
      </c>
      <c r="AL33" s="41">
        <f t="shared" si="16"/>
        <v>0</v>
      </c>
      <c r="AM33" s="41" t="str">
        <f t="shared" si="17"/>
        <v>II</v>
      </c>
      <c r="AN33" s="42" t="s">
        <v>167</v>
      </c>
      <c r="AO33" s="43" t="s">
        <v>200</v>
      </c>
      <c r="AP33" s="43" t="s">
        <v>196</v>
      </c>
      <c r="AQ33" s="43">
        <v>0</v>
      </c>
      <c r="AR33" s="43" t="s">
        <v>362</v>
      </c>
      <c r="AS33" s="11">
        <f t="shared" si="6"/>
        <v>0</v>
      </c>
      <c r="AT33" s="33">
        <f t="shared" si="7"/>
        <v>0</v>
      </c>
      <c r="AU33" s="33">
        <f t="shared" si="8"/>
        <v>1</v>
      </c>
      <c r="AV33" s="33">
        <f t="shared" si="9"/>
        <v>1</v>
      </c>
      <c r="AW33" s="35">
        <f t="shared" si="10"/>
        <v>0</v>
      </c>
    </row>
    <row r="34" spans="1:50">
      <c r="A34" s="14">
        <v>32</v>
      </c>
      <c r="B34" s="17">
        <f>_xlfn.MAXIFS('Model output'!B:B,'Model output'!Z:Z,'Classification result'!$A34)</f>
        <v>44630</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8">
        <f>IF(IFERROR(INDEX('Model output'!I:I, MATCH(A34, 'Model output'!Z:Z, 0)), "") &lt; M34, "", IFERROR(INDEX('Model output'!I:I, MATCH(A34, 'Model output'!Z:Z, 0)), ""))</f>
        <v>12</v>
      </c>
      <c r="M34" s="18">
        <f>IFERROR(INDEX('Model output'!J:J, MATCH(A34, 'Model output'!Z:Z, 0)), "")</f>
        <v>4</v>
      </c>
      <c r="N34" s="19" t="str" cm="1">
        <f t="array" ref="N34">ReplaceTo(ReplaceAnd(SUBSTITUTE(SUBSTITUTE(_xlfn.TEXTJOIN("; ", TRUE, _xlfn._xlws.FILTER('Model output'!K:K, 'Model output'!Z:Z=A34)), " ", ""), ",", ";")))</f>
        <v>6cm</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6cm</v>
      </c>
      <c r="P34" cm="1">
        <f t="array" ref="P34">IF(MaxSize((SplitDimensions(O34)))=0, "", MaxSize((SplitDimensions(O34))))</f>
        <v>6</v>
      </c>
      <c r="Q34" t="str" cm="1">
        <f t="array" ref="Q34">IF(ISERROR(INDEX(_xlfn._xlws.FILTER('Model output'!L:L, ('Model output'!Z:Z=A34)*('Model output'!L:L&lt;&gt;"")), 1)), " ", LOWER(INDEX(_xlfn._xlws.FILTER('Model output'!L:L, ('Model output'!Z:Z=A34)*('Model output'!L:L&lt;&gt;"")), 1)))</f>
        <v>follicular</v>
      </c>
      <c r="R34" t="str" cm="1">
        <f t="array" ref="R34">IF(ISERROR(INDEX(_xlfn._xlws.FILTER('Model output'!M:M, ('Model output'!Z:Z=A34)*('Model output'!M:M&lt;&gt;"")), 1)), " ", LOWER(INDEX(_xlfn._xlws.FILTER('Model output'!M:M, ('Model output'!Z:Z=A34)*('Model output'!M:M&lt;&gt;"")), 1)))</f>
        <v xml:space="preserve"> </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6cm</v>
      </c>
      <c r="U34" cm="1">
        <f t="array" ref="U34">IF(MaxSize((SplitDimensions(T34)))=0, "", MaxSize((SplitDimensions(T34))))</f>
        <v>6</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4 or more4 or more</v>
      </c>
      <c r="Y34" t="str">
        <f t="shared" si="11"/>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2"/>
        <v>positive</v>
      </c>
      <c r="AE34" s="18" t="str">
        <f t="shared" si="13"/>
        <v>negative</v>
      </c>
      <c r="AF34" t="str" cm="1">
        <f t="array" ref="AF34">_xlfn.TEXTJOIN("; ",TRUE,_xlfn._xlws.FILTER('Model output'!S:S,'Model output'!Z:Z=A34))</f>
        <v>Focally into adjacent fibroadipose tissue; Present</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4" t="str">
        <f t="shared" si="14"/>
        <v>high</v>
      </c>
      <c r="AJ34" s="41" t="str">
        <f t="shared" si="18"/>
        <v>3a</v>
      </c>
      <c r="AK34" s="41" t="str">
        <f t="shared" si="15"/>
        <v>1a</v>
      </c>
      <c r="AL34" s="41">
        <f t="shared" si="16"/>
        <v>0</v>
      </c>
      <c r="AM34" s="41" t="str">
        <f t="shared" si="17"/>
        <v>II</v>
      </c>
      <c r="AN34" s="42" t="s">
        <v>167</v>
      </c>
      <c r="AO34" s="43" t="s">
        <v>198</v>
      </c>
      <c r="AP34" s="43">
        <v>0</v>
      </c>
      <c r="AQ34" s="43">
        <v>0</v>
      </c>
      <c r="AR34" s="43" t="s">
        <v>43</v>
      </c>
      <c r="AS34" s="11">
        <f t="shared" si="6"/>
        <v>1</v>
      </c>
      <c r="AT34" s="33">
        <f t="shared" si="7"/>
        <v>1</v>
      </c>
      <c r="AU34" s="33">
        <f t="shared" si="8"/>
        <v>0</v>
      </c>
      <c r="AV34" s="33">
        <f t="shared" si="9"/>
        <v>1</v>
      </c>
      <c r="AW34" s="35">
        <f t="shared" si="10"/>
        <v>1</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18">
        <f>IFERROR(INDEX('Model output'!J:J, MATCH(A35, 'Model output'!Z:Z, 0)), "")</f>
        <v>0</v>
      </c>
      <c r="N35" s="19"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 xml:space="preserve"> </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4 or more</v>
      </c>
      <c r="Y35" t="str">
        <f t="shared" si="11"/>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AA35" s="18" t="str">
        <f t="shared" si="12"/>
        <v>positive</v>
      </c>
      <c r="AE35" s="18" t="str">
        <f t="shared" si="13"/>
        <v>negative</v>
      </c>
      <c r="AF35" t="str" cm="1">
        <f t="array" ref="AF35">_xlfn.TEXTJOIN("; ",TRUE,_xlfn._xlws.FILTER('Model output'!S:S,'Model output'!Z:Z=A35))</f>
        <v>Not identified; Present</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4" t="str">
        <f t="shared" si="14"/>
        <v>high</v>
      </c>
      <c r="AJ35" s="41" t="str">
        <f t="shared" si="18"/>
        <v>1a</v>
      </c>
      <c r="AK35" s="41" t="str">
        <f t="shared" si="15"/>
        <v>x</v>
      </c>
      <c r="AL35" s="41">
        <f t="shared" si="16"/>
        <v>1</v>
      </c>
      <c r="AM35" s="41" t="str">
        <f t="shared" si="17"/>
        <v>II</v>
      </c>
      <c r="AN35" s="42" t="s">
        <v>167</v>
      </c>
      <c r="AO35" s="43" t="s">
        <v>196</v>
      </c>
      <c r="AP35" s="43" t="s">
        <v>195</v>
      </c>
      <c r="AQ35" s="43">
        <v>1</v>
      </c>
      <c r="AR35" s="43" t="s">
        <v>43</v>
      </c>
      <c r="AS35" s="11">
        <f t="shared" si="6"/>
        <v>1</v>
      </c>
      <c r="AT35" s="33">
        <f t="shared" si="7"/>
        <v>1</v>
      </c>
      <c r="AU35" s="33">
        <f t="shared" si="8"/>
        <v>1</v>
      </c>
      <c r="AV35" s="33">
        <f t="shared" si="9"/>
        <v>1</v>
      </c>
      <c r="AW35" s="35">
        <f t="shared" si="10"/>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8" cm="1">
        <f t="array" ref="H36">IF(AND(SUBSTITUTE(_xlfn.TEXTJOIN("/", TRUE, _xlfn._xlws.FILTER('Model output'!F:F, 'Model output'!Z:Z=A36)),"M", "")="", K36="negative"),0,IF(K36="positive",1,0))</f>
        <v>0</v>
      </c>
      <c r="I36" t="str">
        <f t="shared" si="0"/>
        <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
      </c>
      <c r="K36" s="18"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8">
        <f>IF(IFERROR(INDEX('Model output'!I:I, MATCH(A36, 'Model output'!Z:Z, 0)), "") &lt; M36, "", IFERROR(INDEX('Model output'!I:I, MATCH(A36, 'Model output'!Z:Z, 0)), ""))</f>
        <v>0</v>
      </c>
      <c r="M36" s="18">
        <f>IFERROR(INDEX('Model output'!J:J, MATCH(A36, 'Model output'!Z:Z, 0)), "")</f>
        <v>0</v>
      </c>
      <c r="N36" s="19"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vessels)Invading subcutaneous soft tissues, larynx, trachea, esophagus or recurrent laryngeal nerve4 or more</v>
      </c>
      <c r="Y36" t="str">
        <f t="shared" si="11"/>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2"/>
        <v>positive</v>
      </c>
      <c r="AE36" s="18" t="str">
        <f t="shared" si="13"/>
        <v>negative</v>
      </c>
      <c r="AF36" t="str" cm="1">
        <f t="array" ref="AF36">_xlfn.TEXTJOIN("; ",TRUE,_xlfn._xlws.FILTER('Model output'!S:S,'Model output'!Z:Z=A36))</f>
        <v>Present; Present</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4" t="str">
        <f t="shared" si="14"/>
        <v>intermediate</v>
      </c>
      <c r="AJ36" s="41" t="str">
        <f t="shared" si="18"/>
        <v>4a</v>
      </c>
      <c r="AK36" s="41" t="str">
        <f t="shared" si="15"/>
        <v>x</v>
      </c>
      <c r="AL36" s="41">
        <f t="shared" si="16"/>
        <v>0</v>
      </c>
      <c r="AM36" s="41" t="str">
        <f t="shared" si="17"/>
        <v>III</v>
      </c>
      <c r="AN36" s="42" t="s">
        <v>167</v>
      </c>
      <c r="AO36" s="43" t="s">
        <v>199</v>
      </c>
      <c r="AP36" s="43">
        <v>0</v>
      </c>
      <c r="AQ36" s="43">
        <v>0</v>
      </c>
      <c r="AR36" s="43" t="s">
        <v>68</v>
      </c>
      <c r="AS36" s="11">
        <f t="shared" si="6"/>
        <v>0</v>
      </c>
      <c r="AT36" s="33">
        <f t="shared" si="7"/>
        <v>1</v>
      </c>
      <c r="AU36" s="33">
        <f t="shared" si="8"/>
        <v>1</v>
      </c>
      <c r="AV36" s="33">
        <f t="shared" si="9"/>
        <v>1</v>
      </c>
      <c r="AW36" s="35">
        <f t="shared" si="10"/>
        <v>1</v>
      </c>
    </row>
    <row r="37" spans="1:50">
      <c r="A37" s="26">
        <v>35</v>
      </c>
      <c r="B37" s="27">
        <f>_xlfn.MAXIFS('Model output'!B:B,'Model output'!Z:Z,'Classification result'!$A37)</f>
        <v>44419</v>
      </c>
      <c r="C37" s="27"/>
      <c r="D37" s="27"/>
      <c r="E37" s="28">
        <f>_xlfn.MAXIFS('Model output'!C:C,'Model output'!Z:Z,'Classification result'!$A37)</f>
        <v>62</v>
      </c>
      <c r="F37" s="28"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28"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28" cm="1">
        <f t="array" ref="H37">IF(AND(SUBSTITUTE(_xlfn.TEXTJOIN("/", TRUE, _xlfn._xlws.FILTER('Model output'!F:F, 'Model output'!Z:Z=A37)),"M", "")="", K37="negative"),0,IF(K37="positive",1,0))</f>
        <v>1</v>
      </c>
      <c r="I37" s="25" t="str">
        <f t="shared" si="0"/>
        <v>positive</v>
      </c>
      <c r="J37" s="25"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28"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28">
        <f>IF(IFERROR(INDEX('Model output'!I:I, MATCH(A37, 'Model output'!Z:Z, 0)), "") &lt; M37, "", IFERROR(INDEX('Model output'!I:I, MATCH(A37, 'Model output'!Z:Z, 0)), ""))</f>
        <v>35</v>
      </c>
      <c r="M37" s="28">
        <f>IFERROR(INDEX('Model output'!J:J, MATCH(A37, 'Model output'!Z:Z, 0)), "")</f>
        <v>7</v>
      </c>
      <c r="N37" s="29" t="str" cm="1">
        <f t="array" ref="N37">ReplaceTo(ReplaceAnd(SUBSTITUTE(SUBSTITUTE(_xlfn.TEXTJOIN("; ", TRUE, _xlfn._xlws.FILTER('Model output'!K:K, 'Model output'!Z:Z=A37)), " ", ""), ",", ";")))</f>
        <v/>
      </c>
      <c r="O37" s="25"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25" t="str" cm="1">
        <f t="array" ref="P37">IF(MaxSize((SplitDimensions(O37)))=0, "", MaxSize((SplitDimensions(O37))))</f>
        <v/>
      </c>
      <c r="Q37" s="25" t="str" cm="1">
        <f t="array" ref="Q37">IF(ISERROR(INDEX(_xlfn._xlws.FILTER('Model output'!L:L, ('Model output'!Z:Z=A37)*('Model output'!L:L&lt;&gt;"")), 1)), " ", LOWER(INDEX(_xlfn._xlws.FILTER('Model output'!L:L, ('Model output'!Z:Z=A37)*('Model output'!L:L&lt;&gt;"")), 1)))</f>
        <v>papillary</v>
      </c>
      <c r="R37" s="25" t="str" cm="1">
        <f t="array" ref="R37">IF(ISERROR(INDEX(_xlfn._xlws.FILTER('Model output'!M:M, ('Model output'!Z:Z=A37)*('Model output'!M:M&lt;&gt;"")), 1)), " ", LOWER(INDEX(_xlfn._xlws.FILTER('Model output'!M:M, ('Model output'!Z:Z=A37)*('Model output'!M:M&lt;&gt;"")), 1)))</f>
        <v>tall cell</v>
      </c>
      <c r="S37" s="25"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4cm</v>
      </c>
      <c r="T37" s="25"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4cm</v>
      </c>
      <c r="U37" s="25" cm="1">
        <f t="array" ref="U37">IF(MaxSize((SplitDimensions(T37)))=0, "", MaxSize((SplitDimensions(T37))))</f>
        <v>4</v>
      </c>
      <c r="V37" s="28"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28"/>
      <c r="X37" s="25" t="str" cm="1">
        <f t="array" ref="X37">IF(ISNUMBER(SEARCH("4",INDEX(_xlfn._xlws.FILTER('Model output'!P:P,('Model output'!Z:Z=A37)*('Model output'!P:P&lt;&gt;"")),1),1)),INDEX(_xlfn._xlws.FILTER('Model output'!P:P,('Model output'!Z:Z=A37)*('Model output'!P:P&lt;&gt;"")),1),"") &amp; _xlfn.TEXTJOIN("",TRUE,_xlfn._xlws.FILTER('Model output'!Q:Q,'Model output'!Z:Z=A37))</f>
        <v>Not identified4 or more</v>
      </c>
      <c r="Y37" s="25" t="str">
        <f t="shared" si="11"/>
        <v>extensive</v>
      </c>
      <c r="Z37" s="25"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28" t="str">
        <f t="shared" si="12"/>
        <v>positive</v>
      </c>
      <c r="AB37" s="28"/>
      <c r="AC37" s="28"/>
      <c r="AD37" s="28"/>
      <c r="AE37" s="28" t="str">
        <f t="shared" si="13"/>
        <v>negative</v>
      </c>
      <c r="AF37" s="25" t="str" cm="1">
        <f t="array" ref="AF37">_xlfn.TEXTJOIN("; ",TRUE,_xlfn._xlws.FILTER('Model output'!S:S,'Model output'!Z:Z=A37))</f>
        <v>Present; Present</v>
      </c>
      <c r="AG37" s="28"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28"/>
      <c r="AI37" s="48" t="str">
        <f t="shared" si="14"/>
        <v>high</v>
      </c>
      <c r="AJ37" s="45" t="str">
        <f t="shared" si="18"/>
        <v>2</v>
      </c>
      <c r="AK37" s="45" t="str">
        <f t="shared" si="15"/>
        <v>1b</v>
      </c>
      <c r="AL37" s="45">
        <f t="shared" si="16"/>
        <v>1</v>
      </c>
      <c r="AM37" s="45" t="str">
        <f t="shared" si="17"/>
        <v>IVB</v>
      </c>
      <c r="AN37" s="46" t="s">
        <v>167</v>
      </c>
      <c r="AO37" s="47" t="s">
        <v>361</v>
      </c>
      <c r="AP37" s="47" t="s">
        <v>194</v>
      </c>
      <c r="AQ37" s="47">
        <v>1</v>
      </c>
      <c r="AR37" s="47" t="s">
        <v>363</v>
      </c>
      <c r="AS37" s="30">
        <f t="shared" si="6"/>
        <v>1</v>
      </c>
      <c r="AT37" s="31">
        <f t="shared" si="7"/>
        <v>1</v>
      </c>
      <c r="AU37" s="31">
        <f t="shared" si="8"/>
        <v>1</v>
      </c>
      <c r="AV37" s="31">
        <f t="shared" si="9"/>
        <v>1</v>
      </c>
      <c r="AW37" s="36">
        <f t="shared" si="10"/>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6" hidden="1" customWidth="1"/>
  </cols>
  <sheetData>
    <row r="1" spans="1:26">
      <c r="A1" t="s">
        <v>215</v>
      </c>
      <c r="B1" t="s">
        <v>216</v>
      </c>
      <c r="C1" t="s">
        <v>217</v>
      </c>
      <c r="D1" t="s">
        <v>218</v>
      </c>
      <c r="E1" t="s">
        <v>219</v>
      </c>
      <c r="F1" t="s">
        <v>220</v>
      </c>
      <c r="G1" t="s">
        <v>221</v>
      </c>
      <c r="H1" t="s">
        <v>222</v>
      </c>
      <c r="I1" t="s">
        <v>223</v>
      </c>
      <c r="J1" t="s">
        <v>224</v>
      </c>
      <c r="K1" t="s">
        <v>225</v>
      </c>
      <c r="L1" t="s">
        <v>226</v>
      </c>
      <c r="M1" t="s">
        <v>227</v>
      </c>
      <c r="N1" t="s">
        <v>228</v>
      </c>
      <c r="O1" t="s">
        <v>229</v>
      </c>
      <c r="P1" t="s">
        <v>230</v>
      </c>
      <c r="Q1" t="s">
        <v>231</v>
      </c>
      <c r="R1" t="s">
        <v>232</v>
      </c>
      <c r="S1" t="s">
        <v>249</v>
      </c>
      <c r="T1" t="s">
        <v>233</v>
      </c>
      <c r="U1" t="s">
        <v>234</v>
      </c>
      <c r="V1" t="s">
        <v>235</v>
      </c>
      <c r="W1" t="s">
        <v>236</v>
      </c>
      <c r="X1" t="s">
        <v>237</v>
      </c>
      <c r="Z1" s="15" t="s">
        <v>248</v>
      </c>
    </row>
    <row r="2" spans="1:26">
      <c r="A2" t="s">
        <v>30</v>
      </c>
      <c r="B2" s="23">
        <v>45320</v>
      </c>
      <c r="C2">
        <v>67</v>
      </c>
      <c r="D2" t="s">
        <v>155</v>
      </c>
      <c r="L2" t="s">
        <v>32</v>
      </c>
      <c r="M2" t="s">
        <v>33</v>
      </c>
      <c r="N2" t="s">
        <v>203</v>
      </c>
      <c r="O2">
        <v>2</v>
      </c>
      <c r="P2" t="s">
        <v>171</v>
      </c>
      <c r="R2" t="s">
        <v>171</v>
      </c>
      <c r="S2" t="s">
        <v>171</v>
      </c>
      <c r="V2" t="s">
        <v>238</v>
      </c>
      <c r="W2">
        <v>1</v>
      </c>
      <c r="X2">
        <v>1</v>
      </c>
      <c r="Z2" s="16" cm="1">
        <f t="array" ref="Z2">VALUE(LEFT(A2, MIN(IFERROR(FIND({"o","p"}, A2), LEN(A2)+1))-1))</f>
        <v>1</v>
      </c>
    </row>
    <row r="3" spans="1:26">
      <c r="A3" t="s">
        <v>34</v>
      </c>
      <c r="C3">
        <v>67</v>
      </c>
      <c r="D3" t="s">
        <v>158</v>
      </c>
      <c r="E3" t="s">
        <v>250</v>
      </c>
      <c r="I3">
        <v>1</v>
      </c>
      <c r="L3" t="s">
        <v>35</v>
      </c>
      <c r="N3" t="s">
        <v>172</v>
      </c>
      <c r="O3">
        <v>1</v>
      </c>
      <c r="P3" t="s">
        <v>277</v>
      </c>
      <c r="R3" t="s">
        <v>175</v>
      </c>
      <c r="S3" t="s">
        <v>175</v>
      </c>
      <c r="V3" t="s">
        <v>278</v>
      </c>
      <c r="W3">
        <v>1</v>
      </c>
      <c r="X3">
        <v>2</v>
      </c>
      <c r="Z3" s="16" cm="1">
        <f t="array" ref="Z3">VALUE(LEFT(A3, MIN(IFERROR(FIND({"o","p"}, A3), LEN(A3)+1))-1))</f>
        <v>1</v>
      </c>
    </row>
    <row r="4" spans="1:26">
      <c r="A4" t="s">
        <v>36</v>
      </c>
      <c r="B4" s="23">
        <v>45348</v>
      </c>
      <c r="C4">
        <v>39</v>
      </c>
      <c r="D4" t="s">
        <v>210</v>
      </c>
      <c r="L4" t="s">
        <v>32</v>
      </c>
      <c r="M4" t="s">
        <v>279</v>
      </c>
      <c r="N4" t="s">
        <v>37</v>
      </c>
      <c r="O4">
        <v>1</v>
      </c>
      <c r="P4" t="s">
        <v>171</v>
      </c>
      <c r="R4" t="s">
        <v>252</v>
      </c>
      <c r="S4" t="s">
        <v>171</v>
      </c>
      <c r="V4" t="s">
        <v>253</v>
      </c>
      <c r="W4">
        <v>2</v>
      </c>
      <c r="X4">
        <v>1</v>
      </c>
      <c r="Z4" s="16" cm="1">
        <f t="array" ref="Z4">VALUE(LEFT(A4, MIN(IFERROR(FIND({"o","p"}, A4), LEN(A4)+1))-1))</f>
        <v>2</v>
      </c>
    </row>
    <row r="5" spans="1:26">
      <c r="A5" t="s">
        <v>38</v>
      </c>
      <c r="B5" t="s">
        <v>257</v>
      </c>
      <c r="C5">
        <v>39</v>
      </c>
      <c r="D5" t="s">
        <v>156</v>
      </c>
      <c r="E5" t="s">
        <v>250</v>
      </c>
      <c r="F5" t="s">
        <v>251</v>
      </c>
      <c r="I5">
        <v>1</v>
      </c>
      <c r="J5">
        <v>0</v>
      </c>
      <c r="L5" t="s">
        <v>206</v>
      </c>
      <c r="N5" t="s">
        <v>173</v>
      </c>
      <c r="O5">
        <v>1</v>
      </c>
      <c r="P5" t="s">
        <v>171</v>
      </c>
      <c r="Q5" t="s">
        <v>257</v>
      </c>
      <c r="R5" t="s">
        <v>257</v>
      </c>
      <c r="S5" t="s">
        <v>257</v>
      </c>
      <c r="V5" t="s">
        <v>257</v>
      </c>
      <c r="W5">
        <v>2</v>
      </c>
      <c r="X5">
        <v>2</v>
      </c>
      <c r="Z5" s="16" cm="1">
        <f t="array" ref="Z5">VALUE(LEFT(A5, MIN(IFERROR(FIND({"o","p"}, A5), LEN(A5)+1))-1))</f>
        <v>2</v>
      </c>
    </row>
    <row r="6" spans="1:26">
      <c r="A6" t="s">
        <v>39</v>
      </c>
      <c r="B6" s="23">
        <v>45373</v>
      </c>
      <c r="D6" t="s">
        <v>154</v>
      </c>
      <c r="E6" t="s">
        <v>161</v>
      </c>
      <c r="I6">
        <v>5</v>
      </c>
      <c r="J6">
        <v>1</v>
      </c>
      <c r="K6" t="s">
        <v>40</v>
      </c>
      <c r="L6" t="s">
        <v>170</v>
      </c>
      <c r="M6" t="s">
        <v>174</v>
      </c>
      <c r="N6" t="s">
        <v>254</v>
      </c>
      <c r="O6">
        <v>2</v>
      </c>
      <c r="P6" t="s">
        <v>171</v>
      </c>
      <c r="R6" t="s">
        <v>255</v>
      </c>
      <c r="S6" t="s">
        <v>280</v>
      </c>
      <c r="V6" t="s">
        <v>255</v>
      </c>
      <c r="W6">
        <v>3</v>
      </c>
      <c r="X6">
        <v>1</v>
      </c>
      <c r="Z6" s="16" cm="1">
        <f t="array" ref="Z6">VALUE(LEFT(A6, MIN(IFERROR(FIND({"o","p"}, A6), LEN(A6)+1))-1))</f>
        <v>3</v>
      </c>
    </row>
    <row r="7" spans="1:26">
      <c r="A7" t="s">
        <v>41</v>
      </c>
      <c r="B7" t="s">
        <v>257</v>
      </c>
      <c r="C7">
        <v>52</v>
      </c>
      <c r="L7" t="s">
        <v>257</v>
      </c>
      <c r="N7" t="s">
        <v>281</v>
      </c>
      <c r="O7">
        <v>1</v>
      </c>
      <c r="P7" t="s">
        <v>171</v>
      </c>
      <c r="R7" t="s">
        <v>257</v>
      </c>
      <c r="S7" t="s">
        <v>257</v>
      </c>
      <c r="V7" t="s">
        <v>257</v>
      </c>
      <c r="W7">
        <v>3</v>
      </c>
      <c r="X7">
        <v>2</v>
      </c>
      <c r="Z7" s="16" cm="1">
        <f t="array" ref="Z7">VALUE(LEFT(A7, MIN(IFERROR(FIND({"o","p"}, A7), LEN(A7)+1))-1))</f>
        <v>3</v>
      </c>
    </row>
    <row r="8" spans="1:26">
      <c r="A8" t="s">
        <v>42</v>
      </c>
      <c r="B8" s="23">
        <v>45412</v>
      </c>
      <c r="D8" t="s">
        <v>282</v>
      </c>
      <c r="E8" t="s">
        <v>211</v>
      </c>
      <c r="I8">
        <v>4</v>
      </c>
      <c r="J8">
        <v>1</v>
      </c>
      <c r="K8" t="s">
        <v>44</v>
      </c>
      <c r="L8" t="s">
        <v>170</v>
      </c>
      <c r="M8" t="s">
        <v>204</v>
      </c>
      <c r="N8" t="s">
        <v>45</v>
      </c>
      <c r="O8">
        <v>1</v>
      </c>
      <c r="P8" t="s">
        <v>175</v>
      </c>
      <c r="Q8" t="s">
        <v>171</v>
      </c>
      <c r="R8" t="s">
        <v>175</v>
      </c>
      <c r="S8" t="s">
        <v>256</v>
      </c>
      <c r="V8" t="s">
        <v>283</v>
      </c>
      <c r="W8">
        <v>4</v>
      </c>
      <c r="X8">
        <v>1</v>
      </c>
      <c r="Z8" s="16" cm="1">
        <f t="array" ref="Z8">VALUE(LEFT(A8, MIN(IFERROR(FIND({"o","p"}, A8), LEN(A8)+1))-1))</f>
        <v>4</v>
      </c>
    </row>
    <row r="9" spans="1:26">
      <c r="A9" t="s">
        <v>46</v>
      </c>
      <c r="B9" t="s">
        <v>257</v>
      </c>
      <c r="C9">
        <v>61</v>
      </c>
      <c r="D9" t="s">
        <v>158</v>
      </c>
      <c r="E9" t="s">
        <v>160</v>
      </c>
      <c r="F9" t="s">
        <v>251</v>
      </c>
      <c r="I9" t="s">
        <v>284</v>
      </c>
      <c r="J9" t="s">
        <v>257</v>
      </c>
      <c r="L9" t="s">
        <v>285</v>
      </c>
      <c r="N9" t="s">
        <v>286</v>
      </c>
      <c r="O9">
        <v>2</v>
      </c>
      <c r="P9" t="s">
        <v>257</v>
      </c>
      <c r="R9" t="s">
        <v>257</v>
      </c>
      <c r="S9" t="s">
        <v>257</v>
      </c>
      <c r="T9" t="s">
        <v>257</v>
      </c>
      <c r="U9" t="s">
        <v>257</v>
      </c>
      <c r="V9" t="s">
        <v>257</v>
      </c>
      <c r="W9">
        <v>4</v>
      </c>
      <c r="X9">
        <v>2</v>
      </c>
      <c r="Z9" s="16" cm="1">
        <f t="array" ref="Z9">VALUE(LEFT(A9, MIN(IFERROR(FIND({"o","p"}, A9), LEN(A9)+1))-1))</f>
        <v>4</v>
      </c>
    </row>
    <row r="10" spans="1:26">
      <c r="A10" t="s">
        <v>47</v>
      </c>
      <c r="B10" s="23">
        <v>45411</v>
      </c>
      <c r="C10">
        <v>34</v>
      </c>
      <c r="D10" t="s">
        <v>212</v>
      </c>
      <c r="E10" t="s">
        <v>211</v>
      </c>
      <c r="I10">
        <v>5</v>
      </c>
      <c r="J10">
        <v>1</v>
      </c>
      <c r="L10" t="s">
        <v>32</v>
      </c>
      <c r="M10" t="s">
        <v>287</v>
      </c>
      <c r="N10" t="s">
        <v>288</v>
      </c>
      <c r="O10">
        <v>2</v>
      </c>
      <c r="P10" t="s">
        <v>289</v>
      </c>
      <c r="Q10" t="s">
        <v>292</v>
      </c>
      <c r="R10" t="s">
        <v>175</v>
      </c>
      <c r="S10" t="s">
        <v>290</v>
      </c>
      <c r="V10" t="s">
        <v>291</v>
      </c>
      <c r="W10">
        <v>5</v>
      </c>
      <c r="X10">
        <v>1</v>
      </c>
      <c r="Z10" s="16" cm="1">
        <f t="array" ref="Z10">VALUE(LEFT(A10, MIN(IFERROR(FIND({"o","p"}, A10), LEN(A10)+1))-1))</f>
        <v>5</v>
      </c>
    </row>
    <row r="11" spans="1:26">
      <c r="A11" t="s">
        <v>49</v>
      </c>
      <c r="B11" s="23">
        <v>45411</v>
      </c>
      <c r="C11">
        <v>34</v>
      </c>
      <c r="E11" t="s">
        <v>164</v>
      </c>
      <c r="G11" t="s">
        <v>331</v>
      </c>
      <c r="I11">
        <v>2</v>
      </c>
      <c r="J11">
        <v>1</v>
      </c>
      <c r="K11" t="s">
        <v>48</v>
      </c>
      <c r="L11" t="s">
        <v>206</v>
      </c>
      <c r="P11" t="s">
        <v>277</v>
      </c>
      <c r="R11" t="s">
        <v>175</v>
      </c>
      <c r="S11" t="s">
        <v>340</v>
      </c>
      <c r="W11">
        <v>5</v>
      </c>
      <c r="X11">
        <v>1</v>
      </c>
      <c r="Z11" s="16" cm="1">
        <f t="array" ref="Z11">VALUE(LEFT(A11, MIN(IFERROR(FIND({"o","p"}, A11), LEN(A11)+1))-1))</f>
        <v>5</v>
      </c>
    </row>
    <row r="12" spans="1:26">
      <c r="A12" t="s">
        <v>50</v>
      </c>
      <c r="B12" t="s">
        <v>257</v>
      </c>
      <c r="C12">
        <v>34</v>
      </c>
      <c r="D12" t="s">
        <v>158</v>
      </c>
      <c r="I12">
        <v>16</v>
      </c>
      <c r="J12">
        <v>6</v>
      </c>
      <c r="K12" t="s">
        <v>257</v>
      </c>
      <c r="L12" t="s">
        <v>35</v>
      </c>
      <c r="N12" t="s">
        <v>341</v>
      </c>
      <c r="O12">
        <v>2</v>
      </c>
      <c r="P12" t="s">
        <v>175</v>
      </c>
      <c r="Q12" t="s">
        <v>257</v>
      </c>
      <c r="R12" t="s">
        <v>175</v>
      </c>
      <c r="S12" t="s">
        <v>175</v>
      </c>
      <c r="V12" t="s">
        <v>257</v>
      </c>
      <c r="W12">
        <v>5</v>
      </c>
      <c r="X12">
        <v>2</v>
      </c>
      <c r="Z12" s="16" cm="1">
        <f t="array" ref="Z12">VALUE(LEFT(A12, MIN(IFERROR(FIND({"o","p"}, A12), LEN(A12)+1))-1))</f>
        <v>5</v>
      </c>
    </row>
    <row r="13" spans="1:26">
      <c r="A13" t="s">
        <v>51</v>
      </c>
      <c r="B13" s="23">
        <v>45387</v>
      </c>
      <c r="C13">
        <v>66</v>
      </c>
      <c r="D13" t="s">
        <v>261</v>
      </c>
      <c r="I13">
        <v>5</v>
      </c>
      <c r="L13" t="s">
        <v>113</v>
      </c>
      <c r="M13" t="s">
        <v>342</v>
      </c>
      <c r="N13" t="s">
        <v>322</v>
      </c>
      <c r="O13">
        <v>1</v>
      </c>
      <c r="P13" t="s">
        <v>171</v>
      </c>
      <c r="R13" t="s">
        <v>262</v>
      </c>
      <c r="S13" t="s">
        <v>175</v>
      </c>
      <c r="V13" t="s">
        <v>343</v>
      </c>
      <c r="W13">
        <v>6</v>
      </c>
      <c r="X13">
        <v>1</v>
      </c>
      <c r="Z13" s="16" cm="1">
        <f t="array" ref="Z13">VALUE(LEFT(A13, MIN(IFERROR(FIND({"o","p"}, A13), LEN(A13)+1))-1))</f>
        <v>6</v>
      </c>
    </row>
    <row r="14" spans="1:26">
      <c r="A14" t="s">
        <v>52</v>
      </c>
      <c r="B14" t="s">
        <v>257</v>
      </c>
      <c r="C14">
        <v>66</v>
      </c>
      <c r="L14" t="s">
        <v>257</v>
      </c>
      <c r="N14" t="s">
        <v>176</v>
      </c>
      <c r="O14">
        <v>1</v>
      </c>
      <c r="P14" t="s">
        <v>171</v>
      </c>
      <c r="R14" t="s">
        <v>257</v>
      </c>
      <c r="S14" t="s">
        <v>257</v>
      </c>
      <c r="V14" t="s">
        <v>257</v>
      </c>
      <c r="W14">
        <v>6</v>
      </c>
      <c r="X14">
        <v>2</v>
      </c>
      <c r="Z14" s="16" cm="1">
        <f t="array" ref="Z14">VALUE(LEFT(A14, MIN(IFERROR(FIND({"o","p"}, A14), LEN(A14)+1))-1))</f>
        <v>6</v>
      </c>
    </row>
    <row r="15" spans="1:26">
      <c r="A15" t="s">
        <v>53</v>
      </c>
      <c r="B15" s="23">
        <v>45429</v>
      </c>
      <c r="C15">
        <v>67</v>
      </c>
      <c r="D15" t="s">
        <v>154</v>
      </c>
      <c r="I15">
        <v>12</v>
      </c>
      <c r="J15">
        <v>0</v>
      </c>
      <c r="L15" t="s">
        <v>32</v>
      </c>
      <c r="M15" t="s">
        <v>174</v>
      </c>
      <c r="N15" t="s">
        <v>258</v>
      </c>
      <c r="O15">
        <v>2</v>
      </c>
      <c r="P15" t="s">
        <v>171</v>
      </c>
      <c r="R15" t="s">
        <v>293</v>
      </c>
      <c r="S15" t="s">
        <v>171</v>
      </c>
      <c r="V15" t="s">
        <v>255</v>
      </c>
      <c r="W15">
        <v>7</v>
      </c>
      <c r="X15">
        <v>1</v>
      </c>
      <c r="Z15" s="16" cm="1">
        <f t="array" ref="Z15">VALUE(LEFT(A15, MIN(IFERROR(FIND({"o","p"}, A15), LEN(A15)+1))-1))</f>
        <v>7</v>
      </c>
    </row>
    <row r="16" spans="1:26">
      <c r="A16" t="s">
        <v>54</v>
      </c>
      <c r="B16" t="s">
        <v>257</v>
      </c>
      <c r="C16">
        <v>67</v>
      </c>
      <c r="I16" t="s">
        <v>257</v>
      </c>
      <c r="J16" t="s">
        <v>257</v>
      </c>
      <c r="K16" t="s">
        <v>257</v>
      </c>
      <c r="L16" t="s">
        <v>239</v>
      </c>
      <c r="N16" t="s">
        <v>294</v>
      </c>
      <c r="O16">
        <v>2</v>
      </c>
      <c r="P16" t="s">
        <v>257</v>
      </c>
      <c r="Q16" t="s">
        <v>257</v>
      </c>
      <c r="R16" t="s">
        <v>257</v>
      </c>
      <c r="S16" t="s">
        <v>257</v>
      </c>
      <c r="V16" t="s">
        <v>257</v>
      </c>
      <c r="W16">
        <v>7</v>
      </c>
      <c r="X16">
        <v>2</v>
      </c>
      <c r="Z16" s="16" cm="1">
        <f t="array" ref="Z16">VALUE(LEFT(A16, MIN(IFERROR(FIND({"o","p"}, A16), LEN(A16)+1))-1))</f>
        <v>7</v>
      </c>
    </row>
    <row r="17" spans="1:26">
      <c r="A17" t="s">
        <v>55</v>
      </c>
      <c r="B17" s="23">
        <v>45443</v>
      </c>
      <c r="C17">
        <v>78</v>
      </c>
      <c r="D17" t="s">
        <v>155</v>
      </c>
      <c r="I17">
        <v>6</v>
      </c>
      <c r="L17" t="s">
        <v>32</v>
      </c>
      <c r="M17" t="s">
        <v>204</v>
      </c>
      <c r="N17" t="s">
        <v>56</v>
      </c>
      <c r="O17">
        <v>1</v>
      </c>
      <c r="P17" t="s">
        <v>171</v>
      </c>
      <c r="R17" t="s">
        <v>171</v>
      </c>
      <c r="S17" t="s">
        <v>171</v>
      </c>
      <c r="V17" t="s">
        <v>259</v>
      </c>
      <c r="W17">
        <v>8</v>
      </c>
      <c r="X17">
        <v>1</v>
      </c>
      <c r="Z17" s="16" cm="1">
        <f t="array" ref="Z17">VALUE(LEFT(A17, MIN(IFERROR(FIND({"o","p"}, A17), LEN(A17)+1))-1))</f>
        <v>8</v>
      </c>
    </row>
    <row r="18" spans="1:26">
      <c r="A18" t="s">
        <v>57</v>
      </c>
      <c r="B18" t="s">
        <v>257</v>
      </c>
      <c r="C18">
        <v>78</v>
      </c>
      <c r="D18" t="s">
        <v>153</v>
      </c>
      <c r="E18" t="s">
        <v>250</v>
      </c>
      <c r="F18" t="s">
        <v>251</v>
      </c>
      <c r="I18" t="s">
        <v>257</v>
      </c>
      <c r="J18" t="s">
        <v>257</v>
      </c>
      <c r="K18" t="s">
        <v>257</v>
      </c>
      <c r="L18" t="s">
        <v>257</v>
      </c>
      <c r="M18" t="s">
        <v>257</v>
      </c>
      <c r="N18" t="s">
        <v>99</v>
      </c>
      <c r="O18">
        <v>1</v>
      </c>
      <c r="P18" t="s">
        <v>171</v>
      </c>
      <c r="Q18" t="s">
        <v>257</v>
      </c>
      <c r="R18" t="s">
        <v>257</v>
      </c>
      <c r="S18" t="s">
        <v>257</v>
      </c>
      <c r="V18" t="s">
        <v>257</v>
      </c>
      <c r="W18">
        <v>8</v>
      </c>
      <c r="X18">
        <v>2</v>
      </c>
      <c r="Z18" s="16" cm="1">
        <f t="array" ref="Z18">VALUE(LEFT(A18, MIN(IFERROR(FIND({"o","p"}, A18), LEN(A18)+1))-1))</f>
        <v>8</v>
      </c>
    </row>
    <row r="19" spans="1:26">
      <c r="A19" t="s">
        <v>58</v>
      </c>
      <c r="B19" s="23">
        <v>45331</v>
      </c>
      <c r="C19">
        <v>55</v>
      </c>
      <c r="D19" t="s">
        <v>210</v>
      </c>
      <c r="I19">
        <v>7</v>
      </c>
      <c r="J19">
        <v>4</v>
      </c>
      <c r="L19" t="s">
        <v>240</v>
      </c>
      <c r="N19" t="s">
        <v>260</v>
      </c>
      <c r="O19">
        <v>3</v>
      </c>
      <c r="P19" t="s">
        <v>171</v>
      </c>
      <c r="R19" t="s">
        <v>175</v>
      </c>
      <c r="S19" t="s">
        <v>171</v>
      </c>
      <c r="V19" t="s">
        <v>241</v>
      </c>
      <c r="W19">
        <v>9</v>
      </c>
      <c r="X19">
        <v>1</v>
      </c>
      <c r="Z19" s="16" cm="1">
        <f t="array" ref="Z19">VALUE(LEFT(A19, MIN(IFERROR(FIND({"o","p"}, A19), LEN(A19)+1))-1))</f>
        <v>9</v>
      </c>
    </row>
    <row r="20" spans="1:26">
      <c r="A20" t="s">
        <v>59</v>
      </c>
      <c r="B20" t="s">
        <v>257</v>
      </c>
      <c r="C20">
        <v>55</v>
      </c>
      <c r="E20" t="s">
        <v>162</v>
      </c>
      <c r="G20" t="s">
        <v>295</v>
      </c>
      <c r="I20">
        <v>6</v>
      </c>
      <c r="J20">
        <v>2</v>
      </c>
      <c r="L20" t="s">
        <v>32</v>
      </c>
      <c r="N20" t="s">
        <v>257</v>
      </c>
      <c r="O20" t="s">
        <v>296</v>
      </c>
      <c r="P20" t="s">
        <v>171</v>
      </c>
      <c r="R20" t="s">
        <v>171</v>
      </c>
      <c r="S20" t="s">
        <v>171</v>
      </c>
      <c r="V20" t="s">
        <v>257</v>
      </c>
      <c r="W20">
        <v>9</v>
      </c>
      <c r="X20">
        <v>2</v>
      </c>
      <c r="Z20" s="16" cm="1">
        <f t="array" ref="Z20">VALUE(LEFT(A20, MIN(IFERROR(FIND({"o","p"}, A20), LEN(A20)+1))-1))</f>
        <v>9</v>
      </c>
    </row>
    <row r="21" spans="1:26">
      <c r="A21" t="s">
        <v>60</v>
      </c>
      <c r="B21" s="23">
        <v>45436</v>
      </c>
      <c r="C21">
        <v>24</v>
      </c>
      <c r="D21" t="s">
        <v>155</v>
      </c>
      <c r="I21">
        <v>1</v>
      </c>
      <c r="J21">
        <v>1</v>
      </c>
      <c r="L21" t="s">
        <v>32</v>
      </c>
      <c r="M21" t="s">
        <v>204</v>
      </c>
      <c r="N21" t="s">
        <v>61</v>
      </c>
      <c r="O21">
        <v>1</v>
      </c>
      <c r="P21" t="s">
        <v>171</v>
      </c>
      <c r="R21" t="s">
        <v>175</v>
      </c>
      <c r="S21" t="s">
        <v>171</v>
      </c>
      <c r="V21" t="s">
        <v>297</v>
      </c>
      <c r="W21">
        <v>10</v>
      </c>
      <c r="X21">
        <v>1</v>
      </c>
      <c r="Z21" s="16" cm="1">
        <f t="array" ref="Z21">VALUE(LEFT(A21, MIN(IFERROR(FIND({"o","p"}, A21), LEN(A21)+1))-1))</f>
        <v>10</v>
      </c>
    </row>
    <row r="22" spans="1:26">
      <c r="A22" t="s">
        <v>62</v>
      </c>
      <c r="B22" t="s">
        <v>257</v>
      </c>
      <c r="C22">
        <v>24</v>
      </c>
      <c r="L22" t="s">
        <v>206</v>
      </c>
      <c r="N22" t="s">
        <v>172</v>
      </c>
      <c r="O22">
        <v>1</v>
      </c>
      <c r="P22" t="s">
        <v>171</v>
      </c>
      <c r="R22" t="s">
        <v>314</v>
      </c>
      <c r="S22" t="s">
        <v>171</v>
      </c>
      <c r="V22" t="s">
        <v>257</v>
      </c>
      <c r="W22">
        <v>10</v>
      </c>
      <c r="X22">
        <v>2</v>
      </c>
      <c r="Z22" s="16" cm="1">
        <f t="array" ref="Z22">VALUE(LEFT(A22, MIN(IFERROR(FIND({"o","p"}, A22), LEN(A22)+1))-1))</f>
        <v>10</v>
      </c>
    </row>
    <row r="23" spans="1:26">
      <c r="A23" t="s">
        <v>63</v>
      </c>
      <c r="B23" s="23">
        <v>45443</v>
      </c>
      <c r="C23">
        <v>70</v>
      </c>
      <c r="D23" t="s">
        <v>213</v>
      </c>
      <c r="L23" t="s">
        <v>177</v>
      </c>
      <c r="N23" t="s">
        <v>178</v>
      </c>
      <c r="O23">
        <v>2</v>
      </c>
      <c r="P23" t="s">
        <v>171</v>
      </c>
      <c r="R23" t="s">
        <v>171</v>
      </c>
      <c r="S23" t="s">
        <v>171</v>
      </c>
      <c r="V23" t="s">
        <v>298</v>
      </c>
      <c r="W23">
        <v>11</v>
      </c>
      <c r="X23">
        <v>1</v>
      </c>
      <c r="Z23" s="16" cm="1">
        <f t="array" ref="Z23">VALUE(LEFT(A23, MIN(IFERROR(FIND({"o","p"}, A23), LEN(A23)+1))-1))</f>
        <v>11</v>
      </c>
    </row>
    <row r="24" spans="1:26">
      <c r="A24" t="s">
        <v>64</v>
      </c>
      <c r="B24" s="24">
        <v>45443</v>
      </c>
      <c r="C24">
        <v>70</v>
      </c>
      <c r="L24" t="s">
        <v>299</v>
      </c>
      <c r="N24" t="s">
        <v>242</v>
      </c>
      <c r="O24">
        <v>1</v>
      </c>
      <c r="W24">
        <v>11</v>
      </c>
      <c r="X24">
        <v>2</v>
      </c>
      <c r="Z24" s="16" cm="1">
        <f t="array" ref="Z24">VALUE(LEFT(A24, MIN(IFERROR(FIND({"o","p"}, A24), LEN(A24)+1))-1))</f>
        <v>11</v>
      </c>
    </row>
    <row r="25" spans="1:26">
      <c r="A25" t="s">
        <v>65</v>
      </c>
      <c r="B25" s="23">
        <v>45415</v>
      </c>
      <c r="C25">
        <v>67</v>
      </c>
      <c r="D25" t="s">
        <v>213</v>
      </c>
      <c r="I25">
        <v>22</v>
      </c>
      <c r="L25" t="s">
        <v>247</v>
      </c>
      <c r="M25" t="s">
        <v>300</v>
      </c>
      <c r="N25" t="s">
        <v>179</v>
      </c>
      <c r="O25">
        <v>1</v>
      </c>
      <c r="P25" t="s">
        <v>289</v>
      </c>
      <c r="Q25" t="s">
        <v>301</v>
      </c>
      <c r="R25" t="s">
        <v>262</v>
      </c>
      <c r="S25" t="s">
        <v>171</v>
      </c>
      <c r="V25" t="s">
        <v>302</v>
      </c>
      <c r="W25">
        <v>12</v>
      </c>
      <c r="X25">
        <v>1</v>
      </c>
      <c r="Z25" s="16" cm="1">
        <f t="array" ref="Z25">VALUE(LEFT(A25, MIN(IFERROR(FIND({"o","p"}, A25), LEN(A25)+1))-1))</f>
        <v>12</v>
      </c>
    </row>
    <row r="26" spans="1:26">
      <c r="A26" t="s">
        <v>66</v>
      </c>
      <c r="B26" t="s">
        <v>257</v>
      </c>
      <c r="C26">
        <v>67</v>
      </c>
      <c r="I26">
        <v>2</v>
      </c>
      <c r="J26">
        <v>1</v>
      </c>
      <c r="L26" t="s">
        <v>247</v>
      </c>
      <c r="N26">
        <v>6.5</v>
      </c>
      <c r="O26">
        <v>1</v>
      </c>
      <c r="P26" t="s">
        <v>171</v>
      </c>
      <c r="R26" t="s">
        <v>171</v>
      </c>
      <c r="S26" t="s">
        <v>171</v>
      </c>
      <c r="V26" t="s">
        <v>257</v>
      </c>
      <c r="W26">
        <v>12</v>
      </c>
      <c r="X26">
        <v>2</v>
      </c>
      <c r="Z26" s="16" cm="1">
        <f t="array" ref="Z26">VALUE(LEFT(A26, MIN(IFERROR(FIND({"o","p"}, A26), LEN(A26)+1))-1))</f>
        <v>12</v>
      </c>
    </row>
    <row r="27" spans="1:26">
      <c r="A27" t="s">
        <v>67</v>
      </c>
      <c r="B27" s="23">
        <v>45420</v>
      </c>
      <c r="C27">
        <v>66</v>
      </c>
      <c r="D27" t="s">
        <v>157</v>
      </c>
      <c r="E27" t="s">
        <v>162</v>
      </c>
      <c r="I27">
        <v>19</v>
      </c>
      <c r="J27">
        <v>2</v>
      </c>
      <c r="L27" t="s">
        <v>32</v>
      </c>
      <c r="M27" t="s">
        <v>279</v>
      </c>
      <c r="N27" t="s">
        <v>205</v>
      </c>
      <c r="O27">
        <v>1</v>
      </c>
      <c r="P27" t="s">
        <v>175</v>
      </c>
      <c r="Q27" t="s">
        <v>303</v>
      </c>
      <c r="R27" t="s">
        <v>175</v>
      </c>
      <c r="S27" t="s">
        <v>175</v>
      </c>
      <c r="V27" t="s">
        <v>263</v>
      </c>
      <c r="W27">
        <v>13</v>
      </c>
      <c r="X27">
        <v>1</v>
      </c>
      <c r="Z27" s="16" cm="1">
        <f t="array" ref="Z27">VALUE(LEFT(A27, MIN(IFERROR(FIND({"o","p"}, A27), LEN(A27)+1))-1))</f>
        <v>13</v>
      </c>
    </row>
    <row r="28" spans="1:26">
      <c r="A28" t="s">
        <v>70</v>
      </c>
      <c r="B28" t="s">
        <v>257</v>
      </c>
      <c r="C28">
        <v>66</v>
      </c>
      <c r="D28" t="s">
        <v>158</v>
      </c>
      <c r="E28" t="s">
        <v>160</v>
      </c>
      <c r="G28" t="s">
        <v>264</v>
      </c>
      <c r="I28">
        <v>1</v>
      </c>
      <c r="J28">
        <v>1</v>
      </c>
      <c r="L28" t="s">
        <v>257</v>
      </c>
      <c r="M28" t="s">
        <v>257</v>
      </c>
      <c r="N28" t="s">
        <v>257</v>
      </c>
      <c r="O28">
        <v>1</v>
      </c>
      <c r="P28" t="s">
        <v>175</v>
      </c>
      <c r="Q28" t="s">
        <v>292</v>
      </c>
      <c r="R28" t="s">
        <v>175</v>
      </c>
      <c r="S28" t="s">
        <v>175</v>
      </c>
      <c r="V28" t="s">
        <v>262</v>
      </c>
      <c r="W28">
        <v>13</v>
      </c>
      <c r="X28">
        <v>2</v>
      </c>
      <c r="Z28" s="16" cm="1">
        <f t="array" ref="Z28">VALUE(LEFT(A28, MIN(IFERROR(FIND({"o","p"}, A28), LEN(A28)+1))-1))</f>
        <v>13</v>
      </c>
    </row>
    <row r="29" spans="1:26">
      <c r="A29" t="s">
        <v>71</v>
      </c>
      <c r="B29" s="23">
        <v>45394</v>
      </c>
      <c r="C29">
        <v>51</v>
      </c>
      <c r="D29" t="s">
        <v>212</v>
      </c>
      <c r="L29" t="s">
        <v>32</v>
      </c>
      <c r="M29" t="s">
        <v>304</v>
      </c>
      <c r="N29" t="s">
        <v>72</v>
      </c>
      <c r="O29">
        <v>1</v>
      </c>
      <c r="P29" t="s">
        <v>243</v>
      </c>
      <c r="Q29" t="s">
        <v>344</v>
      </c>
      <c r="R29" t="s">
        <v>175</v>
      </c>
      <c r="S29" t="s">
        <v>265</v>
      </c>
      <c r="V29" t="s">
        <v>298</v>
      </c>
      <c r="W29">
        <v>14</v>
      </c>
      <c r="X29">
        <v>1</v>
      </c>
      <c r="Z29" s="16" cm="1">
        <f t="array" ref="Z29">VALUE(LEFT(A29, MIN(IFERROR(FIND({"o","p"}, A29), LEN(A29)+1))-1))</f>
        <v>14</v>
      </c>
    </row>
    <row r="30" spans="1:26">
      <c r="A30" t="s">
        <v>73</v>
      </c>
      <c r="B30" t="s">
        <v>257</v>
      </c>
      <c r="C30">
        <v>51</v>
      </c>
      <c r="D30" t="s">
        <v>158</v>
      </c>
      <c r="E30" t="s">
        <v>250</v>
      </c>
      <c r="F30" t="s">
        <v>251</v>
      </c>
      <c r="I30" t="s">
        <v>257</v>
      </c>
      <c r="J30" t="s">
        <v>257</v>
      </c>
      <c r="K30" t="s">
        <v>257</v>
      </c>
      <c r="L30" t="s">
        <v>35</v>
      </c>
      <c r="N30" t="s">
        <v>345</v>
      </c>
      <c r="O30">
        <v>1</v>
      </c>
      <c r="P30" t="s">
        <v>171</v>
      </c>
      <c r="Q30" t="s">
        <v>257</v>
      </c>
      <c r="R30" t="s">
        <v>175</v>
      </c>
      <c r="S30" t="s">
        <v>175</v>
      </c>
      <c r="V30" t="s">
        <v>305</v>
      </c>
      <c r="W30">
        <v>14</v>
      </c>
      <c r="X30">
        <v>2</v>
      </c>
      <c r="Z30" s="16" cm="1">
        <f t="array" ref="Z30">VALUE(LEFT(A30, MIN(IFERROR(FIND({"o","p"}, A30), LEN(A30)+1))-1))</f>
        <v>14</v>
      </c>
    </row>
    <row r="31" spans="1:26">
      <c r="A31" t="s">
        <v>74</v>
      </c>
      <c r="B31" s="23">
        <v>45441</v>
      </c>
      <c r="C31">
        <v>64</v>
      </c>
      <c r="I31">
        <v>7</v>
      </c>
      <c r="L31" t="s">
        <v>247</v>
      </c>
      <c r="N31" t="s">
        <v>306</v>
      </c>
      <c r="O31">
        <v>1</v>
      </c>
      <c r="P31" t="s">
        <v>293</v>
      </c>
      <c r="R31" t="s">
        <v>188</v>
      </c>
      <c r="S31" t="s">
        <v>171</v>
      </c>
      <c r="V31" t="s">
        <v>293</v>
      </c>
      <c r="W31">
        <v>15</v>
      </c>
      <c r="X31">
        <v>1</v>
      </c>
      <c r="Z31" s="16" cm="1">
        <f t="array" ref="Z31">VALUE(LEFT(A31, MIN(IFERROR(FIND({"o","p"}, A31), LEN(A31)+1))-1))</f>
        <v>15</v>
      </c>
    </row>
    <row r="32" spans="1:26">
      <c r="A32" t="s">
        <v>76</v>
      </c>
      <c r="C32">
        <v>64</v>
      </c>
      <c r="L32" t="s">
        <v>35</v>
      </c>
      <c r="O32">
        <v>1</v>
      </c>
      <c r="P32" t="s">
        <v>277</v>
      </c>
      <c r="R32" t="s">
        <v>346</v>
      </c>
      <c r="V32" t="s">
        <v>307</v>
      </c>
      <c r="W32">
        <v>15</v>
      </c>
      <c r="X32">
        <v>2</v>
      </c>
      <c r="Z32" s="16" cm="1">
        <f t="array" ref="Z32">VALUE(LEFT(A32, MIN(IFERROR(FIND({"o","p"}, A32), LEN(A32)+1))-1))</f>
        <v>15</v>
      </c>
    </row>
    <row r="33" spans="1:26">
      <c r="A33" t="s">
        <v>77</v>
      </c>
      <c r="B33" s="23">
        <v>45331</v>
      </c>
      <c r="D33" t="s">
        <v>210</v>
      </c>
      <c r="I33">
        <v>11</v>
      </c>
      <c r="J33">
        <v>1</v>
      </c>
      <c r="L33" t="s">
        <v>183</v>
      </c>
      <c r="N33" t="s">
        <v>308</v>
      </c>
      <c r="O33">
        <v>2</v>
      </c>
      <c r="P33" t="s">
        <v>244</v>
      </c>
      <c r="R33" t="s">
        <v>347</v>
      </c>
      <c r="S33" t="s">
        <v>171</v>
      </c>
      <c r="V33" t="s">
        <v>348</v>
      </c>
      <c r="W33">
        <v>16</v>
      </c>
      <c r="X33">
        <v>1</v>
      </c>
      <c r="Z33" s="16" cm="1">
        <f t="array" ref="Z33">VALUE(LEFT(A33, MIN(IFERROR(FIND({"o","p"}, A33), LEN(A33)+1))-1))</f>
        <v>16</v>
      </c>
    </row>
    <row r="34" spans="1:26">
      <c r="A34" t="s">
        <v>78</v>
      </c>
      <c r="B34" t="s">
        <v>257</v>
      </c>
      <c r="C34">
        <v>43</v>
      </c>
      <c r="D34" t="s">
        <v>158</v>
      </c>
      <c r="I34">
        <v>3</v>
      </c>
      <c r="J34">
        <v>1</v>
      </c>
      <c r="L34" t="s">
        <v>35</v>
      </c>
      <c r="N34" t="s">
        <v>309</v>
      </c>
      <c r="O34">
        <v>2</v>
      </c>
      <c r="P34" t="s">
        <v>175</v>
      </c>
      <c r="Q34" t="s">
        <v>257</v>
      </c>
      <c r="R34" t="s">
        <v>175</v>
      </c>
      <c r="S34" t="s">
        <v>175</v>
      </c>
      <c r="V34" t="s">
        <v>257</v>
      </c>
      <c r="W34">
        <v>16</v>
      </c>
      <c r="X34">
        <v>2</v>
      </c>
      <c r="Z34" s="16" cm="1">
        <f t="array" ref="Z34">VALUE(LEFT(A34, MIN(IFERROR(FIND({"o","p"}, A34), LEN(A34)+1))-1))</f>
        <v>16</v>
      </c>
    </row>
    <row r="35" spans="1:26">
      <c r="A35" t="s">
        <v>79</v>
      </c>
      <c r="B35" s="23">
        <v>45457</v>
      </c>
      <c r="C35">
        <v>49</v>
      </c>
      <c r="D35" t="s">
        <v>155</v>
      </c>
      <c r="E35" t="s">
        <v>162</v>
      </c>
      <c r="I35">
        <v>21</v>
      </c>
      <c r="J35">
        <v>5</v>
      </c>
      <c r="K35">
        <v>8</v>
      </c>
      <c r="L35" t="s">
        <v>183</v>
      </c>
      <c r="N35" t="s">
        <v>69</v>
      </c>
      <c r="O35">
        <v>1</v>
      </c>
      <c r="P35" t="s">
        <v>171</v>
      </c>
      <c r="R35" t="s">
        <v>310</v>
      </c>
      <c r="S35" t="s">
        <v>171</v>
      </c>
      <c r="V35" t="s">
        <v>267</v>
      </c>
      <c r="W35">
        <v>17</v>
      </c>
      <c r="X35">
        <v>1</v>
      </c>
      <c r="Z35" s="16" cm="1">
        <f t="array" ref="Z35">VALUE(LEFT(A35, MIN(IFERROR(FIND({"o","p"}, A35), LEN(A35)+1))-1))</f>
        <v>17</v>
      </c>
    </row>
    <row r="36" spans="1:26">
      <c r="A36" t="s">
        <v>81</v>
      </c>
      <c r="B36" t="s">
        <v>257</v>
      </c>
      <c r="C36">
        <v>49</v>
      </c>
      <c r="L36" t="s">
        <v>257</v>
      </c>
      <c r="N36" t="s">
        <v>182</v>
      </c>
      <c r="O36">
        <v>1</v>
      </c>
      <c r="P36" t="s">
        <v>171</v>
      </c>
      <c r="R36" t="s">
        <v>257</v>
      </c>
      <c r="S36" t="s">
        <v>257</v>
      </c>
      <c r="V36" t="s">
        <v>257</v>
      </c>
      <c r="W36">
        <v>17</v>
      </c>
      <c r="X36">
        <v>2</v>
      </c>
      <c r="Z36" s="16" cm="1">
        <f t="array" ref="Z36">VALUE(LEFT(A36, MIN(IFERROR(FIND({"o","p"}, A36), LEN(A36)+1))-1))</f>
        <v>17</v>
      </c>
    </row>
    <row r="37" spans="1:26">
      <c r="A37" t="s">
        <v>82</v>
      </c>
      <c r="B37" s="23">
        <v>45355</v>
      </c>
      <c r="C37">
        <v>55</v>
      </c>
      <c r="D37" t="s">
        <v>214</v>
      </c>
      <c r="E37" t="s">
        <v>211</v>
      </c>
      <c r="I37">
        <v>4</v>
      </c>
      <c r="J37">
        <v>4</v>
      </c>
      <c r="L37" t="s">
        <v>32</v>
      </c>
      <c r="M37" t="s">
        <v>279</v>
      </c>
      <c r="N37" t="s">
        <v>37</v>
      </c>
      <c r="O37">
        <v>1</v>
      </c>
      <c r="P37" t="s">
        <v>175</v>
      </c>
      <c r="Q37" t="s">
        <v>265</v>
      </c>
      <c r="R37" t="s">
        <v>311</v>
      </c>
      <c r="S37" t="s">
        <v>265</v>
      </c>
      <c r="V37" t="s">
        <v>312</v>
      </c>
      <c r="W37">
        <v>18</v>
      </c>
      <c r="X37">
        <v>1</v>
      </c>
      <c r="Z37" s="16" cm="1">
        <f t="array" ref="Z37">VALUE(LEFT(A37, MIN(IFERROR(FIND({"o","p"}, A37), LEN(A37)+1))-1))</f>
        <v>18</v>
      </c>
    </row>
    <row r="38" spans="1:26">
      <c r="A38" t="s">
        <v>83</v>
      </c>
      <c r="B38" t="s">
        <v>257</v>
      </c>
      <c r="C38">
        <v>55</v>
      </c>
      <c r="D38" t="s">
        <v>158</v>
      </c>
      <c r="I38">
        <v>12</v>
      </c>
      <c r="J38" t="s">
        <v>257</v>
      </c>
      <c r="L38" t="s">
        <v>35</v>
      </c>
      <c r="N38" t="s">
        <v>349</v>
      </c>
      <c r="O38">
        <v>1</v>
      </c>
      <c r="P38" t="s">
        <v>175</v>
      </c>
      <c r="Q38" t="s">
        <v>257</v>
      </c>
      <c r="R38" t="s">
        <v>175</v>
      </c>
      <c r="S38" t="s">
        <v>175</v>
      </c>
      <c r="V38" t="s">
        <v>257</v>
      </c>
      <c r="W38">
        <v>18</v>
      </c>
      <c r="X38">
        <v>2</v>
      </c>
      <c r="Z38" s="16" cm="1">
        <f t="array" ref="Z38">VALUE(LEFT(A38, MIN(IFERROR(FIND({"o","p"}, A38), LEN(A38)+1))-1))</f>
        <v>18</v>
      </c>
    </row>
    <row r="39" spans="1:26">
      <c r="A39" t="s">
        <v>84</v>
      </c>
      <c r="B39" s="23">
        <v>45457</v>
      </c>
      <c r="C39">
        <v>23</v>
      </c>
      <c r="I39">
        <v>1</v>
      </c>
      <c r="J39">
        <v>0</v>
      </c>
      <c r="L39" t="s">
        <v>170</v>
      </c>
      <c r="M39" t="s">
        <v>279</v>
      </c>
      <c r="N39" t="s">
        <v>184</v>
      </c>
      <c r="O39">
        <v>1</v>
      </c>
      <c r="P39" t="s">
        <v>171</v>
      </c>
      <c r="R39" t="s">
        <v>293</v>
      </c>
      <c r="S39" t="s">
        <v>171</v>
      </c>
      <c r="V39" t="s">
        <v>298</v>
      </c>
      <c r="W39">
        <v>19</v>
      </c>
      <c r="X39">
        <v>1</v>
      </c>
      <c r="Z39" s="16" cm="1">
        <f t="array" ref="Z39">VALUE(LEFT(A39, MIN(IFERROR(FIND({"o","p"}, A39), LEN(A39)+1))-1))</f>
        <v>19</v>
      </c>
    </row>
    <row r="40" spans="1:26">
      <c r="A40" t="s">
        <v>85</v>
      </c>
      <c r="B40" t="s">
        <v>257</v>
      </c>
      <c r="C40">
        <v>23</v>
      </c>
      <c r="I40" t="s">
        <v>257</v>
      </c>
      <c r="J40" t="s">
        <v>257</v>
      </c>
      <c r="K40" t="s">
        <v>257</v>
      </c>
      <c r="L40" t="s">
        <v>257</v>
      </c>
      <c r="M40" t="s">
        <v>257</v>
      </c>
      <c r="N40" t="s">
        <v>350</v>
      </c>
      <c r="O40">
        <v>1</v>
      </c>
      <c r="P40" t="s">
        <v>171</v>
      </c>
      <c r="Q40" t="s">
        <v>257</v>
      </c>
      <c r="R40" t="s">
        <v>257</v>
      </c>
      <c r="S40" t="s">
        <v>257</v>
      </c>
      <c r="V40" t="s">
        <v>257</v>
      </c>
      <c r="W40">
        <v>19</v>
      </c>
      <c r="X40">
        <v>2</v>
      </c>
      <c r="Z40" s="16" cm="1">
        <f t="array" ref="Z40">VALUE(LEFT(A40, MIN(IFERROR(FIND({"o","p"}, A40), LEN(A40)+1))-1))</f>
        <v>19</v>
      </c>
    </row>
    <row r="41" spans="1:26">
      <c r="A41" t="s">
        <v>86</v>
      </c>
      <c r="B41" s="23">
        <v>45373</v>
      </c>
      <c r="C41">
        <v>61</v>
      </c>
      <c r="D41" t="s">
        <v>153</v>
      </c>
      <c r="I41">
        <v>4</v>
      </c>
      <c r="J41">
        <v>3</v>
      </c>
      <c r="L41" t="s">
        <v>206</v>
      </c>
      <c r="N41" t="s">
        <v>80</v>
      </c>
      <c r="O41">
        <v>2</v>
      </c>
      <c r="P41" t="s">
        <v>175</v>
      </c>
      <c r="Q41" t="s">
        <v>292</v>
      </c>
      <c r="R41" t="s">
        <v>175</v>
      </c>
      <c r="S41" t="s">
        <v>175</v>
      </c>
      <c r="V41" t="s">
        <v>262</v>
      </c>
      <c r="W41">
        <v>20</v>
      </c>
      <c r="X41">
        <v>1</v>
      </c>
      <c r="Z41" s="16" cm="1">
        <f t="array" ref="Z41">VALUE(LEFT(A41, MIN(IFERROR(FIND({"o","p"}, A41), LEN(A41)+1))-1))</f>
        <v>20</v>
      </c>
    </row>
    <row r="42" spans="1:26">
      <c r="A42" t="s">
        <v>87</v>
      </c>
      <c r="B42" t="s">
        <v>257</v>
      </c>
      <c r="C42">
        <v>61</v>
      </c>
      <c r="I42" t="s">
        <v>257</v>
      </c>
      <c r="J42" t="s">
        <v>257</v>
      </c>
      <c r="K42" t="s">
        <v>257</v>
      </c>
      <c r="L42" t="s">
        <v>257</v>
      </c>
      <c r="M42" t="s">
        <v>257</v>
      </c>
      <c r="N42" t="s">
        <v>294</v>
      </c>
      <c r="O42">
        <v>2</v>
      </c>
      <c r="Q42" t="s">
        <v>257</v>
      </c>
      <c r="W42">
        <v>20</v>
      </c>
      <c r="X42">
        <v>2</v>
      </c>
      <c r="Z42" s="16" cm="1">
        <f t="array" ref="Z42">VALUE(LEFT(A42, MIN(IFERROR(FIND({"o","p"}, A42), LEN(A42)+1))-1))</f>
        <v>20</v>
      </c>
    </row>
    <row r="43" spans="1:26">
      <c r="A43" t="s">
        <v>88</v>
      </c>
      <c r="B43" s="23">
        <v>45296</v>
      </c>
      <c r="C43">
        <v>51</v>
      </c>
      <c r="D43" t="s">
        <v>153</v>
      </c>
      <c r="I43">
        <v>7</v>
      </c>
      <c r="J43">
        <v>4</v>
      </c>
      <c r="L43" t="s">
        <v>206</v>
      </c>
      <c r="N43" t="s">
        <v>89</v>
      </c>
      <c r="O43">
        <v>1</v>
      </c>
      <c r="P43" t="s">
        <v>175</v>
      </c>
      <c r="Q43" t="s">
        <v>292</v>
      </c>
      <c r="R43" t="s">
        <v>175</v>
      </c>
      <c r="S43" t="s">
        <v>175</v>
      </c>
      <c r="V43" t="s">
        <v>351</v>
      </c>
      <c r="W43">
        <v>21</v>
      </c>
      <c r="X43">
        <v>1</v>
      </c>
      <c r="Z43" s="16" cm="1">
        <f t="array" ref="Z43">VALUE(LEFT(A43, MIN(IFERROR(FIND({"o","p"}, A43), LEN(A43)+1))-1))</f>
        <v>21</v>
      </c>
    </row>
    <row r="44" spans="1:26">
      <c r="A44" t="s">
        <v>90</v>
      </c>
      <c r="B44" t="s">
        <v>257</v>
      </c>
      <c r="C44">
        <v>51</v>
      </c>
      <c r="L44" t="s">
        <v>257</v>
      </c>
      <c r="N44" t="s">
        <v>185</v>
      </c>
      <c r="O44">
        <v>1</v>
      </c>
      <c r="P44" t="s">
        <v>171</v>
      </c>
      <c r="R44" t="s">
        <v>257</v>
      </c>
      <c r="S44" t="s">
        <v>257</v>
      </c>
      <c r="V44" t="s">
        <v>257</v>
      </c>
      <c r="W44">
        <v>21</v>
      </c>
      <c r="X44">
        <v>2</v>
      </c>
      <c r="Z44" s="16" cm="1">
        <f t="array" ref="Z44">VALUE(LEFT(A44, MIN(IFERROR(FIND({"o","p"}, A44), LEN(A44)+1))-1))</f>
        <v>21</v>
      </c>
    </row>
    <row r="45" spans="1:26">
      <c r="A45" t="s">
        <v>91</v>
      </c>
      <c r="B45" s="23">
        <v>45299</v>
      </c>
      <c r="C45">
        <v>50</v>
      </c>
      <c r="D45" t="s">
        <v>154</v>
      </c>
      <c r="I45">
        <v>1</v>
      </c>
      <c r="J45">
        <v>0</v>
      </c>
      <c r="L45" t="s">
        <v>170</v>
      </c>
      <c r="M45" t="s">
        <v>204</v>
      </c>
      <c r="N45" t="s">
        <v>186</v>
      </c>
      <c r="O45">
        <v>1</v>
      </c>
      <c r="P45" t="s">
        <v>171</v>
      </c>
      <c r="R45" t="s">
        <v>171</v>
      </c>
      <c r="S45" t="s">
        <v>171</v>
      </c>
      <c r="V45" t="s">
        <v>313</v>
      </c>
      <c r="W45">
        <v>22</v>
      </c>
      <c r="X45">
        <v>1</v>
      </c>
      <c r="Z45" s="16" cm="1">
        <f t="array" ref="Z45">VALUE(LEFT(A45, MIN(IFERROR(FIND({"o","p"}, A45), LEN(A45)+1))-1))</f>
        <v>22</v>
      </c>
    </row>
    <row r="46" spans="1:26">
      <c r="A46" t="s">
        <v>92</v>
      </c>
      <c r="B46" t="s">
        <v>257</v>
      </c>
      <c r="C46">
        <v>50</v>
      </c>
      <c r="D46" t="s">
        <v>153</v>
      </c>
      <c r="E46" t="s">
        <v>159</v>
      </c>
      <c r="F46" t="s">
        <v>163</v>
      </c>
      <c r="I46">
        <v>16</v>
      </c>
      <c r="L46" t="s">
        <v>206</v>
      </c>
      <c r="N46" t="s">
        <v>257</v>
      </c>
      <c r="O46">
        <v>1</v>
      </c>
      <c r="P46" t="s">
        <v>171</v>
      </c>
      <c r="R46" t="s">
        <v>171</v>
      </c>
      <c r="S46" t="s">
        <v>171</v>
      </c>
      <c r="T46" t="s">
        <v>257</v>
      </c>
      <c r="V46" t="s">
        <v>257</v>
      </c>
      <c r="W46">
        <v>22</v>
      </c>
      <c r="X46">
        <v>2</v>
      </c>
      <c r="Z46" s="16" cm="1">
        <f t="array" ref="Z46">VALUE(LEFT(A46, MIN(IFERROR(FIND({"o","p"}, A46), LEN(A46)+1))-1))</f>
        <v>22</v>
      </c>
    </row>
    <row r="47" spans="1:26">
      <c r="A47" t="s">
        <v>93</v>
      </c>
      <c r="B47" s="23">
        <v>45296</v>
      </c>
      <c r="C47">
        <v>61</v>
      </c>
      <c r="D47" t="s">
        <v>154</v>
      </c>
      <c r="I47">
        <v>1</v>
      </c>
      <c r="J47">
        <v>0</v>
      </c>
      <c r="L47" t="s">
        <v>206</v>
      </c>
      <c r="M47" t="s">
        <v>33</v>
      </c>
      <c r="N47" t="s">
        <v>315</v>
      </c>
      <c r="O47">
        <v>2</v>
      </c>
      <c r="P47" t="s">
        <v>171</v>
      </c>
      <c r="R47" t="s">
        <v>293</v>
      </c>
      <c r="S47" t="s">
        <v>175</v>
      </c>
      <c r="V47" t="s">
        <v>298</v>
      </c>
      <c r="W47">
        <v>23</v>
      </c>
      <c r="X47">
        <v>1</v>
      </c>
      <c r="Z47" s="16" cm="1">
        <f t="array" ref="Z47">VALUE(LEFT(A47, MIN(IFERROR(FIND({"o","p"}, A47), LEN(A47)+1))-1))</f>
        <v>23</v>
      </c>
    </row>
    <row r="48" spans="1:26">
      <c r="A48" t="s">
        <v>94</v>
      </c>
      <c r="C48">
        <v>61</v>
      </c>
      <c r="L48" t="s">
        <v>247</v>
      </c>
      <c r="N48" t="s">
        <v>187</v>
      </c>
      <c r="O48">
        <v>1</v>
      </c>
      <c r="P48" t="s">
        <v>171</v>
      </c>
      <c r="R48" t="s">
        <v>188</v>
      </c>
      <c r="S48" t="s">
        <v>171</v>
      </c>
      <c r="V48" t="s">
        <v>293</v>
      </c>
      <c r="W48">
        <v>23</v>
      </c>
      <c r="X48">
        <v>2</v>
      </c>
      <c r="Z48" s="16" cm="1">
        <f t="array" ref="Z48">VALUE(LEFT(A48, MIN(IFERROR(FIND({"o","p"}, A48), LEN(A48)+1))-1))</f>
        <v>23</v>
      </c>
    </row>
    <row r="49" spans="1:26">
      <c r="A49" t="s">
        <v>95</v>
      </c>
      <c r="B49" s="23">
        <v>45301</v>
      </c>
      <c r="C49">
        <v>55</v>
      </c>
      <c r="D49" t="s">
        <v>214</v>
      </c>
      <c r="I49">
        <v>15</v>
      </c>
      <c r="J49">
        <v>9</v>
      </c>
      <c r="K49" t="s">
        <v>316</v>
      </c>
      <c r="L49" t="s">
        <v>32</v>
      </c>
      <c r="N49" t="s">
        <v>352</v>
      </c>
      <c r="O49">
        <v>2</v>
      </c>
      <c r="P49" t="s">
        <v>175</v>
      </c>
      <c r="Q49" t="s">
        <v>268</v>
      </c>
      <c r="R49" t="s">
        <v>245</v>
      </c>
      <c r="S49" t="s">
        <v>269</v>
      </c>
      <c r="V49" t="s">
        <v>189</v>
      </c>
      <c r="W49">
        <v>24</v>
      </c>
      <c r="X49">
        <v>1</v>
      </c>
      <c r="Z49" s="16" cm="1">
        <f t="array" ref="Z49">VALUE(LEFT(A49, MIN(IFERROR(FIND({"o","p"}, A49), LEN(A49)+1))-1))</f>
        <v>24</v>
      </c>
    </row>
    <row r="50" spans="1:26">
      <c r="A50" t="s">
        <v>96</v>
      </c>
      <c r="B50" t="s">
        <v>257</v>
      </c>
      <c r="C50">
        <v>55</v>
      </c>
      <c r="D50" t="s">
        <v>158</v>
      </c>
      <c r="E50" t="s">
        <v>160</v>
      </c>
      <c r="G50" t="s">
        <v>270</v>
      </c>
      <c r="I50" t="s">
        <v>317</v>
      </c>
      <c r="J50" t="s">
        <v>257</v>
      </c>
      <c r="L50" t="s">
        <v>181</v>
      </c>
      <c r="N50" t="s">
        <v>165</v>
      </c>
      <c r="O50" t="s">
        <v>271</v>
      </c>
      <c r="P50" t="s">
        <v>175</v>
      </c>
      <c r="Q50" t="s">
        <v>318</v>
      </c>
      <c r="R50" t="s">
        <v>353</v>
      </c>
      <c r="S50" t="s">
        <v>353</v>
      </c>
      <c r="V50" t="s">
        <v>257</v>
      </c>
      <c r="W50">
        <v>24</v>
      </c>
      <c r="X50">
        <v>2</v>
      </c>
      <c r="Z50" s="16" cm="1">
        <f t="array" ref="Z50">VALUE(LEFT(A50, MIN(IFERROR(FIND({"o","p"}, A50), LEN(A50)+1))-1))</f>
        <v>24</v>
      </c>
    </row>
    <row r="51" spans="1:26">
      <c r="A51" t="s">
        <v>97</v>
      </c>
      <c r="B51" s="23">
        <v>45310</v>
      </c>
      <c r="C51">
        <v>42</v>
      </c>
      <c r="D51" t="s">
        <v>155</v>
      </c>
      <c r="L51" t="s">
        <v>32</v>
      </c>
      <c r="N51" t="s">
        <v>80</v>
      </c>
      <c r="O51">
        <v>1</v>
      </c>
      <c r="P51" t="s">
        <v>188</v>
      </c>
      <c r="R51" t="s">
        <v>188</v>
      </c>
      <c r="S51" t="s">
        <v>188</v>
      </c>
      <c r="V51" t="s">
        <v>266</v>
      </c>
      <c r="W51">
        <v>25</v>
      </c>
      <c r="X51">
        <v>1</v>
      </c>
      <c r="Z51" s="16" cm="1">
        <f t="array" ref="Z51">VALUE(LEFT(A51, MIN(IFERROR(FIND({"o","p"}, A51), LEN(A51)+1))-1))</f>
        <v>25</v>
      </c>
    </row>
    <row r="52" spans="1:26">
      <c r="A52" t="s">
        <v>98</v>
      </c>
      <c r="C52">
        <v>42</v>
      </c>
      <c r="D52" t="s">
        <v>153</v>
      </c>
      <c r="I52">
        <v>1</v>
      </c>
      <c r="L52" t="s">
        <v>206</v>
      </c>
      <c r="N52" t="s">
        <v>99</v>
      </c>
      <c r="O52">
        <v>1</v>
      </c>
      <c r="W52">
        <v>25</v>
      </c>
      <c r="X52">
        <v>2</v>
      </c>
      <c r="Z52" s="16" cm="1">
        <f t="array" ref="Z52">VALUE(LEFT(A52, MIN(IFERROR(FIND({"o","p"}, A52), LEN(A52)+1))-1))</f>
        <v>25</v>
      </c>
    </row>
    <row r="53" spans="1:26">
      <c r="A53" t="s">
        <v>100</v>
      </c>
      <c r="B53" s="23">
        <v>45464</v>
      </c>
      <c r="C53">
        <v>73</v>
      </c>
      <c r="D53" t="s">
        <v>153</v>
      </c>
      <c r="I53">
        <v>1</v>
      </c>
      <c r="J53">
        <v>0</v>
      </c>
      <c r="L53" t="s">
        <v>206</v>
      </c>
      <c r="M53" t="s">
        <v>204</v>
      </c>
      <c r="N53" t="s">
        <v>80</v>
      </c>
      <c r="O53">
        <v>1</v>
      </c>
      <c r="P53" t="s">
        <v>171</v>
      </c>
      <c r="R53" t="s">
        <v>272</v>
      </c>
      <c r="S53" t="s">
        <v>272</v>
      </c>
      <c r="V53" t="s">
        <v>319</v>
      </c>
      <c r="W53">
        <v>26</v>
      </c>
      <c r="X53">
        <v>1</v>
      </c>
      <c r="Z53" s="16" cm="1">
        <f t="array" ref="Z53">VALUE(LEFT(A53, MIN(IFERROR(FIND({"o","p"}, A53), LEN(A53)+1))-1))</f>
        <v>26</v>
      </c>
    </row>
    <row r="54" spans="1:26">
      <c r="A54" t="s">
        <v>101</v>
      </c>
      <c r="B54" t="s">
        <v>257</v>
      </c>
      <c r="C54">
        <v>73</v>
      </c>
      <c r="D54" t="s">
        <v>153</v>
      </c>
      <c r="E54" t="s">
        <v>250</v>
      </c>
      <c r="F54" t="s">
        <v>251</v>
      </c>
      <c r="I54" t="s">
        <v>257</v>
      </c>
      <c r="J54" t="s">
        <v>257</v>
      </c>
      <c r="K54" t="s">
        <v>257</v>
      </c>
      <c r="L54" t="s">
        <v>320</v>
      </c>
      <c r="N54" t="s">
        <v>99</v>
      </c>
      <c r="O54">
        <v>1</v>
      </c>
      <c r="P54" t="s">
        <v>175</v>
      </c>
      <c r="Q54" t="s">
        <v>257</v>
      </c>
      <c r="R54" t="s">
        <v>175</v>
      </c>
      <c r="S54" t="s">
        <v>321</v>
      </c>
      <c r="V54" t="s">
        <v>257</v>
      </c>
      <c r="W54">
        <v>26</v>
      </c>
      <c r="X54">
        <v>2</v>
      </c>
      <c r="Z54" s="16" cm="1">
        <f t="array" ref="Z54">VALUE(LEFT(A54, MIN(IFERROR(FIND({"o","p"}, A54), LEN(A54)+1))-1))</f>
        <v>26</v>
      </c>
    </row>
    <row r="55" spans="1:26">
      <c r="A55" t="s">
        <v>102</v>
      </c>
      <c r="B55" s="23">
        <v>45464</v>
      </c>
      <c r="C55">
        <v>39</v>
      </c>
      <c r="D55" t="s">
        <v>154</v>
      </c>
      <c r="I55">
        <v>2</v>
      </c>
      <c r="J55">
        <v>1</v>
      </c>
      <c r="L55" t="s">
        <v>32</v>
      </c>
      <c r="N55" t="s">
        <v>322</v>
      </c>
      <c r="O55">
        <v>2</v>
      </c>
      <c r="P55" t="s">
        <v>171</v>
      </c>
      <c r="R55" t="s">
        <v>171</v>
      </c>
      <c r="S55" t="s">
        <v>171</v>
      </c>
      <c r="V55" t="s">
        <v>323</v>
      </c>
      <c r="W55">
        <v>27</v>
      </c>
      <c r="X55">
        <v>1</v>
      </c>
      <c r="Z55" s="16" cm="1">
        <f t="array" ref="Z55">VALUE(LEFT(A55, MIN(IFERROR(FIND({"o","p"}, A55), LEN(A55)+1))-1))</f>
        <v>27</v>
      </c>
    </row>
    <row r="56" spans="1:26">
      <c r="A56" t="s">
        <v>103</v>
      </c>
      <c r="C56">
        <v>39</v>
      </c>
      <c r="L56" t="s">
        <v>324</v>
      </c>
      <c r="N56" t="s">
        <v>176</v>
      </c>
      <c r="O56">
        <v>1</v>
      </c>
      <c r="W56">
        <v>27</v>
      </c>
      <c r="X56">
        <v>2</v>
      </c>
      <c r="Z56" s="16" cm="1">
        <f t="array" ref="Z56">VALUE(LEFT(A56, MIN(IFERROR(FIND({"o","p"}, A56), LEN(A56)+1))-1))</f>
        <v>27</v>
      </c>
    </row>
    <row r="57" spans="1:26">
      <c r="A57" t="s">
        <v>104</v>
      </c>
      <c r="B57" s="23">
        <v>45464</v>
      </c>
      <c r="C57">
        <v>57</v>
      </c>
      <c r="D57" t="s">
        <v>154</v>
      </c>
      <c r="I57">
        <v>5</v>
      </c>
      <c r="J57">
        <v>1</v>
      </c>
      <c r="K57">
        <v>2.5</v>
      </c>
      <c r="L57" t="s">
        <v>32</v>
      </c>
      <c r="N57" t="s">
        <v>325</v>
      </c>
      <c r="O57">
        <v>2</v>
      </c>
      <c r="P57" t="s">
        <v>171</v>
      </c>
      <c r="R57" t="s">
        <v>314</v>
      </c>
      <c r="S57" t="s">
        <v>171</v>
      </c>
      <c r="V57" t="s">
        <v>274</v>
      </c>
      <c r="W57">
        <v>28</v>
      </c>
      <c r="X57">
        <v>1</v>
      </c>
      <c r="Z57" s="16" cm="1">
        <f t="array" ref="Z57">VALUE(LEFT(A57, MIN(IFERROR(FIND({"o","p"}, A57), LEN(A57)+1))-1))</f>
        <v>28</v>
      </c>
    </row>
    <row r="58" spans="1:26">
      <c r="A58" t="s">
        <v>105</v>
      </c>
      <c r="B58" t="s">
        <v>257</v>
      </c>
      <c r="C58">
        <v>57</v>
      </c>
      <c r="D58" t="s">
        <v>153</v>
      </c>
      <c r="E58" t="s">
        <v>250</v>
      </c>
      <c r="F58" t="s">
        <v>251</v>
      </c>
      <c r="I58" t="s">
        <v>257</v>
      </c>
      <c r="J58" t="s">
        <v>257</v>
      </c>
      <c r="L58" t="s">
        <v>181</v>
      </c>
      <c r="N58" t="s">
        <v>185</v>
      </c>
      <c r="O58">
        <v>1</v>
      </c>
      <c r="P58" t="s">
        <v>257</v>
      </c>
      <c r="Q58" t="s">
        <v>257</v>
      </c>
      <c r="R58" t="s">
        <v>257</v>
      </c>
      <c r="S58" t="s">
        <v>257</v>
      </c>
      <c r="V58" t="s">
        <v>257</v>
      </c>
      <c r="W58">
        <v>28</v>
      </c>
      <c r="X58">
        <v>2</v>
      </c>
      <c r="Z58" s="16" cm="1">
        <f t="array" ref="Z58">VALUE(LEFT(A58, MIN(IFERROR(FIND({"o","p"}, A58), LEN(A58)+1))-1))</f>
        <v>28</v>
      </c>
    </row>
    <row r="59" spans="1:26">
      <c r="A59" t="s">
        <v>106</v>
      </c>
      <c r="B59" s="23">
        <v>45271</v>
      </c>
      <c r="C59">
        <v>63</v>
      </c>
      <c r="D59" t="s">
        <v>154</v>
      </c>
      <c r="I59">
        <v>5</v>
      </c>
      <c r="L59" t="s">
        <v>32</v>
      </c>
      <c r="M59" t="s">
        <v>279</v>
      </c>
      <c r="N59" t="s">
        <v>190</v>
      </c>
      <c r="O59">
        <v>1</v>
      </c>
      <c r="P59" t="s">
        <v>171</v>
      </c>
      <c r="R59" t="s">
        <v>293</v>
      </c>
      <c r="S59" t="s">
        <v>171</v>
      </c>
      <c r="V59" t="s">
        <v>298</v>
      </c>
      <c r="W59">
        <v>29</v>
      </c>
      <c r="X59">
        <v>1</v>
      </c>
      <c r="Z59" s="16" cm="1">
        <f t="array" ref="Z59">VALUE(LEFT(A59, MIN(IFERROR(FIND({"o","p"}, A59), LEN(A59)+1))-1))</f>
        <v>29</v>
      </c>
    </row>
    <row r="60" spans="1:26">
      <c r="A60" t="s">
        <v>107</v>
      </c>
      <c r="C60">
        <v>63</v>
      </c>
      <c r="D60" t="s">
        <v>261</v>
      </c>
      <c r="L60" t="s">
        <v>35</v>
      </c>
      <c r="O60">
        <v>1</v>
      </c>
      <c r="P60" t="s">
        <v>171</v>
      </c>
      <c r="R60" t="s">
        <v>171</v>
      </c>
      <c r="S60" t="s">
        <v>171</v>
      </c>
      <c r="V60" t="s">
        <v>171</v>
      </c>
      <c r="W60">
        <v>29</v>
      </c>
      <c r="X60">
        <v>2</v>
      </c>
      <c r="Z60" s="16" cm="1">
        <f t="array" ref="Z60">VALUE(LEFT(A60, MIN(IFERROR(FIND({"o","p"}, A60), LEN(A60)+1))-1))</f>
        <v>29</v>
      </c>
    </row>
    <row r="61" spans="1:26">
      <c r="A61" t="s">
        <v>108</v>
      </c>
      <c r="B61" s="23">
        <v>45287</v>
      </c>
      <c r="C61">
        <v>39</v>
      </c>
      <c r="D61" t="s">
        <v>209</v>
      </c>
      <c r="I61">
        <v>24</v>
      </c>
      <c r="J61">
        <v>3</v>
      </c>
      <c r="K61" t="s">
        <v>191</v>
      </c>
      <c r="L61" t="s">
        <v>32</v>
      </c>
      <c r="M61" t="s">
        <v>174</v>
      </c>
      <c r="N61" t="s">
        <v>326</v>
      </c>
      <c r="O61">
        <v>1</v>
      </c>
      <c r="P61" t="s">
        <v>175</v>
      </c>
      <c r="R61" t="s">
        <v>171</v>
      </c>
      <c r="S61" t="s">
        <v>171</v>
      </c>
      <c r="V61" t="s">
        <v>354</v>
      </c>
      <c r="W61">
        <v>30</v>
      </c>
      <c r="X61">
        <v>1</v>
      </c>
      <c r="Z61" s="16" cm="1">
        <f t="array" ref="Z61">VALUE(LEFT(A61, MIN(IFERROR(FIND({"o","p"}, A61), LEN(A61)+1))-1))</f>
        <v>30</v>
      </c>
    </row>
    <row r="62" spans="1:26">
      <c r="A62" t="s">
        <v>109</v>
      </c>
      <c r="C62">
        <v>39</v>
      </c>
      <c r="D62" t="s">
        <v>153</v>
      </c>
      <c r="E62" t="s">
        <v>160</v>
      </c>
      <c r="J62">
        <v>1</v>
      </c>
      <c r="L62" t="s">
        <v>181</v>
      </c>
      <c r="O62">
        <v>1</v>
      </c>
      <c r="P62" t="s">
        <v>171</v>
      </c>
      <c r="R62" t="s">
        <v>188</v>
      </c>
      <c r="S62" t="s">
        <v>171</v>
      </c>
      <c r="V62" t="s">
        <v>293</v>
      </c>
      <c r="W62">
        <v>30</v>
      </c>
      <c r="X62">
        <v>2</v>
      </c>
      <c r="Z62" s="16" cm="1">
        <f t="array" ref="Z62">VALUE(LEFT(A62, MIN(IFERROR(FIND({"o","p"}, A62), LEN(A62)+1))-1))</f>
        <v>30</v>
      </c>
    </row>
    <row r="63" spans="1:26">
      <c r="A63" t="s">
        <v>110</v>
      </c>
      <c r="B63" s="23">
        <v>43304</v>
      </c>
      <c r="I63">
        <v>1</v>
      </c>
      <c r="J63">
        <v>1</v>
      </c>
      <c r="K63" t="s">
        <v>152</v>
      </c>
      <c r="L63" t="s">
        <v>206</v>
      </c>
      <c r="M63" t="s">
        <v>33</v>
      </c>
      <c r="N63" t="s">
        <v>327</v>
      </c>
      <c r="O63" t="s">
        <v>328</v>
      </c>
      <c r="R63" t="s">
        <v>175</v>
      </c>
      <c r="S63" t="s">
        <v>175</v>
      </c>
      <c r="V63" t="s">
        <v>275</v>
      </c>
      <c r="W63">
        <v>31</v>
      </c>
      <c r="X63">
        <v>1</v>
      </c>
      <c r="Z63" s="16" cm="1">
        <f t="array" ref="Z63">VALUE(LEFT(A63, MIN(IFERROR(FIND({"o","p"}, A63), LEN(A63)+1))-1))</f>
        <v>31</v>
      </c>
    </row>
    <row r="64" spans="1:26">
      <c r="A64" t="s">
        <v>111</v>
      </c>
      <c r="B64" s="24">
        <v>43304</v>
      </c>
      <c r="C64">
        <v>60</v>
      </c>
      <c r="D64" t="s">
        <v>158</v>
      </c>
      <c r="G64" t="s">
        <v>355</v>
      </c>
      <c r="L64" t="s">
        <v>257</v>
      </c>
      <c r="M64" t="s">
        <v>257</v>
      </c>
      <c r="N64" t="s">
        <v>180</v>
      </c>
      <c r="O64">
        <v>1</v>
      </c>
      <c r="P64" t="s">
        <v>175</v>
      </c>
      <c r="Q64" t="s">
        <v>329</v>
      </c>
      <c r="R64" t="s">
        <v>330</v>
      </c>
      <c r="S64" t="s">
        <v>175</v>
      </c>
      <c r="V64" t="s">
        <v>356</v>
      </c>
      <c r="W64">
        <v>31</v>
      </c>
      <c r="X64">
        <v>2</v>
      </c>
      <c r="Z64" s="16" cm="1">
        <f t="array" ref="Z64">VALUE(LEFT(A64, MIN(IFERROR(FIND({"o","p"}, A64), LEN(A64)+1))-1))</f>
        <v>31</v>
      </c>
    </row>
    <row r="65" spans="1:26">
      <c r="A65" t="s">
        <v>112</v>
      </c>
      <c r="B65" s="23">
        <v>44630</v>
      </c>
      <c r="D65" t="s">
        <v>158</v>
      </c>
      <c r="G65" t="s">
        <v>331</v>
      </c>
      <c r="I65">
        <v>12</v>
      </c>
      <c r="J65">
        <v>4</v>
      </c>
      <c r="K65" t="s">
        <v>246</v>
      </c>
      <c r="L65" t="s">
        <v>113</v>
      </c>
      <c r="N65" t="s">
        <v>246</v>
      </c>
      <c r="O65">
        <v>1</v>
      </c>
      <c r="P65" t="s">
        <v>175</v>
      </c>
      <c r="Q65" t="s">
        <v>292</v>
      </c>
      <c r="R65" t="s">
        <v>175</v>
      </c>
      <c r="S65" t="s">
        <v>332</v>
      </c>
      <c r="V65" t="s">
        <v>333</v>
      </c>
      <c r="W65">
        <v>32</v>
      </c>
      <c r="X65">
        <v>1</v>
      </c>
      <c r="Z65" s="16" cm="1">
        <f t="array" ref="Z65">VALUE(LEFT(A65, MIN(IFERROR(FIND({"o","p"}, A65), LEN(A65)+1))-1))</f>
        <v>32</v>
      </c>
    </row>
    <row r="66" spans="1:26">
      <c r="A66" t="s">
        <v>114</v>
      </c>
      <c r="B66" s="24">
        <v>44629</v>
      </c>
      <c r="C66">
        <v>72</v>
      </c>
      <c r="D66" t="s">
        <v>158</v>
      </c>
      <c r="L66" t="s">
        <v>247</v>
      </c>
      <c r="N66" t="s">
        <v>334</v>
      </c>
      <c r="O66">
        <v>1</v>
      </c>
      <c r="P66" t="s">
        <v>175</v>
      </c>
      <c r="Q66" t="s">
        <v>292</v>
      </c>
      <c r="R66" t="s">
        <v>175</v>
      </c>
      <c r="S66" t="s">
        <v>175</v>
      </c>
      <c r="V66" t="s">
        <v>278</v>
      </c>
      <c r="W66">
        <v>32</v>
      </c>
      <c r="X66">
        <v>2</v>
      </c>
      <c r="Z66" s="16" cm="1">
        <f t="array" ref="Z66">VALUE(LEFT(A66, MIN(IFERROR(FIND({"o","p"}, A66), LEN(A66)+1))-1))</f>
        <v>32</v>
      </c>
    </row>
    <row r="67" spans="1:26">
      <c r="A67" t="s">
        <v>115</v>
      </c>
      <c r="B67" s="23">
        <v>44517</v>
      </c>
      <c r="D67" t="s">
        <v>154</v>
      </c>
      <c r="L67" t="s">
        <v>206</v>
      </c>
      <c r="N67" t="s">
        <v>48</v>
      </c>
      <c r="O67">
        <v>1</v>
      </c>
      <c r="P67" t="s">
        <v>171</v>
      </c>
      <c r="R67" t="s">
        <v>293</v>
      </c>
      <c r="S67" t="s">
        <v>171</v>
      </c>
      <c r="V67" t="s">
        <v>357</v>
      </c>
      <c r="W67">
        <v>33</v>
      </c>
      <c r="X67">
        <v>1</v>
      </c>
      <c r="Z67" s="16" cm="1">
        <f t="array" ref="Z67">VALUE(LEFT(A67, MIN(IFERROR(FIND({"o","p"}, A67), LEN(A67)+1))-1))</f>
        <v>33</v>
      </c>
    </row>
    <row r="68" spans="1:26">
      <c r="A68" t="s">
        <v>116</v>
      </c>
      <c r="B68" s="24">
        <v>44517</v>
      </c>
      <c r="C68">
        <v>41</v>
      </c>
      <c r="F68" t="s">
        <v>164</v>
      </c>
      <c r="H68" t="s">
        <v>335</v>
      </c>
      <c r="L68" t="s">
        <v>273</v>
      </c>
      <c r="N68" t="s">
        <v>336</v>
      </c>
      <c r="O68">
        <v>2</v>
      </c>
      <c r="P68" t="s">
        <v>175</v>
      </c>
      <c r="Q68" t="s">
        <v>292</v>
      </c>
      <c r="R68" t="s">
        <v>175</v>
      </c>
      <c r="S68" t="s">
        <v>175</v>
      </c>
      <c r="V68" t="s">
        <v>278</v>
      </c>
      <c r="W68">
        <v>33</v>
      </c>
      <c r="X68">
        <v>2</v>
      </c>
      <c r="Z68" s="16" cm="1">
        <f t="array" ref="Z68">VALUE(LEFT(A68, MIN(IFERROR(FIND({"o","p"}, A68), LEN(A68)+1))-1))</f>
        <v>33</v>
      </c>
    </row>
    <row r="69" spans="1:26">
      <c r="A69" t="s">
        <v>117</v>
      </c>
      <c r="B69" s="23">
        <v>44825</v>
      </c>
      <c r="D69" t="s">
        <v>214</v>
      </c>
      <c r="L69" t="s">
        <v>32</v>
      </c>
      <c r="M69" t="s">
        <v>337</v>
      </c>
      <c r="N69" t="s">
        <v>192</v>
      </c>
      <c r="P69" t="s">
        <v>358</v>
      </c>
      <c r="Q69" t="s">
        <v>359</v>
      </c>
      <c r="R69" t="s">
        <v>333</v>
      </c>
      <c r="S69" t="s">
        <v>175</v>
      </c>
      <c r="V69" t="s">
        <v>311</v>
      </c>
      <c r="W69">
        <v>34</v>
      </c>
      <c r="X69">
        <v>1</v>
      </c>
      <c r="Z69" s="16" cm="1">
        <f t="array" ref="Z69">VALUE(LEFT(A69, MIN(IFERROR(FIND({"o","p"}, A69), LEN(A69)+1))-1))</f>
        <v>34</v>
      </c>
    </row>
    <row r="70" spans="1:26">
      <c r="A70" t="s">
        <v>118</v>
      </c>
      <c r="B70" s="24">
        <v>44825</v>
      </c>
      <c r="C70">
        <v>63</v>
      </c>
      <c r="D70" t="s">
        <v>157</v>
      </c>
      <c r="L70" t="s">
        <v>206</v>
      </c>
      <c r="N70" t="s">
        <v>193</v>
      </c>
      <c r="O70">
        <v>1</v>
      </c>
      <c r="P70" t="s">
        <v>175</v>
      </c>
      <c r="Q70" t="s">
        <v>292</v>
      </c>
      <c r="R70" t="s">
        <v>175</v>
      </c>
      <c r="S70" t="s">
        <v>175</v>
      </c>
      <c r="V70" t="s">
        <v>262</v>
      </c>
      <c r="W70">
        <v>34</v>
      </c>
      <c r="X70">
        <v>2</v>
      </c>
      <c r="Z70" s="16" cm="1">
        <f t="array" ref="Z70">VALUE(LEFT(A70, MIN(IFERROR(FIND({"o","p"}, A70), LEN(A70)+1))-1))</f>
        <v>34</v>
      </c>
    </row>
    <row r="71" spans="1:26">
      <c r="A71" t="s">
        <v>119</v>
      </c>
      <c r="B71" s="23">
        <v>44419</v>
      </c>
      <c r="G71" t="s">
        <v>338</v>
      </c>
      <c r="I71">
        <v>35</v>
      </c>
      <c r="J71">
        <v>7</v>
      </c>
      <c r="L71" t="s">
        <v>206</v>
      </c>
      <c r="M71" t="s">
        <v>207</v>
      </c>
      <c r="P71" t="s">
        <v>175</v>
      </c>
      <c r="Q71" t="s">
        <v>171</v>
      </c>
      <c r="R71" t="s">
        <v>360</v>
      </c>
      <c r="S71" t="s">
        <v>175</v>
      </c>
      <c r="V71" t="s">
        <v>360</v>
      </c>
      <c r="W71">
        <v>35</v>
      </c>
      <c r="X71">
        <v>1</v>
      </c>
      <c r="Z71" s="16" cm="1">
        <f t="array" ref="Z71">VALUE(LEFT(A71, MIN(IFERROR(FIND({"o","p"}, A71), LEN(A71)+1))-1))</f>
        <v>35</v>
      </c>
    </row>
    <row r="72" spans="1:26">
      <c r="A72" t="s">
        <v>120</v>
      </c>
      <c r="B72" s="24">
        <v>44419</v>
      </c>
      <c r="C72">
        <v>62</v>
      </c>
      <c r="D72" t="s">
        <v>158</v>
      </c>
      <c r="E72" t="s">
        <v>250</v>
      </c>
      <c r="F72" t="s">
        <v>164</v>
      </c>
      <c r="H72" t="s">
        <v>339</v>
      </c>
      <c r="L72" t="s">
        <v>181</v>
      </c>
      <c r="N72" t="s">
        <v>180</v>
      </c>
      <c r="O72">
        <v>1</v>
      </c>
      <c r="P72" t="s">
        <v>175</v>
      </c>
      <c r="Q72" t="s">
        <v>292</v>
      </c>
      <c r="R72" t="s">
        <v>175</v>
      </c>
      <c r="S72" t="s">
        <v>175</v>
      </c>
      <c r="V72" t="s">
        <v>278</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2024-12-06T14:48:16Z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