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rich\Desktop\manuscript\draft version\35 pseudo\ensemble revision\gemma\To HA\"/>
    </mc:Choice>
  </mc:AlternateContent>
  <xr:revisionPtr revIDLastSave="0" documentId="13_ncr:1_{E0C6CF74-BF98-446C-ABEF-07A37B12AC7C}" xr6:coauthVersionLast="47" xr6:coauthVersionMax="47" xr10:uidLastSave="{00000000-0000-0000-0000-000000000000}"/>
  <bookViews>
    <workbookView xWindow="-98" yWindow="-98" windowWidth="21795" windowHeight="11625" xr2:uid="{00000000-000D-0000-FFFF-FFFF00000000}"/>
  </bookViews>
  <sheets>
    <sheet name="Classification result" sheetId="16" r:id="rId1"/>
    <sheet name="Model output" sheetId="15" r:id="rId2"/>
    <sheet name="Schema" sheetId="2" state="hidden" r:id="rId3"/>
  </sheets>
  <functionGroups builtInGroupCount="19"/>
  <definedNames>
    <definedName name="_xlnm._FilterDatabase" localSheetId="0" hidden="1">'Classification result'!$A$2:$AU$37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I4" i="16" l="1"/>
  <c r="AJ4" i="16"/>
  <c r="AK4" i="16"/>
  <c r="AI5" i="16"/>
  <c r="AJ5" i="16"/>
  <c r="AK5" i="16"/>
  <c r="AI6" i="16"/>
  <c r="AJ6" i="16"/>
  <c r="AK6" i="16"/>
  <c r="AI7" i="16"/>
  <c r="AJ7" i="16"/>
  <c r="AK7" i="16" s="1"/>
  <c r="AI8" i="16"/>
  <c r="AJ8" i="16"/>
  <c r="AK8" i="16"/>
  <c r="AI9" i="16"/>
  <c r="AJ9" i="16"/>
  <c r="AK9" i="16"/>
  <c r="AI10" i="16"/>
  <c r="AJ10" i="16"/>
  <c r="AK10" i="16" s="1"/>
  <c r="AI11" i="16"/>
  <c r="AJ11" i="16"/>
  <c r="AK11" i="16"/>
  <c r="AI12" i="16"/>
  <c r="AJ12" i="16"/>
  <c r="AK12" i="16"/>
  <c r="AI13" i="16"/>
  <c r="AJ13" i="16"/>
  <c r="AK13" i="16"/>
  <c r="AI14" i="16"/>
  <c r="AJ14" i="16"/>
  <c r="AK14" i="16"/>
  <c r="AI15" i="16"/>
  <c r="AJ15" i="16"/>
  <c r="AK15" i="16"/>
  <c r="AI16" i="16"/>
  <c r="AJ16" i="16"/>
  <c r="AK16" i="16"/>
  <c r="AI17" i="16"/>
  <c r="AJ17" i="16"/>
  <c r="AK17" i="16"/>
  <c r="AI18" i="16"/>
  <c r="AJ18" i="16"/>
  <c r="AK18" i="16"/>
  <c r="AI19" i="16"/>
  <c r="AJ19" i="16"/>
  <c r="AK19" i="16"/>
  <c r="AI20" i="16"/>
  <c r="AJ20" i="16"/>
  <c r="AK20" i="16" s="1"/>
  <c r="AI21" i="16"/>
  <c r="AJ21" i="16"/>
  <c r="AK21" i="16"/>
  <c r="AI22" i="16"/>
  <c r="AJ22" i="16"/>
  <c r="AK22" i="16"/>
  <c r="AI23" i="16"/>
  <c r="AJ23" i="16"/>
  <c r="AK23" i="16"/>
  <c r="AI24" i="16"/>
  <c r="AJ24" i="16"/>
  <c r="AK24" i="16"/>
  <c r="AI25" i="16"/>
  <c r="AJ25" i="16"/>
  <c r="AK25" i="16"/>
  <c r="AI26" i="16"/>
  <c r="AJ26" i="16"/>
  <c r="AK26" i="16"/>
  <c r="AI27" i="16"/>
  <c r="AJ27" i="16"/>
  <c r="AK27" i="16" s="1"/>
  <c r="AI28" i="16"/>
  <c r="AJ28" i="16"/>
  <c r="AK28" i="16"/>
  <c r="AI29" i="16"/>
  <c r="AJ29" i="16"/>
  <c r="AK29" i="16"/>
  <c r="AI30" i="16"/>
  <c r="AJ30" i="16"/>
  <c r="AK30" i="16" s="1"/>
  <c r="AI31" i="16"/>
  <c r="AJ31" i="16"/>
  <c r="AK31" i="16"/>
  <c r="AI32" i="16"/>
  <c r="AJ32" i="16"/>
  <c r="AK32" i="16" s="1"/>
  <c r="AI33" i="16"/>
  <c r="AJ33" i="16"/>
  <c r="AK33" i="16"/>
  <c r="AI34" i="16"/>
  <c r="AJ34" i="16"/>
  <c r="AK34" i="16"/>
  <c r="AI35" i="16"/>
  <c r="AJ35" i="16"/>
  <c r="AK35" i="16"/>
  <c r="AI36" i="16"/>
  <c r="AJ36" i="16"/>
  <c r="AK36" i="16"/>
  <c r="AI37" i="16"/>
  <c r="AJ37" i="16"/>
  <c r="AK37" i="16"/>
  <c r="AK3" i="16"/>
  <c r="AJ3" i="16"/>
  <c r="AI3" i="16"/>
  <c r="AE3" i="16" a="1"/>
  <c r="AE3" i="16" s="1"/>
  <c r="T4" i="16" a="1"/>
  <c r="T4" i="16" s="1"/>
  <c r="W4" i="16" s="1"/>
  <c r="T5" i="16" a="1"/>
  <c r="T5" i="16" s="1"/>
  <c r="W5" i="16" s="1"/>
  <c r="T6" i="16" a="1"/>
  <c r="T6" i="16" s="1"/>
  <c r="W6" i="16" s="1"/>
  <c r="T7" i="16" a="1"/>
  <c r="T7" i="16" s="1"/>
  <c r="T8" i="16" a="1"/>
  <c r="T8" i="16" s="1"/>
  <c r="W8" i="16" s="1"/>
  <c r="T9" i="16" a="1"/>
  <c r="T9" i="16" s="1"/>
  <c r="W9" i="16" s="1"/>
  <c r="T10" i="16" a="1"/>
  <c r="T10" i="16" s="1"/>
  <c r="W10" i="16" s="1"/>
  <c r="T11" i="16" a="1"/>
  <c r="T11" i="16" s="1"/>
  <c r="W11" i="16" s="1"/>
  <c r="T12" i="16" a="1"/>
  <c r="T12" i="16" s="1"/>
  <c r="W12" i="16" s="1"/>
  <c r="T13" i="16" a="1"/>
  <c r="T13" i="16" s="1"/>
  <c r="W13" i="16" s="1"/>
  <c r="T14" i="16" a="1"/>
  <c r="T14" i="16" s="1"/>
  <c r="T15" i="16" a="1"/>
  <c r="T15" i="16" s="1"/>
  <c r="T16" i="16" a="1"/>
  <c r="T16" i="16" s="1"/>
  <c r="T17" i="16" a="1"/>
  <c r="T17" i="16" s="1"/>
  <c r="W17" i="16" s="1"/>
  <c r="T18" i="16" a="1"/>
  <c r="T18" i="16" s="1"/>
  <c r="T19" i="16" a="1"/>
  <c r="T19" i="16" s="1"/>
  <c r="W19" i="16" s="1"/>
  <c r="T20" i="16" a="1"/>
  <c r="T20" i="16" s="1"/>
  <c r="W20" i="16" s="1"/>
  <c r="T21" i="16" a="1"/>
  <c r="T21" i="16" s="1"/>
  <c r="W21" i="16" s="1"/>
  <c r="T22" i="16" a="1"/>
  <c r="T22" i="16" s="1"/>
  <c r="T23" i="16" a="1"/>
  <c r="T23" i="16" s="1"/>
  <c r="T24" i="16" a="1"/>
  <c r="T24" i="16" s="1"/>
  <c r="W24" i="16" s="1"/>
  <c r="T25" i="16" a="1"/>
  <c r="T25" i="16" s="1"/>
  <c r="W25" i="16" s="1"/>
  <c r="T26" i="16" a="1"/>
  <c r="T26" i="16" s="1"/>
  <c r="W26" i="16" s="1"/>
  <c r="T27" i="16" a="1"/>
  <c r="T27" i="16" s="1"/>
  <c r="W27" i="16" s="1"/>
  <c r="T28" i="16" a="1"/>
  <c r="T28" i="16" s="1"/>
  <c r="W28" i="16" s="1"/>
  <c r="T29" i="16" a="1"/>
  <c r="T29" i="16" s="1"/>
  <c r="W29" i="16" s="1"/>
  <c r="T30" i="16" a="1"/>
  <c r="T30" i="16" s="1"/>
  <c r="W30" i="16" s="1"/>
  <c r="T31" i="16" a="1"/>
  <c r="T31" i="16" s="1"/>
  <c r="W31" i="16" s="1"/>
  <c r="T32" i="16" a="1"/>
  <c r="T32" i="16" s="1"/>
  <c r="W32" i="16" s="1"/>
  <c r="T33" i="16" a="1"/>
  <c r="T33" i="16" s="1"/>
  <c r="T34" i="16" a="1"/>
  <c r="T34" i="16" s="1"/>
  <c r="T35" i="16" a="1"/>
  <c r="T35" i="16" s="1"/>
  <c r="W35" i="16" s="1"/>
  <c r="T36" i="16" a="1"/>
  <c r="T36" i="16" s="1"/>
  <c r="T37" i="16" a="1"/>
  <c r="T37" i="16" s="1"/>
  <c r="T3" i="16" a="1"/>
  <c r="T3" i="16" s="1"/>
  <c r="W3" i="16" s="1"/>
  <c r="D7" i="16" l="1" a="1"/>
  <c r="D7" i="16" s="1"/>
  <c r="D8" i="16" a="1"/>
  <c r="D8" i="16" s="1"/>
  <c r="D9" i="16" a="1"/>
  <c r="D9" i="16" s="1"/>
  <c r="D10" i="16" a="1"/>
  <c r="D10" i="16" s="1"/>
  <c r="D11" i="16" a="1"/>
  <c r="D11" i="16" s="1"/>
  <c r="D12" i="16" a="1"/>
  <c r="D12" i="16" s="1"/>
  <c r="D13" i="16" a="1"/>
  <c r="D13" i="16" s="1"/>
  <c r="D14" i="16" a="1"/>
  <c r="D14" i="16" s="1"/>
  <c r="D15" i="16" a="1"/>
  <c r="D15" i="16" s="1"/>
  <c r="D16" i="16" a="1"/>
  <c r="D16" i="16" s="1"/>
  <c r="D17" i="16" a="1"/>
  <c r="D17" i="16" s="1"/>
  <c r="D18" i="16" a="1"/>
  <c r="D18" i="16" s="1"/>
  <c r="D19" i="16" a="1"/>
  <c r="D19" i="16" s="1"/>
  <c r="D20" i="16" a="1"/>
  <c r="D20" i="16" s="1"/>
  <c r="D21" i="16" a="1"/>
  <c r="D21" i="16" s="1"/>
  <c r="D22" i="16" a="1"/>
  <c r="D22" i="16" s="1"/>
  <c r="D23" i="16" a="1"/>
  <c r="D23" i="16" s="1"/>
  <c r="D24" i="16" a="1"/>
  <c r="D24" i="16" s="1"/>
  <c r="D25" i="16" a="1"/>
  <c r="D25" i="16" s="1"/>
  <c r="D26" i="16" a="1"/>
  <c r="D26" i="16" s="1"/>
  <c r="D27" i="16" a="1"/>
  <c r="D27" i="16" s="1"/>
  <c r="D28" i="16" a="1"/>
  <c r="D28" i="16" s="1"/>
  <c r="D29" i="16" a="1"/>
  <c r="D29" i="16" s="1"/>
  <c r="D30" i="16" a="1"/>
  <c r="D30" i="16" s="1"/>
  <c r="D31" i="16" a="1"/>
  <c r="D31" i="16" s="1"/>
  <c r="D32" i="16" a="1"/>
  <c r="D32" i="16" s="1"/>
  <c r="D33" i="16" a="1"/>
  <c r="D33" i="16" s="1"/>
  <c r="D34" i="16" a="1"/>
  <c r="D34" i="16" s="1"/>
  <c r="D35" i="16" a="1"/>
  <c r="D35" i="16" s="1"/>
  <c r="D36" i="16" a="1"/>
  <c r="D36" i="16" s="1"/>
  <c r="D37" i="16" a="1"/>
  <c r="D37" i="16" s="1"/>
  <c r="D3" i="16" a="1"/>
  <c r="D3" i="16" s="1"/>
  <c r="D4" i="16" a="1"/>
  <c r="D4" i="16" s="1"/>
  <c r="D5" i="16" a="1"/>
  <c r="D5" i="16" s="1"/>
  <c r="D6" i="16" a="1"/>
  <c r="D6" i="16" s="1"/>
  <c r="I4" i="16" l="1" a="1"/>
  <c r="I4" i="16" s="1"/>
  <c r="I5" i="16" a="1"/>
  <c r="I5" i="16" s="1"/>
  <c r="I6" i="16" a="1"/>
  <c r="I6" i="16" s="1"/>
  <c r="I7" i="16" a="1"/>
  <c r="I7" i="16" s="1"/>
  <c r="I8" i="16" a="1"/>
  <c r="I8" i="16" s="1"/>
  <c r="I9" i="16" a="1"/>
  <c r="I9" i="16" s="1"/>
  <c r="I10" i="16" a="1"/>
  <c r="I10" i="16" s="1"/>
  <c r="I11" i="16" a="1"/>
  <c r="I11" i="16" s="1"/>
  <c r="I12" i="16" a="1"/>
  <c r="I12" i="16" s="1"/>
  <c r="I13" i="16" a="1"/>
  <c r="I13" i="16" s="1"/>
  <c r="I14" i="16" a="1"/>
  <c r="I14" i="16" s="1"/>
  <c r="I15" i="16" a="1"/>
  <c r="I15" i="16" s="1"/>
  <c r="I16" i="16" a="1"/>
  <c r="I16" i="16" s="1"/>
  <c r="I17" i="16" a="1"/>
  <c r="I17" i="16" s="1"/>
  <c r="I18" i="16" a="1"/>
  <c r="I18" i="16" s="1"/>
  <c r="I19" i="16" a="1"/>
  <c r="I19" i="16" s="1"/>
  <c r="I20" i="16" a="1"/>
  <c r="I20" i="16" s="1"/>
  <c r="I21" i="16" a="1"/>
  <c r="I21" i="16" s="1"/>
  <c r="I22" i="16" a="1"/>
  <c r="I22" i="16" s="1"/>
  <c r="I23" i="16" a="1"/>
  <c r="I23" i="16" s="1"/>
  <c r="I24" i="16" a="1"/>
  <c r="I24" i="16" s="1"/>
  <c r="I25" i="16" a="1"/>
  <c r="I25" i="16" s="1"/>
  <c r="I26" i="16" a="1"/>
  <c r="I26" i="16" s="1"/>
  <c r="I27" i="16" a="1"/>
  <c r="I27" i="16" s="1"/>
  <c r="I28" i="16" a="1"/>
  <c r="I28" i="16" s="1"/>
  <c r="I29" i="16" a="1"/>
  <c r="I29" i="16" s="1"/>
  <c r="I30" i="16" a="1"/>
  <c r="I30" i="16" s="1"/>
  <c r="I31" i="16" a="1"/>
  <c r="I31" i="16" s="1"/>
  <c r="I32" i="16" a="1"/>
  <c r="I32" i="16" s="1"/>
  <c r="I33" i="16" a="1"/>
  <c r="I33" i="16" s="1"/>
  <c r="I34" i="16" a="1"/>
  <c r="I34" i="16" s="1"/>
  <c r="I35" i="16" a="1"/>
  <c r="I35" i="16" s="1"/>
  <c r="I36" i="16" a="1"/>
  <c r="I36" i="16" s="1"/>
  <c r="I37" i="16" a="1"/>
  <c r="I37" i="16" s="1"/>
  <c r="I3" i="16" a="1"/>
  <c r="I3" i="16" s="1"/>
  <c r="AD4" i="16" a="1"/>
  <c r="AD4" i="16" s="1"/>
  <c r="AD5" i="16" a="1"/>
  <c r="AD5" i="16" s="1"/>
  <c r="AD6" i="16" a="1"/>
  <c r="AD6" i="16" s="1"/>
  <c r="AD7" i="16" a="1"/>
  <c r="AD7" i="16" s="1"/>
  <c r="AD8" i="16" a="1"/>
  <c r="AD8" i="16"/>
  <c r="AD9" i="16" a="1"/>
  <c r="AD9" i="16" s="1"/>
  <c r="AD10" i="16" a="1"/>
  <c r="AD10" i="16" s="1"/>
  <c r="AD11" i="16" a="1"/>
  <c r="AD11" i="16" s="1"/>
  <c r="AD12" i="16" a="1"/>
  <c r="AD12" i="16" s="1"/>
  <c r="AD13" i="16" a="1"/>
  <c r="AD13" i="16" s="1"/>
  <c r="AD14" i="16" a="1"/>
  <c r="AD14" i="16" s="1"/>
  <c r="AD15" i="16" a="1"/>
  <c r="AD15" i="16" s="1"/>
  <c r="AD16" i="16" a="1"/>
  <c r="AD16" i="16" s="1"/>
  <c r="AD17" i="16" a="1"/>
  <c r="AD17" i="16" s="1"/>
  <c r="AD18" i="16" a="1"/>
  <c r="AD18" i="16" s="1"/>
  <c r="AD19" i="16" a="1"/>
  <c r="AD19" i="16" s="1"/>
  <c r="AD20" i="16" a="1"/>
  <c r="AD20" i="16" s="1"/>
  <c r="AD21" i="16" a="1"/>
  <c r="AD21" i="16" s="1"/>
  <c r="AD22" i="16" a="1"/>
  <c r="AD22" i="16" s="1"/>
  <c r="AD23" i="16" a="1"/>
  <c r="AD23" i="16" s="1"/>
  <c r="AD24" i="16" a="1"/>
  <c r="AD24" i="16" s="1"/>
  <c r="AD25" i="16" a="1"/>
  <c r="AD25" i="16" s="1"/>
  <c r="AD26" i="16" a="1"/>
  <c r="AD26" i="16" s="1"/>
  <c r="AD27" i="16" a="1"/>
  <c r="AD27" i="16" s="1"/>
  <c r="AD28" i="16" a="1"/>
  <c r="AD28" i="16" s="1"/>
  <c r="AD29" i="16" a="1"/>
  <c r="AD29" i="16" s="1"/>
  <c r="AD30" i="16" a="1"/>
  <c r="AD30" i="16" s="1"/>
  <c r="AD31" i="16" a="1"/>
  <c r="AD31" i="16" s="1"/>
  <c r="AD32" i="16" a="1"/>
  <c r="AD32" i="16" s="1"/>
  <c r="AD33" i="16" a="1"/>
  <c r="AD33" i="16" s="1"/>
  <c r="AD34" i="16" a="1"/>
  <c r="AD34" i="16" s="1"/>
  <c r="AD35" i="16" a="1"/>
  <c r="AD35" i="16" s="1"/>
  <c r="AD36" i="16" a="1"/>
  <c r="AD36" i="16" s="1"/>
  <c r="AD37" i="16" a="1"/>
  <c r="AD37" i="16" s="1"/>
  <c r="AD3" i="16" a="1"/>
  <c r="AD3" i="16" s="1"/>
  <c r="AE4" i="16" a="1"/>
  <c r="AE4" i="16" s="1"/>
  <c r="AE5" i="16" a="1"/>
  <c r="AE5" i="16" s="1"/>
  <c r="AE6" i="16" a="1"/>
  <c r="AE6" i="16" s="1"/>
  <c r="AE7" i="16" a="1"/>
  <c r="AE7" i="16" s="1"/>
  <c r="AE8" i="16" a="1"/>
  <c r="AE8" i="16" s="1"/>
  <c r="AE9" i="16" a="1"/>
  <c r="AE9" i="16" s="1"/>
  <c r="AE10" i="16" a="1"/>
  <c r="AE10" i="16" s="1"/>
  <c r="AE11" i="16" a="1"/>
  <c r="AE11" i="16" s="1"/>
  <c r="AE12" i="16" a="1"/>
  <c r="AE12" i="16" s="1"/>
  <c r="AE13" i="16" a="1"/>
  <c r="AE13" i="16" s="1"/>
  <c r="AE14" i="16" a="1"/>
  <c r="AE14" i="16" s="1"/>
  <c r="AE15" i="16" a="1"/>
  <c r="AE15" i="16" s="1"/>
  <c r="AE16" i="16" a="1"/>
  <c r="AE16" i="16" s="1"/>
  <c r="AE17" i="16" a="1"/>
  <c r="AE17" i="16" s="1"/>
  <c r="AE18" i="16" a="1"/>
  <c r="AE18" i="16" s="1"/>
  <c r="AE19" i="16" a="1"/>
  <c r="AE19" i="16" s="1"/>
  <c r="AE20" i="16" a="1"/>
  <c r="AE20" i="16" s="1"/>
  <c r="AE21" i="16" a="1"/>
  <c r="AE21" i="16" s="1"/>
  <c r="AE22" i="16" a="1"/>
  <c r="AE22" i="16" s="1"/>
  <c r="AE23" i="16" a="1"/>
  <c r="AE23" i="16" s="1"/>
  <c r="AE24" i="16" a="1"/>
  <c r="AE24" i="16" s="1"/>
  <c r="AE25" i="16" a="1"/>
  <c r="AE25" i="16" s="1"/>
  <c r="AE26" i="16" a="1"/>
  <c r="AE26" i="16" s="1"/>
  <c r="AE27" i="16" a="1"/>
  <c r="AE27" i="16" s="1"/>
  <c r="AE28" i="16" a="1"/>
  <c r="AE28" i="16" s="1"/>
  <c r="AE29" i="16" a="1"/>
  <c r="AE29" i="16" s="1"/>
  <c r="AE30" i="16" a="1"/>
  <c r="AE30" i="16" s="1"/>
  <c r="AE31" i="16" a="1"/>
  <c r="AE31" i="16" s="1"/>
  <c r="AE32" i="16" a="1"/>
  <c r="AE32" i="16" s="1"/>
  <c r="AE33" i="16" a="1"/>
  <c r="AE33" i="16" s="1"/>
  <c r="AE34" i="16" a="1"/>
  <c r="AE34" i="16" s="1"/>
  <c r="AE35" i="16" a="1"/>
  <c r="AE35" i="16" s="1"/>
  <c r="AE36" i="16" a="1"/>
  <c r="AE36" i="16" s="1"/>
  <c r="AE37" i="16" a="1"/>
  <c r="AE37" i="16" s="1"/>
  <c r="AC31" i="16" l="1"/>
  <c r="Y31" i="16"/>
  <c r="AC11" i="16"/>
  <c r="Y11" i="16"/>
  <c r="AC28" i="16"/>
  <c r="Y28" i="16"/>
  <c r="AC8" i="16"/>
  <c r="Y8" i="16"/>
  <c r="AC20" i="16"/>
  <c r="Y20" i="16"/>
  <c r="AC37" i="16"/>
  <c r="Y37" i="16"/>
  <c r="AC17" i="16"/>
  <c r="Y17" i="16"/>
  <c r="AC36" i="16"/>
  <c r="Y36" i="16"/>
  <c r="AC16" i="16"/>
  <c r="Y16" i="16"/>
  <c r="AC35" i="16"/>
  <c r="Y35" i="16"/>
  <c r="AC15" i="16"/>
  <c r="Y15" i="16"/>
  <c r="AC34" i="16"/>
  <c r="Y34" i="16"/>
  <c r="AC14" i="16"/>
  <c r="Y14" i="16"/>
  <c r="AC33" i="16"/>
  <c r="Y33" i="16"/>
  <c r="AC13" i="16"/>
  <c r="Y13" i="16"/>
  <c r="AC32" i="16"/>
  <c r="Y32" i="16"/>
  <c r="AC12" i="16"/>
  <c r="Y12" i="16"/>
  <c r="AC30" i="16"/>
  <c r="Y30" i="16"/>
  <c r="AC10" i="16"/>
  <c r="Y10" i="16"/>
  <c r="AC29" i="16"/>
  <c r="Y29" i="16"/>
  <c r="AC9" i="16"/>
  <c r="Y9" i="16"/>
  <c r="AC27" i="16"/>
  <c r="Y27" i="16"/>
  <c r="AC26" i="16"/>
  <c r="Y26" i="16"/>
  <c r="AC7" i="16"/>
  <c r="Y7" i="16"/>
  <c r="AC25" i="16"/>
  <c r="Y25" i="16"/>
  <c r="AC6" i="16"/>
  <c r="Y6" i="16"/>
  <c r="AC24" i="16"/>
  <c r="Y24" i="16"/>
  <c r="AC5" i="16"/>
  <c r="Y5" i="16"/>
  <c r="AC23" i="16"/>
  <c r="Y23" i="16"/>
  <c r="AC4" i="16"/>
  <c r="Y4" i="16"/>
  <c r="AC19" i="16"/>
  <c r="Y19" i="16"/>
  <c r="AC3" i="16"/>
  <c r="Y3" i="16"/>
  <c r="AC18" i="16"/>
  <c r="Y18" i="16"/>
  <c r="AC22" i="16"/>
  <c r="Y22" i="16"/>
  <c r="AC21" i="16"/>
  <c r="Y21" i="16"/>
  <c r="Z3" i="15" l="1" a="1"/>
  <c r="Z3" i="15" s="1"/>
  <c r="Z4" i="15" a="1"/>
  <c r="Z4" i="15" s="1"/>
  <c r="Z5" i="15" a="1"/>
  <c r="Z5" i="15" s="1"/>
  <c r="Z6" i="15" a="1"/>
  <c r="Z6" i="15" s="1"/>
  <c r="Z7" i="15" a="1"/>
  <c r="Z7" i="15" s="1"/>
  <c r="Z8" i="15" a="1"/>
  <c r="Z8" i="15" s="1"/>
  <c r="Z9" i="15" a="1"/>
  <c r="Z9" i="15" s="1"/>
  <c r="Z10" i="15" a="1"/>
  <c r="Z10" i="15" s="1"/>
  <c r="Z11" i="15" a="1"/>
  <c r="Z11" i="15" s="1"/>
  <c r="Z12" i="15" a="1"/>
  <c r="Z12" i="15" s="1"/>
  <c r="Z13" i="15" a="1"/>
  <c r="Z13" i="15" s="1"/>
  <c r="Z14" i="15" a="1"/>
  <c r="Z14" i="15" s="1"/>
  <c r="Z15" i="15" a="1"/>
  <c r="Z15" i="15" s="1"/>
  <c r="Z16" i="15" a="1"/>
  <c r="Z16" i="15" s="1"/>
  <c r="Z17" i="15" a="1"/>
  <c r="Z17" i="15" s="1"/>
  <c r="Z18" i="15" a="1"/>
  <c r="Z18" i="15" s="1"/>
  <c r="Z19" i="15" a="1"/>
  <c r="Z19" i="15" s="1"/>
  <c r="Z20" i="15" a="1"/>
  <c r="Z20" i="15"/>
  <c r="Z21" i="15" a="1"/>
  <c r="Z21" i="15" s="1"/>
  <c r="Z22" i="15" a="1"/>
  <c r="Z22" i="15" s="1"/>
  <c r="Z23" i="15" a="1"/>
  <c r="Z23" i="15" s="1"/>
  <c r="Z24" i="15" a="1"/>
  <c r="Z24" i="15" s="1"/>
  <c r="Z25" i="15" a="1"/>
  <c r="Z25" i="15" s="1"/>
  <c r="Z26" i="15" a="1"/>
  <c r="Z26" i="15" s="1"/>
  <c r="Z27" i="15" a="1"/>
  <c r="Z27" i="15" s="1"/>
  <c r="Z28" i="15" a="1"/>
  <c r="Z28" i="15" s="1"/>
  <c r="Z29" i="15" a="1"/>
  <c r="Z29" i="15" s="1"/>
  <c r="Z30" i="15" a="1"/>
  <c r="Z30" i="15" s="1"/>
  <c r="Z31" i="15" a="1"/>
  <c r="Z31" i="15" s="1"/>
  <c r="Z32" i="15" a="1"/>
  <c r="Z32" i="15" s="1"/>
  <c r="Z33" i="15" a="1"/>
  <c r="Z33" i="15" s="1"/>
  <c r="Z34" i="15" a="1"/>
  <c r="Z34" i="15" s="1"/>
  <c r="Z35" i="15" a="1"/>
  <c r="Z35" i="15" s="1"/>
  <c r="Z36" i="15" a="1"/>
  <c r="Z36" i="15"/>
  <c r="Z37" i="15" a="1"/>
  <c r="Z37" i="15" s="1"/>
  <c r="Z38" i="15" a="1"/>
  <c r="Z38" i="15"/>
  <c r="Z39" i="15" a="1"/>
  <c r="Z39" i="15" s="1"/>
  <c r="Z40" i="15" a="1"/>
  <c r="Z40" i="15"/>
  <c r="Z41" i="15" a="1"/>
  <c r="Z41" i="15" s="1"/>
  <c r="Z42" i="15" a="1"/>
  <c r="Z42" i="15" s="1"/>
  <c r="Z43" i="15" a="1"/>
  <c r="Z43" i="15" s="1"/>
  <c r="Z44" i="15" a="1"/>
  <c r="Z44" i="15" s="1"/>
  <c r="Z45" i="15" a="1"/>
  <c r="Z45" i="15" s="1"/>
  <c r="Z46" i="15" a="1"/>
  <c r="Z46" i="15" s="1"/>
  <c r="Z47" i="15" a="1"/>
  <c r="Z47" i="15" s="1"/>
  <c r="Z48" i="15" a="1"/>
  <c r="Z48" i="15" s="1"/>
  <c r="Z49" i="15" a="1"/>
  <c r="Z49" i="15" s="1"/>
  <c r="Z50" i="15" a="1"/>
  <c r="Z50" i="15" s="1"/>
  <c r="Z51" i="15" a="1"/>
  <c r="Z51" i="15" s="1"/>
  <c r="Z52" i="15" a="1"/>
  <c r="Z52" i="15" s="1"/>
  <c r="Z53" i="15" a="1"/>
  <c r="Z53" i="15" s="1"/>
  <c r="Z54" i="15" a="1"/>
  <c r="Z54" i="15"/>
  <c r="Z55" i="15" a="1"/>
  <c r="Z55" i="15" s="1"/>
  <c r="Z56" i="15" a="1"/>
  <c r="Z56" i="15" s="1"/>
  <c r="Z57" i="15" a="1"/>
  <c r="Z57" i="15" s="1"/>
  <c r="Z58" i="15" a="1"/>
  <c r="Z58" i="15" s="1"/>
  <c r="Z59" i="15" a="1"/>
  <c r="Z59" i="15" s="1"/>
  <c r="Z60" i="15" a="1"/>
  <c r="Z60" i="15" s="1"/>
  <c r="Z61" i="15" a="1"/>
  <c r="Z61" i="15" s="1"/>
  <c r="Z62" i="15" a="1"/>
  <c r="Z62" i="15" s="1"/>
  <c r="Z63" i="15" a="1"/>
  <c r="Z63" i="15" s="1"/>
  <c r="Z64" i="15" a="1"/>
  <c r="Z64" i="15" s="1"/>
  <c r="Z65" i="15" a="1"/>
  <c r="Z65" i="15" s="1"/>
  <c r="Z66" i="15" a="1"/>
  <c r="Z66" i="15" s="1"/>
  <c r="Z67" i="15" a="1"/>
  <c r="Z67" i="15" s="1"/>
  <c r="Z68" i="15" a="1"/>
  <c r="Z68" i="15" s="1"/>
  <c r="Z69" i="15" a="1"/>
  <c r="Z69" i="15" s="1"/>
  <c r="Z70" i="15" a="1"/>
  <c r="Z70" i="15"/>
  <c r="Z71" i="15" a="1"/>
  <c r="Z71" i="15" s="1"/>
  <c r="Z72" i="15" a="1"/>
  <c r="Z72" i="15" s="1"/>
  <c r="Z2" i="15" a="1"/>
  <c r="Z2" i="15" s="1"/>
  <c r="C19" i="16" l="1"/>
  <c r="X16" i="16" a="1"/>
  <c r="X16" i="16" s="1"/>
  <c r="O35" i="16" a="1"/>
  <c r="O35" i="16" s="1"/>
  <c r="O37" i="16" a="1"/>
  <c r="O37" i="16" s="1"/>
  <c r="C9" i="16"/>
  <c r="C29" i="16"/>
  <c r="B14" i="16"/>
  <c r="B34" i="16"/>
  <c r="C20" i="16"/>
  <c r="B5" i="16"/>
  <c r="B25" i="16"/>
  <c r="C10" i="16"/>
  <c r="C30" i="16"/>
  <c r="B15" i="16"/>
  <c r="B35" i="16"/>
  <c r="C4" i="16"/>
  <c r="C24" i="16"/>
  <c r="B9" i="16"/>
  <c r="B29" i="16"/>
  <c r="C23" i="16"/>
  <c r="B8" i="16"/>
  <c r="B28" i="16"/>
  <c r="C6" i="16"/>
  <c r="C26" i="16"/>
  <c r="B11" i="16"/>
  <c r="B31" i="16"/>
  <c r="C8" i="16"/>
  <c r="C28" i="16"/>
  <c r="B13" i="16"/>
  <c r="B33" i="16"/>
  <c r="O33" i="16" a="1"/>
  <c r="O33" i="16" s="1"/>
  <c r="O13" i="16" a="1"/>
  <c r="O13" i="16" s="1"/>
  <c r="F28" i="16" a="1"/>
  <c r="F28" i="16" s="1"/>
  <c r="F8" i="16" a="1"/>
  <c r="F8" i="16" s="1"/>
  <c r="X23" i="16" a="1"/>
  <c r="X23" i="16" s="1"/>
  <c r="B30" i="16"/>
  <c r="B10" i="16"/>
  <c r="C25" i="16"/>
  <c r="C5" i="16"/>
  <c r="O32" i="16" a="1"/>
  <c r="O32" i="16" s="1"/>
  <c r="O12" i="16" a="1"/>
  <c r="O12" i="16" s="1"/>
  <c r="F27" i="16" a="1"/>
  <c r="F27" i="16" s="1"/>
  <c r="F7" i="16" a="1"/>
  <c r="F7" i="16" s="1"/>
  <c r="X22" i="16" a="1"/>
  <c r="X22" i="16" s="1"/>
  <c r="O31" i="16" a="1"/>
  <c r="O31" i="16" s="1"/>
  <c r="O11" i="16" a="1"/>
  <c r="O11" i="16" s="1"/>
  <c r="F26" i="16" a="1"/>
  <c r="F26" i="16" s="1"/>
  <c r="F6" i="16" a="1"/>
  <c r="F6" i="16" s="1"/>
  <c r="X21" i="16" a="1"/>
  <c r="X21" i="16" s="1"/>
  <c r="O30" i="16" a="1"/>
  <c r="O30" i="16" s="1"/>
  <c r="O10" i="16" a="1"/>
  <c r="O10" i="16" s="1"/>
  <c r="F25" i="16" a="1"/>
  <c r="F25" i="16" s="1"/>
  <c r="F5" i="16" a="1"/>
  <c r="F5" i="16" s="1"/>
  <c r="X20" i="16" a="1"/>
  <c r="X20" i="16" s="1"/>
  <c r="B27" i="16"/>
  <c r="B7" i="16"/>
  <c r="C22" i="16"/>
  <c r="O29" i="16" a="1"/>
  <c r="O29" i="16" s="1"/>
  <c r="O9" i="16" a="1"/>
  <c r="O9" i="16" s="1"/>
  <c r="F24" i="16" a="1"/>
  <c r="F24" i="16" s="1"/>
  <c r="F4" i="16" a="1"/>
  <c r="F4" i="16" s="1"/>
  <c r="X19" i="16" a="1"/>
  <c r="X19" i="16" s="1"/>
  <c r="B26" i="16"/>
  <c r="B6" i="16"/>
  <c r="C21" i="16"/>
  <c r="O28" i="16" a="1"/>
  <c r="O28" i="16" s="1"/>
  <c r="O8" i="16" a="1"/>
  <c r="O8" i="16" s="1"/>
  <c r="F23" i="16" a="1"/>
  <c r="F23" i="16" s="1"/>
  <c r="X3" i="16" a="1"/>
  <c r="X3" i="16" s="1"/>
  <c r="X18" i="16" a="1"/>
  <c r="X18" i="16" s="1"/>
  <c r="O27" i="16" a="1"/>
  <c r="O27" i="16" s="1"/>
  <c r="O7" i="16" a="1"/>
  <c r="O7" i="16" s="1"/>
  <c r="F22" i="16" a="1"/>
  <c r="F22" i="16" s="1"/>
  <c r="X37" i="16" a="1"/>
  <c r="X37" i="16" s="1"/>
  <c r="X17" i="16" a="1"/>
  <c r="X17" i="16" s="1"/>
  <c r="O26" i="16" a="1"/>
  <c r="O26" i="16" s="1"/>
  <c r="O6" i="16" a="1"/>
  <c r="O6" i="16" s="1"/>
  <c r="F21" i="16" a="1"/>
  <c r="F21" i="16" s="1"/>
  <c r="X36" i="16" a="1"/>
  <c r="X36" i="16" s="1"/>
  <c r="E37" i="16" a="1"/>
  <c r="E37" i="16" s="1"/>
  <c r="E25" i="16" a="1"/>
  <c r="E25" i="16" s="1"/>
  <c r="E5" i="16" a="1"/>
  <c r="E5" i="16" s="1"/>
  <c r="Q12" i="16" a="1"/>
  <c r="Q12" i="16" s="1"/>
  <c r="Q32" i="16" a="1"/>
  <c r="Q32" i="16" s="1"/>
  <c r="E24" i="16" a="1"/>
  <c r="E24" i="16" s="1"/>
  <c r="E4" i="16" a="1"/>
  <c r="E4" i="16" s="1"/>
  <c r="E41" i="16" s="1"/>
  <c r="Q13" i="16" a="1"/>
  <c r="Q13" i="16" s="1"/>
  <c r="Q33" i="16" a="1"/>
  <c r="Q33" i="16" s="1"/>
  <c r="K21" i="16"/>
  <c r="H21" i="16" s="1" a="1"/>
  <c r="H21" i="16" s="1"/>
  <c r="E36" i="16" a="1"/>
  <c r="E36" i="16" s="1"/>
  <c r="E23" i="16" a="1"/>
  <c r="E23" i="16" s="1"/>
  <c r="Q14" i="16" a="1"/>
  <c r="Q14" i="16" s="1"/>
  <c r="Q34" i="16" a="1"/>
  <c r="Q34" i="16" s="1"/>
  <c r="P18" i="16" a="1"/>
  <c r="P18" i="16" s="1"/>
  <c r="K18" i="16"/>
  <c r="H18" i="16" s="1" a="1"/>
  <c r="H18" i="16" s="1"/>
  <c r="K3" i="16"/>
  <c r="H3" i="16" s="1" a="1"/>
  <c r="H3" i="16" s="1"/>
  <c r="P21" i="16" a="1"/>
  <c r="P21" i="16" s="1"/>
  <c r="E22" i="16" a="1"/>
  <c r="E22" i="16" s="1"/>
  <c r="E3" i="16" a="1"/>
  <c r="E3" i="16" s="1"/>
  <c r="E40" i="16" s="1"/>
  <c r="Q15" i="16" a="1"/>
  <c r="Q15" i="16" s="1"/>
  <c r="Q35" i="16" a="1"/>
  <c r="Q35" i="16" s="1"/>
  <c r="K17" i="16"/>
  <c r="H17" i="16" s="1" a="1"/>
  <c r="H17" i="16" s="1"/>
  <c r="K37" i="16"/>
  <c r="H37" i="16" s="1" a="1"/>
  <c r="H37" i="16" s="1"/>
  <c r="E35" i="16" a="1"/>
  <c r="E35" i="16" s="1"/>
  <c r="E21" i="16" a="1"/>
  <c r="E21" i="16" s="1"/>
  <c r="Q16" i="16" a="1"/>
  <c r="Q16" i="16" s="1"/>
  <c r="Q36" i="16" a="1"/>
  <c r="Q36" i="16" s="1"/>
  <c r="P20" i="16" a="1"/>
  <c r="P20" i="16" s="1"/>
  <c r="E20" i="16" a="1"/>
  <c r="E20" i="16" s="1"/>
  <c r="Q17" i="16" a="1"/>
  <c r="Q17" i="16" s="1"/>
  <c r="Q37" i="16" a="1"/>
  <c r="Q37" i="16" s="1"/>
  <c r="E34" i="16" a="1"/>
  <c r="E34" i="16" s="1"/>
  <c r="E19" i="16" a="1"/>
  <c r="E19" i="16" s="1"/>
  <c r="Q18" i="16" a="1"/>
  <c r="Q18" i="16" s="1"/>
  <c r="Q3" i="16" a="1"/>
  <c r="Q3" i="16" s="1"/>
  <c r="K20" i="16"/>
  <c r="H20" i="16" s="1" a="1"/>
  <c r="H20" i="16" s="1"/>
  <c r="E18" i="16" a="1"/>
  <c r="E18" i="16" s="1"/>
  <c r="Q19" i="16" a="1"/>
  <c r="Q19" i="16" s="1"/>
  <c r="K11" i="16"/>
  <c r="H11" i="16" s="1" a="1"/>
  <c r="H11" i="16" s="1"/>
  <c r="P23" i="16" a="1"/>
  <c r="P23" i="16" s="1"/>
  <c r="E33" i="16" a="1"/>
  <c r="E33" i="16" s="1"/>
  <c r="E17" i="16" a="1"/>
  <c r="E17" i="16" s="1"/>
  <c r="Q20" i="16" a="1"/>
  <c r="Q20" i="16" s="1"/>
  <c r="P4" i="16" a="1"/>
  <c r="P4" i="16" s="1"/>
  <c r="P24" i="16" a="1"/>
  <c r="P24" i="16" s="1"/>
  <c r="E16" i="16" a="1"/>
  <c r="E16" i="16" s="1"/>
  <c r="Q21" i="16" a="1"/>
  <c r="Q21" i="16" s="1"/>
  <c r="P5" i="16" a="1"/>
  <c r="P5" i="16" s="1"/>
  <c r="P25" i="16" a="1"/>
  <c r="P25" i="16" s="1"/>
  <c r="E32" i="16" a="1"/>
  <c r="E32" i="16" s="1"/>
  <c r="E15" i="16" a="1"/>
  <c r="E15" i="16" s="1"/>
  <c r="Q22" i="16" a="1"/>
  <c r="Q22" i="16" s="1"/>
  <c r="P6" i="16" a="1"/>
  <c r="P6" i="16" s="1"/>
  <c r="P26" i="16" a="1"/>
  <c r="P26" i="16" s="1"/>
  <c r="E14" i="16" a="1"/>
  <c r="E14" i="16" s="1"/>
  <c r="Q23" i="16" a="1"/>
  <c r="Q23" i="16" s="1"/>
  <c r="P7" i="16" a="1"/>
  <c r="P7" i="16" s="1"/>
  <c r="P27" i="16" a="1"/>
  <c r="P27" i="16" s="1"/>
  <c r="K5" i="16"/>
  <c r="H5" i="16" s="1" a="1"/>
  <c r="H5" i="16" s="1"/>
  <c r="K25" i="16"/>
  <c r="H25" i="16" s="1" a="1"/>
  <c r="H25" i="16" s="1"/>
  <c r="K6" i="16"/>
  <c r="H6" i="16" s="1" a="1"/>
  <c r="H6" i="16" s="1"/>
  <c r="K26" i="16"/>
  <c r="H26" i="16" s="1" a="1"/>
  <c r="H26" i="16" s="1"/>
  <c r="K7" i="16"/>
  <c r="H7" i="16" s="1" a="1"/>
  <c r="H7" i="16" s="1"/>
  <c r="K27" i="16"/>
  <c r="H27" i="16" s="1" a="1"/>
  <c r="H27" i="16" s="1"/>
  <c r="Q26" i="16" a="1"/>
  <c r="Q26" i="16" s="1"/>
  <c r="K8" i="16"/>
  <c r="H8" i="16" s="1" a="1"/>
  <c r="H8" i="16" s="1"/>
  <c r="K28" i="16"/>
  <c r="H28" i="16" s="1" a="1"/>
  <c r="H28" i="16" s="1"/>
  <c r="P11" i="16" a="1"/>
  <c r="P11" i="16" s="1"/>
  <c r="K16" i="16"/>
  <c r="H16" i="16" s="1" a="1"/>
  <c r="H16" i="16" s="1"/>
  <c r="K36" i="16"/>
  <c r="H36" i="16" s="1" a="1"/>
  <c r="H36" i="16" s="1"/>
  <c r="P19" i="16" a="1"/>
  <c r="P19" i="16" s="1"/>
  <c r="E31" i="16" a="1"/>
  <c r="E31" i="16" s="1"/>
  <c r="E13" i="16" a="1"/>
  <c r="E13" i="16" s="1"/>
  <c r="Q4" i="16" a="1"/>
  <c r="Q4" i="16" s="1"/>
  <c r="Q24" i="16" a="1"/>
  <c r="Q24" i="16" s="1"/>
  <c r="P8" i="16" a="1"/>
  <c r="P8" i="16" s="1"/>
  <c r="P28" i="16" a="1"/>
  <c r="P28" i="16" s="1"/>
  <c r="P10" i="16" a="1"/>
  <c r="P10" i="16" s="1"/>
  <c r="P31" i="16" a="1"/>
  <c r="P31" i="16" s="1"/>
  <c r="P37" i="16" a="1"/>
  <c r="P37" i="16" s="1"/>
  <c r="E12" i="16" a="1"/>
  <c r="E12" i="16" s="1"/>
  <c r="Q5" i="16" a="1"/>
  <c r="Q5" i="16" s="1"/>
  <c r="Q25" i="16" a="1"/>
  <c r="Q25" i="16" s="1"/>
  <c r="P9" i="16" a="1"/>
  <c r="P9" i="16" s="1"/>
  <c r="P29" i="16" a="1"/>
  <c r="P29" i="16" s="1"/>
  <c r="P30" i="16" a="1"/>
  <c r="P30" i="16" s="1"/>
  <c r="K31" i="16"/>
  <c r="H31" i="16" s="1" a="1"/>
  <c r="H31" i="16" s="1"/>
  <c r="E30" i="16" a="1"/>
  <c r="E30" i="16" s="1"/>
  <c r="E11" i="16" a="1"/>
  <c r="E11" i="16" s="1"/>
  <c r="Q6" i="16" a="1"/>
  <c r="Q6" i="16" s="1"/>
  <c r="K9" i="16"/>
  <c r="H9" i="16" s="1" a="1"/>
  <c r="H9" i="16" s="1"/>
  <c r="K29" i="16"/>
  <c r="H29" i="16" s="1" a="1"/>
  <c r="H29" i="16" s="1"/>
  <c r="P32" i="16" a="1"/>
  <c r="P32" i="16" s="1"/>
  <c r="E10" i="16" a="1"/>
  <c r="E10" i="16" s="1"/>
  <c r="Q7" i="16" a="1"/>
  <c r="Q7" i="16" s="1"/>
  <c r="Q27" i="16" a="1"/>
  <c r="Q27" i="16" s="1"/>
  <c r="K19" i="16"/>
  <c r="H19" i="16" s="1" a="1"/>
  <c r="H19" i="16" s="1"/>
  <c r="P22" i="16" a="1"/>
  <c r="P22" i="16" s="1"/>
  <c r="E29" i="16" a="1"/>
  <c r="E29" i="16" s="1"/>
  <c r="E9" i="16" a="1"/>
  <c r="E9" i="16" s="1"/>
  <c r="Q8" i="16" a="1"/>
  <c r="Q8" i="16" s="1"/>
  <c r="Q28" i="16" a="1"/>
  <c r="Q28" i="16" s="1"/>
  <c r="P12" i="16" a="1"/>
  <c r="P12" i="16" s="1"/>
  <c r="K10" i="16"/>
  <c r="H10" i="16" s="1" a="1"/>
  <c r="H10" i="16" s="1"/>
  <c r="K30" i="16"/>
  <c r="H30" i="16" s="1" a="1"/>
  <c r="H30" i="16" s="1"/>
  <c r="P33" i="16" a="1"/>
  <c r="P33" i="16" s="1"/>
  <c r="K4" i="16"/>
  <c r="H4" i="16" s="1" a="1"/>
  <c r="H4" i="16" s="1"/>
  <c r="K24" i="16"/>
  <c r="H24" i="16" s="1" a="1"/>
  <c r="H24" i="16" s="1"/>
  <c r="E28" i="16" a="1"/>
  <c r="E28" i="16" s="1"/>
  <c r="E8" i="16" a="1"/>
  <c r="E8" i="16" s="1"/>
  <c r="Q9" i="16" a="1"/>
  <c r="Q9" i="16" s="1"/>
  <c r="Q29" i="16" a="1"/>
  <c r="Q29" i="16" s="1"/>
  <c r="P13" i="16" a="1"/>
  <c r="P13" i="16" s="1"/>
  <c r="K23" i="16"/>
  <c r="H23" i="16" s="1" a="1"/>
  <c r="H23" i="16" s="1"/>
  <c r="E27" i="16" a="1"/>
  <c r="E27" i="16" s="1"/>
  <c r="E7" i="16" a="1"/>
  <c r="E7" i="16" s="1"/>
  <c r="Q10" i="16" a="1"/>
  <c r="Q10" i="16" s="1"/>
  <c r="Q30" i="16" a="1"/>
  <c r="Q30" i="16" s="1"/>
  <c r="P14" i="16" a="1"/>
  <c r="P14" i="16" s="1"/>
  <c r="P34" i="16" a="1"/>
  <c r="P34" i="16" s="1"/>
  <c r="K12" i="16"/>
  <c r="H12" i="16" s="1" a="1"/>
  <c r="H12" i="16" s="1"/>
  <c r="K32" i="16"/>
  <c r="H32" i="16" s="1" a="1"/>
  <c r="H32" i="16" s="1"/>
  <c r="K13" i="16"/>
  <c r="H13" i="16" s="1" a="1"/>
  <c r="H13" i="16" s="1"/>
  <c r="K33" i="16"/>
  <c r="H33" i="16" s="1" a="1"/>
  <c r="H33" i="16" s="1"/>
  <c r="P16" i="16" a="1"/>
  <c r="P16" i="16" s="1"/>
  <c r="K14" i="16"/>
  <c r="H14" i="16" s="1" a="1"/>
  <c r="H14" i="16" s="1"/>
  <c r="K34" i="16"/>
  <c r="H34" i="16" s="1" a="1"/>
  <c r="H34" i="16" s="1"/>
  <c r="P17" i="16" a="1"/>
  <c r="P17" i="16" s="1"/>
  <c r="E26" i="16" a="1"/>
  <c r="E26" i="16" s="1"/>
  <c r="E6" i="16" a="1"/>
  <c r="E6" i="16" s="1"/>
  <c r="Q11" i="16" a="1"/>
  <c r="Q11" i="16" s="1"/>
  <c r="Q31" i="16" a="1"/>
  <c r="Q31" i="16" s="1"/>
  <c r="P15" i="16" a="1"/>
  <c r="P15" i="16" s="1"/>
  <c r="P35" i="16" a="1"/>
  <c r="P35" i="16" s="1"/>
  <c r="P36" i="16" a="1"/>
  <c r="P36" i="16" s="1"/>
  <c r="K15" i="16"/>
  <c r="H15" i="16" s="1" a="1"/>
  <c r="H15" i="16" s="1"/>
  <c r="K35" i="16"/>
  <c r="H35" i="16" s="1" a="1"/>
  <c r="H35" i="16" s="1"/>
  <c r="K22" i="16"/>
  <c r="H22" i="16" s="1" a="1"/>
  <c r="H22" i="16" s="1"/>
  <c r="V4" i="16" a="1"/>
  <c r="V4" i="16" s="1"/>
  <c r="V24" i="16" a="1"/>
  <c r="V24" i="16" s="1"/>
  <c r="V5" i="16" a="1"/>
  <c r="V5" i="16" s="1"/>
  <c r="V25" i="16" a="1"/>
  <c r="V25" i="16" s="1"/>
  <c r="V6" i="16" a="1"/>
  <c r="V6" i="16" s="1"/>
  <c r="V26" i="16" a="1"/>
  <c r="V26" i="16" s="1"/>
  <c r="V7" i="16" a="1"/>
  <c r="V7" i="16" s="1"/>
  <c r="W7" i="16" s="1"/>
  <c r="V27" i="16" a="1"/>
  <c r="V27" i="16" s="1"/>
  <c r="V8" i="16" a="1"/>
  <c r="V8" i="16" s="1"/>
  <c r="V28" i="16" a="1"/>
  <c r="V28" i="16" s="1"/>
  <c r="V9" i="16" a="1"/>
  <c r="V9" i="16" s="1"/>
  <c r="V29" i="16" a="1"/>
  <c r="V29" i="16" s="1"/>
  <c r="V10" i="16" a="1"/>
  <c r="V10" i="16" s="1"/>
  <c r="V30" i="16" a="1"/>
  <c r="V30" i="16" s="1"/>
  <c r="V11" i="16" a="1"/>
  <c r="V11" i="16" s="1"/>
  <c r="V31" i="16" a="1"/>
  <c r="V31" i="16" s="1"/>
  <c r="V12" i="16" a="1"/>
  <c r="V12" i="16" s="1"/>
  <c r="V32" i="16" a="1"/>
  <c r="V32" i="16" s="1"/>
  <c r="V13" i="16" a="1"/>
  <c r="V13" i="16" s="1"/>
  <c r="V33" i="16" a="1"/>
  <c r="V33" i="16" s="1"/>
  <c r="W33" i="16" s="1"/>
  <c r="V14" i="16" a="1"/>
  <c r="V14" i="16" s="1"/>
  <c r="W14" i="16" s="1"/>
  <c r="V34" i="16" a="1"/>
  <c r="V34" i="16" s="1"/>
  <c r="W34" i="16" s="1"/>
  <c r="V15" i="16" a="1"/>
  <c r="V15" i="16" s="1"/>
  <c r="W15" i="16" s="1"/>
  <c r="V35" i="16" a="1"/>
  <c r="V35" i="16" s="1"/>
  <c r="V16" i="16" a="1"/>
  <c r="V16" i="16" s="1"/>
  <c r="W16" i="16" s="1"/>
  <c r="V36" i="16" a="1"/>
  <c r="V36" i="16" s="1"/>
  <c r="W36" i="16" s="1"/>
  <c r="V17" i="16" a="1"/>
  <c r="V17" i="16" s="1"/>
  <c r="V37" i="16" a="1"/>
  <c r="V37" i="16" s="1"/>
  <c r="W37" i="16" s="1"/>
  <c r="V18" i="16" a="1"/>
  <c r="V18" i="16" s="1"/>
  <c r="W18" i="16" s="1"/>
  <c r="V3" i="16" a="1"/>
  <c r="V3" i="16" s="1"/>
  <c r="V19" i="16" a="1"/>
  <c r="V19" i="16" s="1"/>
  <c r="V20" i="16" a="1"/>
  <c r="V20" i="16" s="1"/>
  <c r="V21" i="16" a="1"/>
  <c r="V21" i="16" s="1"/>
  <c r="V22" i="16" a="1"/>
  <c r="V22" i="16" s="1"/>
  <c r="W22" i="16" s="1"/>
  <c r="V23" i="16" a="1"/>
  <c r="V23" i="16" s="1"/>
  <c r="W23" i="16" s="1"/>
  <c r="B23" i="16"/>
  <c r="C3" i="16"/>
  <c r="C18" i="16"/>
  <c r="O5" i="16" a="1"/>
  <c r="O5" i="16" s="1"/>
  <c r="F20" i="16" a="1"/>
  <c r="F20" i="16" s="1"/>
  <c r="X35" i="16" a="1"/>
  <c r="X35" i="16" s="1"/>
  <c r="X15" i="16" a="1"/>
  <c r="X15" i="16" s="1"/>
  <c r="O25" i="16" a="1"/>
  <c r="O25" i="16" s="1"/>
  <c r="B22" i="16"/>
  <c r="C37" i="16"/>
  <c r="C17" i="16"/>
  <c r="O24" i="16" a="1"/>
  <c r="O24" i="16" s="1"/>
  <c r="O4" i="16" a="1"/>
  <c r="O4" i="16" s="1"/>
  <c r="F19" i="16" a="1"/>
  <c r="F19" i="16" s="1"/>
  <c r="X34" i="16" a="1"/>
  <c r="X34" i="16" s="1"/>
  <c r="X14" i="16" a="1"/>
  <c r="X14" i="16" s="1"/>
  <c r="O23" i="16" a="1"/>
  <c r="O23" i="16" s="1"/>
  <c r="F3" i="16" a="1"/>
  <c r="F3" i="16" s="1"/>
  <c r="F18" i="16" a="1"/>
  <c r="F18" i="16" s="1"/>
  <c r="X33" i="16" a="1"/>
  <c r="X33" i="16" s="1"/>
  <c r="X13" i="16" a="1"/>
  <c r="X13" i="16" s="1"/>
  <c r="O22" i="16" a="1"/>
  <c r="O22" i="16" s="1"/>
  <c r="F37" i="16" a="1"/>
  <c r="F37" i="16" s="1"/>
  <c r="F17" i="16" a="1"/>
  <c r="F17" i="16" s="1"/>
  <c r="X32" i="16" a="1"/>
  <c r="X32" i="16" s="1"/>
  <c r="X12" i="16" a="1"/>
  <c r="X12" i="16" s="1"/>
  <c r="B21" i="16"/>
  <c r="C36" i="16"/>
  <c r="C16" i="16"/>
  <c r="B19" i="16"/>
  <c r="C34" i="16"/>
  <c r="C14" i="16"/>
  <c r="O21" i="16" a="1"/>
  <c r="O21" i="16" s="1"/>
  <c r="F36" i="16" a="1"/>
  <c r="F36" i="16" s="1"/>
  <c r="F16" i="16" a="1"/>
  <c r="F16" i="16" s="1"/>
  <c r="X31" i="16" a="1"/>
  <c r="X31" i="16" s="1"/>
  <c r="X11" i="16" a="1"/>
  <c r="X11" i="16" s="1"/>
  <c r="B20" i="16"/>
  <c r="C35" i="16"/>
  <c r="C15" i="16"/>
  <c r="B3" i="16"/>
  <c r="B18" i="16"/>
  <c r="C33" i="16"/>
  <c r="C13" i="16"/>
  <c r="O20" i="16" a="1"/>
  <c r="O20" i="16" s="1"/>
  <c r="F35" i="16" a="1"/>
  <c r="F35" i="16" s="1"/>
  <c r="F15" i="16" a="1"/>
  <c r="F15" i="16" s="1"/>
  <c r="X30" i="16" a="1"/>
  <c r="X30" i="16" s="1"/>
  <c r="X10" i="16" a="1"/>
  <c r="X10" i="16" s="1"/>
  <c r="B24" i="16"/>
  <c r="B4" i="16"/>
  <c r="B37" i="16"/>
  <c r="B17" i="16"/>
  <c r="C32" i="16"/>
  <c r="C12" i="16"/>
  <c r="O19" i="16" a="1"/>
  <c r="O19" i="16" s="1"/>
  <c r="F34" i="16" a="1"/>
  <c r="F34" i="16" s="1"/>
  <c r="F14" i="16" a="1"/>
  <c r="F14" i="16" s="1"/>
  <c r="X29" i="16" a="1"/>
  <c r="X29" i="16" s="1"/>
  <c r="X9" i="16" a="1"/>
  <c r="X9" i="16" s="1"/>
  <c r="B36" i="16"/>
  <c r="B16" i="16"/>
  <c r="C31" i="16"/>
  <c r="C11" i="16"/>
  <c r="O3" i="16" a="1"/>
  <c r="O3" i="16" s="1"/>
  <c r="O18" i="16" a="1"/>
  <c r="O18" i="16" s="1"/>
  <c r="F33" i="16" a="1"/>
  <c r="F33" i="16" s="1"/>
  <c r="F13" i="16" a="1"/>
  <c r="F13" i="16" s="1"/>
  <c r="X28" i="16" a="1"/>
  <c r="X28" i="16" s="1"/>
  <c r="X8" i="16" a="1"/>
  <c r="X8" i="16" s="1"/>
  <c r="O17" i="16" a="1"/>
  <c r="O17" i="16" s="1"/>
  <c r="F32" i="16" a="1"/>
  <c r="F32" i="16" s="1"/>
  <c r="F12" i="16" a="1"/>
  <c r="F12" i="16" s="1"/>
  <c r="X27" i="16" a="1"/>
  <c r="X27" i="16" s="1"/>
  <c r="X7" i="16" a="1"/>
  <c r="X7" i="16" s="1"/>
  <c r="O36" i="16" a="1"/>
  <c r="O36" i="16" s="1"/>
  <c r="O16" i="16" a="1"/>
  <c r="O16" i="16" s="1"/>
  <c r="F31" i="16" a="1"/>
  <c r="F31" i="16" s="1"/>
  <c r="F11" i="16" a="1"/>
  <c r="F11" i="16" s="1"/>
  <c r="X26" i="16" a="1"/>
  <c r="X26" i="16" s="1"/>
  <c r="X6" i="16" a="1"/>
  <c r="X6" i="16" s="1"/>
  <c r="O15" i="16" a="1"/>
  <c r="O15" i="16" s="1"/>
  <c r="F30" i="16" a="1"/>
  <c r="F30" i="16" s="1"/>
  <c r="F10" i="16" a="1"/>
  <c r="F10" i="16" s="1"/>
  <c r="X25" i="16" a="1"/>
  <c r="X25" i="16" s="1"/>
  <c r="X5" i="16" a="1"/>
  <c r="X5" i="16" s="1"/>
  <c r="B32" i="16"/>
  <c r="B12" i="16"/>
  <c r="C27" i="16"/>
  <c r="C7" i="16"/>
  <c r="O34" i="16" a="1"/>
  <c r="O34" i="16" s="1"/>
  <c r="O14" i="16" a="1"/>
  <c r="O14" i="16" s="1"/>
  <c r="F29" i="16" a="1"/>
  <c r="F29" i="16" s="1"/>
  <c r="F9" i="16" a="1"/>
  <c r="F9" i="16" s="1"/>
  <c r="X24" i="16" a="1"/>
  <c r="X24" i="16" s="1"/>
  <c r="X4" i="16" a="1"/>
  <c r="X4" i="16" s="1"/>
  <c r="R21" i="16" a="1"/>
  <c r="R31" i="16" a="1"/>
  <c r="L23" i="16" a="1"/>
  <c r="R8" i="16" a="1"/>
  <c r="R14" i="16" a="1"/>
  <c r="L20" i="16" a="1"/>
  <c r="L21" i="16" a="1"/>
  <c r="R10" i="16" a="1"/>
  <c r="L10" i="16" a="1"/>
  <c r="L17" i="16" a="1"/>
  <c r="L32" i="16" a="1"/>
  <c r="R9" i="16" a="1"/>
  <c r="R29" i="16" a="1"/>
  <c r="R11" i="16" a="1"/>
  <c r="L4" i="16" a="1"/>
  <c r="L5" i="16" a="1"/>
  <c r="R3" i="16" a="1"/>
  <c r="R24" i="16" a="1"/>
  <c r="L12" i="16" a="1"/>
  <c r="R23" i="16" a="1"/>
  <c r="L19" i="16" a="1"/>
  <c r="L8" i="16" a="1"/>
  <c r="L26" i="16" a="1"/>
  <c r="L35" i="16" a="1"/>
  <c r="R20" i="16" a="1"/>
  <c r="R26" i="16" a="1"/>
  <c r="R32" i="16" a="1"/>
  <c r="R17" i="16" a="1"/>
  <c r="R4" i="16" a="1"/>
  <c r="L14" i="16" a="1"/>
  <c r="L31" i="16" a="1"/>
  <c r="L18" i="16" a="1"/>
  <c r="L22" i="16" a="1"/>
  <c r="L11" i="16" a="1"/>
  <c r="L33" i="16" a="1"/>
  <c r="L16" i="16" a="1"/>
  <c r="R7" i="16" a="1"/>
  <c r="R19" i="16" a="1"/>
  <c r="L15" i="16" a="1"/>
  <c r="R25" i="16" a="1"/>
  <c r="L34" i="16" a="1"/>
  <c r="L9" i="16" a="1"/>
  <c r="R5" i="16" a="1"/>
  <c r="L37" i="16" a="1"/>
  <c r="R15" i="16" a="1"/>
  <c r="R37" i="16" a="1"/>
  <c r="R18" i="16" a="1"/>
  <c r="L3" i="16" a="1"/>
  <c r="R36" i="16" a="1"/>
  <c r="L6" i="16" a="1"/>
  <c r="R30" i="16" a="1"/>
  <c r="L30" i="16" a="1"/>
  <c r="R13" i="16" a="1"/>
  <c r="R27" i="16" a="1"/>
  <c r="L13" i="16" a="1"/>
  <c r="R35" i="16" a="1"/>
  <c r="R22" i="16" a="1"/>
  <c r="R16" i="16" a="1"/>
  <c r="L29" i="16" a="1"/>
  <c r="R34" i="16" a="1"/>
  <c r="L7" i="16" a="1"/>
  <c r="R28" i="16" a="1"/>
  <c r="L24" i="16" a="1"/>
  <c r="L27" i="16" a="1"/>
  <c r="L36" i="16" a="1"/>
  <c r="R12" i="16" a="1"/>
  <c r="L28" i="16" a="1"/>
  <c r="R33" i="16" a="1"/>
  <c r="L25" i="16" a="1"/>
  <c r="R6" i="16" a="1"/>
  <c r="AH36" i="16" l="1"/>
  <c r="AG17" i="16"/>
  <c r="AH17" i="16"/>
  <c r="AH20" i="16"/>
  <c r="AH26" i="16"/>
  <c r="AH7" i="16"/>
  <c r="AH34" i="16"/>
  <c r="AH16" i="16"/>
  <c r="P3" i="16" a="1"/>
  <c r="P3" i="16" s="1"/>
  <c r="L15" i="16"/>
  <c r="L27" i="16"/>
  <c r="L18" i="16"/>
  <c r="L25" i="16"/>
  <c r="L24" i="16"/>
  <c r="L26" i="16"/>
  <c r="L10" i="16"/>
  <c r="L34" i="16"/>
  <c r="L4" i="16"/>
  <c r="L19" i="16"/>
  <c r="L36" i="16"/>
  <c r="L12" i="16"/>
  <c r="L3" i="16"/>
  <c r="L30" i="16"/>
  <c r="L29" i="16"/>
  <c r="L28" i="16"/>
  <c r="L33" i="16"/>
  <c r="L22" i="16"/>
  <c r="L14" i="16"/>
  <c r="L17" i="16"/>
  <c r="L6" i="16"/>
  <c r="L7" i="16"/>
  <c r="L11" i="16"/>
  <c r="L21" i="16"/>
  <c r="L13" i="16"/>
  <c r="L35" i="16"/>
  <c r="L32" i="16"/>
  <c r="L23" i="16"/>
  <c r="L5" i="16"/>
  <c r="L20" i="16"/>
  <c r="L9" i="16"/>
  <c r="L16" i="16"/>
  <c r="L31" i="16"/>
  <c r="L37" i="16"/>
  <c r="L8" i="16"/>
  <c r="G26" i="16"/>
  <c r="J26" i="16"/>
  <c r="G6" i="16"/>
  <c r="J6" i="16"/>
  <c r="G25" i="16"/>
  <c r="J25" i="16"/>
  <c r="G20" i="16"/>
  <c r="J20" i="16"/>
  <c r="J21" i="16"/>
  <c r="G21" i="16"/>
  <c r="G5" i="16"/>
  <c r="J5" i="16"/>
  <c r="J37" i="16"/>
  <c r="G37" i="16"/>
  <c r="G23" i="16"/>
  <c r="J23" i="16"/>
  <c r="G17" i="16"/>
  <c r="J17" i="16"/>
  <c r="G34" i="16"/>
  <c r="J34" i="16"/>
  <c r="G14" i="16"/>
  <c r="J14" i="16"/>
  <c r="G19" i="16"/>
  <c r="J19" i="16"/>
  <c r="J31" i="16"/>
  <c r="G31" i="16"/>
  <c r="G30" i="16"/>
  <c r="J30" i="16"/>
  <c r="J29" i="16"/>
  <c r="G29" i="16"/>
  <c r="G13" i="16"/>
  <c r="J13" i="16"/>
  <c r="J22" i="16"/>
  <c r="G22" i="16"/>
  <c r="G36" i="16"/>
  <c r="J36" i="16"/>
  <c r="G3" i="16"/>
  <c r="J3" i="16"/>
  <c r="J18" i="16"/>
  <c r="G18" i="16"/>
  <c r="J33" i="16"/>
  <c r="G33" i="16"/>
  <c r="G35" i="16"/>
  <c r="J35" i="16"/>
  <c r="G32" i="16"/>
  <c r="J32" i="16"/>
  <c r="G15" i="16"/>
  <c r="J15" i="16"/>
  <c r="G12" i="16"/>
  <c r="J12" i="16"/>
  <c r="G24" i="16"/>
  <c r="J24" i="16"/>
  <c r="G8" i="16"/>
  <c r="J8" i="16"/>
  <c r="J11" i="16"/>
  <c r="G11" i="16"/>
  <c r="G16" i="16"/>
  <c r="J16" i="16"/>
  <c r="J4" i="16"/>
  <c r="G4" i="16"/>
  <c r="G28" i="16"/>
  <c r="J28" i="16"/>
  <c r="J27" i="16"/>
  <c r="G27" i="16"/>
  <c r="G10" i="16"/>
  <c r="J10" i="16"/>
  <c r="G9" i="16"/>
  <c r="J9" i="16"/>
  <c r="G7" i="16"/>
  <c r="J7" i="16"/>
  <c r="R20" i="16"/>
  <c r="R24" i="16"/>
  <c r="R7" i="16"/>
  <c r="R28" i="16"/>
  <c r="R9" i="16"/>
  <c r="R10" i="16"/>
  <c r="R15" i="16"/>
  <c r="R31" i="16"/>
  <c r="R17" i="16"/>
  <c r="R18" i="16"/>
  <c r="R27" i="16"/>
  <c r="R36" i="16"/>
  <c r="R4" i="16"/>
  <c r="R13" i="16"/>
  <c r="R22" i="16"/>
  <c r="R8" i="16"/>
  <c r="R34" i="16"/>
  <c r="R21" i="16"/>
  <c r="R30" i="16"/>
  <c r="R12" i="16"/>
  <c r="R25" i="16"/>
  <c r="R26" i="16"/>
  <c r="R11" i="16"/>
  <c r="R32" i="16"/>
  <c r="R29" i="16"/>
  <c r="R6" i="16"/>
  <c r="R19" i="16"/>
  <c r="R33" i="16"/>
  <c r="R16" i="16"/>
  <c r="R35" i="16"/>
  <c r="R3" i="16"/>
  <c r="R5" i="16"/>
  <c r="R14" i="16"/>
  <c r="R23" i="16"/>
  <c r="R37" i="16"/>
  <c r="S14" i="16" a="1"/>
  <c r="M36" i="16" a="1"/>
  <c r="M21" i="16" a="1"/>
  <c r="S20" i="16" a="1"/>
  <c r="M35" i="16" a="1"/>
  <c r="S37" i="16" a="1"/>
  <c r="S27" i="16" a="1"/>
  <c r="M11" i="16" a="1"/>
  <c r="S13" i="16" a="1"/>
  <c r="M33" i="16" a="1"/>
  <c r="S33" i="16" a="1"/>
  <c r="S22" i="16" a="1"/>
  <c r="S6" i="16" a="1"/>
  <c r="M32" i="16" a="1"/>
  <c r="S5" i="16" a="1"/>
  <c r="M10" i="16" a="1"/>
  <c r="M37" i="16" a="1"/>
  <c r="M19" i="16" a="1"/>
  <c r="S18" i="16" a="1"/>
  <c r="S7" i="16" a="1"/>
  <c r="M28" i="16" a="1"/>
  <c r="S36" i="16" a="1"/>
  <c r="M25" i="16" a="1"/>
  <c r="M24" i="16" a="1"/>
  <c r="S21" i="16" a="1"/>
  <c r="M22" i="16" a="1"/>
  <c r="M30" i="16" a="1"/>
  <c r="M29" i="16" a="1"/>
  <c r="M5" i="16" a="1"/>
  <c r="S9" i="16" a="1"/>
  <c r="S31" i="16" a="1"/>
  <c r="M17" i="16" a="1"/>
  <c r="M12" i="16" a="1"/>
  <c r="S16" i="16" a="1"/>
  <c r="S17" i="16" a="1"/>
  <c r="S24" i="16" a="1"/>
  <c r="S32" i="16" a="1"/>
  <c r="M9" i="16" a="1"/>
  <c r="M6" i="16" a="1"/>
  <c r="M20" i="16" a="1"/>
  <c r="S3" i="16" a="1"/>
  <c r="S15" i="16" a="1"/>
  <c r="M4" i="16" a="1"/>
  <c r="S8" i="16" a="1"/>
  <c r="S23" i="16" a="1"/>
  <c r="M23" i="16" a="1"/>
  <c r="S26" i="16" a="1"/>
  <c r="M18" i="16" a="1"/>
  <c r="M26" i="16" a="1"/>
  <c r="S28" i="16" a="1"/>
  <c r="S29" i="16" a="1"/>
  <c r="S19" i="16" a="1"/>
  <c r="S34" i="16" a="1"/>
  <c r="M27" i="16" a="1"/>
  <c r="M34" i="16" a="1"/>
  <c r="S4" i="16" a="1"/>
  <c r="M16" i="16" a="1"/>
  <c r="M8" i="16" a="1"/>
  <c r="M15" i="16" a="1"/>
  <c r="S35" i="16" a="1"/>
  <c r="M7" i="16" a="1"/>
  <c r="M31" i="16" a="1"/>
  <c r="S11" i="16" a="1"/>
  <c r="M3" i="16" a="1"/>
  <c r="M14" i="16" a="1"/>
  <c r="S25" i="16" a="1"/>
  <c r="M13" i="16" a="1"/>
  <c r="S12" i="16" a="1"/>
  <c r="S10" i="16" a="1"/>
  <c r="S30" i="16" a="1"/>
  <c r="M17" i="16" l="1"/>
  <c r="M14" i="16"/>
  <c r="M22" i="16"/>
  <c r="M33" i="16"/>
  <c r="M28" i="16"/>
  <c r="M8" i="16"/>
  <c r="M29" i="16"/>
  <c r="M37" i="16"/>
  <c r="M30" i="16"/>
  <c r="M31" i="16"/>
  <c r="M3" i="16"/>
  <c r="M16" i="16"/>
  <c r="M12" i="16"/>
  <c r="M9" i="16"/>
  <c r="M36" i="16"/>
  <c r="M20" i="16"/>
  <c r="M19" i="16"/>
  <c r="M5" i="16"/>
  <c r="M4" i="16"/>
  <c r="M23" i="16"/>
  <c r="M34" i="16"/>
  <c r="M32" i="16"/>
  <c r="M10" i="16"/>
  <c r="M35" i="16"/>
  <c r="M26" i="16"/>
  <c r="M13" i="16"/>
  <c r="M24" i="16"/>
  <c r="M21" i="16"/>
  <c r="M25" i="16"/>
  <c r="M11" i="16"/>
  <c r="M18" i="16"/>
  <c r="M7" i="16"/>
  <c r="M27" i="16"/>
  <c r="M6" i="16"/>
  <c r="M15" i="16"/>
  <c r="S25" i="16"/>
  <c r="AH25" i="16" s="1"/>
  <c r="S8" i="16"/>
  <c r="AH8" i="16" s="1"/>
  <c r="S33" i="16"/>
  <c r="AH33" i="16" s="1"/>
  <c r="S31" i="16"/>
  <c r="AH31" i="16" s="1"/>
  <c r="S19" i="16"/>
  <c r="AH19" i="16" s="1"/>
  <c r="S22" i="16"/>
  <c r="AH22" i="16" s="1"/>
  <c r="S15" i="16"/>
  <c r="AH15" i="16" s="1"/>
  <c r="S37" i="16"/>
  <c r="AH37" i="16" s="1"/>
  <c r="S11" i="16"/>
  <c r="AH11" i="16" s="1"/>
  <c r="S13" i="16"/>
  <c r="AH13" i="16" s="1"/>
  <c r="S24" i="16"/>
  <c r="AH24" i="16" s="1"/>
  <c r="S29" i="16"/>
  <c r="AH29" i="16" s="1"/>
  <c r="S30" i="16"/>
  <c r="AH30" i="16" s="1"/>
  <c r="S17" i="16"/>
  <c r="S20" i="16"/>
  <c r="S14" i="16"/>
  <c r="AH14" i="16" s="1"/>
  <c r="S35" i="16"/>
  <c r="AH35" i="16" s="1"/>
  <c r="S21" i="16"/>
  <c r="AH21" i="16" s="1"/>
  <c r="S5" i="16"/>
  <c r="AH5" i="16" s="1"/>
  <c r="S16" i="16"/>
  <c r="S3" i="16"/>
  <c r="AH3" i="16" s="1"/>
  <c r="S36" i="16"/>
  <c r="S28" i="16"/>
  <c r="AH28" i="16" s="1"/>
  <c r="S32" i="16"/>
  <c r="AH32" i="16" s="1"/>
  <c r="S27" i="16"/>
  <c r="AH27" i="16" s="1"/>
  <c r="S7" i="16"/>
  <c r="S6" i="16"/>
  <c r="AH6" i="16" s="1"/>
  <c r="S12" i="16"/>
  <c r="AH12" i="16" s="1"/>
  <c r="S18" i="16"/>
  <c r="AH18" i="16" s="1"/>
  <c r="S10" i="16"/>
  <c r="AH10" i="16" s="1"/>
  <c r="S23" i="16"/>
  <c r="AH23" i="16" s="1"/>
  <c r="S26" i="16"/>
  <c r="S4" i="16"/>
  <c r="AH4" i="16" s="1"/>
  <c r="S9" i="16"/>
  <c r="AH9" i="16" s="1"/>
  <c r="S34" i="16"/>
  <c r="AT37" i="16"/>
  <c r="AS37" i="16"/>
  <c r="AT36" i="16"/>
  <c r="AT35" i="16"/>
  <c r="AS35" i="16"/>
  <c r="AT34" i="16"/>
  <c r="AS34" i="16"/>
  <c r="AT33" i="16"/>
  <c r="AS33" i="16"/>
  <c r="AS32" i="16"/>
  <c r="AT31" i="16"/>
  <c r="AS31" i="16"/>
  <c r="AT30" i="16"/>
  <c r="AS30" i="16"/>
  <c r="AS29" i="16"/>
  <c r="AT28" i="16"/>
  <c r="AT27" i="16"/>
  <c r="AS27" i="16"/>
  <c r="AT26" i="16"/>
  <c r="AS26" i="16"/>
  <c r="AT25" i="16"/>
  <c r="AS23" i="16"/>
  <c r="AT22" i="16"/>
  <c r="AS22" i="16"/>
  <c r="AT20" i="16"/>
  <c r="AS20" i="16"/>
  <c r="AS19" i="16"/>
  <c r="AS18" i="16"/>
  <c r="N35" i="16" a="1"/>
  <c r="N3" i="16" a="1"/>
  <c r="N22" i="16" a="1"/>
  <c r="N34" i="16" a="1"/>
  <c r="N9" i="16" a="1"/>
  <c r="N14" i="16" a="1"/>
  <c r="N5" i="16" a="1"/>
  <c r="N21" i="16" a="1"/>
  <c r="N15" i="16" a="1"/>
  <c r="N30" i="16" a="1"/>
  <c r="N24" i="16" a="1"/>
  <c r="N7" i="16" a="1"/>
  <c r="N29" i="16" a="1"/>
  <c r="N27" i="16" a="1"/>
  <c r="N28" i="16" a="1"/>
  <c r="N10" i="16" a="1"/>
  <c r="N18" i="16" a="1"/>
  <c r="N8" i="16" a="1"/>
  <c r="N16" i="16" a="1"/>
  <c r="N32" i="16" a="1"/>
  <c r="N25" i="16" a="1"/>
  <c r="N4" i="16" a="1"/>
  <c r="N11" i="16" a="1"/>
  <c r="N12" i="16" a="1"/>
  <c r="N26" i="16" a="1"/>
  <c r="N17" i="16" a="1"/>
  <c r="N36" i="16" a="1"/>
  <c r="N37" i="16" a="1"/>
  <c r="N20" i="16" a="1"/>
  <c r="N33" i="16" a="1"/>
  <c r="N23" i="16" a="1"/>
  <c r="N13" i="16" a="1"/>
  <c r="N6" i="16" a="1"/>
  <c r="N19" i="16" a="1"/>
  <c r="N31" i="16" a="1"/>
  <c r="AS28" i="16" l="1"/>
  <c r="AS24" i="16"/>
  <c r="AS36" i="16"/>
  <c r="AS21" i="16"/>
  <c r="AS25" i="16"/>
  <c r="N23" i="16"/>
  <c r="AG23" i="16" s="1"/>
  <c r="N4" i="16"/>
  <c r="AG4" i="16" s="1"/>
  <c r="N5" i="16"/>
  <c r="AG5" i="16" s="1"/>
  <c r="N19" i="16"/>
  <c r="AG19" i="16" s="1"/>
  <c r="N20" i="16"/>
  <c r="AG20" i="16" s="1"/>
  <c r="N15" i="16"/>
  <c r="AG15" i="16" s="1"/>
  <c r="N36" i="16"/>
  <c r="AG36" i="16" s="1"/>
  <c r="N6" i="16"/>
  <c r="AG6" i="16" s="1"/>
  <c r="N9" i="16"/>
  <c r="AG9" i="16" s="1"/>
  <c r="N27" i="16"/>
  <c r="AG27" i="16" s="1"/>
  <c r="N12" i="16"/>
  <c r="AG12" i="16" s="1"/>
  <c r="N7" i="16"/>
  <c r="AG7" i="16" s="1"/>
  <c r="N16" i="16"/>
  <c r="AG16" i="16" s="1"/>
  <c r="N18" i="16"/>
  <c r="AG18" i="16" s="1"/>
  <c r="N3" i="16"/>
  <c r="AG3" i="16" s="1"/>
  <c r="N11" i="16"/>
  <c r="AG11" i="16" s="1"/>
  <c r="N31" i="16"/>
  <c r="AG31" i="16" s="1"/>
  <c r="N25" i="16"/>
  <c r="AG25" i="16" s="1"/>
  <c r="N30" i="16"/>
  <c r="AG30" i="16" s="1"/>
  <c r="N21" i="16"/>
  <c r="AG21" i="16" s="1"/>
  <c r="N37" i="16"/>
  <c r="AG37" i="16" s="1"/>
  <c r="N24" i="16"/>
  <c r="AG24" i="16" s="1"/>
  <c r="N29" i="16"/>
  <c r="AG29" i="16" s="1"/>
  <c r="N13" i="16"/>
  <c r="AG13" i="16" s="1"/>
  <c r="N8" i="16"/>
  <c r="AG8" i="16" s="1"/>
  <c r="N26" i="16"/>
  <c r="AG26" i="16" s="1"/>
  <c r="N28" i="16"/>
  <c r="AG28" i="16" s="1"/>
  <c r="N35" i="16"/>
  <c r="AG35" i="16" s="1"/>
  <c r="N33" i="16"/>
  <c r="AG33" i="16" s="1"/>
  <c r="N10" i="16"/>
  <c r="AG10" i="16" s="1"/>
  <c r="N22" i="16"/>
  <c r="AG22" i="16" s="1"/>
  <c r="N32" i="16"/>
  <c r="AG32" i="16" s="1"/>
  <c r="N14" i="16"/>
  <c r="AG14" i="16" s="1"/>
  <c r="N34" i="16"/>
  <c r="AG34" i="16" s="1"/>
  <c r="N17" i="16"/>
  <c r="AT18" i="16"/>
  <c r="AT19" i="16"/>
  <c r="AR20" i="16"/>
  <c r="AT21" i="16"/>
  <c r="AT23" i="16"/>
  <c r="AT24" i="16"/>
  <c r="AU27" i="16"/>
  <c r="AT29" i="16"/>
  <c r="AT32" i="16"/>
  <c r="AU35" i="16"/>
  <c r="AU37" i="16"/>
  <c r="AR33" i="16" l="1"/>
  <c r="AR26" i="16"/>
  <c r="AR36" i="16"/>
  <c r="AR30" i="16"/>
  <c r="AR15" i="16"/>
  <c r="AR28" i="16"/>
  <c r="AS4" i="16"/>
  <c r="AS13" i="16"/>
  <c r="AS9" i="16"/>
  <c r="AS7" i="16"/>
  <c r="AT9" i="16"/>
  <c r="AT12" i="16"/>
  <c r="AS15" i="16"/>
  <c r="AS12" i="16"/>
  <c r="AT17" i="16"/>
  <c r="AT6" i="16"/>
  <c r="AS11" i="16"/>
  <c r="AS17" i="16"/>
  <c r="AS5" i="16"/>
  <c r="AT11" i="16"/>
  <c r="AS8" i="16"/>
  <c r="AS3" i="16"/>
  <c r="AS6" i="16"/>
  <c r="AT3" i="16"/>
  <c r="AU12" i="16"/>
  <c r="AS14" i="16"/>
  <c r="AS16" i="16"/>
  <c r="AT14" i="16"/>
  <c r="AT16" i="16"/>
  <c r="AT13" i="16"/>
  <c r="AS10" i="16"/>
  <c r="AU16" i="16"/>
  <c r="AT8" i="16"/>
  <c r="AT10" i="16"/>
  <c r="AU31" i="16"/>
  <c r="AQ18" i="16"/>
  <c r="AQ17" i="16"/>
  <c r="AU17" i="16"/>
  <c r="AT7" i="16"/>
  <c r="AT5" i="16"/>
  <c r="AQ4" i="16"/>
  <c r="AT4" i="16"/>
  <c r="AQ13" i="16"/>
  <c r="AU22" i="16"/>
  <c r="AQ16" i="16"/>
  <c r="AQ28" i="16"/>
  <c r="AT15" i="16"/>
  <c r="AQ15" i="16"/>
  <c r="AQ34" i="16"/>
  <c r="AQ26" i="16"/>
  <c r="AQ31" i="16"/>
  <c r="AQ23" i="16"/>
  <c r="AQ20" i="16"/>
  <c r="AQ12" i="16"/>
  <c r="AQ9" i="16"/>
  <c r="AQ36" i="16"/>
  <c r="AQ6" i="16"/>
  <c r="AQ14" i="16"/>
  <c r="AQ33" i="16"/>
  <c r="AQ25" i="16"/>
  <c r="AQ22" i="16"/>
  <c r="AQ30" i="16"/>
  <c r="AQ19" i="16"/>
  <c r="AQ11" i="16"/>
  <c r="AQ8" i="16"/>
  <c r="AQ5" i="16"/>
  <c r="AQ35" i="16"/>
  <c r="AQ27" i="16"/>
  <c r="AQ32" i="16"/>
  <c r="AQ24" i="16"/>
  <c r="AQ21" i="16"/>
  <c r="AQ10" i="16"/>
  <c r="AQ37" i="16"/>
  <c r="AQ29" i="16"/>
  <c r="AQ7" i="16"/>
  <c r="AU28" i="16"/>
  <c r="AU26" i="16"/>
  <c r="AU20" i="16"/>
  <c r="AU36" i="16"/>
  <c r="AU33" i="16"/>
  <c r="AU32" i="16"/>
  <c r="AU29" i="16"/>
  <c r="AU24" i="16"/>
  <c r="AU23" i="16"/>
  <c r="AU21" i="16"/>
  <c r="AU19" i="16"/>
  <c r="AU18" i="16"/>
  <c r="AR31" i="16" l="1"/>
  <c r="AR21" i="16"/>
  <c r="AR32" i="16"/>
  <c r="AR22" i="16"/>
  <c r="AR23" i="16"/>
  <c r="AR13" i="16"/>
  <c r="AR24" i="16"/>
  <c r="AR12" i="16"/>
  <c r="AR16" i="16"/>
  <c r="AR5" i="16"/>
  <c r="AR25" i="16"/>
  <c r="AR34" i="16"/>
  <c r="AR4" i="16"/>
  <c r="AR3" i="16"/>
  <c r="AR8" i="16"/>
  <c r="AR14" i="16"/>
  <c r="AR18" i="16"/>
  <c r="AR27" i="16"/>
  <c r="AR35" i="16"/>
  <c r="AR9" i="16"/>
  <c r="AR29" i="16"/>
  <c r="AR19" i="16"/>
  <c r="AR7" i="16"/>
  <c r="AR37" i="16"/>
  <c r="AR17" i="16"/>
  <c r="AR10" i="16"/>
  <c r="AR11" i="16"/>
  <c r="AR6" i="16"/>
  <c r="AU11" i="16"/>
  <c r="AU9" i="16"/>
  <c r="AU13" i="16"/>
  <c r="AU10" i="16"/>
  <c r="AU8" i="16"/>
  <c r="AU30" i="16"/>
  <c r="AU6" i="16"/>
  <c r="AU14" i="16"/>
  <c r="AU34" i="16"/>
  <c r="AU25" i="16"/>
  <c r="AU15" i="16"/>
  <c r="AU4" i="16"/>
  <c r="AU5" i="16"/>
  <c r="AU7" i="16"/>
  <c r="AU3" i="16" l="1"/>
  <c r="AQ3" i="16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<sst xmlns="http://schemas.openxmlformats.org/spreadsheetml/2006/main" count="724" uniqueCount="352">
  <si>
    <t>patient_id</t>
  </si>
  <si>
    <t>date_of_note</t>
  </si>
  <si>
    <t>ATARisk</t>
  </si>
  <si>
    <t>AJCC8</t>
  </si>
  <si>
    <t>Age</t>
  </si>
  <si>
    <t>Tstage</t>
  </si>
  <si>
    <t>Nstage</t>
  </si>
  <si>
    <t>Mstage</t>
  </si>
  <si>
    <t>LN</t>
  </si>
  <si>
    <t>Meta</t>
  </si>
  <si>
    <t>NoLNresected</t>
  </si>
  <si>
    <t>NoLNinvolved</t>
  </si>
  <si>
    <t>SizeLN</t>
  </si>
  <si>
    <t>Histo</t>
  </si>
  <si>
    <t>HistoType</t>
  </si>
  <si>
    <t>TumorSize</t>
  </si>
  <si>
    <t>VI</t>
  </si>
  <si>
    <t>Number of tumours</t>
  </si>
  <si>
    <t>NoFociVIFTC</t>
  </si>
  <si>
    <t>CI</t>
  </si>
  <si>
    <t>m-ETE</t>
  </si>
  <si>
    <t>Mutation</t>
  </si>
  <si>
    <t>MutationType</t>
  </si>
  <si>
    <t>RAIMetaFoci</t>
  </si>
  <si>
    <t>gETE</t>
  </si>
  <si>
    <t>Thyroidectomy</t>
  </si>
  <si>
    <t>ThyroidectomyType</t>
  </si>
  <si>
    <t>CompResectSurg</t>
  </si>
  <si>
    <t>CompResectPath</t>
  </si>
  <si>
    <t>PostTg</t>
  </si>
  <si>
    <t>1p</t>
  </si>
  <si>
    <t>I</t>
  </si>
  <si>
    <t>Papillary</t>
  </si>
  <si>
    <t>infiltrative follicular</t>
  </si>
  <si>
    <t>1o</t>
  </si>
  <si>
    <t>PTC</t>
  </si>
  <si>
    <t>2p</t>
  </si>
  <si>
    <t>30 mm</t>
  </si>
  <si>
    <t>2o</t>
  </si>
  <si>
    <t>3p</t>
  </si>
  <si>
    <t>1 mm</t>
  </si>
  <si>
    <t>3o</t>
  </si>
  <si>
    <t>4p</t>
  </si>
  <si>
    <t>II</t>
  </si>
  <si>
    <t>9.5 mm</t>
  </si>
  <si>
    <t>15 mm</t>
  </si>
  <si>
    <t>4o</t>
  </si>
  <si>
    <t>5p1</t>
  </si>
  <si>
    <t>0.6 mm</t>
  </si>
  <si>
    <t>5p2</t>
  </si>
  <si>
    <t>5o</t>
  </si>
  <si>
    <t>6p</t>
  </si>
  <si>
    <t>6o</t>
  </si>
  <si>
    <t>7p</t>
  </si>
  <si>
    <t>7o</t>
  </si>
  <si>
    <t>8p</t>
  </si>
  <si>
    <t>11.5 mm</t>
  </si>
  <si>
    <t>8o</t>
  </si>
  <si>
    <t>9p</t>
  </si>
  <si>
    <t>9o</t>
  </si>
  <si>
    <t>10p</t>
  </si>
  <si>
    <t>10o</t>
  </si>
  <si>
    <t>11p</t>
  </si>
  <si>
    <t>11o</t>
  </si>
  <si>
    <t>12p</t>
  </si>
  <si>
    <t>12o</t>
  </si>
  <si>
    <t>13p</t>
  </si>
  <si>
    <t>III</t>
  </si>
  <si>
    <t>13o</t>
  </si>
  <si>
    <t>14p</t>
  </si>
  <si>
    <t>3.9 cm</t>
  </si>
  <si>
    <t>14o</t>
  </si>
  <si>
    <t>15p</t>
  </si>
  <si>
    <t>NIFTP</t>
  </si>
  <si>
    <t>15o</t>
  </si>
  <si>
    <t>16p</t>
  </si>
  <si>
    <t>16o</t>
  </si>
  <si>
    <t>17p</t>
  </si>
  <si>
    <t>11 mm</t>
  </si>
  <si>
    <t>17o</t>
  </si>
  <si>
    <t>18p</t>
  </si>
  <si>
    <t>18o</t>
  </si>
  <si>
    <t>19p</t>
  </si>
  <si>
    <t>19o</t>
  </si>
  <si>
    <t>20p</t>
  </si>
  <si>
    <t>20o</t>
  </si>
  <si>
    <t>21p</t>
  </si>
  <si>
    <t>1.8 cm</t>
  </si>
  <si>
    <t>21o</t>
  </si>
  <si>
    <t>22p</t>
  </si>
  <si>
    <t>22o</t>
  </si>
  <si>
    <t>23p</t>
  </si>
  <si>
    <t>23o</t>
  </si>
  <si>
    <t>24p</t>
  </si>
  <si>
    <t>24o</t>
  </si>
  <si>
    <t>25p</t>
  </si>
  <si>
    <t>25o</t>
  </si>
  <si>
    <t>1cm</t>
  </si>
  <si>
    <t>26p</t>
  </si>
  <si>
    <t>26o</t>
  </si>
  <si>
    <t>27p</t>
  </si>
  <si>
    <t>27o</t>
  </si>
  <si>
    <t>28p</t>
  </si>
  <si>
    <t>2.5 mm</t>
  </si>
  <si>
    <t>28o</t>
  </si>
  <si>
    <t>29p</t>
  </si>
  <si>
    <t>29o</t>
  </si>
  <si>
    <t>30p</t>
  </si>
  <si>
    <t>1.5cm</t>
  </si>
  <si>
    <t>30o</t>
  </si>
  <si>
    <t>31p</t>
  </si>
  <si>
    <t>31o</t>
  </si>
  <si>
    <t>32p</t>
  </si>
  <si>
    <t>32o</t>
  </si>
  <si>
    <t>33p</t>
  </si>
  <si>
    <t>33o</t>
  </si>
  <si>
    <t>34p</t>
  </si>
  <si>
    <t>34o</t>
  </si>
  <si>
    <t>35p</t>
  </si>
  <si>
    <t>35o</t>
  </si>
  <si>
    <t>Name</t>
  </si>
  <si>
    <t>Description</t>
  </si>
  <si>
    <t>ATA risk stratification category</t>
  </si>
  <si>
    <t>8th edition of AJCC cancer staging</t>
  </si>
  <si>
    <t>Age at cancer diagnosis‡</t>
  </si>
  <si>
    <t>Tumor stage‡</t>
  </si>
  <si>
    <t>Lymph node stage†‡</t>
  </si>
  <si>
    <t>Metastasis stage†‡</t>
  </si>
  <si>
    <t>Total number of lymph node resected†</t>
  </si>
  <si>
    <t>Size of largest involved lymph node†</t>
  </si>
  <si>
    <t>Histopathology†</t>
  </si>
  <si>
    <t>Histological subtype†</t>
  </si>
  <si>
    <t>Tumor size‡</t>
  </si>
  <si>
    <t>Vascular invasion†</t>
  </si>
  <si>
    <t>Number of foci of vascular invasion for FTC†</t>
  </si>
  <si>
    <t>Capsular invasion†</t>
  </si>
  <si>
    <t>Microscopic extrathyroidal extension†</t>
  </si>
  <si>
    <t>Mutation type†</t>
  </si>
  <si>
    <t>RAI-avid metastatic foci outside the thyroid bed on the first posttreatment whole-body radioiodine scan†</t>
  </si>
  <si>
    <t>Gross extrathyroidal extension†‡</t>
  </si>
  <si>
    <t>Thyroidectomy type</t>
  </si>
  <si>
    <t>Completeness of resection (surgeon) †</t>
  </si>
  <si>
    <t>Completeness of resection (pathologist) †</t>
  </si>
  <si>
    <t>Postoperative serum thyroglobulin†</t>
  </si>
  <si>
    <t>† Item for American Thyroid Association 2009 risk stratification</t>
  </si>
  <si>
    <t>‡ Item for 8th edition of the American Joint Committee on Cancer TNM staging system of thyroid cancer</t>
  </si>
  <si>
    <t>ATA RISK</t>
  </si>
  <si>
    <t>T</t>
  </si>
  <si>
    <t>N</t>
  </si>
  <si>
    <t>M</t>
  </si>
  <si>
    <t>AJCC 8</t>
  </si>
  <si>
    <t>4mm</t>
  </si>
  <si>
    <t>T3a</t>
  </si>
  <si>
    <t>T4a</t>
  </si>
  <si>
    <t>T1</t>
  </si>
  <si>
    <t>T1a</t>
  </si>
  <si>
    <t>T1b</t>
  </si>
  <si>
    <t>T2</t>
  </si>
  <si>
    <t>T3</t>
  </si>
  <si>
    <t>T3b</t>
  </si>
  <si>
    <t>T4</t>
  </si>
  <si>
    <t>N0</t>
  </si>
  <si>
    <t>N1</t>
  </si>
  <si>
    <t>N1a</t>
  </si>
  <si>
    <t>N1b</t>
  </si>
  <si>
    <t>M0</t>
  </si>
  <si>
    <t>2.5cm</t>
  </si>
  <si>
    <t>intermediate</t>
  </si>
  <si>
    <t>high</t>
  </si>
  <si>
    <t>low</t>
  </si>
  <si>
    <t>LN extent</t>
  </si>
  <si>
    <t>Not identified</t>
  </si>
  <si>
    <t>8g</t>
  </si>
  <si>
    <t>Present</t>
  </si>
  <si>
    <t>Nontoxic uninodular goitre</t>
  </si>
  <si>
    <t>Left central compartment</t>
  </si>
  <si>
    <t>11g</t>
  </si>
  <si>
    <t>2 x 1.5 x 1.5 cm</t>
  </si>
  <si>
    <t>2cm</t>
  </si>
  <si>
    <t>50 mm</t>
  </si>
  <si>
    <t>6.5cm</t>
  </si>
  <si>
    <t>4cm</t>
  </si>
  <si>
    <t>1.3cm</t>
  </si>
  <si>
    <t>2mm</t>
  </si>
  <si>
    <t>10g</t>
  </si>
  <si>
    <t>10 mm</t>
  </si>
  <si>
    <t>16g</t>
  </si>
  <si>
    <t>6g</t>
  </si>
  <si>
    <t>Absent</t>
  </si>
  <si>
    <t>Focal involvement by invasive carcinoma at posterior surface</t>
  </si>
  <si>
    <t>4.5 mm</t>
  </si>
  <si>
    <t>Left level III</t>
  </si>
  <si>
    <t>CA thyroid</t>
  </si>
  <si>
    <t>24.5 mm</t>
  </si>
  <si>
    <t>3cm</t>
  </si>
  <si>
    <t>lung</t>
  </si>
  <si>
    <t>1b</t>
  </si>
  <si>
    <t>x</t>
  </si>
  <si>
    <t>1a</t>
  </si>
  <si>
    <t>3b</t>
  </si>
  <si>
    <t>3a</t>
  </si>
  <si>
    <t>4a</t>
  </si>
  <si>
    <t>4b</t>
  </si>
  <si>
    <t>GROUND TRUTH</t>
  </si>
  <si>
    <t>PERFORMANCE</t>
  </si>
  <si>
    <t>13 mm</t>
  </si>
  <si>
    <t>classic</t>
  </si>
  <si>
    <t>central</t>
  </si>
  <si>
    <t>oncocytic classic</t>
  </si>
  <si>
    <t>20 mm</t>
  </si>
  <si>
    <t>minimally invasive</t>
  </si>
  <si>
    <t>63 mm</t>
  </si>
  <si>
    <t>papillary</t>
  </si>
  <si>
    <t>7 mm</t>
  </si>
  <si>
    <t>Extensive (= or &gt; 4 vessels)</t>
  </si>
  <si>
    <t>tall cell</t>
  </si>
  <si>
    <r>
      <t>NoFociVIFTC</t>
    </r>
    <r>
      <rPr>
        <b/>
        <sz val="11"/>
        <rFont val="Calibri (Body)"/>
      </rPr>
      <t xml:space="preserve"> (extensive/minimal)</t>
    </r>
  </si>
  <si>
    <t>pT3a</t>
  </si>
  <si>
    <t>pT4a</t>
  </si>
  <si>
    <t>ID</t>
  </si>
  <si>
    <t>Date of clinical note or operation</t>
  </si>
  <si>
    <t>Age of patient</t>
  </si>
  <si>
    <t>Tumor staging (pT)</t>
  </si>
  <si>
    <t>Regional lymph node staging (pN)</t>
  </si>
  <si>
    <t>Distant metastasis staging (pM)</t>
  </si>
  <si>
    <t>Site of lymph node involved</t>
  </si>
  <si>
    <t>Distant metastasis involvement</t>
  </si>
  <si>
    <t>Number of lymph node resected</t>
  </si>
  <si>
    <t>Number of lymph node involved</t>
  </si>
  <si>
    <t>Greatest dimension of involved lymph node</t>
  </si>
  <si>
    <t>Histological type of thyroid cancer</t>
  </si>
  <si>
    <t>Histological subtype or variant</t>
  </si>
  <si>
    <t>Greatest dimension of tumor size</t>
  </si>
  <si>
    <t>Number of tumor</t>
  </si>
  <si>
    <t>Presence of angioinvasion</t>
  </si>
  <si>
    <t>Extensiveness of angioinvasion</t>
  </si>
  <si>
    <t>Presence of capsular invasion</t>
  </si>
  <si>
    <t>Gene mutation test performed</t>
  </si>
  <si>
    <t>Gene mutation type identified</t>
  </si>
  <si>
    <t>Presence of involved surgical margin</t>
  </si>
  <si>
    <t>IDv2</t>
  </si>
  <si>
    <t>Report</t>
  </si>
  <si>
    <t>Right central compartment</t>
  </si>
  <si>
    <t>Focal (&lt; 4 vessels)</t>
  </si>
  <si>
    <t>Suspicious foci</t>
  </si>
  <si>
    <t>Right level III</t>
  </si>
  <si>
    <t>Present (focal)</t>
  </si>
  <si>
    <t>follicular</t>
  </si>
  <si>
    <t>left lateral level II, III, IV</t>
  </si>
  <si>
    <t>PATIENT ID</t>
  </si>
  <si>
    <t>Site of extrathyroidal extension</t>
  </si>
  <si>
    <t>NX</t>
  </si>
  <si>
    <t>MX</t>
  </si>
  <si>
    <t>Anterior surface : Focally involved by carcinoma (Block 1)</t>
  </si>
  <si>
    <t>Uninvolved by carcinoma</t>
  </si>
  <si>
    <t>fatty soft tissue at isthmus</t>
  </si>
  <si>
    <t>Anterior surface: &lt; 0.1 mm from carcinoma (block 3)</t>
  </si>
  <si>
    <t>Invading only strap muscles</t>
  </si>
  <si>
    <t>Clear</t>
  </si>
  <si>
    <t>19g</t>
  </si>
  <si>
    <t>Present (minimal)</t>
  </si>
  <si>
    <t>Multiple</t>
  </si>
  <si>
    <t>Cancer</t>
  </si>
  <si>
    <t>Inferior, Lateral, Superior, Posterior</t>
  </si>
  <si>
    <t>Invading subcutaneous soft tissues, larynx, trachea, esophagus or recurrent laryngeal nerve</t>
  </si>
  <si>
    <t>Margin</t>
  </si>
  <si>
    <t>7g</t>
  </si>
  <si>
    <t>Touched posterior and lateral margins and involvement of extrathyroid soft tissue</t>
  </si>
  <si>
    <t>Invading soft tissue and strap muscles</t>
  </si>
  <si>
    <t>4 mm</t>
  </si>
  <si>
    <t>15g</t>
  </si>
  <si>
    <t>27 x 22 x 17 mm</t>
  </si>
  <si>
    <t>27g</t>
  </si>
  <si>
    <t>16 mm</t>
  </si>
  <si>
    <t>Focal penetration through the thin fibrous capsule</t>
  </si>
  <si>
    <t>25 x 15 x 15 mm</t>
  </si>
  <si>
    <t>36 x 32 x 26 mm</t>
  </si>
  <si>
    <t>24g</t>
  </si>
  <si>
    <t>8 mm</t>
  </si>
  <si>
    <t>12g</t>
  </si>
  <si>
    <t>Uninvolved by carcinoma, closest 3mm from anterior margin.</t>
  </si>
  <si>
    <t xml:space="preserve"> </t>
  </si>
  <si>
    <t>1.5 cm</t>
  </si>
  <si>
    <t>1.2 cm</t>
  </si>
  <si>
    <t>Central neck, Right level 2, 3, 4</t>
  </si>
  <si>
    <t>9mm</t>
  </si>
  <si>
    <t>5cm</t>
  </si>
  <si>
    <t>Microscopic extrathyroidal extension to skeletal muscle anterior to the thyroid gland is present</t>
  </si>
  <si>
    <t>pN1</t>
  </si>
  <si>
    <t>2.2mm</t>
  </si>
  <si>
    <t>Hurthle cell</t>
  </si>
  <si>
    <t>isthmus</t>
  </si>
  <si>
    <t>0.5 cm</t>
  </si>
  <si>
    <t>12 mm</t>
  </si>
  <si>
    <t>4.5 x 3 x 2cm</t>
  </si>
  <si>
    <t>Anterior and posterior margins focally involved.</t>
  </si>
  <si>
    <t>6 cm superoinferiorly, 3.2 cm transversely and 2.5 cm anteroposteriorly</t>
  </si>
  <si>
    <t>Focally into adjacent fibroadipose tissue</t>
  </si>
  <si>
    <t>28g</t>
  </si>
  <si>
    <t>2.5 cm</t>
  </si>
  <si>
    <t>left lateral neck, left central compartment, level II,III,IV</t>
  </si>
  <si>
    <t>Partly surrounded</t>
  </si>
  <si>
    <t>Microscopic invasive of the surrounding fat</t>
  </si>
  <si>
    <t>right central compartment</t>
  </si>
  <si>
    <t>several</t>
  </si>
  <si>
    <t>14g</t>
  </si>
  <si>
    <t>Focal Invasion</t>
  </si>
  <si>
    <t>Anterior margin: Involved by tumour, Posterior margin: Involved by tumour</t>
  </si>
  <si>
    <t>Negative</t>
  </si>
  <si>
    <t>Positive</t>
  </si>
  <si>
    <t>N2</t>
  </si>
  <si>
    <t>left central compartment</t>
  </si>
  <si>
    <t>Margins uninvolved</t>
  </si>
  <si>
    <t>central, bilateral</t>
  </si>
  <si>
    <t>near the pyramidal lobe</t>
  </si>
  <si>
    <t>Anterior margin: Involved by invasive carcinoma (block 5)</t>
  </si>
  <si>
    <t>&lt; 4</t>
  </si>
  <si>
    <t>Uninvolved by carcinoma: 0.3 mm from anterior margin.</t>
  </si>
  <si>
    <t>lateral neck lymph nodes</t>
  </si>
  <si>
    <t>not mentioned</t>
  </si>
  <si>
    <t>Left, level II-VB, encasing Lt IJV / phrenic nerve / CNX</t>
  </si>
  <si>
    <t>non-invasive follicular thyroid neoplasm with papillary-like nuclear features</t>
  </si>
  <si>
    <t>BRAF, KRAS or NRAS</t>
  </si>
  <si>
    <t>central, level III</t>
  </si>
  <si>
    <t>level VI, pretracheal, paratracheal, or prelaryngeal/Delphian, or upper mediastinal</t>
  </si>
  <si>
    <t>Posterior margin: involved by carcinoma, Anterior margin : 0.3 mm, Lateral margin  : less than 0.1 mm, Isthmic margin  : More than 10 mm</t>
  </si>
  <si>
    <t>right, cricothyroid, inferior constrictor muscle</t>
  </si>
  <si>
    <t>Right lateral neck, level II,III,IV</t>
  </si>
  <si>
    <t>1.1 cm</t>
  </si>
  <si>
    <t>close to resection margins</t>
  </si>
  <si>
    <t>22 mm</t>
  </si>
  <si>
    <t>Left central compartment, Left level 2, 3, 4 cervical</t>
  </si>
  <si>
    <t>Central compartment</t>
  </si>
  <si>
    <t>Suspected Cancer</t>
  </si>
  <si>
    <t>4 or more</t>
  </si>
  <si>
    <t>Focal capsular invasion</t>
  </si>
  <si>
    <t>microcarcinoma</t>
  </si>
  <si>
    <t>lung,bone</t>
  </si>
  <si>
    <t>Extensive (= or &gt;4 vessels)</t>
  </si>
  <si>
    <t>&gt;4</t>
  </si>
  <si>
    <t>Involved by carcinoma</t>
  </si>
  <si>
    <t>larynx and part of carotid sheath</t>
  </si>
  <si>
    <t>CLASSIFICATION RESULT</t>
  </si>
  <si>
    <t>2</t>
  </si>
  <si>
    <t>IVA</t>
  </si>
  <si>
    <t>IVB</t>
  </si>
  <si>
    <r>
      <t xml:space="preserve">SizeLN </t>
    </r>
    <r>
      <rPr>
        <b/>
        <sz val="11"/>
        <color theme="1"/>
        <rFont val="Calibri (Body)"/>
      </rPr>
      <t>clean</t>
    </r>
  </si>
  <si>
    <r>
      <t xml:space="preserve">SizeLN
</t>
    </r>
    <r>
      <rPr>
        <b/>
        <sz val="11"/>
        <color theme="1"/>
        <rFont val="Calibri (Body)"/>
      </rPr>
      <t xml:space="preserve"> (cm)</t>
    </r>
  </si>
  <si>
    <r>
      <t xml:space="preserve">TumorSize </t>
    </r>
    <r>
      <rPr>
        <b/>
        <sz val="11"/>
        <color theme="1"/>
        <rFont val="Calibri (Body)"/>
      </rPr>
      <t>clean</t>
    </r>
  </si>
  <si>
    <r>
      <t>TumorSize</t>
    </r>
    <r>
      <rPr>
        <b/>
        <sz val="11"/>
        <color theme="1"/>
        <rFont val="Calibri (Body)"/>
      </rPr>
      <t xml:space="preserve"> 
(cm)</t>
    </r>
  </si>
  <si>
    <t>EXTRACTED INFORMATION FOR CLASSIFCATION</t>
  </si>
  <si>
    <t>ETE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</si>
</sst>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8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name val="Calibri (Body)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 (Body)"/>
    </font>
  </fonts>
  <fills count="3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8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60">
    <xf numFmtId="0" fontId="0" fillId="0" borderId="0"/>
    <xf numFmtId="9" fontId="10" fillId="0" borderId="0" applyFont="0" applyFill="0" applyBorder="0" applyAlignment="0" applyProtection="0"/>
    <xf numFmtId="0" fontId="5" fillId="0" borderId="0"/>
    <xf numFmtId="0" fontId="4" fillId="0" borderId="0"/>
    <xf numFmtId="0" fontId="13" fillId="0" borderId="0" applyNumberFormat="0" applyFill="0" applyBorder="0" applyAlignment="0" applyProtection="0"/>
    <xf numFmtId="0" fontId="14" fillId="0" borderId="6" applyNumberFormat="0" applyFill="0" applyAlignment="0" applyProtection="0"/>
    <xf numFmtId="0" fontId="15" fillId="0" borderId="7" applyNumberFormat="0" applyFill="0" applyAlignment="0" applyProtection="0"/>
    <xf numFmtId="0" fontId="16" fillId="0" borderId="8" applyNumberFormat="0" applyFill="0" applyAlignment="0" applyProtection="0"/>
    <xf numFmtId="0" fontId="16" fillId="0" borderId="0" applyNumberFormat="0" applyFill="0" applyBorder="0" applyAlignment="0" applyProtection="0"/>
    <xf numFmtId="0" fontId="17" fillId="4" borderId="0" applyNumberFormat="0" applyBorder="0" applyAlignment="0" applyProtection="0"/>
    <xf numFmtId="0" fontId="18" fillId="5" borderId="0" applyNumberFormat="0" applyBorder="0" applyAlignment="0" applyProtection="0"/>
    <xf numFmtId="0" fontId="19" fillId="7" borderId="9" applyNumberFormat="0" applyAlignment="0" applyProtection="0"/>
    <xf numFmtId="0" fontId="20" fillId="8" borderId="10" applyNumberFormat="0" applyAlignment="0" applyProtection="0"/>
    <xf numFmtId="0" fontId="21" fillId="8" borderId="9" applyNumberFormat="0" applyAlignment="0" applyProtection="0"/>
    <xf numFmtId="0" fontId="22" fillId="0" borderId="11" applyNumberFormat="0" applyFill="0" applyAlignment="0" applyProtection="0"/>
    <xf numFmtId="0" fontId="23" fillId="9" borderId="12" applyNumberFormat="0" applyAlignment="0" applyProtection="0"/>
    <xf numFmtId="0" fontId="8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7" fillId="0" borderId="14" applyNumberFormat="0" applyFill="0" applyAlignment="0" applyProtection="0"/>
    <xf numFmtId="0" fontId="25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25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25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25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25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25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0" borderId="0"/>
    <xf numFmtId="0" fontId="26" fillId="6" borderId="0" applyNumberFormat="0" applyBorder="0" applyAlignment="0" applyProtection="0"/>
    <xf numFmtId="0" fontId="3" fillId="10" borderId="13" applyNumberFormat="0" applyFont="0" applyAlignment="0" applyProtection="0"/>
    <xf numFmtId="0" fontId="25" fillId="14" borderId="0" applyNumberFormat="0" applyBorder="0" applyAlignment="0" applyProtection="0"/>
    <xf numFmtId="0" fontId="25" fillId="18" borderId="0" applyNumberFormat="0" applyBorder="0" applyAlignment="0" applyProtection="0"/>
    <xf numFmtId="0" fontId="25" fillId="22" borderId="0" applyNumberFormat="0" applyBorder="0" applyAlignment="0" applyProtection="0"/>
    <xf numFmtId="0" fontId="25" fillId="26" borderId="0" applyNumberFormat="0" applyBorder="0" applyAlignment="0" applyProtection="0"/>
    <xf numFmtId="0" fontId="25" fillId="30" borderId="0" applyNumberFormat="0" applyBorder="0" applyAlignment="0" applyProtection="0"/>
    <xf numFmtId="0" fontId="25" fillId="34" borderId="0" applyNumberFormat="0" applyBorder="0" applyAlignment="0" applyProtection="0"/>
    <xf numFmtId="0" fontId="2" fillId="0" borderId="0"/>
    <xf numFmtId="0" fontId="2" fillId="10" borderId="13" applyNumberFormat="0" applyFont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2" fillId="28" borderId="0" applyNumberFormat="0" applyBorder="0" applyAlignment="0" applyProtection="0"/>
    <xf numFmtId="0" fontId="2" fillId="29" borderId="0" applyNumberFormat="0" applyBorder="0" applyAlignment="0" applyProtection="0"/>
    <xf numFmtId="0" fontId="2" fillId="32" borderId="0" applyNumberFormat="0" applyBorder="0" applyAlignment="0" applyProtection="0"/>
    <xf numFmtId="0" fontId="2" fillId="33" borderId="0" applyNumberFormat="0" applyBorder="0" applyAlignment="0" applyProtection="0"/>
  </cellStyleXfs>
  <cellXfs count="59">
    <xf numFmtId="0" fontId="0" fillId="0" borderId="0" xfId="0"/>
    <xf numFmtId="0" fontId="6" fillId="0" borderId="0" xfId="0" applyFont="1"/>
    <xf numFmtId="0" fontId="6" fillId="0" borderId="1" xfId="0" applyFont="1" applyBorder="1"/>
    <xf numFmtId="0" fontId="9" fillId="0" borderId="0" xfId="0" applyFont="1" applyAlignment="1">
      <alignment horizontal="center" vertical="center"/>
    </xf>
    <xf numFmtId="0" fontId="11" fillId="0" borderId="0" xfId="0" applyFont="1"/>
    <xf numFmtId="0" fontId="11" fillId="0" borderId="2" xfId="0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1" fontId="11" fillId="0" borderId="2" xfId="0" applyNumberFormat="1" applyFont="1" applyBorder="1" applyAlignment="1">
      <alignment horizontal="center" vertical="center"/>
    </xf>
    <xf numFmtId="1" fontId="11" fillId="0" borderId="5" xfId="0" applyNumberFormat="1" applyFont="1" applyBorder="1" applyAlignment="1">
      <alignment horizontal="center" vertical="center" wrapText="1"/>
    </xf>
    <xf numFmtId="1" fontId="9" fillId="0" borderId="4" xfId="0" applyNumberFormat="1" applyFont="1" applyBorder="1" applyAlignment="1">
      <alignment horizontal="center"/>
    </xf>
    <xf numFmtId="10" fontId="9" fillId="0" borderId="0" xfId="1" applyNumberFormat="1" applyFont="1" applyFill="1" applyBorder="1"/>
    <xf numFmtId="0" fontId="4" fillId="0" borderId="0" xfId="0" applyFont="1"/>
    <xf numFmtId="0" fontId="4" fillId="0" borderId="0" xfId="0" applyFont="1" applyAlignment="1">
      <alignment horizontal="center"/>
    </xf>
    <xf numFmtId="0" fontId="4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1" fillId="0" borderId="0" xfId="0" applyFont="1" applyAlignment="1">
      <alignment horizontal="center"/>
    </xf>
    <xf numFmtId="10" fontId="0" fillId="0" borderId="0" xfId="0" applyNumberFormat="1"/>
    <xf numFmtId="10" fontId="4" fillId="0" borderId="0" xfId="1" applyNumberFormat="1" applyFont="1" applyFill="1" applyBorder="1"/>
    <xf numFmtId="0" fontId="2" fillId="0" borderId="0" xfId="46"/>
    <xf numFmtId="15" fontId="2" fillId="0" borderId="0" xfId="46" applyNumberFormat="1"/>
    <xf numFmtId="14" fontId="0" fillId="0" borderId="0" xfId="0" applyNumberFormat="1"/>
    <xf numFmtId="15" fontId="0" fillId="0" borderId="0" xfId="0" applyNumberFormat="1"/>
    <xf numFmtId="1" fontId="11" fillId="0" borderId="5" xfId="0" applyNumberFormat="1" applyFont="1" applyBorder="1" applyAlignment="1">
      <alignment horizontal="center" vertical="center"/>
    </xf>
    <xf numFmtId="1" fontId="9" fillId="0" borderId="0" xfId="0" applyNumberFormat="1" applyFont="1" applyAlignment="1">
      <alignment horizontal="center"/>
    </xf>
    <xf numFmtId="1" fontId="11" fillId="0" borderId="16" xfId="0" applyNumberFormat="1" applyFont="1" applyBorder="1" applyAlignment="1">
      <alignment horizontal="center" vertical="center"/>
    </xf>
    <xf numFmtId="1" fontId="9" fillId="0" borderId="15" xfId="0" applyNumberFormat="1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164" fontId="0" fillId="0" borderId="2" xfId="0" applyNumberFormat="1" applyBorder="1"/>
    <xf numFmtId="0" fontId="0" fillId="0" borderId="2" xfId="0" applyBorder="1" applyAlignment="1">
      <alignment horizontal="center"/>
    </xf>
    <xf numFmtId="0" fontId="0" fillId="0" borderId="2" xfId="0" applyBorder="1"/>
    <xf numFmtId="0" fontId="0" fillId="0" borderId="2" xfId="0" applyBorder="1" applyAlignment="1">
      <alignment horizontal="left"/>
    </xf>
    <xf numFmtId="1" fontId="9" fillId="0" borderId="5" xfId="0" applyNumberFormat="1" applyFont="1" applyBorder="1" applyAlignment="1">
      <alignment horizontal="center"/>
    </xf>
    <xf numFmtId="1" fontId="9" fillId="0" borderId="2" xfId="0" applyNumberFormat="1" applyFont="1" applyBorder="1" applyAlignment="1">
      <alignment horizontal="center"/>
    </xf>
    <xf numFmtId="1" fontId="9" fillId="0" borderId="16" xfId="0" applyNumberFormat="1" applyFont="1" applyBorder="1" applyAlignment="1">
      <alignment horizontal="center"/>
    </xf>
    <xf numFmtId="0" fontId="0" fillId="0" borderId="3" xfId="0" applyBorder="1"/>
    <xf numFmtId="0" fontId="11" fillId="2" borderId="0" xfId="0" applyFont="1" applyFill="1" applyAlignment="1">
      <alignment horizontal="center"/>
    </xf>
    <xf numFmtId="1" fontId="11" fillId="3" borderId="4" xfId="0" applyNumberFormat="1" applyFont="1" applyFill="1" applyBorder="1" applyAlignment="1">
      <alignment horizontal="center"/>
    </xf>
    <xf numFmtId="1" fontId="11" fillId="3" borderId="0" xfId="0" applyNumberFormat="1" applyFont="1" applyFill="1" applyAlignment="1">
      <alignment horizontal="center"/>
    </xf>
    <xf numFmtId="1" fontId="11" fillId="3" borderId="15" xfId="0" applyNumberFormat="1" applyFont="1" applyFill="1" applyBorder="1" applyAlignment="1">
      <alignment horizontal="center"/>
    </xf>
    <xf numFmtId="0" fontId="1" fillId="0" borderId="4" xfId="0" applyFont="1" applyFill="1" applyBorder="1" applyAlignment="1">
      <alignment horizontal="center"/>
    </xf>
    <xf numFmtId="0" fontId="1" fillId="0" borderId="0" xfId="0" applyFont="1" applyFill="1" applyAlignment="1">
      <alignment horizontal="center"/>
    </xf>
    <xf numFmtId="1" fontId="1" fillId="0" borderId="4" xfId="0" applyNumberFormat="1" applyFont="1" applyFill="1" applyBorder="1" applyAlignment="1">
      <alignment horizontal="center"/>
    </xf>
    <xf numFmtId="1" fontId="1" fillId="0" borderId="0" xfId="0" applyNumberFormat="1" applyFont="1" applyFill="1" applyAlignment="1">
      <alignment horizontal="center"/>
    </xf>
    <xf numFmtId="0" fontId="1" fillId="0" borderId="5" xfId="0" applyFont="1" applyFill="1" applyBorder="1" applyAlignment="1">
      <alignment horizontal="center"/>
    </xf>
    <xf numFmtId="0" fontId="1" fillId="0" borderId="2" xfId="0" applyFont="1" applyFill="1" applyBorder="1" applyAlignment="1">
      <alignment horizontal="center"/>
    </xf>
    <xf numFmtId="1" fontId="1" fillId="0" borderId="5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0" fontId="7" fillId="0" borderId="2" xfId="0" applyFont="1" applyFill="1" applyBorder="1" applyAlignment="1">
      <alignment horizontal="center" vertical="center"/>
    </xf>
    <xf numFmtId="2" fontId="7" fillId="0" borderId="2" xfId="0" applyNumberFormat="1" applyFont="1" applyFill="1" applyBorder="1" applyAlignment="1">
      <alignment horizontal="center" vertical="center" wrapText="1"/>
    </xf>
    <xf numFmtId="0" fontId="7" fillId="0" borderId="2" xfId="0" applyFont="1" applyFill="1" applyBorder="1" applyAlignment="1">
      <alignment horizontal="center" vertical="center" wrapText="1"/>
    </xf>
    <xf numFmtId="0" fontId="1" fillId="0" borderId="3" xfId="0" applyFont="1" applyFill="1" applyBorder="1" applyAlignment="1">
      <alignment horizontal="center"/>
    </xf>
    <xf numFmtId="0" fontId="1" fillId="0" borderId="17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0" borderId="15" xfId="0" applyFont="1" applyFill="1" applyBorder="1" applyAlignment="1">
      <alignment horizontal="center"/>
    </xf>
    <xf numFmtId="0" fontId="1" fillId="0" borderId="16" xfId="0" applyFont="1" applyFill="1" applyBorder="1" applyAlignment="1">
      <alignment horizontal="center"/>
    </xf>
  </cellXfs>
  <cellStyles count="60">
    <cellStyle name="20% - Accent1" xfId="20" builtinId="30" customBuiltin="1"/>
    <cellStyle name="20% - Accent1 2" xfId="48" xr:uid="{C6084956-82D1-4B85-9997-3B0BC22CAE19}"/>
    <cellStyle name="20% - Accent2" xfId="23" builtinId="34" customBuiltin="1"/>
    <cellStyle name="20% - Accent2 2" xfId="50" xr:uid="{C2F6999E-535F-4888-B8A7-7D52E3B81E6C}"/>
    <cellStyle name="20% - Accent3" xfId="26" builtinId="38" customBuiltin="1"/>
    <cellStyle name="20% - Accent3 2" xfId="52" xr:uid="{7404AF2F-FD4C-46D9-90B4-0E4410A4C58D}"/>
    <cellStyle name="20% - Accent4" xfId="29" builtinId="42" customBuiltin="1"/>
    <cellStyle name="20% - Accent4 2" xfId="54" xr:uid="{FC242126-89F6-4D2F-A9C5-21B887E05AD3}"/>
    <cellStyle name="20% - Accent5" xfId="32" builtinId="46" customBuiltin="1"/>
    <cellStyle name="20% - Accent5 2" xfId="56" xr:uid="{E7B82DE4-6654-4ACA-80CB-64CDA5F63B3D}"/>
    <cellStyle name="20% - Accent6" xfId="35" builtinId="50" customBuiltin="1"/>
    <cellStyle name="20% - Accent6 2" xfId="58" xr:uid="{3C076D3A-743A-49B6-B001-0F36000999EB}"/>
    <cellStyle name="40% - Accent1" xfId="21" builtinId="31" customBuiltin="1"/>
    <cellStyle name="40% - Accent1 2" xfId="49" xr:uid="{437A604B-7877-4FD5-8F8B-2CA73632073A}"/>
    <cellStyle name="40% - Accent2" xfId="24" builtinId="35" customBuiltin="1"/>
    <cellStyle name="40% - Accent2 2" xfId="51" xr:uid="{983F6F68-2BE4-468D-A5DA-CC8BE36E9FB7}"/>
    <cellStyle name="40% - Accent3" xfId="27" builtinId="39" customBuiltin="1"/>
    <cellStyle name="40% - Accent3 2" xfId="53" xr:uid="{A7FA94C8-BE9C-4C79-B744-3DC566A05A15}"/>
    <cellStyle name="40% - Accent4" xfId="30" builtinId="43" customBuiltin="1"/>
    <cellStyle name="40% - Accent4 2" xfId="55" xr:uid="{506DA936-E2C9-42D0-A701-27B6B38CA556}"/>
    <cellStyle name="40% - Accent5" xfId="33" builtinId="47" customBuiltin="1"/>
    <cellStyle name="40% - Accent5 2" xfId="57" xr:uid="{558E0A5D-6872-4EF1-977B-A018FE613706}"/>
    <cellStyle name="40% - Accent6" xfId="36" builtinId="51" customBuiltin="1"/>
    <cellStyle name="40% - Accent6 2" xfId="59" xr:uid="{4C1115E6-51C9-4D22-89FD-A9A19D8132C2}"/>
    <cellStyle name="60% - Accent1 2" xfId="40" xr:uid="{0C43852C-115E-475F-996E-2E6B552A787A}"/>
    <cellStyle name="60% - Accent2 2" xfId="41" xr:uid="{18396898-0E43-47C8-AF3B-CE3B414DA01F}"/>
    <cellStyle name="60% - Accent3 2" xfId="42" xr:uid="{41988CE8-561A-4068-AB58-BDC32D7BC003}"/>
    <cellStyle name="60% - Accent4 2" xfId="43" xr:uid="{2C1DA9D9-C699-46CC-8F46-0AAFB6D4D2CC}"/>
    <cellStyle name="60% - Accent5 2" xfId="44" xr:uid="{B850B3EC-7518-4C4C-9AC4-406062816E07}"/>
    <cellStyle name="60% - Accent6 2" xfId="45" xr:uid="{BE985310-0348-4A0E-B58F-BB6E420F3A46}"/>
    <cellStyle name="Accent1" xfId="19" builtinId="29" customBuiltin="1"/>
    <cellStyle name="Accent2" xfId="22" builtinId="33" customBuiltin="1"/>
    <cellStyle name="Accent3" xfId="25" builtinId="37" customBuiltin="1"/>
    <cellStyle name="Accent4" xfId="28" builtinId="41" customBuiltin="1"/>
    <cellStyle name="Accent5" xfId="31" builtinId="45" customBuiltin="1"/>
    <cellStyle name="Accent6" xfId="34" builtinId="49" customBuiltin="1"/>
    <cellStyle name="Bad" xfId="10" builtinId="27" customBuiltin="1"/>
    <cellStyle name="Calculation" xfId="13" builtinId="22" customBuiltin="1"/>
    <cellStyle name="Check Cell" xfId="15" builtinId="23" customBuiltin="1"/>
    <cellStyle name="Explanatory Text" xfId="17" builtinId="53" customBuiltin="1"/>
    <cellStyle name="Good" xfId="9" builtinId="26" customBuiltin="1"/>
    <cellStyle name="Heading 1" xfId="5" builtinId="16" customBuiltin="1"/>
    <cellStyle name="Heading 2" xfId="6" builtinId="17" customBuiltin="1"/>
    <cellStyle name="Heading 3" xfId="7" builtinId="18" customBuiltin="1"/>
    <cellStyle name="Heading 4" xfId="8" builtinId="19" customBuiltin="1"/>
    <cellStyle name="Input" xfId="11" builtinId="20" customBuiltin="1"/>
    <cellStyle name="Linked Cell" xfId="14" builtinId="24" customBuiltin="1"/>
    <cellStyle name="Neutral 2" xfId="38" xr:uid="{4C4AF6F1-E759-42BD-A947-3D51191B37A0}"/>
    <cellStyle name="Normal" xfId="0" builtinId="0"/>
    <cellStyle name="Normal 2" xfId="2" xr:uid="{266EB89C-DF2D-482B-91DC-BD609FF311D0}"/>
    <cellStyle name="Normal 3" xfId="3" xr:uid="{487789B2-E6F5-48EB-A123-3C12300ABE75}"/>
    <cellStyle name="Normal 4" xfId="37" xr:uid="{8933903E-25B0-40DD-B280-C5ED34D225D7}"/>
    <cellStyle name="Normal 5" xfId="46" xr:uid="{0EFCBCE9-D550-4135-A335-58343EB0BC5E}"/>
    <cellStyle name="Note 2" xfId="39" xr:uid="{229BDDF4-8816-40CB-B8F6-A1B6E2DC4ADF}"/>
    <cellStyle name="Note 3" xfId="47" xr:uid="{F49FA41D-8387-400A-92A6-1328AE10848F}"/>
    <cellStyle name="Output" xfId="12" builtinId="21" customBuiltin="1"/>
    <cellStyle name="Percent" xfId="1" builtinId="5"/>
    <cellStyle name="Title" xfId="4" builtinId="15" customBuiltin="1"/>
    <cellStyle name="Total" xfId="18" builtinId="25" customBuiltin="1"/>
    <cellStyle name="Warning Text" xfId="16" builtinId="11" customBuiltin="1"/>
  </cellStyles>
  <dxfs count="3"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965DEB-A405-FD42-8A3F-BEDB5F4341EF}">
  <dimension ref="A1:AV64"/>
  <sheetViews>
    <sheetView tabSelected="1" zoomScale="70" zoomScaleNormal="70" workbookViewId="0">
      <pane xSplit="1" ySplit="2" topLeftCell="Y3" activePane="bottomRight" state="frozen"/>
      <selection pane="topRight"/>
      <selection pane="bottomLeft"/>
      <selection pane="bottomRight" activeCell="AG1" sqref="AG1:AK1"/>
    </sheetView>
  </sheetViews>
  <sheetFormatPr defaultColWidth="10.6640625" defaultRowHeight="14.25"/>
  <cols>
    <col min="2" max="2" width="11.33203125" hidden="1" customWidth="1"/>
    <col min="3" max="3" width="10.796875" style="17"/>
    <col min="4" max="4" width="12.46484375" bestFit="1" customWidth="1"/>
    <col min="5" max="5" width="11.19921875" customWidth="1"/>
    <col min="6" max="6" width="10.796875" style="17"/>
    <col min="8" max="8" width="12.33203125" customWidth="1"/>
    <col min="9" max="9" width="11.796875" style="17" customWidth="1"/>
    <col min="10" max="11" width="13.06640625" style="17" customWidth="1"/>
    <col min="12" max="12" width="10.796875" hidden="1" customWidth="1"/>
    <col min="13" max="13" width="13.33203125" hidden="1" customWidth="1"/>
    <col min="14" max="14" width="9.6640625" customWidth="1"/>
    <col min="15" max="15" width="32.73046875" bestFit="1" customWidth="1"/>
    <col min="16" max="16" width="25.1328125" bestFit="1" customWidth="1"/>
    <col min="17" max="17" width="17.6640625" hidden="1" customWidth="1"/>
    <col min="18" max="18" width="0" hidden="1" customWidth="1"/>
    <col min="20" max="20" width="14.6640625" style="17" customWidth="1"/>
    <col min="21" max="21" width="14.6640625" style="17" hidden="1" customWidth="1"/>
    <col min="22" max="22" width="23.53125" hidden="1" customWidth="1"/>
    <col min="23" max="23" width="12.59765625" customWidth="1"/>
    <col min="25" max="25" width="14.1328125" style="17" customWidth="1"/>
    <col min="26" max="28" width="14.1328125" style="17" hidden="1" customWidth="1"/>
    <col min="29" max="29" width="14.33203125" customWidth="1"/>
    <col min="30" max="30" width="86.73046875" customWidth="1"/>
    <col min="32" max="32" width="10.796875" style="17"/>
    <col min="33" max="33" width="13.265625" customWidth="1"/>
    <col min="34" max="37" width="10.796875" customWidth="1"/>
    <col min="38" max="38" width="12.796875" customWidth="1"/>
    <col min="39" max="44" width="10.796875" customWidth="1"/>
    <col min="45" max="47" width="10.6640625" customWidth="1"/>
  </cols>
  <sheetData>
    <row r="1" spans="1:47" s="4" customFormat="1">
      <c r="A1" s="39" t="s">
        <v>350</v>
      </c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19"/>
      <c r="AG1" s="40" t="s">
        <v>342</v>
      </c>
      <c r="AH1" s="41"/>
      <c r="AI1" s="41"/>
      <c r="AJ1" s="41"/>
      <c r="AK1" s="41"/>
      <c r="AL1" s="40" t="s">
        <v>203</v>
      </c>
      <c r="AM1" s="41"/>
      <c r="AN1" s="41"/>
      <c r="AO1" s="41"/>
      <c r="AP1" s="41"/>
      <c r="AQ1" s="40" t="s">
        <v>204</v>
      </c>
      <c r="AR1" s="41"/>
      <c r="AS1" s="41"/>
      <c r="AT1" s="41"/>
      <c r="AU1" s="42"/>
    </row>
    <row r="2" spans="1:47" s="3" customFormat="1" ht="42">
      <c r="A2" s="5" t="s">
        <v>0</v>
      </c>
      <c r="B2" s="5" t="s">
        <v>1</v>
      </c>
      <c r="C2" s="5" t="s">
        <v>4</v>
      </c>
      <c r="D2" s="5" t="s">
        <v>5</v>
      </c>
      <c r="E2" s="5" t="s">
        <v>6</v>
      </c>
      <c r="F2" s="5" t="s">
        <v>7</v>
      </c>
      <c r="G2" s="5" t="s">
        <v>8</v>
      </c>
      <c r="H2" s="5" t="s">
        <v>170</v>
      </c>
      <c r="I2" s="51" t="s">
        <v>9</v>
      </c>
      <c r="J2" s="51" t="s">
        <v>10</v>
      </c>
      <c r="K2" s="51" t="s">
        <v>11</v>
      </c>
      <c r="L2" s="51" t="s">
        <v>12</v>
      </c>
      <c r="M2" s="51" t="s">
        <v>346</v>
      </c>
      <c r="N2" s="52" t="s">
        <v>347</v>
      </c>
      <c r="O2" s="51" t="s">
        <v>13</v>
      </c>
      <c r="P2" s="5" t="s">
        <v>14</v>
      </c>
      <c r="Q2" s="51" t="s">
        <v>15</v>
      </c>
      <c r="R2" s="53" t="s">
        <v>348</v>
      </c>
      <c r="S2" s="52" t="s">
        <v>349</v>
      </c>
      <c r="T2" s="51" t="s">
        <v>16</v>
      </c>
      <c r="U2" s="5" t="s">
        <v>17</v>
      </c>
      <c r="V2" s="5" t="s">
        <v>18</v>
      </c>
      <c r="W2" s="6" t="s">
        <v>216</v>
      </c>
      <c r="X2" s="5" t="s">
        <v>19</v>
      </c>
      <c r="Y2" s="5" t="s">
        <v>20</v>
      </c>
      <c r="Z2" s="5" t="s">
        <v>21</v>
      </c>
      <c r="AA2" s="5" t="s">
        <v>22</v>
      </c>
      <c r="AB2" s="6" t="s">
        <v>23</v>
      </c>
      <c r="AC2" s="5" t="s">
        <v>24</v>
      </c>
      <c r="AD2" s="6" t="s">
        <v>351</v>
      </c>
      <c r="AE2" s="5" t="s">
        <v>265</v>
      </c>
      <c r="AF2" s="7"/>
      <c r="AG2" s="26" t="s">
        <v>146</v>
      </c>
      <c r="AH2" s="8" t="s">
        <v>147</v>
      </c>
      <c r="AI2" s="8" t="s">
        <v>148</v>
      </c>
      <c r="AJ2" s="8" t="s">
        <v>149</v>
      </c>
      <c r="AK2" s="8" t="s">
        <v>150</v>
      </c>
      <c r="AL2" s="9" t="s">
        <v>146</v>
      </c>
      <c r="AM2" s="8" t="s">
        <v>147</v>
      </c>
      <c r="AN2" s="8" t="s">
        <v>148</v>
      </c>
      <c r="AO2" s="8" t="s">
        <v>149</v>
      </c>
      <c r="AP2" s="8" t="s">
        <v>150</v>
      </c>
      <c r="AQ2" s="9" t="s">
        <v>146</v>
      </c>
      <c r="AR2" s="8" t="s">
        <v>147</v>
      </c>
      <c r="AS2" s="8" t="s">
        <v>148</v>
      </c>
      <c r="AT2" s="8" t="s">
        <v>149</v>
      </c>
      <c r="AU2" s="28" t="s">
        <v>150</v>
      </c>
    </row>
    <row r="3" spans="1:47">
      <c r="A3" s="13">
        <v>1</v>
      </c>
      <c r="B3" s="16">
        <f>_xlfn.MAXIFS('Model output'!B:B,'Model output'!Z:Z,'Classification result'!$A3)</f>
        <v>45320</v>
      </c>
      <c r="C3" s="17">
        <f>_xlfn.MAXIFS('Model output'!C:C,'Model output'!Z:Z,'Classification result'!$A3)</f>
        <v>67</v>
      </c>
      <c r="D3" s="17" t="str" cm="1">
        <f t="array" ref="D3">LEFT(IF(ISERROR(RIGHT(IF(INDEX(_xlfn._xlws.FILTER('Model output'!D:D,('Model output'!Z:Z=A3)),1)&lt;&gt;"",INDEX(_xlfn._xlws.FILTER('Model output'!D:D,('Model output'!Z:Z=A3)),1),""),LEN(IF(INDEX(_xlfn._xlws.FILTER('Model output'!D:D,('Model output'!Z:Z=A3)),1)&lt;&gt;"",INDEX(_xlfn._xlws.FILTER('Model output'!D:D,('Model output'!Z:Z=A3)),1),""))-FIND("T",IF(INDEX(_xlfn._xlws.FILTER('Model output'!D:D,('Model output'!Z:Z=A3)),1)&lt;&gt;"",INDEX(_xlfn._xlws.FILTER('Model output'!D:D,('Model output'!Z:Z=A3)),1),""),1))),"",(RIGHT(IF(INDEX(_xlfn._xlws.FILTER('Model output'!D:D,('Model output'!Z:Z=A3)),1)&lt;&gt;"",INDEX(_xlfn._xlws.FILTER('Model output'!D:D,('Model output'!Z:Z=A3)),1),""),LEN(IF(INDEX(_xlfn._xlws.FILTER('Model output'!D:D,('Model output'!Z:Z=A3)),1)&lt;&gt;"",INDEX(_xlfn._xlws.FILTER('Model output'!D:D,('Model output'!Z:Z=A3)),1),""))-FIND("T",IF(INDEX(_xlfn._xlws.FILTER('Model output'!D:D,('Model output'!Z:Z=A3)),1)&lt;&gt;"",INDEX(_xlfn._xlws.FILTER('Model output'!D:D,('Model output'!Z:Z=A3)),1)))))),2)</f>
        <v>1b</v>
      </c>
      <c r="E3" s="17" t="str" cm="1">
        <f t="array" ref="E3">IF(ISNUMBER(SEARCH("N",IF(ISNUMBER(SEARCH("present",IF(INDEX(_xlfn._xlws.FILTER('Model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output'!Z:Z=A3)),1))),1)),RIGHT(IF(ISNUMBER(SEARCH("present",IF(INDEX(_xlfn._xlws.FILTER('Model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output'!Z:Z=A3)),1))),LEN(IF(ISNUMBER(SEARCH("present",IF(INDEX(_xlfn._xlws.FILTER('Model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output'!Z:Z=A3)),1))))-FIND("N",IF(ISNUMBER(SEARCH("present",IF(INDEX(_xlfn._xlws.FILTER('Model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output'!Z:Z=A3)),1))),1)), "")</f>
        <v/>
      </c>
      <c r="F3" s="17" cm="1">
        <f t="array" ref="F3">IF(AND(SUBSTITUTE(_xlfn.TEXTJOIN("/", TRUE, _xlfn._xlws.FILTER('Model output'!F:F, 'Model output'!Z:Z=A3)),"M", "")="", I3="negative"),0,IF(I3="positive",1,0))</f>
        <v>0</v>
      </c>
      <c r="G3" t="str">
        <f t="shared" ref="G3:G37" si="0">IF(OR(H3&lt;&gt;"",AND(K3&lt;&gt;"",K3&gt;0)),"positive","")</f>
        <v>positive</v>
      </c>
      <c r="H3" s="38" t="str" cm="1">
        <f t="array" ref="H3">IF(AND(K3&gt;0, _xlfn.TEXTJOIN("; ", TRUE, _xlfn._xlws.FILTER('Model output'!G:G, 'Model output'!Z:Z=A3)) &lt;&gt;"", OR(AND(ISNUMBER(SEARCH("level", _xlfn.TEXTJOIN("; ", TRUE, _xlfn._xlws.FILTER('Model output'!G:G, 'Model output'!Z:Z=A3)),1)),OR(ISNUMBER(SEARCH(" II", _xlfn.TEXTJOIN("; ", TRUE, _xlfn._xlws.FILTER('Model output'!G:G, 'Model output'!Z:Z=A3)),1)),ISNUMBER(SEARCH("2", _xlfn.TEXTJOIN("; ", TRUE, _xlfn._xlws.FILTER('Model output'!G:G, 'Model output'!Z:Z=A3)),1)),ISNUMBER(SEARCH("two", _xlfn.TEXTJOIN("; ", TRUE, _xlfn._xlws.FILTER('Model output'!G:G, 'Model output'!Z:Z=A3)),1)),ISNUMBER(SEARCH("III", _xlfn.TEXTJOIN("; ", TRUE, _xlfn._xlws.FILTER('Model output'!G:G, 'Model output'!Z:Z=A3)),1)),ISNUMBER(SEARCH("3", _xlfn.TEXTJOIN("; ", TRUE, _xlfn._xlws.FILTER('Model output'!G:G, 'Model output'!Z:Z=A3)),1)),ISNUMBER(SEARCH("three", _xlfn.TEXTJOIN("; ", TRUE, _xlfn._xlws.FILTER('Model output'!G:G, 'Model output'!Z:Z=A3)),1)),ISNUMBER(SEARCH("IV", _xlfn.TEXTJOIN("; ", TRUE, _xlfn._xlws.FILTER('Model output'!G:G, 'Model output'!Z:Z=A3)),1)),ISNUMBER(SEARCH("4", _xlfn.TEXTJOIN("; ", TRUE, _xlfn._xlws.FILTER('Model output'!G:G, 'Model output'!Z:Z=A3)),1)),ISNUMBER(SEARCH("five", _xlfn.TEXTJOIN("; ", TRUE, _xlfn._xlws.FILTER('Model output'!G:G, 'Model output'!Z:Z=A3)),1)),ISNUMBER(SEARCH("V ", _xlfn.TEXTJOIN("; ", TRUE, _xlfn._xlws.FILTER('Model output'!G:G, 'Model output'!Z:Z=A3)),1)),ISNUMBER(SEARCH("5", _xlfn.TEXTJOIN("; ", TRUE, _xlfn._xlws.FILTER('Model output'!G:G, 'Model output'!Z:Z=A3)),1)),ISNUMBER(SEARCH("five", _xlfn.TEXTJOIN("; ", TRUE, _xlfn._xlws.FILTER('Model output'!G:G, 'Model output'!Z:Z=A3)),1)),ISNUMBER(SEARCH(" lateral", _xlfn.TEXTJOIN("; ", TRUE, _xlfn._xlws.FILTER('Model output'!G:G, 'Model output'!Z:Z=A3)),1)))),ISNUMBER(SEARCH("cervical", _xlfn.TEXTJOIN("; ", TRUE, _xlfn._xlws.FILTER('Model output'!G:G, 'Model output'!Z:Z=A3)),1)),ISNUMBER(SEARCH("jugular", _xlfn.TEXTJOIN("; ", TRUE, _xlfn._xlws.FILTER('Model output'!G:G, 'Model output'!Z:Z=A3)),1)),ISNUMBER(SEARCH("left neck", _xlfn.TEXTJOIN("; ", TRUE, _xlfn._xlws.FILTER('Model output'!G:G, 'Model output'!Z:Z=A3)),1)),ISNUMBER(SEARCH("left anterior neck", _xlfn.TEXTJOIN("; ", TRUE, _xlfn._xlws.FILTER('Model output'!G:G, 'Model output'!Z:Z=A3)),1)),ISNUMBER(SEARCH("left posterior neck", _xlfn.TEXTJOIN("; ", TRUE, _xlfn._xlws.FILTER('Model output'!G:G, 'Model output'!Z:Z=A3)),1)),ISNUMBER(SEARCH("right neck", _xlfn.TEXTJOIN("; ", TRUE, _xlfn._xlws.FILTER('Model output'!G:G, 'Model output'!Z:Z=A3)),1)),ISNUMBER(SEARCH("right anterior neck", _xlfn.TEXTJOIN("; ", TRUE, _xlfn._xlws.FILTER('Model output'!G:G, 'Model output'!Z:Z=A3)),1)),ISNUMBER(SEARCH("right posterior neck", _xlfn.TEXTJOIN("; ", TRUE, _xlfn._xlws.FILTER('Model output'!G:G, 'Model output'!Z:Z=A3)),1)))),"lateral",IF(AND(K3=0, _xlfn.TEXTJOIN("; ", TRUE, _xlfn._xlws.FILTER('Model output'!G:G, 'Model output'!Z:Z=A3))=""),"", "central"))</f>
        <v>central</v>
      </c>
      <c r="I3" s="17" t="str" cm="1">
        <f t="array" ref="I3">IF(OR(ISNUMBER(SEARCH("lymph",_xlfn.TEXTJOIN("; ", TRUE, _xlfn._xlws.FILTER('Model output'!H:H, 'Model output'!Z:Z=A3)),1)), ISNUMBER(SEARCH("Not mentioned",_xlfn.TEXTJOIN("; ", TRUE, _xlfn._xlws.FILTER('Model output'!H:H, 'Model output'!Z:Z=A3)),1)),ISNUMBER(SEARCH("subcutaneous soft tissues",_xlfn.TEXTJOIN("; ", TRUE, _xlfn._xlws.FILTER('Model output'!H:H, 'Model output'!Z:Z=A3)),1)),ISNUMBER(SEARCH("larynx",_xlfn.TEXTJOIN("; ", TRUE, _xlfn._xlws.FILTER('Model output'!H:H, 'Model output'!Z:Z=A3)),1)),ISNUMBER(SEARCH("trachea",_xlfn.TEXTJOIN("; ", TRUE, _xlfn._xlws.FILTER('Model output'!H:H, 'Model output'!Z:Z=A3)),1)),ISNUMBER(SEARCH("esophagus",_xlfn.TEXTJOIN("; ", TRUE, _xlfn._xlws.FILTER('Model output'!H:H, 'Model output'!Z:Z=A3)),1)),ISNUMBER(SEARCH("recurrent laryngeal nerve",_xlfn.TEXTJOIN("; ", TRUE, _xlfn._xlws.FILTER('Model output'!H:H, 'Model output'!Z:Z=A3)),1)),ISNUMBER(SEARCH("RLN",_xlfn.TEXTJOIN("; ", TRUE, _xlfn._xlws.FILTER('Model output'!H:H, 'Model output'!Z:Z=A3)),1)),_xlfn.TEXTJOIN("; ", TRUE, _xlfn._xlws.FILTER('Model output'!H:H, 'Model output'!Z:Z=A3))=""),"negative","positive")</f>
        <v>negative</v>
      </c>
      <c r="J3" s="17">
        <f>IF(IFERROR(INDEX('Model output'!I:I, MATCH(A3, 'Model output'!Z:Z, 0)), "") &lt; K3, "", IFERROR(INDEX('Model output'!I:I, MATCH(A3, 'Model output'!Z:Z, 0)), ""))</f>
        <v>0</v>
      </c>
      <c r="K3" s="17">
        <f>IFERROR(INDEX('Model output'!J:J, MATCH(A3, 'Model output'!Z:Z, 0)), "")</f>
        <v>0</v>
      </c>
      <c r="L3" s="18" t="str" cm="1">
        <f t="array" ref="L3">ReplaceTo(ReplaceAnd(SUBSTITUTE(SUBSTITUTE(_xlfn.TEXTJOIN("; ", TRUE, _xlfn._xlws.FILTER('Model output'!K:K, 'Model output'!Z:Z=A3)), " ", ""), ",", ";")))</f>
        <v/>
      </c>
      <c r="M3" t="str" cm="1">
        <f t="array" ref="M3">IF(LEFT(IF(RIGHT(SUBSTITUTE(FilterWithUnits(L3)&amp; ";" &amp;FilterStringsWithNumericAnd(L3) &amp; ";" &amp; FilterStringsWithX(L3), ";;", ";"),1)=";",LEFT(SUBSTITUTE(FilterWithUnits(L3)&amp; ";" &amp;FilterStringsWithNumericAnd(L3) &amp; ";" &amp; FilterStringsWithX(L3), ";;", ";"),LEN(SUBSTITUTE(FilterWithUnits(L3)&amp; ";" &amp;FilterStringsWithNumericAnd(L3) &amp; ";" &amp; FilterStringsWithX(L3), ";;", ";"))-1),SUBSTITUTE(FilterWithUnits(L3)&amp; ";" &amp;FilterStringsWithNumericAnd(L3) &amp; ";" &amp; FilterStringsWithX(L3), ";;", ";")),1)=";",RIGHT(IF(RIGHT(SUBSTITUTE(FilterWithUnits(L3)&amp; ";" &amp;FilterStringsWithNumericAnd(L3) &amp; ";" &amp; FilterStringsWithX(L3), ";;", ";"),1)=";",LEFT(SUBSTITUTE(FilterWithUnits(L3)&amp; ";" &amp;FilterStringsWithNumericAnd(L3) &amp; ";" &amp; FilterStringsWithX(L3), ";;", ";"),LEN(SUBSTITUTE(FilterWithUnits(L3)&amp; ";" &amp;FilterStringsWithNumericAnd(L3) &amp; ";" &amp; FilterStringsWithX(L3), ";;", ";"))-1),SUBSTITUTE(FilterWithUnits(L3)&amp; ";" &amp;FilterStringsWithNumericAnd(L3) &amp; ";" &amp; FilterStringsWithX(L3), ";;", ";")),LEN(IF(RIGHT(SUBSTITUTE(FilterWithUnits(L3)&amp; ";" &amp;FilterStringsWithNumericAnd(L3) &amp; ";" &amp; FilterStringsWithX(L3), ";;", ";"),1)=";",LEFT(SUBSTITUTE(FilterWithUnits(L3)&amp; ";" &amp;FilterStringsWithNumericAnd(L3) &amp; ";" &amp; FilterStringsWithX(L3), ";;", ";"),LEN(SUBSTITUTE(FilterWithUnits(L3)&amp; ";" &amp;FilterStringsWithNumericAnd(L3) &amp; ";" &amp; FilterStringsWithX(L3), ";;", ";"))-1),SUBSTITUTE(FilterWithUnits(L3)&amp; ";" &amp;FilterStringsWithNumericAnd(L3) &amp; ";" &amp; FilterStringsWithX(L3), ";;", ";")))-1),IF(RIGHT(SUBSTITUTE(FilterWithUnits(L3)&amp; ";" &amp;FilterStringsWithNumericAnd(L3) &amp; ";" &amp; FilterStringsWithX(L3), ";;", ";"),1)=";",LEFT(SUBSTITUTE(FilterWithUnits(L3)&amp; ";" &amp;FilterStringsWithNumericAnd(L3) &amp; ";" &amp; FilterStringsWithX(L3), ";;", ";"),LEN(SUBSTITUTE(FilterWithUnits(L3)&amp; ";" &amp;FilterStringsWithNumericAnd(L3) &amp; ";" &amp; FilterStringsWithX(L3), ";;", ";"))-1),SUBSTITUTE(FilterWithUnits(L3)&amp; ";" &amp;FilterStringsWithNumericAnd(L3) &amp; ";" &amp; FilterStringsWithX(L3), ";;", ";")))</f>
        <v/>
      </c>
      <c r="N3" t="str" cm="1">
        <f t="array" ref="N3">IF(MaxSize((SplitDimensions(M3)))=0, "", MaxSize((SplitDimensions(M3))))</f>
        <v/>
      </c>
      <c r="O3" t="str" cm="1">
        <f t="array" ref="O3">IF(ISERROR(INDEX(_xlfn._xlws.FILTER('Model output'!L:L, ('Model output'!Z:Z=A3)*('Model output'!L:L&lt;&gt;"")), 1)), " ", LOWER(INDEX(_xlfn._xlws.FILTER('Model output'!L:L, ('Model output'!Z:Z=A3)*('Model output'!L:L&lt;&gt;"")), 1)))</f>
        <v>papillary</v>
      </c>
      <c r="P3" t="str" cm="1">
        <f t="array" ref="P3">O3 &amp; " " &amp;IF(ISERROR(INDEX(_xlfn._xlws.FILTER('Model output'!M:M, ('Model output'!Z:Z=A3)*('Model output'!M:M&lt;&gt;"")), 1)), " ", LOWER(INDEX(_xlfn._xlws.FILTER('Model output'!M:M, ('Model output'!Z:Z=A3)*('Model output'!M:M&lt;&gt;"")), 1)))</f>
        <v>papillary infiltrative follicular</v>
      </c>
      <c r="Q3" t="str" cm="1">
        <f t="array" ref="Q3">IF(OR(ISNUMBER(SEARCH("ly",SUBSTITUTE(INDEX(_xlfn._xlws.FILTER('Model output'!N:N,('Model output'!Z:Z=A3)*('Model output'!N:N&lt;&gt;"")),1)," ",""),1)), ISNUMBER(SEARCH("pole",SUBSTITUTE(INDEX(_xlfn._xlws.FILTER('Model output'!N:N,('Model output'!Z:Z=A3)*('Model output'!N:N&lt;&gt;"")),1)," ",""),1))),"",SUBSTITUTE(INDEX(_xlfn._xlws.FILTER('Model output'!N:N,('Model output'!Z:Z=A3)*('Model output'!N:N&lt;&gt;"")),1)," ",""))</f>
        <v>13mm</v>
      </c>
      <c r="R3" t="str" cm="1">
        <f t="array" ref="R3">IF(LEFT(IF(RIGHT(SUBSTITUTE(FilterWithUnits(Q3)&amp; ";" &amp;FilterStringsWithNumericAnd(Q3) &amp; ";" &amp; FilterStringsWithX(Q3), ";;", ";"),1)=";",LEFT(SUBSTITUTE(FilterWithUnits(Q3)&amp; ";" &amp;FilterStringsWithNumericAnd(Q3) &amp; ";" &amp; FilterStringsWithX(Q3), ";;", ";"),LEN(SUBSTITUTE(FilterWithUnits(Q3)&amp; ";" &amp;FilterStringsWithNumericAnd(Q3) &amp; ";" &amp; FilterStringsWithX(Q3), ";;", ";"))-1),SUBSTITUTE(FilterWithUnits(Q3)&amp; ";" &amp;FilterStringsWithNumericAnd(Q3) &amp; ";" &amp; FilterStringsWithX(Q3), ";;", ";")),1)=";",RIGHT(IF(RIGHT(SUBSTITUTE(FilterWithUnits(Q3)&amp; ";" &amp;FilterStringsWithNumericAnd(Q3) &amp; ";" &amp; FilterStringsWithX(Q3), ";;", ";"),1)=";",LEFT(SUBSTITUTE(FilterWithUnits(Q3)&amp; ";" &amp;FilterStringsWithNumericAnd(Q3) &amp; ";" &amp; FilterStringsWithX(Q3), ";;", ";"),LEN(SUBSTITUTE(FilterWithUnits(Q3)&amp; ";" &amp;FilterStringsWithNumericAnd(Q3) &amp; ";" &amp; FilterStringsWithX(Q3), ";;", ";"))-1),SUBSTITUTE(FilterWithUnits(Q3)&amp; ";" &amp;FilterStringsWithNumericAnd(Q3) &amp; ";" &amp; FilterStringsWithX(Q3), ";;", ";")),LEN(IF(RIGHT(SUBSTITUTE(FilterWithUnits(Q3)&amp; ";" &amp;FilterStringsWithNumericAnd(Q3) &amp; ";" &amp; FilterStringsWithX(Q3), ";;", ";"),1)=";",LEFT(SUBSTITUTE(FilterWithUnits(Q3)&amp; ";" &amp;FilterStringsWithNumericAnd(Q3) &amp; ";" &amp; FilterStringsWithX(Q3), ";;", ";"),LEN(SUBSTITUTE(FilterWithUnits(Q3)&amp; ";" &amp;FilterStringsWithNumericAnd(Q3) &amp; ";" &amp; FilterStringsWithX(Q3), ";;", ";"))-1),SUBSTITUTE(FilterWithUnits(Q3)&amp; ";" &amp;FilterStringsWithNumericAnd(Q3) &amp; ";" &amp; FilterStringsWithX(Q3), ";;", ";")))-1),IF(RIGHT(SUBSTITUTE(FilterWithUnits(Q3)&amp; ";" &amp;FilterStringsWithNumericAnd(Q3) &amp; ";" &amp; FilterStringsWithX(Q3), ";;", ";"),1)=";",LEFT(SUBSTITUTE(FilterWithUnits(Q3)&amp; ";" &amp;FilterStringsWithNumericAnd(Q3) &amp; ";" &amp; FilterStringsWithX(Q3), ";;", ";"),LEN(SUBSTITUTE(FilterWithUnits(Q3)&amp; ";" &amp;FilterStringsWithNumericAnd(Q3) &amp; ";" &amp; FilterStringsWithX(Q3), ";;", ";"))-1),SUBSTITUTE(FilterWithUnits(Q3)&amp; ";" &amp;FilterStringsWithNumericAnd(Q3) &amp; ";" &amp; FilterStringsWithX(Q3), ";;", ";")))</f>
        <v>13mm</v>
      </c>
      <c r="S3" cm="1">
        <f t="array" ref="S3">IF(MaxSize((SplitDimensions(R3)))=0, "", MaxSize((SplitDimensions(R3))))</f>
        <v>1.3</v>
      </c>
      <c r="T3" s="17" t="str" cm="1">
        <f t="array" ref="T3">IF(ISERROR(INDEX(_xlfn._xlws.FILTER('Model output'!P:P,('Model output'!Z:Z=A3)*('Model output'!P:P&lt;&gt;"")),1)),"negative",IF(OR(ISNUMBER(SEARCH("foc",INDEX(_xlfn._xlws.FILTER('Model output'!P:P,('Model output'!Z:Z=A3)*('Model output'!P:P&lt;&gt;"")),1),1)),ISNUMBER(SEARCH("extensive",INDEX(_xlfn._xlws.FILTER('Model output'!P:P,('Model output'!Z:Z=A3)*('Model output'!P:P&lt;&gt;"")),1),1)),ISNUMBER(SEARCH("present",INDEX(_xlfn._xlws.FILTER('Model output'!P:P,('Model output'!Z:Z=A3)*('Model output'!P:P&lt;&gt;"")),1),1)),ISNUMBER(SEARCH("yes",INDEX(_xlfn._xlws.FILTER('Model output'!P:P,('Model output'!Z:Z=A3)*('Model output'!P:P&lt;&gt;"")),1),1))),"positive","negative"))</f>
        <v>negative</v>
      </c>
      <c r="V3" t="str" cm="1">
        <f t="array" ref="V3">IF(ISNUMBER(SEARCH("4",INDEX(_xlfn._xlws.FILTER('Model output'!P:P,('Model output'!Z:Z=A3)*('Model output'!P:P&lt;&gt;"")),1),1)),INDEX(_xlfn._xlws.FILTER('Model output'!P:P,('Model output'!Z:Z=A3)*('Model output'!P:P&lt;&gt;"")),1),"") &amp; _xlfn.TEXTJOIN("",TRUE,_xlfn._xlws.FILTER('Model output'!Q:Q,'Model output'!Z:Z=A3))</f>
        <v/>
      </c>
      <c r="W3" t="str">
        <f>IF(T3="negative","no",IF(OR(ISNUMBER(SEARCH("&gt; 4",V3,1)),ISNUMBER(SEARCH("&gt;4",V3,1)),ISNUMBER(SEARCH("4 or more",V3,1)),ISNUMBER(SEARCH("extensive",V3,1))),"extensive","minimal"))</f>
        <v>no</v>
      </c>
      <c r="X3" t="str" cm="1">
        <f t="array" ref="X3">IF(OR(ISNUMBER(SEARCH("focal",_xlfn.TEXTJOIN("; ",TRUE,_xlfn._xlws.FILTER('Model output'!R:R,'Model output'!Z:Z=A3)),1)),ISNUMBER(SEARCH("present",_xlfn.TEXTJOIN("; ",TRUE,_xlfn._xlws.FILTER('Model output'!R:R,'Model output'!Z:Z=A3)),1))),"positive",IF(_xlfn.TEXTJOIN("; ",TRUE,_xlfn._xlws.FILTER('Model output'!R:R,'Model output'!Z:Z=A3))="","negative",IF(OR(ISNUMBER(SEARCH("no",_xlfn.TEXTJOIN("; ",TRUE,_xlfn._xlws.FILTER('Model output'!R:R,'Model output'!Z:Z=A3)),1)),ISNUMBER(SEARCH("absent",_xlfn.TEXTJOIN("; ",TRUE,_xlfn._xlws.FILTER('Model output'!R:R,'Model output'!Z:Z=A3)),1))),"negative","positive")))</f>
        <v>negative</v>
      </c>
      <c r="Y3" s="17" t="str">
        <f>IF(OR(ISNUMBER(SEARCH("soft tissue", AD3)), ISNUMBER(SEARCH("adipose tissue", AD3)), ISNUMBER(SEARCH("muscles", AD3)), ISNUMBER(SEARCH("microscopic", AD3)), ISNUMBER(SEARCH("minimal", AD3)), ISNUMBER(SEARCH("surrounding fat", AD3)), ISNUMBER(SEARCH("present", AD3)), ISNUMBER(SEARCH("yes", AD3)), ISNUMBER(SEARCH("positive", AD3))), "positive", "negative")</f>
        <v>negative</v>
      </c>
      <c r="AC3" s="17" t="str">
        <f>IF(OR(ISNUMBER(SEARCH("subcutaneous soft tissues", AD3)),ISNUMBER(SEARCH("strap muscle", AD3)), ISNUMBER(SEARCH("larynx", AD3)),ISNUMBER(SEARCH("trachea", AD3)),ISNUMBER(SEARCH("esophagus", AD3)), ISNUMBER(SEARCH("recurrent laryngeal nerve", AD3)), ISNUMBER(SEARCH("RLN", AD3))), "positive", "negative")</f>
        <v>negative</v>
      </c>
      <c r="AD3" t="str" cm="1">
        <f t="array" ref="AD3">_xlfn.TEXTJOIN("; ",TRUE,_xlfn._xlws.FILTER('Model output'!S:S,'Model output'!Z:Z=A3))</f>
        <v/>
      </c>
      <c r="AE3" s="17" t="str" cm="1">
        <f t="array" ref="AE3">IF(OR(ISNUMBER(SEARCH("uninvolved",_xlfn.TEXTJOIN("; ",TRUE,_xlfn._xlws.FILTER('Model output'!V:V,'Model output'!Z:Z=A3)),1)),ISNUMBER(SEARCH("clear",_xlfn.TEXTJOIN("; ",TRUE,_xlfn._xlws.FILTER('Model output'!V:V,'Model output'!Z:Z=A3)),1))*ISNUMBER(SEARCH("not mentioned",_xlfn.TEXTJOIN("; ",TRUE,_xlfn._xlws.FILTER('Model output'!V:V,'Model output'!Z:Z=A3)),1))),"negative",IF(ISNUMBER(SEARCH("cannot be assessed",_xlfn.TEXTJOIN("; ",TRUE,_xlfn._xlws.FILTER('Model output'!V:V,'Model output'!Z:Z=A3)),1)),"unknown","negative"))</f>
        <v>negative</v>
      </c>
      <c r="AG3" s="43" t="str">
        <f>IF(OR(ISNUMBER(SEARCH("non-invasive follicular",O3,1)), ISNUMBER(SEARCH("papillary-like nuclear features",P3,1)), ISNUMBER(SEARCH("non-invasive follicular",P3,1)),ISNUMBER(SEARCH("papillary-like nuclear features",P3,1))),"NIFTP", IF(OR(I3="positive",AC3="positive",AND(OR(ISNUMBER(SEARCH("follicular", O3)),ISNUMBER(SEARCH("FTC", O3))),W3="extensive"),AND(G3="positive",ISNUMBER(N3),N3&gt;3),AI3=1),"high",IF(OR(ISNUMBER(SEARCH("positive",Y3,1)),ISNUMBER(SEARCH("tall",P3,1)),ISNUMBER(SEARCH("hobnail",P3,1)),ISNUMBER(SEARCH("cribriform",P3,1)),ISNUMBER(SEARCH("diffuse",P3,1)),ISNUMBER(SEARCH("columnar",P3,1)),ISNUMBER(SEARCH("solid",P3,1)),ISNUMBER(SEARCH("tall",O3,1)),ISNUMBER(SEARCH("hobnail",O3,1)),ISNUMBER(SEARCH("cribriform",O3,1)),ISNUMBER(SEARCH("diffuse",O3,1)),ISNUMBER(SEARCH("columnar",O3,1)),ISNUMBER(SEARCH("solid",O3,1)),AND(OR(ISNUMBER(SEARCH("papillary carcinoma",O3,1)),ISNUMBER(SEARCH("papillary microcarcinoma",O3,1))),T3="positive"),,AND(AND(ISNUMBER(K3),K3&gt;=5),N3=""),AND(AND(ISNUMBER(K3),K3&gt;=5),AND(ISNUMBER(N3),N3&gt;=1)),H3="lateral"),"intermediate","low")))</f>
        <v>low</v>
      </c>
      <c r="AH3" s="44" t="str">
        <f t="shared" ref="AH3:AH6" si="1">IF(OR(ISNUMBER(SEARCH("non-invasive follicular",O3)),ISNUMBER(SEARCH("papillary-like nuclear features",O3)),ISNUMBER(SEARCH("non-invasive follicular",P3)),ISNUMBER(SEARCH("papillary-like nuclear features",P3))),"NIFTP", IF(OR(D3="4b",AND(AC3="positive",OR(ISNUMBER(SEARCH("prevertebral",AD3)),ISNUMBER(SEARCH("fascia",AD3)),ISNUMBER(SEARCH("carotid artery",AD3)),ISNUMBER(SEARCH("mediastinal",AD3))))),"4b",IF(OR(D3="4a",AND(AC3="positive",OR(ISNUMBER(SEARCH("soft tissue",AD3)),ISNUMBER(SEARCH("larynx",AD3)),ISNUMBER(SEARCH("trachea",AD3)),ISNUMBER(SEARCH("esophagus",AD3)),ISNUMBER(SEARCH("recurrent laryngeal nerve",AD3)),ISNUMBER(SEARCH("RLN",AD3))))),"4a", IF(OR(D3="3b", AC3="positive",ISNUMBER(SEARCH("strap",AD3)),ISNUMBER(SEARCH("adipose tissue",AD3)),ISNUMBER(SEARCH("sternothyroid",AD3)),ISNUMBER(SEARCH("sternohyoid",AD3)),ISNUMBER(SEARCH("thyrohyoid",AD3)),ISNUMBER(SEARCH("omohyoid",AD3))),"3b",IF(OR(D3="3a", AND(S3&lt;&gt;"",S3&gt;4)),"3a",IF(AND(S3&lt;&gt;"", S3&lt;=4,S3&gt;2),"2",IF(AND(S3&lt;&gt;"",S3&lt;=2,S3&gt;1),"1b",IF(AND(S3&lt;&gt;"",S3&lt;=1),"1a","1a"))))))))</f>
        <v>1b</v>
      </c>
      <c r="AI3" s="54" t="str">
        <f>IF(OR(ISNUMBER(SEARCH("non-invasive follicular",O3)),ISNUMBER(SEARCH("papillary-like nuclear features",O3)),ISNUMBER(SEARCH("non-invasive follicular",P3)),ISNUMBER(SEARCH("papillary-like nuclear features",P3))),"NIFTP",IF(AND(K3&gt;0,G3="positive",H3="central"),"1a",IF(AND(K3&gt;0,G3="positive",H3="lateral"),"1b",IF(AND(K3=0,J3=0),"x",0))))</f>
        <v>x</v>
      </c>
      <c r="AJ3" s="54">
        <f>IF(OR(ISNUMBER(SEARCH("non-invasive follicular",O3)),ISNUMBER(SEARCH("papillary-like nuclear features",O3)),ISNUMBER(SEARCH("non-invasive follicular",P3)),ISNUMBER(SEARCH("papillary-like nuclear features",P3))),"NIFTP",IF(I3="unknown","x",IF(I3="negative",0,1)))</f>
        <v>0</v>
      </c>
      <c r="AK3" s="55" t="str">
        <f>IF(OR(ISNUMBER(SEARCH("non-invasive follicular",O3)),ISNUMBER(SEARCH("papillary-like nuclear features",O3)),ISNUMBER(SEARCH("non-invasive follicular",P3)),ISNUMBER(SEARCH("papillary-like nuclear features",P3))),"NIFTP",IF(AND(C3&lt;55,AJ3=0),"I",IF(AND(C3&lt;55,AJ3=1),"II",IF(AJ3=1,"IVB",IF(AND(AH3="4b",AJ3=0),"IVA",IF(AND(AH3="4a",AJ3=0),"III",IF(AND(OR(AH3="3",AH3="3a",AH3="3b"),AJ3=0),"II",IF(AND(AH3="2",OR(AI3="1",AI3="1a",AI3="1b"),AJ3=0),"II",IF(AND(OR(AH3="1a",AH3="1b",AH3="1",AH3="1 "),OR(AI3="1",AI3="1a",AI3="1b"),AJ3=0),"II","I")))))))))</f>
        <v>I</v>
      </c>
      <c r="AL3" s="45" t="s">
        <v>169</v>
      </c>
      <c r="AM3" s="46" t="s">
        <v>196</v>
      </c>
      <c r="AN3" s="46" t="s">
        <v>197</v>
      </c>
      <c r="AO3" s="46">
        <v>0</v>
      </c>
      <c r="AP3" s="46" t="s">
        <v>31</v>
      </c>
      <c r="AQ3" s="10">
        <f>IF(AL3=AG3,1,0)</f>
        <v>1</v>
      </c>
      <c r="AR3" s="27">
        <f>IF(AM3=AH3,1,0)</f>
        <v>1</v>
      </c>
      <c r="AS3" s="27">
        <f>IF(AI3=AN3,1,IF(OR(AND(AN3="x",AI3=0),AND(AI3="x",AN3=0)),1,0))</f>
        <v>1</v>
      </c>
      <c r="AT3" s="27">
        <f>IF(AO3=AJ3,1,0)</f>
        <v>1</v>
      </c>
      <c r="AU3" s="29">
        <f>IF(AP3=AK3,1,0)</f>
        <v>1</v>
      </c>
    </row>
    <row r="4" spans="1:47">
      <c r="A4" s="13">
        <v>2</v>
      </c>
      <c r="B4" s="16">
        <f>_xlfn.MAXIFS('Model output'!B:B,'Model output'!Z:Z,'Classification result'!$A4)</f>
        <v>45348</v>
      </c>
      <c r="C4" s="17">
        <f>_xlfn.MAXIFS('Model output'!C:C,'Model output'!Z:Z,'Classification result'!$A4)</f>
        <v>39</v>
      </c>
      <c r="D4" s="17" t="str" cm="1">
        <f t="array" ref="D4">LEFT(IF(ISERROR(RIGHT(IF(INDEX(_xlfn._xlws.FILTER('Model output'!D:D,('Model output'!Z:Z=A4)),1)&lt;&gt;"",INDEX(_xlfn._xlws.FILTER('Model output'!D:D,('Model output'!Z:Z=A4)),1),""),LEN(IF(INDEX(_xlfn._xlws.FILTER('Model output'!D:D,('Model output'!Z:Z=A4)),1)&lt;&gt;"",INDEX(_xlfn._xlws.FILTER('Model output'!D:D,('Model output'!Z:Z=A4)),1),""))-FIND("T",IF(INDEX(_xlfn._xlws.FILTER('Model output'!D:D,('Model output'!Z:Z=A4)),1)&lt;&gt;"",INDEX(_xlfn._xlws.FILTER('Model output'!D:D,('Model output'!Z:Z=A4)),1),""),1))),"",(RIGHT(IF(INDEX(_xlfn._xlws.FILTER('Model output'!D:D,('Model output'!Z:Z=A4)),1)&lt;&gt;"",INDEX(_xlfn._xlws.FILTER('Model output'!D:D,('Model output'!Z:Z=A4)),1),""),LEN(IF(INDEX(_xlfn._xlws.FILTER('Model output'!D:D,('Model output'!Z:Z=A4)),1)&lt;&gt;"",INDEX(_xlfn._xlws.FILTER('Model output'!D:D,('Model output'!Z:Z=A4)),1),""))-FIND("T",IF(INDEX(_xlfn._xlws.FILTER('Model output'!D:D,('Model output'!Z:Z=A4)),1)&lt;&gt;"",INDEX(_xlfn._xlws.FILTER('Model output'!D:D,('Model output'!Z:Z=A4)),1)))))),2)</f>
        <v>2</v>
      </c>
      <c r="E4" s="17" t="str" cm="1">
        <f t="array" ref="E4">IF(ISNUMBER(SEARCH("N",IF(ISNUMBER(SEARCH("present",IF(INDEX(_xlfn._xlws.FILTER('Model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output'!Z:Z=A4)),1))),1)),RIGHT(IF(ISNUMBER(SEARCH("present",IF(INDEX(_xlfn._xlws.FILTER('Model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output'!Z:Z=A4)),1))),LEN(IF(ISNUMBER(SEARCH("present",IF(INDEX(_xlfn._xlws.FILTER('Model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output'!Z:Z=A4)),1))))-FIND("N",IF(ISNUMBER(SEARCH("present",IF(INDEX(_xlfn._xlws.FILTER('Model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output'!Z:Z=A4)),1))),1)), "")</f>
        <v/>
      </c>
      <c r="F4" s="17" cm="1">
        <f t="array" ref="F4">IF(AND(SUBSTITUTE(_xlfn.TEXTJOIN("/", TRUE, _xlfn._xlws.FILTER('Model output'!F:F, 'Model output'!Z:Z=A4)),"M", "")="", I4="negative"),0,IF(I4="positive",1,0))</f>
        <v>0</v>
      </c>
      <c r="G4" t="str">
        <f t="shared" si="0"/>
        <v/>
      </c>
      <c r="H4" t="str" cm="1">
        <f t="array" ref="H4">IF(AND(K4&gt;0, _xlfn.TEXTJOIN("; ", TRUE, _xlfn._xlws.FILTER('Model output'!G:G, 'Model output'!Z:Z=A4)) &lt;&gt;"", OR(AND(ISNUMBER(SEARCH("level", _xlfn.TEXTJOIN("; ", TRUE, _xlfn._xlws.FILTER('Model output'!G:G, 'Model output'!Z:Z=A4)),1)),OR(ISNUMBER(SEARCH(" II", _xlfn.TEXTJOIN("; ", TRUE, _xlfn._xlws.FILTER('Model output'!G:G, 'Model output'!Z:Z=A4)),1)),ISNUMBER(SEARCH("2", _xlfn.TEXTJOIN("; ", TRUE, _xlfn._xlws.FILTER('Model output'!G:G, 'Model output'!Z:Z=A4)),1)),ISNUMBER(SEARCH("two", _xlfn.TEXTJOIN("; ", TRUE, _xlfn._xlws.FILTER('Model output'!G:G, 'Model output'!Z:Z=A4)),1)),ISNUMBER(SEARCH("III", _xlfn.TEXTJOIN("; ", TRUE, _xlfn._xlws.FILTER('Model output'!G:G, 'Model output'!Z:Z=A4)),1)),ISNUMBER(SEARCH("3", _xlfn.TEXTJOIN("; ", TRUE, _xlfn._xlws.FILTER('Model output'!G:G, 'Model output'!Z:Z=A4)),1)),ISNUMBER(SEARCH("three", _xlfn.TEXTJOIN("; ", TRUE, _xlfn._xlws.FILTER('Model output'!G:G, 'Model output'!Z:Z=A4)),1)),ISNUMBER(SEARCH("IV", _xlfn.TEXTJOIN("; ", TRUE, _xlfn._xlws.FILTER('Model output'!G:G, 'Model output'!Z:Z=A4)),1)),ISNUMBER(SEARCH("4", _xlfn.TEXTJOIN("; ", TRUE, _xlfn._xlws.FILTER('Model output'!G:G, 'Model output'!Z:Z=A4)),1)),ISNUMBER(SEARCH("five", _xlfn.TEXTJOIN("; ", TRUE, _xlfn._xlws.FILTER('Model output'!G:G, 'Model output'!Z:Z=A4)),1)),ISNUMBER(SEARCH("V ", _xlfn.TEXTJOIN("; ", TRUE, _xlfn._xlws.FILTER('Model output'!G:G, 'Model output'!Z:Z=A4)),1)),ISNUMBER(SEARCH("5", _xlfn.TEXTJOIN("; ", TRUE, _xlfn._xlws.FILTER('Model output'!G:G, 'Model output'!Z:Z=A4)),1)),ISNUMBER(SEARCH("five", _xlfn.TEXTJOIN("; ", TRUE, _xlfn._xlws.FILTER('Model output'!G:G, 'Model output'!Z:Z=A4)),1)),ISNUMBER(SEARCH(" lateral", _xlfn.TEXTJOIN("; ", TRUE, _xlfn._xlws.FILTER('Model output'!G:G, 'Model output'!Z:Z=A4)),1)))),ISNUMBER(SEARCH("cervical", _xlfn.TEXTJOIN("; ", TRUE, _xlfn._xlws.FILTER('Model output'!G:G, 'Model output'!Z:Z=A4)),1)),ISNUMBER(SEARCH("jugular", _xlfn.TEXTJOIN("; ", TRUE, _xlfn._xlws.FILTER('Model output'!G:G, 'Model output'!Z:Z=A4)),1)),ISNUMBER(SEARCH("left neck", _xlfn.TEXTJOIN("; ", TRUE, _xlfn._xlws.FILTER('Model output'!G:G, 'Model output'!Z:Z=A4)),1)),ISNUMBER(SEARCH("left anterior neck", _xlfn.TEXTJOIN("; ", TRUE, _xlfn._xlws.FILTER('Model output'!G:G, 'Model output'!Z:Z=A4)),1)),ISNUMBER(SEARCH("left posterior neck", _xlfn.TEXTJOIN("; ", TRUE, _xlfn._xlws.FILTER('Model output'!G:G, 'Model output'!Z:Z=A4)),1)),ISNUMBER(SEARCH("right neck", _xlfn.TEXTJOIN("; ", TRUE, _xlfn._xlws.FILTER('Model output'!G:G, 'Model output'!Z:Z=A4)),1)),ISNUMBER(SEARCH("right anterior neck", _xlfn.TEXTJOIN("; ", TRUE, _xlfn._xlws.FILTER('Model output'!G:G, 'Model output'!Z:Z=A4)),1)),ISNUMBER(SEARCH("right posterior neck", _xlfn.TEXTJOIN("; ", TRUE, _xlfn._xlws.FILTER('Model output'!G:G, 'Model output'!Z:Z=A4)),1)))),"lateral",IF(AND(K4=0, _xlfn.TEXTJOIN("; ", TRUE, _xlfn._xlws.FILTER('Model output'!G:G, 'Model output'!Z:Z=A4))=""),"", "central"))</f>
        <v/>
      </c>
      <c r="I4" s="17" t="str" cm="1">
        <f t="array" ref="I4">IF(OR(ISNUMBER(SEARCH("lymph",_xlfn.TEXTJOIN("; ", TRUE, _xlfn._xlws.FILTER('Model output'!H:H, 'Model output'!Z:Z=A4)),1)), ISNUMBER(SEARCH("Not mentioned",_xlfn.TEXTJOIN("; ", TRUE, _xlfn._xlws.FILTER('Model output'!H:H, 'Model output'!Z:Z=A4)),1)),ISNUMBER(SEARCH("subcutaneous soft tissues",_xlfn.TEXTJOIN("; ", TRUE, _xlfn._xlws.FILTER('Model output'!H:H, 'Model output'!Z:Z=A4)),1)),ISNUMBER(SEARCH("larynx",_xlfn.TEXTJOIN("; ", TRUE, _xlfn._xlws.FILTER('Model output'!H:H, 'Model output'!Z:Z=A4)),1)),ISNUMBER(SEARCH("trachea",_xlfn.TEXTJOIN("; ", TRUE, _xlfn._xlws.FILTER('Model output'!H:H, 'Model output'!Z:Z=A4)),1)),ISNUMBER(SEARCH("esophagus",_xlfn.TEXTJOIN("; ", TRUE, _xlfn._xlws.FILTER('Model output'!H:H, 'Model output'!Z:Z=A4)),1)),ISNUMBER(SEARCH("recurrent laryngeal nerve",_xlfn.TEXTJOIN("; ", TRUE, _xlfn._xlws.FILTER('Model output'!H:H, 'Model output'!Z:Z=A4)),1)),ISNUMBER(SEARCH("RLN",_xlfn.TEXTJOIN("; ", TRUE, _xlfn._xlws.FILTER('Model output'!H:H, 'Model output'!Z:Z=A4)),1)),_xlfn.TEXTJOIN("; ", TRUE, _xlfn._xlws.FILTER('Model output'!H:H, 'Model output'!Z:Z=A4))=""),"negative","positive")</f>
        <v>negative</v>
      </c>
      <c r="J4" s="17">
        <f>IF(IFERROR(INDEX('Model output'!I:I, MATCH(A4, 'Model output'!Z:Z, 0)), "") &lt; K4, "", IFERROR(INDEX('Model output'!I:I, MATCH(A4, 'Model output'!Z:Z, 0)), ""))</f>
        <v>0</v>
      </c>
      <c r="K4" s="17">
        <f>IFERROR(INDEX('Model output'!J:J, MATCH(A4, 'Model output'!Z:Z, 0)), "")</f>
        <v>0</v>
      </c>
      <c r="L4" s="18" t="str" cm="1">
        <f t="array" ref="L4">ReplaceTo(ReplaceAnd(SUBSTITUTE(SUBSTITUTE(_xlfn.TEXTJOIN("; ", TRUE, _xlfn._xlws.FILTER('Model output'!K:K, 'Model output'!Z:Z=A4)), " ", ""), ",", ";")))</f>
        <v/>
      </c>
      <c r="M4" t="str" cm="1">
        <f t="array" ref="M4">IF(LEFT(IF(RIGHT(SUBSTITUTE(FilterWithUnits(L4)&amp; ";" &amp;FilterStringsWithNumericAnd(L4) &amp; ";" &amp; FilterStringsWithX(L4), ";;", ";"),1)=";",LEFT(SUBSTITUTE(FilterWithUnits(L4)&amp; ";" &amp;FilterStringsWithNumericAnd(L4) &amp; ";" &amp; FilterStringsWithX(L4), ";;", ";"),LEN(SUBSTITUTE(FilterWithUnits(L4)&amp; ";" &amp;FilterStringsWithNumericAnd(L4) &amp; ";" &amp; FilterStringsWithX(L4), ";;", ";"))-1),SUBSTITUTE(FilterWithUnits(L4)&amp; ";" &amp;FilterStringsWithNumericAnd(L4) &amp; ";" &amp; FilterStringsWithX(L4), ";;", ";")),1)=";",RIGHT(IF(RIGHT(SUBSTITUTE(FilterWithUnits(L4)&amp; ";" &amp;FilterStringsWithNumericAnd(L4) &amp; ";" &amp; FilterStringsWithX(L4), ";;", ";"),1)=";",LEFT(SUBSTITUTE(FilterWithUnits(L4)&amp; ";" &amp;FilterStringsWithNumericAnd(L4) &amp; ";" &amp; FilterStringsWithX(L4), ";;", ";"),LEN(SUBSTITUTE(FilterWithUnits(L4)&amp; ";" &amp;FilterStringsWithNumericAnd(L4) &amp; ";" &amp; FilterStringsWithX(L4), ";;", ";"))-1),SUBSTITUTE(FilterWithUnits(L4)&amp; ";" &amp;FilterStringsWithNumericAnd(L4) &amp; ";" &amp; FilterStringsWithX(L4), ";;", ";")),LEN(IF(RIGHT(SUBSTITUTE(FilterWithUnits(L4)&amp; ";" &amp;FilterStringsWithNumericAnd(L4) &amp; ";" &amp; FilterStringsWithX(L4), ";;", ";"),1)=";",LEFT(SUBSTITUTE(FilterWithUnits(L4)&amp; ";" &amp;FilterStringsWithNumericAnd(L4) &amp; ";" &amp; FilterStringsWithX(L4), ";;", ";"),LEN(SUBSTITUTE(FilterWithUnits(L4)&amp; ";" &amp;FilterStringsWithNumericAnd(L4) &amp; ";" &amp; FilterStringsWithX(L4), ";;", ";"))-1),SUBSTITUTE(FilterWithUnits(L4)&amp; ";" &amp;FilterStringsWithNumericAnd(L4) &amp; ";" &amp; FilterStringsWithX(L4), ";;", ";")))-1),IF(RIGHT(SUBSTITUTE(FilterWithUnits(L4)&amp; ";" &amp;FilterStringsWithNumericAnd(L4) &amp; ";" &amp; FilterStringsWithX(L4), ";;", ";"),1)=";",LEFT(SUBSTITUTE(FilterWithUnits(L4)&amp; ";" &amp;FilterStringsWithNumericAnd(L4) &amp; ";" &amp; FilterStringsWithX(L4), ";;", ";"),LEN(SUBSTITUTE(FilterWithUnits(L4)&amp; ";" &amp;FilterStringsWithNumericAnd(L4) &amp; ";" &amp; FilterStringsWithX(L4), ";;", ";"))-1),SUBSTITUTE(FilterWithUnits(L4)&amp; ";" &amp;FilterStringsWithNumericAnd(L4) &amp; ";" &amp; FilterStringsWithX(L4), ";;", ";")))</f>
        <v/>
      </c>
      <c r="N4" t="str" cm="1">
        <f t="array" ref="N4">IF(MaxSize((SplitDimensions(M4)))=0, "", MaxSize((SplitDimensions(M4))))</f>
        <v/>
      </c>
      <c r="O4" t="str" cm="1">
        <f t="array" ref="O4">IF(ISERROR(INDEX(_xlfn._xlws.FILTER('Model output'!L:L, ('Model output'!Z:Z=A4)*('Model output'!L:L&lt;&gt;"")), 1)), " ", LOWER(INDEX(_xlfn._xlws.FILTER('Model output'!L:L, ('Model output'!Z:Z=A4)*('Model output'!L:L&lt;&gt;"")), 1)))</f>
        <v>papillary</v>
      </c>
      <c r="P4" t="str" cm="1">
        <f t="array" ref="P4">IF(ISERROR(INDEX(_xlfn._xlws.FILTER('Model output'!M:M, ('Model output'!Z:Z=A4)*('Model output'!M:M&lt;&gt;"")), 1)), " ", LOWER(INDEX(_xlfn._xlws.FILTER('Model output'!M:M, ('Model output'!Z:Z=A4)*('Model output'!M:M&lt;&gt;"")), 1)))</f>
        <v>classic</v>
      </c>
      <c r="Q4" t="str" cm="1">
        <f t="array" ref="Q4">IF(OR(ISNUMBER(SEARCH("ly",SUBSTITUTE(INDEX(_xlfn._xlws.FILTER('Model output'!N:N,('Model output'!Z:Z=A4)*('Model output'!N:N&lt;&gt;"")),1)," ",""),1)), ISNUMBER(SEARCH("pole",SUBSTITUTE(INDEX(_xlfn._xlws.FILTER('Model output'!N:N,('Model output'!Z:Z=A4)*('Model output'!N:N&lt;&gt;"")),1)," ",""),1))),"",SUBSTITUTE(INDEX(_xlfn._xlws.FILTER('Model output'!N:N,('Model output'!Z:Z=A4)*('Model output'!N:N&lt;&gt;"")),1)," ",""))</f>
        <v>30mm</v>
      </c>
      <c r="R4" t="str" cm="1">
        <f t="array" ref="R4">IF(LEFT(IF(RIGHT(SUBSTITUTE(FilterWithUnits(Q4)&amp; ";" &amp;FilterStringsWithNumericAnd(Q4) &amp; ";" &amp; FilterStringsWithX(Q4), ";;", ";"),1)=";",LEFT(SUBSTITUTE(FilterWithUnits(Q4)&amp; ";" &amp;FilterStringsWithNumericAnd(Q4) &amp; ";" &amp; FilterStringsWithX(Q4), ";;", ";"),LEN(SUBSTITUTE(FilterWithUnits(Q4)&amp; ";" &amp;FilterStringsWithNumericAnd(Q4) &amp; ";" &amp; FilterStringsWithX(Q4), ";;", ";"))-1),SUBSTITUTE(FilterWithUnits(Q4)&amp; ";" &amp;FilterStringsWithNumericAnd(Q4) &amp; ";" &amp; FilterStringsWithX(Q4), ";;", ";")),1)=";",RIGHT(IF(RIGHT(SUBSTITUTE(FilterWithUnits(Q4)&amp; ";" &amp;FilterStringsWithNumericAnd(Q4) &amp; ";" &amp; FilterStringsWithX(Q4), ";;", ";"),1)=";",LEFT(SUBSTITUTE(FilterWithUnits(Q4)&amp; ";" &amp;FilterStringsWithNumericAnd(Q4) &amp; ";" &amp; FilterStringsWithX(Q4), ";;", ";"),LEN(SUBSTITUTE(FilterWithUnits(Q4)&amp; ";" &amp;FilterStringsWithNumericAnd(Q4) &amp; ";" &amp; FilterStringsWithX(Q4), ";;", ";"))-1),SUBSTITUTE(FilterWithUnits(Q4)&amp; ";" &amp;FilterStringsWithNumericAnd(Q4) &amp; ";" &amp; FilterStringsWithX(Q4), ";;", ";")),LEN(IF(RIGHT(SUBSTITUTE(FilterWithUnits(Q4)&amp; ";" &amp;FilterStringsWithNumericAnd(Q4) &amp; ";" &amp; FilterStringsWithX(Q4), ";;", ";"),1)=";",LEFT(SUBSTITUTE(FilterWithUnits(Q4)&amp; ";" &amp;FilterStringsWithNumericAnd(Q4) &amp; ";" &amp; FilterStringsWithX(Q4), ";;", ";"),LEN(SUBSTITUTE(FilterWithUnits(Q4)&amp; ";" &amp;FilterStringsWithNumericAnd(Q4) &amp; ";" &amp; FilterStringsWithX(Q4), ";;", ";"))-1),SUBSTITUTE(FilterWithUnits(Q4)&amp; ";" &amp;FilterStringsWithNumericAnd(Q4) &amp; ";" &amp; FilterStringsWithX(Q4), ";;", ";")))-1),IF(RIGHT(SUBSTITUTE(FilterWithUnits(Q4)&amp; ";" &amp;FilterStringsWithNumericAnd(Q4) &amp; ";" &amp; FilterStringsWithX(Q4), ";;", ";"),1)=";",LEFT(SUBSTITUTE(FilterWithUnits(Q4)&amp; ";" &amp;FilterStringsWithNumericAnd(Q4) &amp; ";" &amp; FilterStringsWithX(Q4), ";;", ";"),LEN(SUBSTITUTE(FilterWithUnits(Q4)&amp; ";" &amp;FilterStringsWithNumericAnd(Q4) &amp; ";" &amp; FilterStringsWithX(Q4), ";;", ";"))-1),SUBSTITUTE(FilterWithUnits(Q4)&amp; ";" &amp;FilterStringsWithNumericAnd(Q4) &amp; ";" &amp; FilterStringsWithX(Q4), ";;", ";")))</f>
        <v>30mm</v>
      </c>
      <c r="S4" cm="1">
        <f t="array" ref="S4">IF(MaxSize((SplitDimensions(R4)))=0, "", MaxSize((SplitDimensions(R4))))</f>
        <v>3</v>
      </c>
      <c r="T4" s="17" t="str" cm="1">
        <f t="array" ref="T4">IF(ISERROR(INDEX(_xlfn._xlws.FILTER('Model output'!P:P,('Model output'!Z:Z=A4)*('Model output'!P:P&lt;&gt;"")),1)),"negative",IF(OR(ISNUMBER(SEARCH("foc",INDEX(_xlfn._xlws.FILTER('Model output'!P:P,('Model output'!Z:Z=A4)*('Model output'!P:P&lt;&gt;"")),1),1)),ISNUMBER(SEARCH("extensive",INDEX(_xlfn._xlws.FILTER('Model output'!P:P,('Model output'!Z:Z=A4)*('Model output'!P:P&lt;&gt;"")),1),1)),ISNUMBER(SEARCH("present",INDEX(_xlfn._xlws.FILTER('Model output'!P:P,('Model output'!Z:Z=A4)*('Model output'!P:P&lt;&gt;"")),1),1)),ISNUMBER(SEARCH("yes",INDEX(_xlfn._xlws.FILTER('Model output'!P:P,('Model output'!Z:Z=A4)*('Model output'!P:P&lt;&gt;"")),1),1))),"positive","negative"))</f>
        <v>negative</v>
      </c>
      <c r="V4" t="str" cm="1">
        <f t="array" ref="V4">IF(ISNUMBER(SEARCH("4",INDEX(_xlfn._xlws.FILTER('Model output'!P:P,('Model output'!Z:Z=A4)*('Model output'!P:P&lt;&gt;"")),1),1)),INDEX(_xlfn._xlws.FILTER('Model output'!P:P,('Model output'!Z:Z=A4)*('Model output'!P:P&lt;&gt;"")),1),"") &amp; _xlfn.TEXTJOIN("",TRUE,_xlfn._xlws.FILTER('Model output'!Q:Q,'Model output'!Z:Z=A4))</f>
        <v/>
      </c>
      <c r="W4" t="str">
        <f t="shared" ref="W4:W37" si="2">IF(T4="negative","no",IF(OR(ISNUMBER(SEARCH("&gt; 4",V4,1)),ISNUMBER(SEARCH("&gt;4",V4,1)),ISNUMBER(SEARCH("4 or more",V4,1)),ISNUMBER(SEARCH("extensive",V4,1))),"extensive","minimal"))</f>
        <v>no</v>
      </c>
      <c r="X4" t="str" cm="1">
        <f t="array" ref="X4">IF(OR(ISNUMBER(SEARCH("focal",_xlfn.TEXTJOIN("; ",TRUE,_xlfn._xlws.FILTER('Model output'!R:R,'Model output'!Z:Z=A4)),1)),ISNUMBER(SEARCH("present",_xlfn.TEXTJOIN("; ",TRUE,_xlfn._xlws.FILTER('Model output'!R:R,'Model output'!Z:Z=A4)),1))),"positive",IF(_xlfn.TEXTJOIN("; ",TRUE,_xlfn._xlws.FILTER('Model output'!R:R,'Model output'!Z:Z=A4))="","negative",IF(OR(ISNUMBER(SEARCH("no",_xlfn.TEXTJOIN("; ",TRUE,_xlfn._xlws.FILTER('Model output'!R:R,'Model output'!Z:Z=A4)),1)),ISNUMBER(SEARCH("absent",_xlfn.TEXTJOIN("; ",TRUE,_xlfn._xlws.FILTER('Model output'!R:R,'Model output'!Z:Z=A4)),1))),"negative","positive")))</f>
        <v>positive</v>
      </c>
      <c r="Y4" s="17" t="str">
        <f t="shared" ref="Y4:Y37" si="3">IF(OR(ISNUMBER(SEARCH("soft tissue", AD4)), ISNUMBER(SEARCH("adipose tissue", AD4)), ISNUMBER(SEARCH("muscles", AD4)), ISNUMBER(SEARCH("microscopic", AD4)), ISNUMBER(SEARCH("minimal", AD4)), ISNUMBER(SEARCH("surrounding fat", AD4)), ISNUMBER(SEARCH("present", AD4)), ISNUMBER(SEARCH("yes", AD4)), ISNUMBER(SEARCH("positive", AD4))), "positive", "negative")</f>
        <v>negative</v>
      </c>
      <c r="AC4" s="17" t="str">
        <f t="shared" ref="AC4:AC37" si="4">IF(OR(ISNUMBER(SEARCH("subcutaneous soft tissues", AD4)),ISNUMBER(SEARCH("strap muscle", AD4)), ISNUMBER(SEARCH("larynx", AD4)),ISNUMBER(SEARCH("trachea", AD4)),ISNUMBER(SEARCH("esophagus", AD4)), ISNUMBER(SEARCH("recurrent laryngeal nerve", AD4)), ISNUMBER(SEARCH("RLN", AD4))), "positive", "negative")</f>
        <v>negative</v>
      </c>
      <c r="AD4" t="str" cm="1">
        <f t="array" ref="AD4">_xlfn.TEXTJOIN("; ",TRUE,_xlfn._xlws.FILTER('Model output'!S:S,'Model output'!Z:Z=A4))</f>
        <v>Not identified</v>
      </c>
      <c r="AE4" s="17" t="str" cm="1">
        <f t="array" ref="AE4">IF(OR(ISNUMBER(SEARCH("uninvolved",_xlfn.TEXTJOIN("; ",TRUE,_xlfn._xlws.FILTER('Model output'!V:V,'Model output'!Z:Z=A4)),1)),ISNUMBER(SEARCH("clear",_xlfn.TEXTJOIN("; ",TRUE,_xlfn._xlws.FILTER('Model output'!V:V,'Model output'!Z:Z=A4)),1))*ISNUMBER(SEARCH("not mentioned",_xlfn.TEXTJOIN("; ",TRUE,_xlfn._xlws.FILTER('Model output'!V:V,'Model output'!Z:Z=A4)),1))),"negative",IF(ISNUMBER(SEARCH("cannot be assessed",_xlfn.TEXTJOIN("; ",TRUE,_xlfn._xlws.FILTER('Model output'!V:V,'Model output'!Z:Z=A4)),1)),"unknown","negative"))</f>
        <v>negative</v>
      </c>
      <c r="AG4" s="43" t="str">
        <f>IF(OR(ISNUMBER(SEARCH("non-invasive follicular",O4,1)), ISNUMBER(SEARCH("papillary-like nuclear features",P4,1)), ISNUMBER(SEARCH("non-invasive follicular",P4,1)),ISNUMBER(SEARCH("papillary-like nuclear features",P4,1))),"NIFTP", IF(OR(I4="positive",AC4="positive",AND(OR(ISNUMBER(SEARCH("follicular", O4)),ISNUMBER(SEARCH("FTC", O4))),W4="extensive"),AND(G4="positive",ISNUMBER(N4),N4&gt;3),AI4=1),"high",IF(OR(ISNUMBER(SEARCH("positive",Y4,1)),ISNUMBER(SEARCH("tall",P4,1)),ISNUMBER(SEARCH("hobnail",P4,1)),ISNUMBER(SEARCH("cribriform",P4,1)),ISNUMBER(SEARCH("diffuse",P4,1)),ISNUMBER(SEARCH("columnar",P4,1)),ISNUMBER(SEARCH("solid",P4,1)),ISNUMBER(SEARCH("tall",O4,1)),ISNUMBER(SEARCH("hobnail",O4,1)),ISNUMBER(SEARCH("cribriform",O4,1)),ISNUMBER(SEARCH("diffuse",O4,1)),ISNUMBER(SEARCH("columnar",O4,1)),ISNUMBER(SEARCH("solid",O4,1)),AND(OR(ISNUMBER(SEARCH("papillary carcinoma",O4,1)),ISNUMBER(SEARCH("papillary microcarcinoma",O4,1))),T4="positive"),,AND(AND(ISNUMBER(K4),K4&gt;=5),N4=""),AND(AND(ISNUMBER(K4),K4&gt;=5),AND(ISNUMBER(N4),N4&gt;=1)),H4="lateral"),"intermediate","low")))</f>
        <v>low</v>
      </c>
      <c r="AH4" s="44" t="str">
        <f t="shared" si="1"/>
        <v>2</v>
      </c>
      <c r="AI4" s="56" t="str">
        <f t="shared" ref="AI4:AI37" si="5">IF(OR(ISNUMBER(SEARCH("non-invasive follicular",O4)),ISNUMBER(SEARCH("papillary-like nuclear features",O4)),ISNUMBER(SEARCH("non-invasive follicular",P4)),ISNUMBER(SEARCH("papillary-like nuclear features",P4))),"NIFTP",IF(AND(K4&gt;0,G4="positive",H4="central"),"1a",IF(AND(K4&gt;0,G4="positive",H4="lateral"),"1b",IF(AND(K4=0,J4=0),"x",0))))</f>
        <v>x</v>
      </c>
      <c r="AJ4" s="56">
        <f t="shared" ref="AJ4:AJ37" si="6">IF(OR(ISNUMBER(SEARCH("non-invasive follicular",O4)),ISNUMBER(SEARCH("papillary-like nuclear features",O4)),ISNUMBER(SEARCH("non-invasive follicular",P4)),ISNUMBER(SEARCH("papillary-like nuclear features",P4))),"NIFTP",IF(I4="unknown","x",IF(I4="negative",0,1)))</f>
        <v>0</v>
      </c>
      <c r="AK4" s="57" t="str">
        <f t="shared" ref="AK4:AK37" si="7">IF(OR(ISNUMBER(SEARCH("non-invasive follicular",O4)),ISNUMBER(SEARCH("papillary-like nuclear features",O4)),ISNUMBER(SEARCH("non-invasive follicular",P4)),ISNUMBER(SEARCH("papillary-like nuclear features",P4))),"NIFTP",IF(AND(C4&lt;55,AJ4=0),"I",IF(AND(C4&lt;55,AJ4=1),"II",IF(AJ4=1,"IVB",IF(AND(AH4="4b",AJ4=0),"IVA",IF(AND(AH4="4a",AJ4=0),"III",IF(AND(OR(AH4="3",AH4="3a",AH4="3b"),AJ4=0),"II",IF(AND(AH4="2",OR(AI4="1",AI4="1a",AI4="1b"),AJ4=0),"II",IF(AND(OR(AH4="1a",AH4="1b",AH4="1",AH4="1 "),OR(AI4="1",AI4="1a",AI4="1b"),AJ4=0),"II","I")))))))))</f>
        <v>I</v>
      </c>
      <c r="AL4" s="45" t="s">
        <v>169</v>
      </c>
      <c r="AM4" s="46" t="s">
        <v>343</v>
      </c>
      <c r="AN4" s="46" t="s">
        <v>197</v>
      </c>
      <c r="AO4" s="46">
        <v>0</v>
      </c>
      <c r="AP4" s="46" t="s">
        <v>31</v>
      </c>
      <c r="AQ4" s="10">
        <f>IF(AL4=AG4,1,0)</f>
        <v>1</v>
      </c>
      <c r="AR4" s="27">
        <f>IF(AM4=AH4,1,0)</f>
        <v>1</v>
      </c>
      <c r="AS4" s="27">
        <f t="shared" ref="AS4:AS37" si="8">IF(AI4=AN4,1,IF(OR(AND(AN4="x",AI4=0),AND(AI4="x",AN4=0)),1,0))</f>
        <v>1</v>
      </c>
      <c r="AT4" s="27">
        <f t="shared" ref="AT4:AU37" si="9">IF(AO4=AJ4,1,0)</f>
        <v>1</v>
      </c>
      <c r="AU4" s="29">
        <f t="shared" si="9"/>
        <v>1</v>
      </c>
    </row>
    <row r="5" spans="1:47">
      <c r="A5" s="13">
        <v>3</v>
      </c>
      <c r="B5" s="16">
        <f>_xlfn.MAXIFS('Model output'!B:B,'Model output'!Z:Z,'Classification result'!$A5)</f>
        <v>45373</v>
      </c>
      <c r="C5" s="17">
        <f>_xlfn.MAXIFS('Model output'!C:C,'Model output'!Z:Z,'Classification result'!$A5)</f>
        <v>52</v>
      </c>
      <c r="D5" s="17" t="str" cm="1">
        <f t="array" ref="D5">LEFT(IF(ISERROR(RIGHT(IF(INDEX(_xlfn._xlws.FILTER('Model output'!D:D,('Model output'!Z:Z=A5)),1)&lt;&gt;"",INDEX(_xlfn._xlws.FILTER('Model output'!D:D,('Model output'!Z:Z=A5)),1),""),LEN(IF(INDEX(_xlfn._xlws.FILTER('Model output'!D:D,('Model output'!Z:Z=A5)),1)&lt;&gt;"",INDEX(_xlfn._xlws.FILTER('Model output'!D:D,('Model output'!Z:Z=A5)),1),""))-FIND("T",IF(INDEX(_xlfn._xlws.FILTER('Model output'!D:D,('Model output'!Z:Z=A5)),1)&lt;&gt;"",INDEX(_xlfn._xlws.FILTER('Model output'!D:D,('Model output'!Z:Z=A5)),1),""),1))),"",(RIGHT(IF(INDEX(_xlfn._xlws.FILTER('Model output'!D:D,('Model output'!Z:Z=A5)),1)&lt;&gt;"",INDEX(_xlfn._xlws.FILTER('Model output'!D:D,('Model output'!Z:Z=A5)),1),""),LEN(IF(INDEX(_xlfn._xlws.FILTER('Model output'!D:D,('Model output'!Z:Z=A5)),1)&lt;&gt;"",INDEX(_xlfn._xlws.FILTER('Model output'!D:D,('Model output'!Z:Z=A5)),1),""))-FIND("T",IF(INDEX(_xlfn._xlws.FILTER('Model output'!D:D,('Model output'!Z:Z=A5)),1)&lt;&gt;"",INDEX(_xlfn._xlws.FILTER('Model output'!D:D,('Model output'!Z:Z=A5)),1)))))),2)</f>
        <v>1a</v>
      </c>
      <c r="E5" s="17" t="str" cm="1">
        <f t="array" ref="E5">IF(ISNUMBER(SEARCH("N",IF(ISNUMBER(SEARCH("present",IF(INDEX(_xlfn._xlws.FILTER('Model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output'!Z:Z=A5)),1))),1)),RIGHT(IF(ISNUMBER(SEARCH("present",IF(INDEX(_xlfn._xlws.FILTER('Model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output'!Z:Z=A5)),1))),LEN(IF(ISNUMBER(SEARCH("present",IF(INDEX(_xlfn._xlws.FILTER('Model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output'!Z:Z=A5)),1))))-FIND("N",IF(ISNUMBER(SEARCH("present",IF(INDEX(_xlfn._xlws.FILTER('Model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output'!Z:Z=A5)),1))),1)), "")</f>
        <v>1a</v>
      </c>
      <c r="F5" s="17" cm="1">
        <f t="array" ref="F5">IF(AND(SUBSTITUTE(_xlfn.TEXTJOIN("/", TRUE, _xlfn._xlws.FILTER('Model output'!F:F, 'Model output'!Z:Z=A5)),"M", "")="", I5="negative"),0,IF(I5="positive",1,0))</f>
        <v>0</v>
      </c>
      <c r="G5" t="str">
        <f t="shared" si="0"/>
        <v>positive</v>
      </c>
      <c r="H5" t="str" cm="1">
        <f t="array" ref="H5">IF(AND(K5&gt;0, _xlfn.TEXTJOIN("; ", TRUE, _xlfn._xlws.FILTER('Model output'!G:G, 'Model output'!Z:Z=A5)) &lt;&gt;"", OR(AND(ISNUMBER(SEARCH("level", _xlfn.TEXTJOIN("; ", TRUE, _xlfn._xlws.FILTER('Model output'!G:G, 'Model output'!Z:Z=A5)),1)),OR(ISNUMBER(SEARCH(" II", _xlfn.TEXTJOIN("; ", TRUE, _xlfn._xlws.FILTER('Model output'!G:G, 'Model output'!Z:Z=A5)),1)),ISNUMBER(SEARCH("2", _xlfn.TEXTJOIN("; ", TRUE, _xlfn._xlws.FILTER('Model output'!G:G, 'Model output'!Z:Z=A5)),1)),ISNUMBER(SEARCH("two", _xlfn.TEXTJOIN("; ", TRUE, _xlfn._xlws.FILTER('Model output'!G:G, 'Model output'!Z:Z=A5)),1)),ISNUMBER(SEARCH("III", _xlfn.TEXTJOIN("; ", TRUE, _xlfn._xlws.FILTER('Model output'!G:G, 'Model output'!Z:Z=A5)),1)),ISNUMBER(SEARCH("3", _xlfn.TEXTJOIN("; ", TRUE, _xlfn._xlws.FILTER('Model output'!G:G, 'Model output'!Z:Z=A5)),1)),ISNUMBER(SEARCH("three", _xlfn.TEXTJOIN("; ", TRUE, _xlfn._xlws.FILTER('Model output'!G:G, 'Model output'!Z:Z=A5)),1)),ISNUMBER(SEARCH("IV", _xlfn.TEXTJOIN("; ", TRUE, _xlfn._xlws.FILTER('Model output'!G:G, 'Model output'!Z:Z=A5)),1)),ISNUMBER(SEARCH("4", _xlfn.TEXTJOIN("; ", TRUE, _xlfn._xlws.FILTER('Model output'!G:G, 'Model output'!Z:Z=A5)),1)),ISNUMBER(SEARCH("five", _xlfn.TEXTJOIN("; ", TRUE, _xlfn._xlws.FILTER('Model output'!G:G, 'Model output'!Z:Z=A5)),1)),ISNUMBER(SEARCH("V ", _xlfn.TEXTJOIN("; ", TRUE, _xlfn._xlws.FILTER('Model output'!G:G, 'Model output'!Z:Z=A5)),1)),ISNUMBER(SEARCH("5", _xlfn.TEXTJOIN("; ", TRUE, _xlfn._xlws.FILTER('Model output'!G:G, 'Model output'!Z:Z=A5)),1)),ISNUMBER(SEARCH("five", _xlfn.TEXTJOIN("; ", TRUE, _xlfn._xlws.FILTER('Model output'!G:G, 'Model output'!Z:Z=A5)),1)),ISNUMBER(SEARCH(" lateral", _xlfn.TEXTJOIN("; ", TRUE, _xlfn._xlws.FILTER('Model output'!G:G, 'Model output'!Z:Z=A5)),1)))),ISNUMBER(SEARCH("cervical", _xlfn.TEXTJOIN("; ", TRUE, _xlfn._xlws.FILTER('Model output'!G:G, 'Model output'!Z:Z=A5)),1)),ISNUMBER(SEARCH("jugular", _xlfn.TEXTJOIN("; ", TRUE, _xlfn._xlws.FILTER('Model output'!G:G, 'Model output'!Z:Z=A5)),1)),ISNUMBER(SEARCH("left neck", _xlfn.TEXTJOIN("; ", TRUE, _xlfn._xlws.FILTER('Model output'!G:G, 'Model output'!Z:Z=A5)),1)),ISNUMBER(SEARCH("left anterior neck", _xlfn.TEXTJOIN("; ", TRUE, _xlfn._xlws.FILTER('Model output'!G:G, 'Model output'!Z:Z=A5)),1)),ISNUMBER(SEARCH("left posterior neck", _xlfn.TEXTJOIN("; ", TRUE, _xlfn._xlws.FILTER('Model output'!G:G, 'Model output'!Z:Z=A5)),1)),ISNUMBER(SEARCH("right neck", _xlfn.TEXTJOIN("; ", TRUE, _xlfn._xlws.FILTER('Model output'!G:G, 'Model output'!Z:Z=A5)),1)),ISNUMBER(SEARCH("right anterior neck", _xlfn.TEXTJOIN("; ", TRUE, _xlfn._xlws.FILTER('Model output'!G:G, 'Model output'!Z:Z=A5)),1)),ISNUMBER(SEARCH("right posterior neck", _xlfn.TEXTJOIN("; ", TRUE, _xlfn._xlws.FILTER('Model output'!G:G, 'Model output'!Z:Z=A5)),1)))),"lateral",IF(AND(K5=0, _xlfn.TEXTJOIN("; ", TRUE, _xlfn._xlws.FILTER('Model output'!G:G, 'Model output'!Z:Z=A5))=""),"", "central"))</f>
        <v>central</v>
      </c>
      <c r="I5" s="17" t="str" cm="1">
        <f t="array" ref="I5">IF(OR(ISNUMBER(SEARCH("lymph",_xlfn.TEXTJOIN("; ", TRUE, _xlfn._xlws.FILTER('Model output'!H:H, 'Model output'!Z:Z=A5)),1)), ISNUMBER(SEARCH("Not mentioned",_xlfn.TEXTJOIN("; ", TRUE, _xlfn._xlws.FILTER('Model output'!H:H, 'Model output'!Z:Z=A5)),1)),ISNUMBER(SEARCH("subcutaneous soft tissues",_xlfn.TEXTJOIN("; ", TRUE, _xlfn._xlws.FILTER('Model output'!H:H, 'Model output'!Z:Z=A5)),1)),ISNUMBER(SEARCH("larynx",_xlfn.TEXTJOIN("; ", TRUE, _xlfn._xlws.FILTER('Model output'!H:H, 'Model output'!Z:Z=A5)),1)),ISNUMBER(SEARCH("trachea",_xlfn.TEXTJOIN("; ", TRUE, _xlfn._xlws.FILTER('Model output'!H:H, 'Model output'!Z:Z=A5)),1)),ISNUMBER(SEARCH("esophagus",_xlfn.TEXTJOIN("; ", TRUE, _xlfn._xlws.FILTER('Model output'!H:H, 'Model output'!Z:Z=A5)),1)),ISNUMBER(SEARCH("recurrent laryngeal nerve",_xlfn.TEXTJOIN("; ", TRUE, _xlfn._xlws.FILTER('Model output'!H:H, 'Model output'!Z:Z=A5)),1)),ISNUMBER(SEARCH("RLN",_xlfn.TEXTJOIN("; ", TRUE, _xlfn._xlws.FILTER('Model output'!H:H, 'Model output'!Z:Z=A5)),1)),_xlfn.TEXTJOIN("; ", TRUE, _xlfn._xlws.FILTER('Model output'!H:H, 'Model output'!Z:Z=A5))=""),"negative","positive")</f>
        <v>negative</v>
      </c>
      <c r="J5" s="17">
        <f>IF(IFERROR(INDEX('Model output'!I:I, MATCH(A5, 'Model output'!Z:Z, 0)), "") &lt; K5, "", IFERROR(INDEX('Model output'!I:I, MATCH(A5, 'Model output'!Z:Z, 0)), ""))</f>
        <v>5</v>
      </c>
      <c r="K5" s="17">
        <f>IFERROR(INDEX('Model output'!J:J, MATCH(A5, 'Model output'!Z:Z, 0)), "")</f>
        <v>1</v>
      </c>
      <c r="L5" s="18" t="str" cm="1">
        <f t="array" ref="L5">ReplaceTo(ReplaceAnd(SUBSTITUTE(SUBSTITUTE(_xlfn.TEXTJOIN("; ", TRUE, _xlfn._xlws.FILTER('Model output'!K:K, 'Model output'!Z:Z=A5)), " ", ""), ",", ";")))</f>
        <v>1mm</v>
      </c>
      <c r="M5" t="str" cm="1">
        <f t="array" ref="M5">IF(LEFT(IF(RIGHT(SUBSTITUTE(FilterWithUnits(L5)&amp; ";" &amp;FilterStringsWithNumericAnd(L5) &amp; ";" &amp; FilterStringsWithX(L5), ";;", ";"),1)=";",LEFT(SUBSTITUTE(FilterWithUnits(L5)&amp; ";" &amp;FilterStringsWithNumericAnd(L5) &amp; ";" &amp; FilterStringsWithX(L5), ";;", ";"),LEN(SUBSTITUTE(FilterWithUnits(L5)&amp; ";" &amp;FilterStringsWithNumericAnd(L5) &amp; ";" &amp; FilterStringsWithX(L5), ";;", ";"))-1),SUBSTITUTE(FilterWithUnits(L5)&amp; ";" &amp;FilterStringsWithNumericAnd(L5) &amp; ";" &amp; FilterStringsWithX(L5), ";;", ";")),1)=";",RIGHT(IF(RIGHT(SUBSTITUTE(FilterWithUnits(L5)&amp; ";" &amp;FilterStringsWithNumericAnd(L5) &amp; ";" &amp; FilterStringsWithX(L5), ";;", ";"),1)=";",LEFT(SUBSTITUTE(FilterWithUnits(L5)&amp; ";" &amp;FilterStringsWithNumericAnd(L5) &amp; ";" &amp; FilterStringsWithX(L5), ";;", ";"),LEN(SUBSTITUTE(FilterWithUnits(L5)&amp; ";" &amp;FilterStringsWithNumericAnd(L5) &amp; ";" &amp; FilterStringsWithX(L5), ";;", ";"))-1),SUBSTITUTE(FilterWithUnits(L5)&amp; ";" &amp;FilterStringsWithNumericAnd(L5) &amp; ";" &amp; FilterStringsWithX(L5), ";;", ";")),LEN(IF(RIGHT(SUBSTITUTE(FilterWithUnits(L5)&amp; ";" &amp;FilterStringsWithNumericAnd(L5) &amp; ";" &amp; FilterStringsWithX(L5), ";;", ";"),1)=";",LEFT(SUBSTITUTE(FilterWithUnits(L5)&amp; ";" &amp;FilterStringsWithNumericAnd(L5) &amp; ";" &amp; FilterStringsWithX(L5), ";;", ";"),LEN(SUBSTITUTE(FilterWithUnits(L5)&amp; ";" &amp;FilterStringsWithNumericAnd(L5) &amp; ";" &amp; FilterStringsWithX(L5), ";;", ";"))-1),SUBSTITUTE(FilterWithUnits(L5)&amp; ";" &amp;FilterStringsWithNumericAnd(L5) &amp; ";" &amp; FilterStringsWithX(L5), ";;", ";")))-1),IF(RIGHT(SUBSTITUTE(FilterWithUnits(L5)&amp; ";" &amp;FilterStringsWithNumericAnd(L5) &amp; ";" &amp; FilterStringsWithX(L5), ";;", ";"),1)=";",LEFT(SUBSTITUTE(FilterWithUnits(L5)&amp; ";" &amp;FilterStringsWithNumericAnd(L5) &amp; ";" &amp; FilterStringsWithX(L5), ";;", ";"),LEN(SUBSTITUTE(FilterWithUnits(L5)&amp; ";" &amp;FilterStringsWithNumericAnd(L5) &amp; ";" &amp; FilterStringsWithX(L5), ";;", ";"))-1),SUBSTITUTE(FilterWithUnits(L5)&amp; ";" &amp;FilterStringsWithNumericAnd(L5) &amp; ";" &amp; FilterStringsWithX(L5), ";;", ";")))</f>
        <v>1mm</v>
      </c>
      <c r="N5" cm="1">
        <f t="array" ref="N5">IF(MaxSize((SplitDimensions(M5)))=0, "", MaxSize((SplitDimensions(M5))))</f>
        <v>0.1</v>
      </c>
      <c r="O5" t="str" cm="1">
        <f t="array" ref="O5">IF(ISERROR(INDEX(_xlfn._xlws.FILTER('Model output'!L:L, ('Model output'!Z:Z=A5)*('Model output'!L:L&lt;&gt;"")), 1)), " ", LOWER(INDEX(_xlfn._xlws.FILTER('Model output'!L:L, ('Model output'!Z:Z=A5)*('Model output'!L:L&lt;&gt;"")), 1)))</f>
        <v>papillary</v>
      </c>
      <c r="P5" t="str" cm="1">
        <f t="array" ref="P5">IF(ISERROR(INDEX(_xlfn._xlws.FILTER('Model output'!M:M, ('Model output'!Z:Z=A5)*('Model output'!M:M&lt;&gt;"")), 1)), " ", LOWER(INDEX(_xlfn._xlws.FILTER('Model output'!M:M, ('Model output'!Z:Z=A5)*('Model output'!M:M&lt;&gt;"")), 1)))</f>
        <v>infiltrative follicular</v>
      </c>
      <c r="Q5" t="str" cm="1">
        <f t="array" ref="Q5">IF(OR(ISNUMBER(SEARCH("ly",SUBSTITUTE(INDEX(_xlfn._xlws.FILTER('Model output'!N:N,('Model output'!Z:Z=A5)*('Model output'!N:N&lt;&gt;"")),1)," ",""),1)), ISNUMBER(SEARCH("pole",SUBSTITUTE(INDEX(_xlfn._xlws.FILTER('Model output'!N:N,('Model output'!Z:Z=A5)*('Model output'!N:N&lt;&gt;"")),1)," ",""),1))),"",SUBSTITUTE(INDEX(_xlfn._xlws.FILTER('Model output'!N:N,('Model output'!Z:Z=A5)*('Model output'!N:N&lt;&gt;"")),1)," ",""))</f>
        <v>8mm</v>
      </c>
      <c r="R5" t="str" cm="1">
        <f t="array" ref="R5">IF(LEFT(IF(RIGHT(SUBSTITUTE(FilterWithUnits(Q5)&amp; ";" &amp;FilterStringsWithNumericAnd(Q5) &amp; ";" &amp; FilterStringsWithX(Q5), ";;", ";"),1)=";",LEFT(SUBSTITUTE(FilterWithUnits(Q5)&amp; ";" &amp;FilterStringsWithNumericAnd(Q5) &amp; ";" &amp; FilterStringsWithX(Q5), ";;", ";"),LEN(SUBSTITUTE(FilterWithUnits(Q5)&amp; ";" &amp;FilterStringsWithNumericAnd(Q5) &amp; ";" &amp; FilterStringsWithX(Q5), ";;", ";"))-1),SUBSTITUTE(FilterWithUnits(Q5)&amp; ";" &amp;FilterStringsWithNumericAnd(Q5) &amp; ";" &amp; FilterStringsWithX(Q5), ";;", ";")),1)=";",RIGHT(IF(RIGHT(SUBSTITUTE(FilterWithUnits(Q5)&amp; ";" &amp;FilterStringsWithNumericAnd(Q5) &amp; ";" &amp; FilterStringsWithX(Q5), ";;", ";"),1)=";",LEFT(SUBSTITUTE(FilterWithUnits(Q5)&amp; ";" &amp;FilterStringsWithNumericAnd(Q5) &amp; ";" &amp; FilterStringsWithX(Q5), ";;", ";"),LEN(SUBSTITUTE(FilterWithUnits(Q5)&amp; ";" &amp;FilterStringsWithNumericAnd(Q5) &amp; ";" &amp; FilterStringsWithX(Q5), ";;", ";"))-1),SUBSTITUTE(FilterWithUnits(Q5)&amp; ";" &amp;FilterStringsWithNumericAnd(Q5) &amp; ";" &amp; FilterStringsWithX(Q5), ";;", ";")),LEN(IF(RIGHT(SUBSTITUTE(FilterWithUnits(Q5)&amp; ";" &amp;FilterStringsWithNumericAnd(Q5) &amp; ";" &amp; FilterStringsWithX(Q5), ";;", ";"),1)=";",LEFT(SUBSTITUTE(FilterWithUnits(Q5)&amp; ";" &amp;FilterStringsWithNumericAnd(Q5) &amp; ";" &amp; FilterStringsWithX(Q5), ";;", ";"),LEN(SUBSTITUTE(FilterWithUnits(Q5)&amp; ";" &amp;FilterStringsWithNumericAnd(Q5) &amp; ";" &amp; FilterStringsWithX(Q5), ";;", ";"))-1),SUBSTITUTE(FilterWithUnits(Q5)&amp; ";" &amp;FilterStringsWithNumericAnd(Q5) &amp; ";" &amp; FilterStringsWithX(Q5), ";;", ";")))-1),IF(RIGHT(SUBSTITUTE(FilterWithUnits(Q5)&amp; ";" &amp;FilterStringsWithNumericAnd(Q5) &amp; ";" &amp; FilterStringsWithX(Q5), ";;", ";"),1)=";",LEFT(SUBSTITUTE(FilterWithUnits(Q5)&amp; ";" &amp;FilterStringsWithNumericAnd(Q5) &amp; ";" &amp; FilterStringsWithX(Q5), ";;", ";"),LEN(SUBSTITUTE(FilterWithUnits(Q5)&amp; ";" &amp;FilterStringsWithNumericAnd(Q5) &amp; ";" &amp; FilterStringsWithX(Q5), ";;", ";"))-1),SUBSTITUTE(FilterWithUnits(Q5)&amp; ";" &amp;FilterStringsWithNumericAnd(Q5) &amp; ";" &amp; FilterStringsWithX(Q5), ";;", ";")))</f>
        <v>8mm</v>
      </c>
      <c r="S5" cm="1">
        <f t="array" ref="S5">IF(MaxSize((SplitDimensions(R5)))=0, "", MaxSize((SplitDimensions(R5))))</f>
        <v>0.8</v>
      </c>
      <c r="T5" s="17" t="str" cm="1">
        <f t="array" ref="T5">IF(ISERROR(INDEX(_xlfn._xlws.FILTER('Model output'!P:P,('Model output'!Z:Z=A5)*('Model output'!P:P&lt;&gt;"")),1)),"negative",IF(OR(ISNUMBER(SEARCH("foc",INDEX(_xlfn._xlws.FILTER('Model output'!P:P,('Model output'!Z:Z=A5)*('Model output'!P:P&lt;&gt;"")),1),1)),ISNUMBER(SEARCH("extensive",INDEX(_xlfn._xlws.FILTER('Model output'!P:P,('Model output'!Z:Z=A5)*('Model output'!P:P&lt;&gt;"")),1),1)),ISNUMBER(SEARCH("present",INDEX(_xlfn._xlws.FILTER('Model output'!P:P,('Model output'!Z:Z=A5)*('Model output'!P:P&lt;&gt;"")),1),1)),ISNUMBER(SEARCH("yes",INDEX(_xlfn._xlws.FILTER('Model output'!P:P,('Model output'!Z:Z=A5)*('Model output'!P:P&lt;&gt;"")),1),1))),"positive","negative"))</f>
        <v>negative</v>
      </c>
      <c r="V5" t="str" cm="1">
        <f t="array" ref="V5">IF(ISNUMBER(SEARCH("4",INDEX(_xlfn._xlws.FILTER('Model output'!P:P,('Model output'!Z:Z=A5)*('Model output'!P:P&lt;&gt;"")),1),1)),INDEX(_xlfn._xlws.FILTER('Model output'!P:P,('Model output'!Z:Z=A5)*('Model output'!P:P&lt;&gt;"")),1),"") &amp; _xlfn.TEXTJOIN("",TRUE,_xlfn._xlws.FILTER('Model output'!Q:Q,'Model output'!Z:Z=A5))</f>
        <v/>
      </c>
      <c r="W5" t="str">
        <f t="shared" si="2"/>
        <v>no</v>
      </c>
      <c r="X5" t="str" cm="1">
        <f t="array" ref="X5">IF(OR(ISNUMBER(SEARCH("focal",_xlfn.TEXTJOIN("; ",TRUE,_xlfn._xlws.FILTER('Model output'!R:R,'Model output'!Z:Z=A5)),1)),ISNUMBER(SEARCH("present",_xlfn.TEXTJOIN("; ",TRUE,_xlfn._xlws.FILTER('Model output'!R:R,'Model output'!Z:Z=A5)),1))),"positive",IF(_xlfn.TEXTJOIN("; ",TRUE,_xlfn._xlws.FILTER('Model output'!R:R,'Model output'!Z:Z=A5))="","negative",IF(OR(ISNUMBER(SEARCH("no",_xlfn.TEXTJOIN("; ",TRUE,_xlfn._xlws.FILTER('Model output'!R:R,'Model output'!Z:Z=A5)),1)),ISNUMBER(SEARCH("absent",_xlfn.TEXTJOIN("; ",TRUE,_xlfn._xlws.FILTER('Model output'!R:R,'Model output'!Z:Z=A5)),1))),"negative","positive")))</f>
        <v>negative</v>
      </c>
      <c r="Y5" s="17" t="str">
        <f t="shared" si="3"/>
        <v>positive</v>
      </c>
      <c r="AC5" s="17" t="str">
        <f t="shared" si="4"/>
        <v>negative</v>
      </c>
      <c r="AD5" t="str" cm="1">
        <f t="array" ref="AD5">_xlfn.TEXTJOIN("; ",TRUE,_xlfn._xlws.FILTER('Model output'!S:S,'Model output'!Z:Z=A5))</f>
        <v>Microscopic invasive of the surrounding fat</v>
      </c>
      <c r="AE5" s="17" t="str" cm="1">
        <f t="array" ref="AE5">IF(OR(ISNUMBER(SEARCH("uninvolved",_xlfn.TEXTJOIN("; ",TRUE,_xlfn._xlws.FILTER('Model output'!V:V,'Model output'!Z:Z=A5)),1)),ISNUMBER(SEARCH("clear",_xlfn.TEXTJOIN("; ",TRUE,_xlfn._xlws.FILTER('Model output'!V:V,'Model output'!Z:Z=A5)),1))*ISNUMBER(SEARCH("not mentioned",_xlfn.TEXTJOIN("; ",TRUE,_xlfn._xlws.FILTER('Model output'!V:V,'Model output'!Z:Z=A5)),1))),"negative",IF(ISNUMBER(SEARCH("cannot be assessed",_xlfn.TEXTJOIN("; ",TRUE,_xlfn._xlws.FILTER('Model output'!V:V,'Model output'!Z:Z=A5)),1)),"unknown","negative"))</f>
        <v>negative</v>
      </c>
      <c r="AG5" s="43" t="str">
        <f>IF(OR(ISNUMBER(SEARCH("non-invasive follicular",O5,1)), ISNUMBER(SEARCH("papillary-like nuclear features",P5,1)), ISNUMBER(SEARCH("non-invasive follicular",P5,1)),ISNUMBER(SEARCH("papillary-like nuclear features",P5,1))),"NIFTP", IF(OR(I5="positive",AC5="positive",AND(OR(ISNUMBER(SEARCH("follicular", O5)),ISNUMBER(SEARCH("FTC", O5))),W5="extensive"),AND(G5="positive",ISNUMBER(N5),N5&gt;3),AI5=1),"high",IF(OR(ISNUMBER(SEARCH("positive",Y5,1)),ISNUMBER(SEARCH("tall",P5,1)),ISNUMBER(SEARCH("hobnail",P5,1)),ISNUMBER(SEARCH("cribriform",P5,1)),ISNUMBER(SEARCH("diffuse",P5,1)),ISNUMBER(SEARCH("columnar",P5,1)),ISNUMBER(SEARCH("solid",P5,1)),ISNUMBER(SEARCH("tall",O5,1)),ISNUMBER(SEARCH("hobnail",O5,1)),ISNUMBER(SEARCH("cribriform",O5,1)),ISNUMBER(SEARCH("diffuse",O5,1)),ISNUMBER(SEARCH("columnar",O5,1)),ISNUMBER(SEARCH("solid",O5,1)),AND(OR(ISNUMBER(SEARCH("papillary carcinoma",O5,1)),ISNUMBER(SEARCH("papillary microcarcinoma",O5,1))),T5="positive"),,AND(AND(ISNUMBER(K5),K5&gt;=5),N5=""),AND(AND(ISNUMBER(K5),K5&gt;=5),AND(ISNUMBER(N5),N5&gt;=1)),H5="lateral"),"intermediate","low")))</f>
        <v>intermediate</v>
      </c>
      <c r="AH5" s="44" t="str">
        <f t="shared" si="1"/>
        <v>1a</v>
      </c>
      <c r="AI5" s="56" t="str">
        <f t="shared" si="5"/>
        <v>1a</v>
      </c>
      <c r="AJ5" s="56">
        <f t="shared" si="6"/>
        <v>0</v>
      </c>
      <c r="AK5" s="57" t="str">
        <f t="shared" si="7"/>
        <v>I</v>
      </c>
      <c r="AL5" s="45" t="s">
        <v>167</v>
      </c>
      <c r="AM5" s="46" t="s">
        <v>198</v>
      </c>
      <c r="AN5" s="46" t="s">
        <v>198</v>
      </c>
      <c r="AO5" s="46">
        <v>0</v>
      </c>
      <c r="AP5" s="46" t="s">
        <v>31</v>
      </c>
      <c r="AQ5" s="10">
        <f>IF(AL5=AG5,1,0)</f>
        <v>1</v>
      </c>
      <c r="AR5" s="27">
        <f>IF(AM5=AH5,1,0)</f>
        <v>1</v>
      </c>
      <c r="AS5" s="27">
        <f t="shared" si="8"/>
        <v>1</v>
      </c>
      <c r="AT5" s="27">
        <f t="shared" si="9"/>
        <v>1</v>
      </c>
      <c r="AU5" s="29">
        <f t="shared" si="9"/>
        <v>1</v>
      </c>
    </row>
    <row r="6" spans="1:47">
      <c r="A6" s="13">
        <v>4</v>
      </c>
      <c r="B6" s="16">
        <f>_xlfn.MAXIFS('Model output'!B:B,'Model output'!Z:Z,'Classification result'!$A6)</f>
        <v>45412</v>
      </c>
      <c r="C6" s="17">
        <f>_xlfn.MAXIFS('Model output'!C:C,'Model output'!Z:Z,'Classification result'!$A6)</f>
        <v>61</v>
      </c>
      <c r="D6" s="17" t="str" cm="1">
        <f t="array" ref="D6">LEFT(IF(ISERROR(RIGHT(IF(INDEX(_xlfn._xlws.FILTER('Model output'!D:D,('Model output'!Z:Z=A6)),1)&lt;&gt;"",INDEX(_xlfn._xlws.FILTER('Model output'!D:D,('Model output'!Z:Z=A6)),1),""),LEN(IF(INDEX(_xlfn._xlws.FILTER('Model output'!D:D,('Model output'!Z:Z=A6)),1)&lt;&gt;"",INDEX(_xlfn._xlws.FILTER('Model output'!D:D,('Model output'!Z:Z=A6)),1),""))-FIND("T",IF(INDEX(_xlfn._xlws.FILTER('Model output'!D:D,('Model output'!Z:Z=A6)),1)&lt;&gt;"",INDEX(_xlfn._xlws.FILTER('Model output'!D:D,('Model output'!Z:Z=A6)),1),""),1))),"",(RIGHT(IF(INDEX(_xlfn._xlws.FILTER('Model output'!D:D,('Model output'!Z:Z=A6)),1)&lt;&gt;"",INDEX(_xlfn._xlws.FILTER('Model output'!D:D,('Model output'!Z:Z=A6)),1),""),LEN(IF(INDEX(_xlfn._xlws.FILTER('Model output'!D:D,('Model output'!Z:Z=A6)),1)&lt;&gt;"",INDEX(_xlfn._xlws.FILTER('Model output'!D:D,('Model output'!Z:Z=A6)),1),""))-FIND("T",IF(INDEX(_xlfn._xlws.FILTER('Model output'!D:D,('Model output'!Z:Z=A6)),1)&lt;&gt;"",INDEX(_xlfn._xlws.FILTER('Model output'!D:D,('Model output'!Z:Z=A6)),1)))))),2)</f>
        <v>1</v>
      </c>
      <c r="E6" s="17" t="str" cm="1">
        <f t="array" ref="E6">IF(ISNUMBER(SEARCH("N",IF(ISNUMBER(SEARCH("present",IF(INDEX(_xlfn._xlws.FILTER('Model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output'!Z:Z=A6)),1))),1)),RIGHT(IF(ISNUMBER(SEARCH("present",IF(INDEX(_xlfn._xlws.FILTER('Model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output'!Z:Z=A6)),1))),LEN(IF(ISNUMBER(SEARCH("present",IF(INDEX(_xlfn._xlws.FILTER('Model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output'!Z:Z=A6)),1))))-FIND("N",IF(ISNUMBER(SEARCH("present",IF(INDEX(_xlfn._xlws.FILTER('Model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output'!Z:Z=A6)),1))),1)), "")</f>
        <v>1a</v>
      </c>
      <c r="F6" s="17" cm="1">
        <f t="array" ref="F6">IF(AND(SUBSTITUTE(_xlfn.TEXTJOIN("/", TRUE, _xlfn._xlws.FILTER('Model output'!F:F, 'Model output'!Z:Z=A6)),"M", "")="", I6="negative"),0,IF(I6="positive",1,0))</f>
        <v>0</v>
      </c>
      <c r="G6" t="str">
        <f t="shared" si="0"/>
        <v>positive</v>
      </c>
      <c r="H6" t="str" cm="1">
        <f t="array" ref="H6">IF(AND(K6&gt;0, _xlfn.TEXTJOIN("; ", TRUE, _xlfn._xlws.FILTER('Model output'!G:G, 'Model output'!Z:Z=A6)) &lt;&gt;"", OR(AND(ISNUMBER(SEARCH("level", _xlfn.TEXTJOIN("; ", TRUE, _xlfn._xlws.FILTER('Model output'!G:G, 'Model output'!Z:Z=A6)),1)),OR(ISNUMBER(SEARCH(" II", _xlfn.TEXTJOIN("; ", TRUE, _xlfn._xlws.FILTER('Model output'!G:G, 'Model output'!Z:Z=A6)),1)),ISNUMBER(SEARCH("2", _xlfn.TEXTJOIN("; ", TRUE, _xlfn._xlws.FILTER('Model output'!G:G, 'Model output'!Z:Z=A6)),1)),ISNUMBER(SEARCH("two", _xlfn.TEXTJOIN("; ", TRUE, _xlfn._xlws.FILTER('Model output'!G:G, 'Model output'!Z:Z=A6)),1)),ISNUMBER(SEARCH("III", _xlfn.TEXTJOIN("; ", TRUE, _xlfn._xlws.FILTER('Model output'!G:G, 'Model output'!Z:Z=A6)),1)),ISNUMBER(SEARCH("3", _xlfn.TEXTJOIN("; ", TRUE, _xlfn._xlws.FILTER('Model output'!G:G, 'Model output'!Z:Z=A6)),1)),ISNUMBER(SEARCH("three", _xlfn.TEXTJOIN("; ", TRUE, _xlfn._xlws.FILTER('Model output'!G:G, 'Model output'!Z:Z=A6)),1)),ISNUMBER(SEARCH("IV", _xlfn.TEXTJOIN("; ", TRUE, _xlfn._xlws.FILTER('Model output'!G:G, 'Model output'!Z:Z=A6)),1)),ISNUMBER(SEARCH("4", _xlfn.TEXTJOIN("; ", TRUE, _xlfn._xlws.FILTER('Model output'!G:G, 'Model output'!Z:Z=A6)),1)),ISNUMBER(SEARCH("five", _xlfn.TEXTJOIN("; ", TRUE, _xlfn._xlws.FILTER('Model output'!G:G, 'Model output'!Z:Z=A6)),1)),ISNUMBER(SEARCH("V ", _xlfn.TEXTJOIN("; ", TRUE, _xlfn._xlws.FILTER('Model output'!G:G, 'Model output'!Z:Z=A6)),1)),ISNUMBER(SEARCH("5", _xlfn.TEXTJOIN("; ", TRUE, _xlfn._xlws.FILTER('Model output'!G:G, 'Model output'!Z:Z=A6)),1)),ISNUMBER(SEARCH("five", _xlfn.TEXTJOIN("; ", TRUE, _xlfn._xlws.FILTER('Model output'!G:G, 'Model output'!Z:Z=A6)),1)),ISNUMBER(SEARCH(" lateral", _xlfn.TEXTJOIN("; ", TRUE, _xlfn._xlws.FILTER('Model output'!G:G, 'Model output'!Z:Z=A6)),1)))),ISNUMBER(SEARCH("cervical", _xlfn.TEXTJOIN("; ", TRUE, _xlfn._xlws.FILTER('Model output'!G:G, 'Model output'!Z:Z=A6)),1)),ISNUMBER(SEARCH("jugular", _xlfn.TEXTJOIN("; ", TRUE, _xlfn._xlws.FILTER('Model output'!G:G, 'Model output'!Z:Z=A6)),1)),ISNUMBER(SEARCH("left neck", _xlfn.TEXTJOIN("; ", TRUE, _xlfn._xlws.FILTER('Model output'!G:G, 'Model output'!Z:Z=A6)),1)),ISNUMBER(SEARCH("left anterior neck", _xlfn.TEXTJOIN("; ", TRUE, _xlfn._xlws.FILTER('Model output'!G:G, 'Model output'!Z:Z=A6)),1)),ISNUMBER(SEARCH("left posterior neck", _xlfn.TEXTJOIN("; ", TRUE, _xlfn._xlws.FILTER('Model output'!G:G, 'Model output'!Z:Z=A6)),1)),ISNUMBER(SEARCH("right neck", _xlfn.TEXTJOIN("; ", TRUE, _xlfn._xlws.FILTER('Model output'!G:G, 'Model output'!Z:Z=A6)),1)),ISNUMBER(SEARCH("right anterior neck", _xlfn.TEXTJOIN("; ", TRUE, _xlfn._xlws.FILTER('Model output'!G:G, 'Model output'!Z:Z=A6)),1)),ISNUMBER(SEARCH("right posterior neck", _xlfn.TEXTJOIN("; ", TRUE, _xlfn._xlws.FILTER('Model output'!G:G, 'Model output'!Z:Z=A6)),1)))),"lateral",IF(AND(K6=0, _xlfn.TEXTJOIN("; ", TRUE, _xlfn._xlws.FILTER('Model output'!G:G, 'Model output'!Z:Z=A6))=""),"", "central"))</f>
        <v>central</v>
      </c>
      <c r="I6" s="17" t="str" cm="1">
        <f t="array" ref="I6">IF(OR(ISNUMBER(SEARCH("lymph",_xlfn.TEXTJOIN("; ", TRUE, _xlfn._xlws.FILTER('Model output'!H:H, 'Model output'!Z:Z=A6)),1)), ISNUMBER(SEARCH("Not mentioned",_xlfn.TEXTJOIN("; ", TRUE, _xlfn._xlws.FILTER('Model output'!H:H, 'Model output'!Z:Z=A6)),1)),ISNUMBER(SEARCH("subcutaneous soft tissues",_xlfn.TEXTJOIN("; ", TRUE, _xlfn._xlws.FILTER('Model output'!H:H, 'Model output'!Z:Z=A6)),1)),ISNUMBER(SEARCH("larynx",_xlfn.TEXTJOIN("; ", TRUE, _xlfn._xlws.FILTER('Model output'!H:H, 'Model output'!Z:Z=A6)),1)),ISNUMBER(SEARCH("trachea",_xlfn.TEXTJOIN("; ", TRUE, _xlfn._xlws.FILTER('Model output'!H:H, 'Model output'!Z:Z=A6)),1)),ISNUMBER(SEARCH("esophagus",_xlfn.TEXTJOIN("; ", TRUE, _xlfn._xlws.FILTER('Model output'!H:H, 'Model output'!Z:Z=A6)),1)),ISNUMBER(SEARCH("recurrent laryngeal nerve",_xlfn.TEXTJOIN("; ", TRUE, _xlfn._xlws.FILTER('Model output'!H:H, 'Model output'!Z:Z=A6)),1)),ISNUMBER(SEARCH("RLN",_xlfn.TEXTJOIN("; ", TRUE, _xlfn._xlws.FILTER('Model output'!H:H, 'Model output'!Z:Z=A6)),1)),_xlfn.TEXTJOIN("; ", TRUE, _xlfn._xlws.FILTER('Model output'!H:H, 'Model output'!Z:Z=A6))=""),"negative","positive")</f>
        <v>negative</v>
      </c>
      <c r="J6" s="17">
        <f>IF(IFERROR(INDEX('Model output'!I:I, MATCH(A6, 'Model output'!Z:Z, 0)), "") &lt; K6, "", IFERROR(INDEX('Model output'!I:I, MATCH(A6, 'Model output'!Z:Z, 0)), ""))</f>
        <v>6</v>
      </c>
      <c r="K6" s="17">
        <f>IFERROR(INDEX('Model output'!J:J, MATCH(A6, 'Model output'!Z:Z, 0)), "")</f>
        <v>3</v>
      </c>
      <c r="L6" s="18" t="str" cm="1">
        <f t="array" ref="L6">ReplaceTo(ReplaceAnd(SUBSTITUTE(SUBSTITUTE(_xlfn.TEXTJOIN("; ", TRUE, _xlfn._xlws.FILTER('Model output'!K:K, 'Model output'!Z:Z=A6)), " ", ""), ",", ";")))</f>
        <v>9.5mm</v>
      </c>
      <c r="M6" t="str" cm="1">
        <f t="array" ref="M6">IF(LEFT(IF(RIGHT(SUBSTITUTE(FilterWithUnits(L6)&amp; ";" &amp;FilterStringsWithNumericAnd(L6) &amp; ";" &amp; FilterStringsWithX(L6), ";;", ";"),1)=";",LEFT(SUBSTITUTE(FilterWithUnits(L6)&amp; ";" &amp;FilterStringsWithNumericAnd(L6) &amp; ";" &amp; FilterStringsWithX(L6), ";;", ";"),LEN(SUBSTITUTE(FilterWithUnits(L6)&amp; ";" &amp;FilterStringsWithNumericAnd(L6) &amp; ";" &amp; FilterStringsWithX(L6), ";;", ";"))-1),SUBSTITUTE(FilterWithUnits(L6)&amp; ";" &amp;FilterStringsWithNumericAnd(L6) &amp; ";" &amp; FilterStringsWithX(L6), ";;", ";")),1)=";",RIGHT(IF(RIGHT(SUBSTITUTE(FilterWithUnits(L6)&amp; ";" &amp;FilterStringsWithNumericAnd(L6) &amp; ";" &amp; FilterStringsWithX(L6), ";;", ";"),1)=";",LEFT(SUBSTITUTE(FilterWithUnits(L6)&amp; ";" &amp;FilterStringsWithNumericAnd(L6) &amp; ";" &amp; FilterStringsWithX(L6), ";;", ";"),LEN(SUBSTITUTE(FilterWithUnits(L6)&amp; ";" &amp;FilterStringsWithNumericAnd(L6) &amp; ";" &amp; FilterStringsWithX(L6), ";;", ";"))-1),SUBSTITUTE(FilterWithUnits(L6)&amp; ";" &amp;FilterStringsWithNumericAnd(L6) &amp; ";" &amp; FilterStringsWithX(L6), ";;", ";")),LEN(IF(RIGHT(SUBSTITUTE(FilterWithUnits(L6)&amp; ";" &amp;FilterStringsWithNumericAnd(L6) &amp; ";" &amp; FilterStringsWithX(L6), ";;", ";"),1)=";",LEFT(SUBSTITUTE(FilterWithUnits(L6)&amp; ";" &amp;FilterStringsWithNumericAnd(L6) &amp; ";" &amp; FilterStringsWithX(L6), ";;", ";"),LEN(SUBSTITUTE(FilterWithUnits(L6)&amp; ";" &amp;FilterStringsWithNumericAnd(L6) &amp; ";" &amp; FilterStringsWithX(L6), ";;", ";"))-1),SUBSTITUTE(FilterWithUnits(L6)&amp; ";" &amp;FilterStringsWithNumericAnd(L6) &amp; ";" &amp; FilterStringsWithX(L6), ";;", ";")))-1),IF(RIGHT(SUBSTITUTE(FilterWithUnits(L6)&amp; ";" &amp;FilterStringsWithNumericAnd(L6) &amp; ";" &amp; FilterStringsWithX(L6), ";;", ";"),1)=";",LEFT(SUBSTITUTE(FilterWithUnits(L6)&amp; ";" &amp;FilterStringsWithNumericAnd(L6) &amp; ";" &amp; FilterStringsWithX(L6), ";;", ";"),LEN(SUBSTITUTE(FilterWithUnits(L6)&amp; ";" &amp;FilterStringsWithNumericAnd(L6) &amp; ";" &amp; FilterStringsWithX(L6), ";;", ";"))-1),SUBSTITUTE(FilterWithUnits(L6)&amp; ";" &amp;FilterStringsWithNumericAnd(L6) &amp; ";" &amp; FilterStringsWithX(L6), ";;", ";")))</f>
        <v>9.5mm</v>
      </c>
      <c r="N6" cm="1">
        <f t="array" ref="N6">IF(MaxSize((SplitDimensions(M6)))=0, "", MaxSize((SplitDimensions(M6))))</f>
        <v>0.95</v>
      </c>
      <c r="O6" t="str" cm="1">
        <f t="array" ref="O6">IF(ISERROR(INDEX(_xlfn._xlws.FILTER('Model output'!L:L, ('Model output'!Z:Z=A6)*('Model output'!L:L&lt;&gt;"")), 1)), " ", LOWER(INDEX(_xlfn._xlws.FILTER('Model output'!L:L, ('Model output'!Z:Z=A6)*('Model output'!L:L&lt;&gt;"")), 1)))</f>
        <v>papillary</v>
      </c>
      <c r="P6" t="str" cm="1">
        <f t="array" ref="P6">IF(ISERROR(INDEX(_xlfn._xlws.FILTER('Model output'!M:M, ('Model output'!Z:Z=A6)*('Model output'!M:M&lt;&gt;"")), 1)), " ", LOWER(INDEX(_xlfn._xlws.FILTER('Model output'!M:M, ('Model output'!Z:Z=A6)*('Model output'!M:M&lt;&gt;"")), 1)))</f>
        <v>classic</v>
      </c>
      <c r="Q6" t="str" cm="1">
        <f t="array" ref="Q6">IF(OR(ISNUMBER(SEARCH("ly",SUBSTITUTE(INDEX(_xlfn._xlws.FILTER('Model output'!N:N,('Model output'!Z:Z=A6)*('Model output'!N:N&lt;&gt;"")),1)," ",""),1)), ISNUMBER(SEARCH("pole",SUBSTITUTE(INDEX(_xlfn._xlws.FILTER('Model output'!N:N,('Model output'!Z:Z=A6)*('Model output'!N:N&lt;&gt;"")),1)," ",""),1))),"",SUBSTITUTE(INDEX(_xlfn._xlws.FILTER('Model output'!N:N,('Model output'!Z:Z=A6)*('Model output'!N:N&lt;&gt;"")),1)," ",""))</f>
        <v>15mm</v>
      </c>
      <c r="R6" t="str" cm="1">
        <f t="array" ref="R6">IF(LEFT(IF(RIGHT(SUBSTITUTE(FilterWithUnits(Q6)&amp; ";" &amp;FilterStringsWithNumericAnd(Q6) &amp; ";" &amp; FilterStringsWithX(Q6), ";;", ";"),1)=";",LEFT(SUBSTITUTE(FilterWithUnits(Q6)&amp; ";" &amp;FilterStringsWithNumericAnd(Q6) &amp; ";" &amp; FilterStringsWithX(Q6), ";;", ";"),LEN(SUBSTITUTE(FilterWithUnits(Q6)&amp; ";" &amp;FilterStringsWithNumericAnd(Q6) &amp; ";" &amp; FilterStringsWithX(Q6), ";;", ";"))-1),SUBSTITUTE(FilterWithUnits(Q6)&amp; ";" &amp;FilterStringsWithNumericAnd(Q6) &amp; ";" &amp; FilterStringsWithX(Q6), ";;", ";")),1)=";",RIGHT(IF(RIGHT(SUBSTITUTE(FilterWithUnits(Q6)&amp; ";" &amp;FilterStringsWithNumericAnd(Q6) &amp; ";" &amp; FilterStringsWithX(Q6), ";;", ";"),1)=";",LEFT(SUBSTITUTE(FilterWithUnits(Q6)&amp; ";" &amp;FilterStringsWithNumericAnd(Q6) &amp; ";" &amp; FilterStringsWithX(Q6), ";;", ";"),LEN(SUBSTITUTE(FilterWithUnits(Q6)&amp; ";" &amp;FilterStringsWithNumericAnd(Q6) &amp; ";" &amp; FilterStringsWithX(Q6), ";;", ";"))-1),SUBSTITUTE(FilterWithUnits(Q6)&amp; ";" &amp;FilterStringsWithNumericAnd(Q6) &amp; ";" &amp; FilterStringsWithX(Q6), ";;", ";")),LEN(IF(RIGHT(SUBSTITUTE(FilterWithUnits(Q6)&amp; ";" &amp;FilterStringsWithNumericAnd(Q6) &amp; ";" &amp; FilterStringsWithX(Q6), ";;", ";"),1)=";",LEFT(SUBSTITUTE(FilterWithUnits(Q6)&amp; ";" &amp;FilterStringsWithNumericAnd(Q6) &amp; ";" &amp; FilterStringsWithX(Q6), ";;", ";"),LEN(SUBSTITUTE(FilterWithUnits(Q6)&amp; ";" &amp;FilterStringsWithNumericAnd(Q6) &amp; ";" &amp; FilterStringsWithX(Q6), ";;", ";"))-1),SUBSTITUTE(FilterWithUnits(Q6)&amp; ";" &amp;FilterStringsWithNumericAnd(Q6) &amp; ";" &amp; FilterStringsWithX(Q6), ";;", ";")))-1),IF(RIGHT(SUBSTITUTE(FilterWithUnits(Q6)&amp; ";" &amp;FilterStringsWithNumericAnd(Q6) &amp; ";" &amp; FilterStringsWithX(Q6), ";;", ";"),1)=";",LEFT(SUBSTITUTE(FilterWithUnits(Q6)&amp; ";" &amp;FilterStringsWithNumericAnd(Q6) &amp; ";" &amp; FilterStringsWithX(Q6), ";;", ";"),LEN(SUBSTITUTE(FilterWithUnits(Q6)&amp; ";" &amp;FilterStringsWithNumericAnd(Q6) &amp; ";" &amp; FilterStringsWithX(Q6), ";;", ";"))-1),SUBSTITUTE(FilterWithUnits(Q6)&amp; ";" &amp;FilterStringsWithNumericAnd(Q6) &amp; ";" &amp; FilterStringsWithX(Q6), ";;", ";")))</f>
        <v>15mm</v>
      </c>
      <c r="S6" cm="1">
        <f t="array" ref="S6">IF(MaxSize((SplitDimensions(R6)))=0, "", MaxSize((SplitDimensions(R6))))</f>
        <v>1.5</v>
      </c>
      <c r="T6" s="17" t="str" cm="1">
        <f t="array" ref="T6">IF(ISERROR(INDEX(_xlfn._xlws.FILTER('Model output'!P:P,('Model output'!Z:Z=A6)*('Model output'!P:P&lt;&gt;"")),1)),"negative",IF(OR(ISNUMBER(SEARCH("foc",INDEX(_xlfn._xlws.FILTER('Model output'!P:P,('Model output'!Z:Z=A6)*('Model output'!P:P&lt;&gt;"")),1),1)),ISNUMBER(SEARCH("extensive",INDEX(_xlfn._xlws.FILTER('Model output'!P:P,('Model output'!Z:Z=A6)*('Model output'!P:P&lt;&gt;"")),1),1)),ISNUMBER(SEARCH("present",INDEX(_xlfn._xlws.FILTER('Model output'!P:P,('Model output'!Z:Z=A6)*('Model output'!P:P&lt;&gt;"")),1),1)),ISNUMBER(SEARCH("yes",INDEX(_xlfn._xlws.FILTER('Model output'!P:P,('Model output'!Z:Z=A6)*('Model output'!P:P&lt;&gt;"")),1),1))),"positive","negative"))</f>
        <v>negative</v>
      </c>
      <c r="V6" t="str" cm="1">
        <f t="array" ref="V6">IF(ISNUMBER(SEARCH("4",INDEX(_xlfn._xlws.FILTER('Model output'!P:P,('Model output'!Z:Z=A6)*('Model output'!P:P&lt;&gt;"")),1),1)),INDEX(_xlfn._xlws.FILTER('Model output'!P:P,('Model output'!Z:Z=A6)*('Model output'!P:P&lt;&gt;"")),1),"") &amp; _xlfn.TEXTJOIN("",TRUE,_xlfn._xlws.FILTER('Model output'!Q:Q,'Model output'!Z:Z=A6))</f>
        <v/>
      </c>
      <c r="W6" t="str">
        <f t="shared" si="2"/>
        <v>no</v>
      </c>
      <c r="X6" t="str" cm="1">
        <f t="array" ref="X6">IF(OR(ISNUMBER(SEARCH("focal",_xlfn.TEXTJOIN("; ",TRUE,_xlfn._xlws.FILTER('Model output'!R:R,'Model output'!Z:Z=A6)),1)),ISNUMBER(SEARCH("present",_xlfn.TEXTJOIN("; ",TRUE,_xlfn._xlws.FILTER('Model output'!R:R,'Model output'!Z:Z=A6)),1))),"positive",IF(_xlfn.TEXTJOIN("; ",TRUE,_xlfn._xlws.FILTER('Model output'!R:R,'Model output'!Z:Z=A6))="","negative",IF(OR(ISNUMBER(SEARCH("no",_xlfn.TEXTJOIN("; ",TRUE,_xlfn._xlws.FILTER('Model output'!R:R,'Model output'!Z:Z=A6)),1)),ISNUMBER(SEARCH("absent",_xlfn.TEXTJOIN("; ",TRUE,_xlfn._xlws.FILTER('Model output'!R:R,'Model output'!Z:Z=A6)),1))),"negative","positive")))</f>
        <v>positive</v>
      </c>
      <c r="Y6" s="17" t="str">
        <f t="shared" si="3"/>
        <v>positive</v>
      </c>
      <c r="AC6" s="17" t="str">
        <f t="shared" si="4"/>
        <v>negative</v>
      </c>
      <c r="AD6" t="str" cm="1">
        <f t="array" ref="AD6">_xlfn.TEXTJOIN("; ",TRUE,_xlfn._xlws.FILTER('Model output'!S:S,'Model output'!Z:Z=A6))</f>
        <v>fatty soft tissue at isthmus</v>
      </c>
      <c r="AE6" s="17" t="str" cm="1">
        <f t="array" ref="AE6">IF(OR(ISNUMBER(SEARCH("uninvolved",_xlfn.TEXTJOIN("; ",TRUE,_xlfn._xlws.FILTER('Model output'!V:V,'Model output'!Z:Z=A6)),1)),ISNUMBER(SEARCH("clear",_xlfn.TEXTJOIN("; ",TRUE,_xlfn._xlws.FILTER('Model output'!V:V,'Model output'!Z:Z=A6)),1))*ISNUMBER(SEARCH("not mentioned",_xlfn.TEXTJOIN("; ",TRUE,_xlfn._xlws.FILTER('Model output'!V:V,'Model output'!Z:Z=A6)),1))),"negative",IF(ISNUMBER(SEARCH("cannot be assessed",_xlfn.TEXTJOIN("; ",TRUE,_xlfn._xlws.FILTER('Model output'!V:V,'Model output'!Z:Z=A6)),1)),"unknown","negative"))</f>
        <v>negative</v>
      </c>
      <c r="AG6" s="43" t="str">
        <f>IF(OR(ISNUMBER(SEARCH("non-invasive follicular",O6,1)), ISNUMBER(SEARCH("papillary-like nuclear features",P6,1)), ISNUMBER(SEARCH("non-invasive follicular",P6,1)),ISNUMBER(SEARCH("papillary-like nuclear features",P6,1))),"NIFTP", IF(OR(I6="positive",AC6="positive",AND(OR(ISNUMBER(SEARCH("follicular", O6)),ISNUMBER(SEARCH("FTC", O6))),W6="extensive"),AND(G6="positive",ISNUMBER(N6),N6&gt;3),AI6=1),"high",IF(OR(ISNUMBER(SEARCH("positive",Y6,1)),ISNUMBER(SEARCH("tall",P6,1)),ISNUMBER(SEARCH("hobnail",P6,1)),ISNUMBER(SEARCH("cribriform",P6,1)),ISNUMBER(SEARCH("diffuse",P6,1)),ISNUMBER(SEARCH("columnar",P6,1)),ISNUMBER(SEARCH("solid",P6,1)),ISNUMBER(SEARCH("tall",O6,1)),ISNUMBER(SEARCH("hobnail",O6,1)),ISNUMBER(SEARCH("cribriform",O6,1)),ISNUMBER(SEARCH("diffuse",O6,1)),ISNUMBER(SEARCH("columnar",O6,1)),ISNUMBER(SEARCH("solid",O6,1)),AND(OR(ISNUMBER(SEARCH("papillary carcinoma",O6,1)),ISNUMBER(SEARCH("papillary microcarcinoma",O6,1))),T6="positive"),,AND(AND(ISNUMBER(K6),K6&gt;=5),N6=""),AND(AND(ISNUMBER(K6),K6&gt;=5),AND(ISNUMBER(N6),N6&gt;=1)),H6="lateral"),"intermediate","low")))</f>
        <v>intermediate</v>
      </c>
      <c r="AH6" s="44" t="str">
        <f t="shared" si="1"/>
        <v>1b</v>
      </c>
      <c r="AI6" s="56" t="str">
        <f t="shared" si="5"/>
        <v>1a</v>
      </c>
      <c r="AJ6" s="56">
        <f t="shared" si="6"/>
        <v>0</v>
      </c>
      <c r="AK6" s="57" t="str">
        <f t="shared" si="7"/>
        <v>II</v>
      </c>
      <c r="AL6" s="45" t="s">
        <v>167</v>
      </c>
      <c r="AM6" s="44" t="s">
        <v>196</v>
      </c>
      <c r="AN6" s="46" t="s">
        <v>198</v>
      </c>
      <c r="AO6" s="46">
        <v>0</v>
      </c>
      <c r="AP6" s="46" t="s">
        <v>43</v>
      </c>
      <c r="AQ6" s="10">
        <f>IF(AL6=AG6,1,0)</f>
        <v>1</v>
      </c>
      <c r="AR6" s="27">
        <f>IF(AM6=AH6,1,0)</f>
        <v>1</v>
      </c>
      <c r="AS6" s="27">
        <f t="shared" si="8"/>
        <v>1</v>
      </c>
      <c r="AT6" s="27">
        <f t="shared" si="9"/>
        <v>1</v>
      </c>
      <c r="AU6" s="29">
        <f t="shared" si="9"/>
        <v>1</v>
      </c>
    </row>
    <row r="7" spans="1:47">
      <c r="A7" s="13">
        <v>5</v>
      </c>
      <c r="B7" s="16">
        <f>_xlfn.MAXIFS('Model output'!B:B,'Model output'!Z:Z,'Classification result'!$A7)</f>
        <v>45411</v>
      </c>
      <c r="C7" s="17">
        <f>_xlfn.MAXIFS('Model output'!C:C,'Model output'!Z:Z,'Classification result'!$A7)</f>
        <v>34</v>
      </c>
      <c r="D7" s="17" t="str" cm="1">
        <f t="array" ref="D7">LEFT(IF(ISERROR(RIGHT(IF(INDEX(_xlfn._xlws.FILTER('Model output'!D:D,('Model output'!Z:Z=A7)),1)&lt;&gt;"",INDEX(_xlfn._xlws.FILTER('Model output'!D:D,('Model output'!Z:Z=A7)),1),""),LEN(IF(INDEX(_xlfn._xlws.FILTER('Model output'!D:D,('Model output'!Z:Z=A7)),1)&lt;&gt;"",INDEX(_xlfn._xlws.FILTER('Model output'!D:D,('Model output'!Z:Z=A7)),1),""))-FIND("T",IF(INDEX(_xlfn._xlws.FILTER('Model output'!D:D,('Model output'!Z:Z=A7)),1)&lt;&gt;"",INDEX(_xlfn._xlws.FILTER('Model output'!D:D,('Model output'!Z:Z=A7)),1),""),1))),"",(RIGHT(IF(INDEX(_xlfn._xlws.FILTER('Model output'!D:D,('Model output'!Z:Z=A7)),1)&lt;&gt;"",INDEX(_xlfn._xlws.FILTER('Model output'!D:D,('Model output'!Z:Z=A7)),1),""),LEN(IF(INDEX(_xlfn._xlws.FILTER('Model output'!D:D,('Model output'!Z:Z=A7)),1)&lt;&gt;"",INDEX(_xlfn._xlws.FILTER('Model output'!D:D,('Model output'!Z:Z=A7)),1),""))-FIND("T",IF(INDEX(_xlfn._xlws.FILTER('Model output'!D:D,('Model output'!Z:Z=A7)),1)&lt;&gt;"",INDEX(_xlfn._xlws.FILTER('Model output'!D:D,('Model output'!Z:Z=A7)),1)))))),2)</f>
        <v>3b</v>
      </c>
      <c r="E7" s="17" t="str" cm="1">
        <f t="array" ref="E7">IF(ISNUMBER(SEARCH("N",IF(ISNUMBER(SEARCH("present",IF(INDEX(_xlfn._xlws.FILTER('Model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output'!Z:Z=A7)),1))),1)),RIGHT(IF(ISNUMBER(SEARCH("present",IF(INDEX(_xlfn._xlws.FILTER('Model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output'!Z:Z=A7)),1))),LEN(IF(ISNUMBER(SEARCH("present",IF(INDEX(_xlfn._xlws.FILTER('Model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output'!Z:Z=A7)),1))))-FIND("N",IF(ISNUMBER(SEARCH("present",IF(INDEX(_xlfn._xlws.FILTER('Model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output'!Z:Z=A7)),1))),1)), "")</f>
        <v>1a</v>
      </c>
      <c r="F7" s="17" cm="1">
        <f t="array" ref="F7">IF(AND(SUBSTITUTE(_xlfn.TEXTJOIN("/", TRUE, _xlfn._xlws.FILTER('Model output'!F:F, 'Model output'!Z:Z=A7)),"M", "")="", I7="negative"),0,IF(I7="positive",1,0))</f>
        <v>0</v>
      </c>
      <c r="G7" t="str">
        <f t="shared" si="0"/>
        <v>positive</v>
      </c>
      <c r="H7" t="str" cm="1">
        <f t="array" ref="H7">IF(AND(K7&gt;0, _xlfn.TEXTJOIN("; ", TRUE, _xlfn._xlws.FILTER('Model output'!G:G, 'Model output'!Z:Z=A7)) &lt;&gt;"", OR(AND(ISNUMBER(SEARCH("level", _xlfn.TEXTJOIN("; ", TRUE, _xlfn._xlws.FILTER('Model output'!G:G, 'Model output'!Z:Z=A7)),1)),OR(ISNUMBER(SEARCH(" II", _xlfn.TEXTJOIN("; ", TRUE, _xlfn._xlws.FILTER('Model output'!G:G, 'Model output'!Z:Z=A7)),1)),ISNUMBER(SEARCH("2", _xlfn.TEXTJOIN("; ", TRUE, _xlfn._xlws.FILTER('Model output'!G:G, 'Model output'!Z:Z=A7)),1)),ISNUMBER(SEARCH("two", _xlfn.TEXTJOIN("; ", TRUE, _xlfn._xlws.FILTER('Model output'!G:G, 'Model output'!Z:Z=A7)),1)),ISNUMBER(SEARCH("III", _xlfn.TEXTJOIN("; ", TRUE, _xlfn._xlws.FILTER('Model output'!G:G, 'Model output'!Z:Z=A7)),1)),ISNUMBER(SEARCH("3", _xlfn.TEXTJOIN("; ", TRUE, _xlfn._xlws.FILTER('Model output'!G:G, 'Model output'!Z:Z=A7)),1)),ISNUMBER(SEARCH("three", _xlfn.TEXTJOIN("; ", TRUE, _xlfn._xlws.FILTER('Model output'!G:G, 'Model output'!Z:Z=A7)),1)),ISNUMBER(SEARCH("IV", _xlfn.TEXTJOIN("; ", TRUE, _xlfn._xlws.FILTER('Model output'!G:G, 'Model output'!Z:Z=A7)),1)),ISNUMBER(SEARCH("4", _xlfn.TEXTJOIN("; ", TRUE, _xlfn._xlws.FILTER('Model output'!G:G, 'Model output'!Z:Z=A7)),1)),ISNUMBER(SEARCH("five", _xlfn.TEXTJOIN("; ", TRUE, _xlfn._xlws.FILTER('Model output'!G:G, 'Model output'!Z:Z=A7)),1)),ISNUMBER(SEARCH("V ", _xlfn.TEXTJOIN("; ", TRUE, _xlfn._xlws.FILTER('Model output'!G:G, 'Model output'!Z:Z=A7)),1)),ISNUMBER(SEARCH("5", _xlfn.TEXTJOIN("; ", TRUE, _xlfn._xlws.FILTER('Model output'!G:G, 'Model output'!Z:Z=A7)),1)),ISNUMBER(SEARCH("five", _xlfn.TEXTJOIN("; ", TRUE, _xlfn._xlws.FILTER('Model output'!G:G, 'Model output'!Z:Z=A7)),1)),ISNUMBER(SEARCH(" lateral", _xlfn.TEXTJOIN("; ", TRUE, _xlfn._xlws.FILTER('Model output'!G:G, 'Model output'!Z:Z=A7)),1)))),ISNUMBER(SEARCH("cervical", _xlfn.TEXTJOIN("; ", TRUE, _xlfn._xlws.FILTER('Model output'!G:G, 'Model output'!Z:Z=A7)),1)),ISNUMBER(SEARCH("jugular", _xlfn.TEXTJOIN("; ", TRUE, _xlfn._xlws.FILTER('Model output'!G:G, 'Model output'!Z:Z=A7)),1)),ISNUMBER(SEARCH("left neck", _xlfn.TEXTJOIN("; ", TRUE, _xlfn._xlws.FILTER('Model output'!G:G, 'Model output'!Z:Z=A7)),1)),ISNUMBER(SEARCH("left anterior neck", _xlfn.TEXTJOIN("; ", TRUE, _xlfn._xlws.FILTER('Model output'!G:G, 'Model output'!Z:Z=A7)),1)),ISNUMBER(SEARCH("left posterior neck", _xlfn.TEXTJOIN("; ", TRUE, _xlfn._xlws.FILTER('Model output'!G:G, 'Model output'!Z:Z=A7)),1)),ISNUMBER(SEARCH("right neck", _xlfn.TEXTJOIN("; ", TRUE, _xlfn._xlws.FILTER('Model output'!G:G, 'Model output'!Z:Z=A7)),1)),ISNUMBER(SEARCH("right anterior neck", _xlfn.TEXTJOIN("; ", TRUE, _xlfn._xlws.FILTER('Model output'!G:G, 'Model output'!Z:Z=A7)),1)),ISNUMBER(SEARCH("right posterior neck", _xlfn.TEXTJOIN("; ", TRUE, _xlfn._xlws.FILTER('Model output'!G:G, 'Model output'!Z:Z=A7)),1)))),"lateral",IF(AND(K7=0, _xlfn.TEXTJOIN("; ", TRUE, _xlfn._xlws.FILTER('Model output'!G:G, 'Model output'!Z:Z=A7))=""),"", "central"))</f>
        <v>central</v>
      </c>
      <c r="I7" s="17" t="str" cm="1">
        <f t="array" ref="I7">IF(OR(ISNUMBER(SEARCH("lymph",_xlfn.TEXTJOIN("; ", TRUE, _xlfn._xlws.FILTER('Model output'!H:H, 'Model output'!Z:Z=A7)),1)), ISNUMBER(SEARCH("Not mentioned",_xlfn.TEXTJOIN("; ", TRUE, _xlfn._xlws.FILTER('Model output'!H:H, 'Model output'!Z:Z=A7)),1)),ISNUMBER(SEARCH("subcutaneous soft tissues",_xlfn.TEXTJOIN("; ", TRUE, _xlfn._xlws.FILTER('Model output'!H:H, 'Model output'!Z:Z=A7)),1)),ISNUMBER(SEARCH("larynx",_xlfn.TEXTJOIN("; ", TRUE, _xlfn._xlws.FILTER('Model output'!H:H, 'Model output'!Z:Z=A7)),1)),ISNUMBER(SEARCH("trachea",_xlfn.TEXTJOIN("; ", TRUE, _xlfn._xlws.FILTER('Model output'!H:H, 'Model output'!Z:Z=A7)),1)),ISNUMBER(SEARCH("esophagus",_xlfn.TEXTJOIN("; ", TRUE, _xlfn._xlws.FILTER('Model output'!H:H, 'Model output'!Z:Z=A7)),1)),ISNUMBER(SEARCH("recurrent laryngeal nerve",_xlfn.TEXTJOIN("; ", TRUE, _xlfn._xlws.FILTER('Model output'!H:H, 'Model output'!Z:Z=A7)),1)),ISNUMBER(SEARCH("RLN",_xlfn.TEXTJOIN("; ", TRUE, _xlfn._xlws.FILTER('Model output'!H:H, 'Model output'!Z:Z=A7)),1)),_xlfn.TEXTJOIN("; ", TRUE, _xlfn._xlws.FILTER('Model output'!H:H, 'Model output'!Z:Z=A7))=""),"negative","positive")</f>
        <v>negative</v>
      </c>
      <c r="J7" s="17">
        <f>IF(IFERROR(INDEX('Model output'!I:I, MATCH(A7, 'Model output'!Z:Z, 0)), "") &lt; K7, "", IFERROR(INDEX('Model output'!I:I, MATCH(A7, 'Model output'!Z:Z, 0)), ""))</f>
        <v>5</v>
      </c>
      <c r="K7" s="17">
        <f>IFERROR(INDEX('Model output'!J:J, MATCH(A7, 'Model output'!Z:Z, 0)), "")</f>
        <v>1</v>
      </c>
      <c r="L7" s="18" t="str" cm="1">
        <f t="array" ref="L7">ReplaceTo(ReplaceAnd(SUBSTITUTE(SUBSTITUTE(_xlfn.TEXTJOIN("; ", TRUE, _xlfn._xlws.FILTER('Model output'!K:K, 'Model output'!Z:Z=A7)), " ", ""), ",", ";")))</f>
        <v>0.6mm;0.6mm</v>
      </c>
      <c r="M7" t="str" cm="1">
        <f t="array" ref="M7">IF(LEFT(IF(RIGHT(SUBSTITUTE(FilterWithUnits(L7)&amp; ";" &amp;FilterStringsWithNumericAnd(L7) &amp; ";" &amp; FilterStringsWithX(L7), ";;", ";"),1)=";",LEFT(SUBSTITUTE(FilterWithUnits(L7)&amp; ";" &amp;FilterStringsWithNumericAnd(L7) &amp; ";" &amp; FilterStringsWithX(L7), ";;", ";"),LEN(SUBSTITUTE(FilterWithUnits(L7)&amp; ";" &amp;FilterStringsWithNumericAnd(L7) &amp; ";" &amp; FilterStringsWithX(L7), ";;", ";"))-1),SUBSTITUTE(FilterWithUnits(L7)&amp; ";" &amp;FilterStringsWithNumericAnd(L7) &amp; ";" &amp; FilterStringsWithX(L7), ";;", ";")),1)=";",RIGHT(IF(RIGHT(SUBSTITUTE(FilterWithUnits(L7)&amp; ";" &amp;FilterStringsWithNumericAnd(L7) &amp; ";" &amp; FilterStringsWithX(L7), ";;", ";"),1)=";",LEFT(SUBSTITUTE(FilterWithUnits(L7)&amp; ";" &amp;FilterStringsWithNumericAnd(L7) &amp; ";" &amp; FilterStringsWithX(L7), ";;", ";"),LEN(SUBSTITUTE(FilterWithUnits(L7)&amp; ";" &amp;FilterStringsWithNumericAnd(L7) &amp; ";" &amp; FilterStringsWithX(L7), ";;", ";"))-1),SUBSTITUTE(FilterWithUnits(L7)&amp; ";" &amp;FilterStringsWithNumericAnd(L7) &amp; ";" &amp; FilterStringsWithX(L7), ";;", ";")),LEN(IF(RIGHT(SUBSTITUTE(FilterWithUnits(L7)&amp; ";" &amp;FilterStringsWithNumericAnd(L7) &amp; ";" &amp; FilterStringsWithX(L7), ";;", ";"),1)=";",LEFT(SUBSTITUTE(FilterWithUnits(L7)&amp; ";" &amp;FilterStringsWithNumericAnd(L7) &amp; ";" &amp; FilterStringsWithX(L7), ";;", ";"),LEN(SUBSTITUTE(FilterWithUnits(L7)&amp; ";" &amp;FilterStringsWithNumericAnd(L7) &amp; ";" &amp; FilterStringsWithX(L7), ";;", ";"))-1),SUBSTITUTE(FilterWithUnits(L7)&amp; ";" &amp;FilterStringsWithNumericAnd(L7) &amp; ";" &amp; FilterStringsWithX(L7), ";;", ";")))-1),IF(RIGHT(SUBSTITUTE(FilterWithUnits(L7)&amp; ";" &amp;FilterStringsWithNumericAnd(L7) &amp; ";" &amp; FilterStringsWithX(L7), ";;", ";"),1)=";",LEFT(SUBSTITUTE(FilterWithUnits(L7)&amp; ";" &amp;FilterStringsWithNumericAnd(L7) &amp; ";" &amp; FilterStringsWithX(L7), ";;", ";"),LEN(SUBSTITUTE(FilterWithUnits(L7)&amp; ";" &amp;FilterStringsWithNumericAnd(L7) &amp; ";" &amp; FilterStringsWithX(L7), ";;", ";"))-1),SUBSTITUTE(FilterWithUnits(L7)&amp; ";" &amp;FilterStringsWithNumericAnd(L7) &amp; ";" &amp; FilterStringsWithX(L7), ";;", ";")))</f>
        <v>0.6mm;0.6mm</v>
      </c>
      <c r="N7" cm="1">
        <f t="array" ref="N7">IF(MaxSize((SplitDimensions(M7)))=0, "", MaxSize((SplitDimensions(M7))))</f>
        <v>0.06</v>
      </c>
      <c r="O7" t="str" cm="1">
        <f t="array" ref="O7">IF(ISERROR(INDEX(_xlfn._xlws.FILTER('Model output'!L:L, ('Model output'!Z:Z=A7)*('Model output'!L:L&lt;&gt;"")), 1)), " ", LOWER(INDEX(_xlfn._xlws.FILTER('Model output'!L:L, ('Model output'!Z:Z=A7)*('Model output'!L:L&lt;&gt;"")), 1)))</f>
        <v>papillary</v>
      </c>
      <c r="P7" t="str" cm="1">
        <f t="array" ref="P7">IF(ISERROR(INDEX(_xlfn._xlws.FILTER('Model output'!M:M, ('Model output'!Z:Z=A7)*('Model output'!M:M&lt;&gt;"")), 1)), " ", LOWER(INDEX(_xlfn._xlws.FILTER('Model output'!M:M, ('Model output'!Z:Z=A7)*('Model output'!M:M&lt;&gt;"")), 1)))</f>
        <v>oncocytic classic</v>
      </c>
      <c r="Q7" t="str" cm="1">
        <f t="array" ref="Q7">IF(OR(ISNUMBER(SEARCH("ly",SUBSTITUTE(INDEX(_xlfn._xlws.FILTER('Model output'!N:N,('Model output'!Z:Z=A7)*('Model output'!N:N&lt;&gt;"")),1)," ",""),1)), ISNUMBER(SEARCH("pole",SUBSTITUTE(INDEX(_xlfn._xlws.FILTER('Model output'!N:N,('Model output'!Z:Z=A7)*('Model output'!N:N&lt;&gt;"")),1)," ",""),1))),"",SUBSTITUTE(INDEX(_xlfn._xlws.FILTER('Model output'!N:N,('Model output'!Z:Z=A7)*('Model output'!N:N&lt;&gt;"")),1)," ",""))</f>
        <v>20mm</v>
      </c>
      <c r="R7" t="str" cm="1">
        <f t="array" ref="R7">IF(LEFT(IF(RIGHT(SUBSTITUTE(FilterWithUnits(Q7)&amp; ";" &amp;FilterStringsWithNumericAnd(Q7) &amp; ";" &amp; FilterStringsWithX(Q7), ";;", ";"),1)=";",LEFT(SUBSTITUTE(FilterWithUnits(Q7)&amp; ";" &amp;FilterStringsWithNumericAnd(Q7) &amp; ";" &amp; FilterStringsWithX(Q7), ";;", ";"),LEN(SUBSTITUTE(FilterWithUnits(Q7)&amp; ";" &amp;FilterStringsWithNumericAnd(Q7) &amp; ";" &amp; FilterStringsWithX(Q7), ";;", ";"))-1),SUBSTITUTE(FilterWithUnits(Q7)&amp; ";" &amp;FilterStringsWithNumericAnd(Q7) &amp; ";" &amp; FilterStringsWithX(Q7), ";;", ";")),1)=";",RIGHT(IF(RIGHT(SUBSTITUTE(FilterWithUnits(Q7)&amp; ";" &amp;FilterStringsWithNumericAnd(Q7) &amp; ";" &amp; FilterStringsWithX(Q7), ";;", ";"),1)=";",LEFT(SUBSTITUTE(FilterWithUnits(Q7)&amp; ";" &amp;FilterStringsWithNumericAnd(Q7) &amp; ";" &amp; FilterStringsWithX(Q7), ";;", ";"),LEN(SUBSTITUTE(FilterWithUnits(Q7)&amp; ";" &amp;FilterStringsWithNumericAnd(Q7) &amp; ";" &amp; FilterStringsWithX(Q7), ";;", ";"))-1),SUBSTITUTE(FilterWithUnits(Q7)&amp; ";" &amp;FilterStringsWithNumericAnd(Q7) &amp; ";" &amp; FilterStringsWithX(Q7), ";;", ";")),LEN(IF(RIGHT(SUBSTITUTE(FilterWithUnits(Q7)&amp; ";" &amp;FilterStringsWithNumericAnd(Q7) &amp; ";" &amp; FilterStringsWithX(Q7), ";;", ";"),1)=";",LEFT(SUBSTITUTE(FilterWithUnits(Q7)&amp; ";" &amp;FilterStringsWithNumericAnd(Q7) &amp; ";" &amp; FilterStringsWithX(Q7), ";;", ";"),LEN(SUBSTITUTE(FilterWithUnits(Q7)&amp; ";" &amp;FilterStringsWithNumericAnd(Q7) &amp; ";" &amp; FilterStringsWithX(Q7), ";;", ";"))-1),SUBSTITUTE(FilterWithUnits(Q7)&amp; ";" &amp;FilterStringsWithNumericAnd(Q7) &amp; ";" &amp; FilterStringsWithX(Q7), ";;", ";")))-1),IF(RIGHT(SUBSTITUTE(FilterWithUnits(Q7)&amp; ";" &amp;FilterStringsWithNumericAnd(Q7) &amp; ";" &amp; FilterStringsWithX(Q7), ";;", ";"),1)=";",LEFT(SUBSTITUTE(FilterWithUnits(Q7)&amp; ";" &amp;FilterStringsWithNumericAnd(Q7) &amp; ";" &amp; FilterStringsWithX(Q7), ";;", ";"),LEN(SUBSTITUTE(FilterWithUnits(Q7)&amp; ";" &amp;FilterStringsWithNumericAnd(Q7) &amp; ";" &amp; FilterStringsWithX(Q7), ";;", ";"))-1),SUBSTITUTE(FilterWithUnits(Q7)&amp; ";" &amp;FilterStringsWithNumericAnd(Q7) &amp; ";" &amp; FilterStringsWithX(Q7), ";;", ";")))</f>
        <v>20mm</v>
      </c>
      <c r="S7" cm="1">
        <f t="array" ref="S7">IF(MaxSize((SplitDimensions(R7)))=0, "", MaxSize((SplitDimensions(R7))))</f>
        <v>2</v>
      </c>
      <c r="T7" s="17" t="str" cm="1">
        <f t="array" ref="T7">IF(ISERROR(INDEX(_xlfn._xlws.FILTER('Model output'!P:P,('Model output'!Z:Z=A7)*('Model output'!P:P&lt;&gt;"")),1)),"negative",IF(OR(ISNUMBER(SEARCH("foc",INDEX(_xlfn._xlws.FILTER('Model output'!P:P,('Model output'!Z:Z=A7)*('Model output'!P:P&lt;&gt;"")),1),1)),ISNUMBER(SEARCH("extensive",INDEX(_xlfn._xlws.FILTER('Model output'!P:P,('Model output'!Z:Z=A7)*('Model output'!P:P&lt;&gt;"")),1),1)),ISNUMBER(SEARCH("present",INDEX(_xlfn._xlws.FILTER('Model output'!P:P,('Model output'!Z:Z=A7)*('Model output'!P:P&lt;&gt;"")),1),1)),ISNUMBER(SEARCH("yes",INDEX(_xlfn._xlws.FILTER('Model output'!P:P,('Model output'!Z:Z=A7)*('Model output'!P:P&lt;&gt;"")),1),1))),"positive","negative"))</f>
        <v>positive</v>
      </c>
      <c r="V7" t="str" cm="1">
        <f t="array" ref="V7">IF(ISNUMBER(SEARCH("4",INDEX(_xlfn._xlws.FILTER('Model output'!P:P,('Model output'!Z:Z=A7)*('Model output'!P:P&lt;&gt;"")),1),1)),INDEX(_xlfn._xlws.FILTER('Model output'!P:P,('Model output'!Z:Z=A7)*('Model output'!P:P&lt;&gt;"")),1),"") &amp; _xlfn.TEXTJOIN("",TRUE,_xlfn._xlws.FILTER('Model output'!Q:Q,'Model output'!Z:Z=A7))</f>
        <v/>
      </c>
      <c r="W7" t="str">
        <f t="shared" si="2"/>
        <v>minimal</v>
      </c>
      <c r="X7" t="str" cm="1">
        <f t="array" ref="X7">IF(OR(ISNUMBER(SEARCH("focal",_xlfn.TEXTJOIN("; ",TRUE,_xlfn._xlws.FILTER('Model output'!R:R,'Model output'!Z:Z=A7)),1)),ISNUMBER(SEARCH("present",_xlfn.TEXTJOIN("; ",TRUE,_xlfn._xlws.FILTER('Model output'!R:R,'Model output'!Z:Z=A7)),1))),"positive",IF(_xlfn.TEXTJOIN("; ",TRUE,_xlfn._xlws.FILTER('Model output'!R:R,'Model output'!Z:Z=A7))="","negative",IF(OR(ISNUMBER(SEARCH("no",_xlfn.TEXTJOIN("; ",TRUE,_xlfn._xlws.FILTER('Model output'!R:R,'Model output'!Z:Z=A7)),1)),ISNUMBER(SEARCH("absent",_xlfn.TEXTJOIN("; ",TRUE,_xlfn._xlws.FILTER('Model output'!R:R,'Model output'!Z:Z=A7)),1))),"negative","positive")))</f>
        <v>positive</v>
      </c>
      <c r="Y7" s="17" t="str">
        <f t="shared" si="3"/>
        <v>positive</v>
      </c>
      <c r="AC7" s="17" t="str">
        <f t="shared" si="4"/>
        <v>positive</v>
      </c>
      <c r="AD7" t="str" cm="1">
        <f t="array" ref="AD7">_xlfn.TEXTJOIN("; ",TRUE,_xlfn._xlws.FILTER('Model output'!S:S,'Model output'!Z:Z=A7))</f>
        <v>Invading soft tissue and strap muscles; Present</v>
      </c>
      <c r="AE7" s="17" t="str" cm="1">
        <f t="array" ref="AE7">IF(OR(ISNUMBER(SEARCH("uninvolved",_xlfn.TEXTJOIN("; ",TRUE,_xlfn._xlws.FILTER('Model output'!V:V,'Model output'!Z:Z=A7)),1)),ISNUMBER(SEARCH("clear",_xlfn.TEXTJOIN("; ",TRUE,_xlfn._xlws.FILTER('Model output'!V:V,'Model output'!Z:Z=A7)),1))*ISNUMBER(SEARCH("not mentioned",_xlfn.TEXTJOIN("; ",TRUE,_xlfn._xlws.FILTER('Model output'!V:V,'Model output'!Z:Z=A7)),1))),"negative",IF(ISNUMBER(SEARCH("cannot be assessed",_xlfn.TEXTJOIN("; ",TRUE,_xlfn._xlws.FILTER('Model output'!V:V,'Model output'!Z:Z=A7)),1)),"unknown","negative"))</f>
        <v>negative</v>
      </c>
      <c r="AG7" s="43" t="str">
        <f>IF(OR(ISNUMBER(SEARCH("non-invasive follicular",O7,1)), ISNUMBER(SEARCH("papillary-like nuclear features",P7,1)), ISNUMBER(SEARCH("non-invasive follicular",P7,1)),ISNUMBER(SEARCH("papillary-like nuclear features",P7,1))),"NIFTP", IF(OR(I7="positive",AC7="positive",AND(OR(ISNUMBER(SEARCH("follicular", O7)),ISNUMBER(SEARCH("FTC", O7))),W7="extensive"),AND(G7="positive",ISNUMBER(N7),N7&gt;3),AI7=1),"high",IF(OR(ISNUMBER(SEARCH("positive",Y7,1)),ISNUMBER(SEARCH("tall",P7,1)),ISNUMBER(SEARCH("hobnail",P7,1)),ISNUMBER(SEARCH("cribriform",P7,1)),ISNUMBER(SEARCH("diffuse",P7,1)),ISNUMBER(SEARCH("columnar",P7,1)),ISNUMBER(SEARCH("solid",P7,1)),ISNUMBER(SEARCH("tall",O7,1)),ISNUMBER(SEARCH("hobnail",O7,1)),ISNUMBER(SEARCH("cribriform",O7,1)),ISNUMBER(SEARCH("diffuse",O7,1)),ISNUMBER(SEARCH("columnar",O7,1)),ISNUMBER(SEARCH("solid",O7,1)),AND(OR(ISNUMBER(SEARCH("papillary carcinoma",O7,1)),ISNUMBER(SEARCH("papillary microcarcinoma",O7,1))),T7="positive"),,AND(AND(ISNUMBER(K7),K7&gt;=5),N7=""),AND(AND(ISNUMBER(K7),K7&gt;=5),AND(ISNUMBER(N7),N7&gt;=1)),H7="lateral"),"intermediate","low")))</f>
        <v>high</v>
      </c>
      <c r="AH7" s="44" t="str">
        <f t="shared" ref="AH7:AH16" si="10">IF(OR(ISNUMBER(SEARCH("non-invasive follicular",O7)),ISNUMBER(SEARCH("papillary-like nuclear features",O7)),ISNUMBER(SEARCH("non-invasive follicular",P7)),ISNUMBER(SEARCH("papillary-like nuclear features",P7))),"NIFTP", IF(OR(D7="4b",AND(AC7="positive",OR(ISNUMBER(SEARCH("prevertebral",AD7)),ISNUMBER(SEARCH("fascia",AD7)),ISNUMBER(SEARCH("carotid artery",AD7)),ISNUMBER(SEARCH("mediastinal",AD7))))),"4b",IF(OR(D7="4a",AND(AC7="positive",OR(ISNUMBER(SEARCH("soft tissue",AD7)),ISNUMBER(SEARCH("larynx",AD7)),ISNUMBER(SEARCH("trachea",AD7)),ISNUMBER(SEARCH("esophagus",AD7)),ISNUMBER(SEARCH("recurrent laryngeal nerve",AD7)),ISNUMBER(SEARCH("RLN",AD7))))),"4a", IF(OR(D7="3b", AC7="positive",ISNUMBER(SEARCH("strap",AD7)),ISNUMBER(SEARCH("adipose tissue",AD7)),ISNUMBER(SEARCH("sternothyroid",AD7)),ISNUMBER(SEARCH("sternohyoid",AD7)),ISNUMBER(SEARCH("thyrohyoid",AD7)),ISNUMBER(SEARCH("omohyoid",AD7))),"3b",IF(OR(D7="3a", AND(S7&lt;&gt;"",S7&gt;4)),"3a",IF(AND(S7&lt;&gt;"", S7&lt;=4,S7&gt;2),"2",IF(AND(S7&lt;&gt;"",S7&lt;=2,S7&gt;1),"1b",IF(AND(S7&lt;&gt;"",S7&lt;=1),"1a","1a"))))))))</f>
        <v>4a</v>
      </c>
      <c r="AI7" s="56" t="str">
        <f t="shared" si="5"/>
        <v>1a</v>
      </c>
      <c r="AJ7" s="56">
        <f t="shared" si="6"/>
        <v>0</v>
      </c>
      <c r="AK7" s="57" t="str">
        <f t="shared" si="7"/>
        <v>I</v>
      </c>
      <c r="AL7" s="45" t="s">
        <v>168</v>
      </c>
      <c r="AM7" s="46" t="s">
        <v>199</v>
      </c>
      <c r="AN7" s="46" t="s">
        <v>198</v>
      </c>
      <c r="AO7" s="46">
        <v>0</v>
      </c>
      <c r="AP7" s="46" t="s">
        <v>31</v>
      </c>
      <c r="AQ7" s="10">
        <f>IF(AL7=AG7,1,0)</f>
        <v>1</v>
      </c>
      <c r="AR7" s="27">
        <f>IF(AM7=AH7,1,0)</f>
        <v>0</v>
      </c>
      <c r="AS7" s="27">
        <f t="shared" si="8"/>
        <v>1</v>
      </c>
      <c r="AT7" s="27">
        <f t="shared" si="9"/>
        <v>1</v>
      </c>
      <c r="AU7" s="29">
        <f t="shared" si="9"/>
        <v>1</v>
      </c>
    </row>
    <row r="8" spans="1:47">
      <c r="A8" s="13">
        <v>6</v>
      </c>
      <c r="B8" s="16">
        <f>_xlfn.MAXIFS('Model output'!B:B,'Model output'!Z:Z,'Classification result'!$A8)</f>
        <v>45387</v>
      </c>
      <c r="C8" s="17">
        <f>_xlfn.MAXIFS('Model output'!C:C,'Model output'!Z:Z,'Classification result'!$A8)</f>
        <v>66</v>
      </c>
      <c r="D8" s="17" t="str" cm="1">
        <f t="array" ref="D8">LEFT(IF(ISERROR(RIGHT(IF(INDEX(_xlfn._xlws.FILTER('Model output'!D:D,('Model output'!Z:Z=A8)),1)&lt;&gt;"",INDEX(_xlfn._xlws.FILTER('Model output'!D:D,('Model output'!Z:Z=A8)),1),""),LEN(IF(INDEX(_xlfn._xlws.FILTER('Model output'!D:D,('Model output'!Z:Z=A8)),1)&lt;&gt;"",INDEX(_xlfn._xlws.FILTER('Model output'!D:D,('Model output'!Z:Z=A8)),1),""))-FIND("T",IF(INDEX(_xlfn._xlws.FILTER('Model output'!D:D,('Model output'!Z:Z=A8)),1)&lt;&gt;"",INDEX(_xlfn._xlws.FILTER('Model output'!D:D,('Model output'!Z:Z=A8)),1),""),1))),"",(RIGHT(IF(INDEX(_xlfn._xlws.FILTER('Model output'!D:D,('Model output'!Z:Z=A8)),1)&lt;&gt;"",INDEX(_xlfn._xlws.FILTER('Model output'!D:D,('Model output'!Z:Z=A8)),1),""),LEN(IF(INDEX(_xlfn._xlws.FILTER('Model output'!D:D,('Model output'!Z:Z=A8)),1)&lt;&gt;"",INDEX(_xlfn._xlws.FILTER('Model output'!D:D,('Model output'!Z:Z=A8)),1),""))-FIND("T",IF(INDEX(_xlfn._xlws.FILTER('Model output'!D:D,('Model output'!Z:Z=A8)),1)&lt;&gt;"",INDEX(_xlfn._xlws.FILTER('Model output'!D:D,('Model output'!Z:Z=A8)),1)))))),2)</f>
        <v>1b</v>
      </c>
      <c r="E8" s="17" t="str" cm="1">
        <f t="array" ref="E8">IF(ISNUMBER(SEARCH("N",IF(ISNUMBER(SEARCH("present",IF(INDEX(_xlfn._xlws.FILTER('Model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output'!Z:Z=A8)),1))),1)),RIGHT(IF(ISNUMBER(SEARCH("present",IF(INDEX(_xlfn._xlws.FILTER('Model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output'!Z:Z=A8)),1))),LEN(IF(ISNUMBER(SEARCH("present",IF(INDEX(_xlfn._xlws.FILTER('Model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output'!Z:Z=A8)),1))))-FIND("N",IF(ISNUMBER(SEARCH("present",IF(INDEX(_xlfn._xlws.FILTER('Model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output'!Z:Z=A8)),1))),1)), "")</f>
        <v/>
      </c>
      <c r="F8" s="17" cm="1">
        <f t="array" ref="F8">IF(AND(SUBSTITUTE(_xlfn.TEXTJOIN("/", TRUE, _xlfn._xlws.FILTER('Model output'!F:F, 'Model output'!Z:Z=A8)),"M", "")="", I8="negative"),0,IF(I8="positive",1,0))</f>
        <v>0</v>
      </c>
      <c r="G8" t="str">
        <f t="shared" si="0"/>
        <v/>
      </c>
      <c r="H8" t="str" cm="1">
        <f t="array" ref="H8">IF(AND(K8&gt;0, _xlfn.TEXTJOIN("; ", TRUE, _xlfn._xlws.FILTER('Model output'!G:G, 'Model output'!Z:Z=A8)) &lt;&gt;"", OR(AND(ISNUMBER(SEARCH("level", _xlfn.TEXTJOIN("; ", TRUE, _xlfn._xlws.FILTER('Model output'!G:G, 'Model output'!Z:Z=A8)),1)),OR(ISNUMBER(SEARCH(" II", _xlfn.TEXTJOIN("; ", TRUE, _xlfn._xlws.FILTER('Model output'!G:G, 'Model output'!Z:Z=A8)),1)),ISNUMBER(SEARCH("2", _xlfn.TEXTJOIN("; ", TRUE, _xlfn._xlws.FILTER('Model output'!G:G, 'Model output'!Z:Z=A8)),1)),ISNUMBER(SEARCH("two", _xlfn.TEXTJOIN("; ", TRUE, _xlfn._xlws.FILTER('Model output'!G:G, 'Model output'!Z:Z=A8)),1)),ISNUMBER(SEARCH("III", _xlfn.TEXTJOIN("; ", TRUE, _xlfn._xlws.FILTER('Model output'!G:G, 'Model output'!Z:Z=A8)),1)),ISNUMBER(SEARCH("3", _xlfn.TEXTJOIN("; ", TRUE, _xlfn._xlws.FILTER('Model output'!G:G, 'Model output'!Z:Z=A8)),1)),ISNUMBER(SEARCH("three", _xlfn.TEXTJOIN("; ", TRUE, _xlfn._xlws.FILTER('Model output'!G:G, 'Model output'!Z:Z=A8)),1)),ISNUMBER(SEARCH("IV", _xlfn.TEXTJOIN("; ", TRUE, _xlfn._xlws.FILTER('Model output'!G:G, 'Model output'!Z:Z=A8)),1)),ISNUMBER(SEARCH("4", _xlfn.TEXTJOIN("; ", TRUE, _xlfn._xlws.FILTER('Model output'!G:G, 'Model output'!Z:Z=A8)),1)),ISNUMBER(SEARCH("five", _xlfn.TEXTJOIN("; ", TRUE, _xlfn._xlws.FILTER('Model output'!G:G, 'Model output'!Z:Z=A8)),1)),ISNUMBER(SEARCH("V ", _xlfn.TEXTJOIN("; ", TRUE, _xlfn._xlws.FILTER('Model output'!G:G, 'Model output'!Z:Z=A8)),1)),ISNUMBER(SEARCH("5", _xlfn.TEXTJOIN("; ", TRUE, _xlfn._xlws.FILTER('Model output'!G:G, 'Model output'!Z:Z=A8)),1)),ISNUMBER(SEARCH("five", _xlfn.TEXTJOIN("; ", TRUE, _xlfn._xlws.FILTER('Model output'!G:G, 'Model output'!Z:Z=A8)),1)),ISNUMBER(SEARCH(" lateral", _xlfn.TEXTJOIN("; ", TRUE, _xlfn._xlws.FILTER('Model output'!G:G, 'Model output'!Z:Z=A8)),1)))),ISNUMBER(SEARCH("cervical", _xlfn.TEXTJOIN("; ", TRUE, _xlfn._xlws.FILTER('Model output'!G:G, 'Model output'!Z:Z=A8)),1)),ISNUMBER(SEARCH("jugular", _xlfn.TEXTJOIN("; ", TRUE, _xlfn._xlws.FILTER('Model output'!G:G, 'Model output'!Z:Z=A8)),1)),ISNUMBER(SEARCH("left neck", _xlfn.TEXTJOIN("; ", TRUE, _xlfn._xlws.FILTER('Model output'!G:G, 'Model output'!Z:Z=A8)),1)),ISNUMBER(SEARCH("left anterior neck", _xlfn.TEXTJOIN("; ", TRUE, _xlfn._xlws.FILTER('Model output'!G:G, 'Model output'!Z:Z=A8)),1)),ISNUMBER(SEARCH("left posterior neck", _xlfn.TEXTJOIN("; ", TRUE, _xlfn._xlws.FILTER('Model output'!G:G, 'Model output'!Z:Z=A8)),1)),ISNUMBER(SEARCH("right neck", _xlfn.TEXTJOIN("; ", TRUE, _xlfn._xlws.FILTER('Model output'!G:G, 'Model output'!Z:Z=A8)),1)),ISNUMBER(SEARCH("right anterior neck", _xlfn.TEXTJOIN("; ", TRUE, _xlfn._xlws.FILTER('Model output'!G:G, 'Model output'!Z:Z=A8)),1)),ISNUMBER(SEARCH("right posterior neck", _xlfn.TEXTJOIN("; ", TRUE, _xlfn._xlws.FILTER('Model output'!G:G, 'Model output'!Z:Z=A8)),1)))),"lateral",IF(AND(K8=0, _xlfn.TEXTJOIN("; ", TRUE, _xlfn._xlws.FILTER('Model output'!G:G, 'Model output'!Z:Z=A8))=""),"", "central"))</f>
        <v/>
      </c>
      <c r="I8" s="17" t="str" cm="1">
        <f t="array" ref="I8">IF(OR(ISNUMBER(SEARCH("lymph",_xlfn.TEXTJOIN("; ", TRUE, _xlfn._xlws.FILTER('Model output'!H:H, 'Model output'!Z:Z=A8)),1)), ISNUMBER(SEARCH("Not mentioned",_xlfn.TEXTJOIN("; ", TRUE, _xlfn._xlws.FILTER('Model output'!H:H, 'Model output'!Z:Z=A8)),1)),ISNUMBER(SEARCH("subcutaneous soft tissues",_xlfn.TEXTJOIN("; ", TRUE, _xlfn._xlws.FILTER('Model output'!H:H, 'Model output'!Z:Z=A8)),1)),ISNUMBER(SEARCH("larynx",_xlfn.TEXTJOIN("; ", TRUE, _xlfn._xlws.FILTER('Model output'!H:H, 'Model output'!Z:Z=A8)),1)),ISNUMBER(SEARCH("trachea",_xlfn.TEXTJOIN("; ", TRUE, _xlfn._xlws.FILTER('Model output'!H:H, 'Model output'!Z:Z=A8)),1)),ISNUMBER(SEARCH("esophagus",_xlfn.TEXTJOIN("; ", TRUE, _xlfn._xlws.FILTER('Model output'!H:H, 'Model output'!Z:Z=A8)),1)),ISNUMBER(SEARCH("recurrent laryngeal nerve",_xlfn.TEXTJOIN("; ", TRUE, _xlfn._xlws.FILTER('Model output'!H:H, 'Model output'!Z:Z=A8)),1)),ISNUMBER(SEARCH("RLN",_xlfn.TEXTJOIN("; ", TRUE, _xlfn._xlws.FILTER('Model output'!H:H, 'Model output'!Z:Z=A8)),1)),_xlfn.TEXTJOIN("; ", TRUE, _xlfn._xlws.FILTER('Model output'!H:H, 'Model output'!Z:Z=A8))=""),"negative","positive")</f>
        <v>negative</v>
      </c>
      <c r="J8" s="17">
        <f>IF(IFERROR(INDEX('Model output'!I:I, MATCH(A8, 'Model output'!Z:Z, 0)), "") &lt; K8, "", IFERROR(INDEX('Model output'!I:I, MATCH(A8, 'Model output'!Z:Z, 0)), ""))</f>
        <v>0</v>
      </c>
      <c r="K8" s="17">
        <f>IFERROR(INDEX('Model output'!J:J, MATCH(A8, 'Model output'!Z:Z, 0)), "")</f>
        <v>0</v>
      </c>
      <c r="L8" s="18" t="str" cm="1">
        <f t="array" ref="L8">ReplaceTo(ReplaceAnd(SUBSTITUTE(SUBSTITUTE(_xlfn.TEXTJOIN("; ", TRUE, _xlfn._xlws.FILTER('Model output'!K:K, 'Model output'!Z:Z=A8)), " ", ""), ",", ";")))</f>
        <v/>
      </c>
      <c r="M8" t="str" cm="1">
        <f t="array" ref="M8">IF(LEFT(IF(RIGHT(SUBSTITUTE(FilterWithUnits(L8)&amp; ";" &amp;FilterStringsWithNumericAnd(L8) &amp; ";" &amp; FilterStringsWithX(L8), ";;", ";"),1)=";",LEFT(SUBSTITUTE(FilterWithUnits(L8)&amp; ";" &amp;FilterStringsWithNumericAnd(L8) &amp; ";" &amp; FilterStringsWithX(L8), ";;", ";"),LEN(SUBSTITUTE(FilterWithUnits(L8)&amp; ";" &amp;FilterStringsWithNumericAnd(L8) &amp; ";" &amp; FilterStringsWithX(L8), ";;", ";"))-1),SUBSTITUTE(FilterWithUnits(L8)&amp; ";" &amp;FilterStringsWithNumericAnd(L8) &amp; ";" &amp; FilterStringsWithX(L8), ";;", ";")),1)=";",RIGHT(IF(RIGHT(SUBSTITUTE(FilterWithUnits(L8)&amp; ";" &amp;FilterStringsWithNumericAnd(L8) &amp; ";" &amp; FilterStringsWithX(L8), ";;", ";"),1)=";",LEFT(SUBSTITUTE(FilterWithUnits(L8)&amp; ";" &amp;FilterStringsWithNumericAnd(L8) &amp; ";" &amp; FilterStringsWithX(L8), ";;", ";"),LEN(SUBSTITUTE(FilterWithUnits(L8)&amp; ";" &amp;FilterStringsWithNumericAnd(L8) &amp; ";" &amp; FilterStringsWithX(L8), ";;", ";"))-1),SUBSTITUTE(FilterWithUnits(L8)&amp; ";" &amp;FilterStringsWithNumericAnd(L8) &amp; ";" &amp; FilterStringsWithX(L8), ";;", ";")),LEN(IF(RIGHT(SUBSTITUTE(FilterWithUnits(L8)&amp; ";" &amp;FilterStringsWithNumericAnd(L8) &amp; ";" &amp; FilterStringsWithX(L8), ";;", ";"),1)=";",LEFT(SUBSTITUTE(FilterWithUnits(L8)&amp; ";" &amp;FilterStringsWithNumericAnd(L8) &amp; ";" &amp; FilterStringsWithX(L8), ";;", ";"),LEN(SUBSTITUTE(FilterWithUnits(L8)&amp; ";" &amp;FilterStringsWithNumericAnd(L8) &amp; ";" &amp; FilterStringsWithX(L8), ";;", ";"))-1),SUBSTITUTE(FilterWithUnits(L8)&amp; ";" &amp;FilterStringsWithNumericAnd(L8) &amp; ";" &amp; FilterStringsWithX(L8), ";;", ";")))-1),IF(RIGHT(SUBSTITUTE(FilterWithUnits(L8)&amp; ";" &amp;FilterStringsWithNumericAnd(L8) &amp; ";" &amp; FilterStringsWithX(L8), ";;", ";"),1)=";",LEFT(SUBSTITUTE(FilterWithUnits(L8)&amp; ";" &amp;FilterStringsWithNumericAnd(L8) &amp; ";" &amp; FilterStringsWithX(L8), ";;", ";"),LEN(SUBSTITUTE(FilterWithUnits(L8)&amp; ";" &amp;FilterStringsWithNumericAnd(L8) &amp; ";" &amp; FilterStringsWithX(L8), ";;", ";"))-1),SUBSTITUTE(FilterWithUnits(L8)&amp; ";" &amp;FilterStringsWithNumericAnd(L8) &amp; ";" &amp; FilterStringsWithX(L8), ";;", ";")))</f>
        <v/>
      </c>
      <c r="N8" t="str" cm="1">
        <f t="array" ref="N8">IF(MaxSize((SplitDimensions(M8)))=0, "", MaxSize((SplitDimensions(M8))))</f>
        <v/>
      </c>
      <c r="O8" t="str" cm="1">
        <f t="array" ref="O8">IF(ISERROR(INDEX(_xlfn._xlws.FILTER('Model output'!L:L, ('Model output'!Z:Z=A8)*('Model output'!L:L&lt;&gt;"")), 1)), " ", LOWER(INDEX(_xlfn._xlws.FILTER('Model output'!L:L, ('Model output'!Z:Z=A8)*('Model output'!L:L&lt;&gt;"")), 1)))</f>
        <v>follicular</v>
      </c>
      <c r="P8" t="str" cm="1">
        <f t="array" ref="P8">IF(ISERROR(INDEX(_xlfn._xlws.FILTER('Model output'!M:M, ('Model output'!Z:Z=A8)*('Model output'!M:M&lt;&gt;"")), 1)), " ", LOWER(INDEX(_xlfn._xlws.FILTER('Model output'!M:M, ('Model output'!Z:Z=A8)*('Model output'!M:M&lt;&gt;"")), 1)))</f>
        <v>minimally invasive</v>
      </c>
      <c r="Q8" t="str" cm="1">
        <f t="array" ref="Q8">IF(OR(ISNUMBER(SEARCH("ly",SUBSTITUTE(INDEX(_xlfn._xlws.FILTER('Model output'!N:N,('Model output'!Z:Z=A8)*('Model output'!N:N&lt;&gt;"")),1)," ",""),1)), ISNUMBER(SEARCH("pole",SUBSTITUTE(INDEX(_xlfn._xlws.FILTER('Model output'!N:N,('Model output'!Z:Z=A8)*('Model output'!N:N&lt;&gt;"")),1)," ",""),1))),"",SUBSTITUTE(INDEX(_xlfn._xlws.FILTER('Model output'!N:N,('Model output'!Z:Z=A8)*('Model output'!N:N&lt;&gt;"")),1)," ",""))</f>
        <v>2x1.5x1.5cm</v>
      </c>
      <c r="R8" t="str" cm="1">
        <f t="array" ref="R8">IF(LEFT(IF(RIGHT(SUBSTITUTE(FilterWithUnits(Q8)&amp; ";" &amp;FilterStringsWithNumericAnd(Q8) &amp; ";" &amp; FilterStringsWithX(Q8), ";;", ";"),1)=";",LEFT(SUBSTITUTE(FilterWithUnits(Q8)&amp; ";" &amp;FilterStringsWithNumericAnd(Q8) &amp; ";" &amp; FilterStringsWithX(Q8), ";;", ";"),LEN(SUBSTITUTE(FilterWithUnits(Q8)&amp; ";" &amp;FilterStringsWithNumericAnd(Q8) &amp; ";" &amp; FilterStringsWithX(Q8), ";;", ";"))-1),SUBSTITUTE(FilterWithUnits(Q8)&amp; ";" &amp;FilterStringsWithNumericAnd(Q8) &amp; ";" &amp; FilterStringsWithX(Q8), ";;", ";")),1)=";",RIGHT(IF(RIGHT(SUBSTITUTE(FilterWithUnits(Q8)&amp; ";" &amp;FilterStringsWithNumericAnd(Q8) &amp; ";" &amp; FilterStringsWithX(Q8), ";;", ";"),1)=";",LEFT(SUBSTITUTE(FilterWithUnits(Q8)&amp; ";" &amp;FilterStringsWithNumericAnd(Q8) &amp; ";" &amp; FilterStringsWithX(Q8), ";;", ";"),LEN(SUBSTITUTE(FilterWithUnits(Q8)&amp; ";" &amp;FilterStringsWithNumericAnd(Q8) &amp; ";" &amp; FilterStringsWithX(Q8), ";;", ";"))-1),SUBSTITUTE(FilterWithUnits(Q8)&amp; ";" &amp;FilterStringsWithNumericAnd(Q8) &amp; ";" &amp; FilterStringsWithX(Q8), ";;", ";")),LEN(IF(RIGHT(SUBSTITUTE(FilterWithUnits(Q8)&amp; ";" &amp;FilterStringsWithNumericAnd(Q8) &amp; ";" &amp; FilterStringsWithX(Q8), ";;", ";"),1)=";",LEFT(SUBSTITUTE(FilterWithUnits(Q8)&amp; ";" &amp;FilterStringsWithNumericAnd(Q8) &amp; ";" &amp; FilterStringsWithX(Q8), ";;", ";"),LEN(SUBSTITUTE(FilterWithUnits(Q8)&amp; ";" &amp;FilterStringsWithNumericAnd(Q8) &amp; ";" &amp; FilterStringsWithX(Q8), ";;", ";"))-1),SUBSTITUTE(FilterWithUnits(Q8)&amp; ";" &amp;FilterStringsWithNumericAnd(Q8) &amp; ";" &amp; FilterStringsWithX(Q8), ";;", ";")))-1),IF(RIGHT(SUBSTITUTE(FilterWithUnits(Q8)&amp; ";" &amp;FilterStringsWithNumericAnd(Q8) &amp; ";" &amp; FilterStringsWithX(Q8), ";;", ";"),1)=";",LEFT(SUBSTITUTE(FilterWithUnits(Q8)&amp; ";" &amp;FilterStringsWithNumericAnd(Q8) &amp; ";" &amp; FilterStringsWithX(Q8), ";;", ";"),LEN(SUBSTITUTE(FilterWithUnits(Q8)&amp; ";" &amp;FilterStringsWithNumericAnd(Q8) &amp; ";" &amp; FilterStringsWithX(Q8), ";;", ";"))-1),SUBSTITUTE(FilterWithUnits(Q8)&amp; ";" &amp;FilterStringsWithNumericAnd(Q8) &amp; ";" &amp; FilterStringsWithX(Q8), ";;", ";")))</f>
        <v>2x1.5x1.5cm</v>
      </c>
      <c r="S8" cm="1">
        <f t="array" ref="S8">IF(MaxSize((SplitDimensions(R8)))=0, "", MaxSize((SplitDimensions(R8))))</f>
        <v>2</v>
      </c>
      <c r="T8" s="17" t="str" cm="1">
        <f t="array" ref="T8">IF(ISERROR(INDEX(_xlfn._xlws.FILTER('Model output'!P:P,('Model output'!Z:Z=A8)*('Model output'!P:P&lt;&gt;"")),1)),"negative",IF(OR(ISNUMBER(SEARCH("foc",INDEX(_xlfn._xlws.FILTER('Model output'!P:P,('Model output'!Z:Z=A8)*('Model output'!P:P&lt;&gt;"")),1),1)),ISNUMBER(SEARCH("extensive",INDEX(_xlfn._xlws.FILTER('Model output'!P:P,('Model output'!Z:Z=A8)*('Model output'!P:P&lt;&gt;"")),1),1)),ISNUMBER(SEARCH("present",INDEX(_xlfn._xlws.FILTER('Model output'!P:P,('Model output'!Z:Z=A8)*('Model output'!P:P&lt;&gt;"")),1),1)),ISNUMBER(SEARCH("yes",INDEX(_xlfn._xlws.FILTER('Model output'!P:P,('Model output'!Z:Z=A8)*('Model output'!P:P&lt;&gt;"")),1),1))),"positive","negative"))</f>
        <v>negative</v>
      </c>
      <c r="V8" t="str" cm="1">
        <f t="array" ref="V8">IF(ISNUMBER(SEARCH("4",INDEX(_xlfn._xlws.FILTER('Model output'!P:P,('Model output'!Z:Z=A8)*('Model output'!P:P&lt;&gt;"")),1),1)),INDEX(_xlfn._xlws.FILTER('Model output'!P:P,('Model output'!Z:Z=A8)*('Model output'!P:P&lt;&gt;"")),1),"") &amp; _xlfn.TEXTJOIN("",TRUE,_xlfn._xlws.FILTER('Model output'!Q:Q,'Model output'!Z:Z=A8))</f>
        <v/>
      </c>
      <c r="W8" t="str">
        <f t="shared" si="2"/>
        <v>no</v>
      </c>
      <c r="X8" t="str" cm="1">
        <f t="array" ref="X8">IF(OR(ISNUMBER(SEARCH("focal",_xlfn.TEXTJOIN("; ",TRUE,_xlfn._xlws.FILTER('Model output'!R:R,'Model output'!Z:Z=A8)),1)),ISNUMBER(SEARCH("present",_xlfn.TEXTJOIN("; ",TRUE,_xlfn._xlws.FILTER('Model output'!R:R,'Model output'!Z:Z=A8)),1))),"positive",IF(_xlfn.TEXTJOIN("; ",TRUE,_xlfn._xlws.FILTER('Model output'!R:R,'Model output'!Z:Z=A8))="","negative",IF(OR(ISNUMBER(SEARCH("no",_xlfn.TEXTJOIN("; ",TRUE,_xlfn._xlws.FILTER('Model output'!R:R,'Model output'!Z:Z=A8)),1)),ISNUMBER(SEARCH("absent",_xlfn.TEXTJOIN("; ",TRUE,_xlfn._xlws.FILTER('Model output'!R:R,'Model output'!Z:Z=A8)),1))),"negative","positive")))</f>
        <v>positive</v>
      </c>
      <c r="Y8" s="17" t="str">
        <f t="shared" si="3"/>
        <v>negative</v>
      </c>
      <c r="AC8" s="17" t="str">
        <f t="shared" si="4"/>
        <v>negative</v>
      </c>
      <c r="AD8" t="str" cm="1">
        <f t="array" ref="AD8">_xlfn.TEXTJOIN("; ",TRUE,_xlfn._xlws.FILTER('Model output'!S:S,'Model output'!Z:Z=A8))</f>
        <v/>
      </c>
      <c r="AE8" s="17" t="str" cm="1">
        <f t="array" ref="AE8">IF(OR(ISNUMBER(SEARCH("uninvolved",_xlfn.TEXTJOIN("; ",TRUE,_xlfn._xlws.FILTER('Model output'!V:V,'Model output'!Z:Z=A8)),1)),ISNUMBER(SEARCH("clear",_xlfn.TEXTJOIN("; ",TRUE,_xlfn._xlws.FILTER('Model output'!V:V,'Model output'!Z:Z=A8)),1))*ISNUMBER(SEARCH("not mentioned",_xlfn.TEXTJOIN("; ",TRUE,_xlfn._xlws.FILTER('Model output'!V:V,'Model output'!Z:Z=A8)),1))),"negative",IF(ISNUMBER(SEARCH("cannot be assessed",_xlfn.TEXTJOIN("; ",TRUE,_xlfn._xlws.FILTER('Model output'!V:V,'Model output'!Z:Z=A8)),1)),"unknown","negative"))</f>
        <v>negative</v>
      </c>
      <c r="AG8" s="43" t="str">
        <f>IF(OR(ISNUMBER(SEARCH("non-invasive follicular",O8,1)), ISNUMBER(SEARCH("papillary-like nuclear features",P8,1)), ISNUMBER(SEARCH("non-invasive follicular",P8,1)),ISNUMBER(SEARCH("papillary-like nuclear features",P8,1))),"NIFTP", IF(OR(I8="positive",AC8="positive",AND(OR(ISNUMBER(SEARCH("follicular", O8)),ISNUMBER(SEARCH("FTC", O8))),W8="extensive"),AND(G8="positive",ISNUMBER(N8),N8&gt;3),AI8=1),"high",IF(OR(ISNUMBER(SEARCH("positive",Y8,1)),ISNUMBER(SEARCH("tall",P8,1)),ISNUMBER(SEARCH("hobnail",P8,1)),ISNUMBER(SEARCH("cribriform",P8,1)),ISNUMBER(SEARCH("diffuse",P8,1)),ISNUMBER(SEARCH("columnar",P8,1)),ISNUMBER(SEARCH("solid",P8,1)),ISNUMBER(SEARCH("tall",O8,1)),ISNUMBER(SEARCH("hobnail",O8,1)),ISNUMBER(SEARCH("cribriform",O8,1)),ISNUMBER(SEARCH("diffuse",O8,1)),ISNUMBER(SEARCH("columnar",O8,1)),ISNUMBER(SEARCH("solid",O8,1)),AND(OR(ISNUMBER(SEARCH("papillary carcinoma",O8,1)),ISNUMBER(SEARCH("papillary microcarcinoma",O8,1))),T8="positive"),,AND(AND(ISNUMBER(K8),K8&gt;=5),N8=""),AND(AND(ISNUMBER(K8),K8&gt;=5),AND(ISNUMBER(N8),N8&gt;=1)),H8="lateral"),"intermediate","low")))</f>
        <v>low</v>
      </c>
      <c r="AH8" s="44" t="str">
        <f t="shared" si="10"/>
        <v>1b</v>
      </c>
      <c r="AI8" s="56" t="str">
        <f t="shared" si="5"/>
        <v>x</v>
      </c>
      <c r="AJ8" s="56">
        <f t="shared" si="6"/>
        <v>0</v>
      </c>
      <c r="AK8" s="57" t="str">
        <f t="shared" si="7"/>
        <v>I</v>
      </c>
      <c r="AL8" s="45" t="s">
        <v>169</v>
      </c>
      <c r="AM8" s="44" t="s">
        <v>197</v>
      </c>
      <c r="AN8" s="46" t="s">
        <v>197</v>
      </c>
      <c r="AO8" s="46">
        <v>0</v>
      </c>
      <c r="AP8" s="46" t="s">
        <v>31</v>
      </c>
      <c r="AQ8" s="10">
        <f>IF(AL8=AG8,1,0)</f>
        <v>1</v>
      </c>
      <c r="AR8" s="27">
        <f>IF(AM8=AH8,1,0)</f>
        <v>0</v>
      </c>
      <c r="AS8" s="27">
        <f t="shared" si="8"/>
        <v>1</v>
      </c>
      <c r="AT8" s="27">
        <f t="shared" si="9"/>
        <v>1</v>
      </c>
      <c r="AU8" s="29">
        <f t="shared" si="9"/>
        <v>1</v>
      </c>
    </row>
    <row r="9" spans="1:47">
      <c r="A9" s="13">
        <v>7</v>
      </c>
      <c r="B9" s="16">
        <f>_xlfn.MAXIFS('Model output'!B:B,'Model output'!Z:Z,'Classification result'!$A9)</f>
        <v>45429</v>
      </c>
      <c r="C9" s="17">
        <f>_xlfn.MAXIFS('Model output'!C:C,'Model output'!Z:Z,'Classification result'!$A9)</f>
        <v>67</v>
      </c>
      <c r="D9" s="17" t="str" cm="1">
        <f t="array" ref="D9">LEFT(IF(ISERROR(RIGHT(IF(INDEX(_xlfn._xlws.FILTER('Model output'!D:D,('Model output'!Z:Z=A9)),1)&lt;&gt;"",INDEX(_xlfn._xlws.FILTER('Model output'!D:D,('Model output'!Z:Z=A9)),1),""),LEN(IF(INDEX(_xlfn._xlws.FILTER('Model output'!D:D,('Model output'!Z:Z=A9)),1)&lt;&gt;"",INDEX(_xlfn._xlws.FILTER('Model output'!D:D,('Model output'!Z:Z=A9)),1),""))-FIND("T",IF(INDEX(_xlfn._xlws.FILTER('Model output'!D:D,('Model output'!Z:Z=A9)),1)&lt;&gt;"",INDEX(_xlfn._xlws.FILTER('Model output'!D:D,('Model output'!Z:Z=A9)),1),""),1))),"",(RIGHT(IF(INDEX(_xlfn._xlws.FILTER('Model output'!D:D,('Model output'!Z:Z=A9)),1)&lt;&gt;"",INDEX(_xlfn._xlws.FILTER('Model output'!D:D,('Model output'!Z:Z=A9)),1),""),LEN(IF(INDEX(_xlfn._xlws.FILTER('Model output'!D:D,('Model output'!Z:Z=A9)),1)&lt;&gt;"",INDEX(_xlfn._xlws.FILTER('Model output'!D:D,('Model output'!Z:Z=A9)),1),""))-FIND("T",IF(INDEX(_xlfn._xlws.FILTER('Model output'!D:D,('Model output'!Z:Z=A9)),1)&lt;&gt;"",INDEX(_xlfn._xlws.FILTER('Model output'!D:D,('Model output'!Z:Z=A9)),1)))))),2)</f>
        <v>1a</v>
      </c>
      <c r="E9" s="17" t="str" cm="1">
        <f t="array" ref="E9">IF(ISNUMBER(SEARCH("N",IF(ISNUMBER(SEARCH("present",IF(INDEX(_xlfn._xlws.FILTER('Model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output'!Z:Z=A9)),1))),1)),RIGHT(IF(ISNUMBER(SEARCH("present",IF(INDEX(_xlfn._xlws.FILTER('Model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output'!Z:Z=A9)),1))),LEN(IF(ISNUMBER(SEARCH("present",IF(INDEX(_xlfn._xlws.FILTER('Model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output'!Z:Z=A9)),1))))-FIND("N",IF(ISNUMBER(SEARCH("present",IF(INDEX(_xlfn._xlws.FILTER('Model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output'!Z:Z=A9)),1))),1)), "")</f>
        <v/>
      </c>
      <c r="F9" s="17" cm="1">
        <f t="array" ref="F9">IF(AND(SUBSTITUTE(_xlfn.TEXTJOIN("/", TRUE, _xlfn._xlws.FILTER('Model output'!F:F, 'Model output'!Z:Z=A9)),"M", "")="", I9="negative"),0,IF(I9="positive",1,0))</f>
        <v>0</v>
      </c>
      <c r="G9" t="str">
        <f t="shared" si="0"/>
        <v/>
      </c>
      <c r="H9" t="str" cm="1">
        <f t="array" ref="H9">IF(AND(K9&gt;0, _xlfn.TEXTJOIN("; ", TRUE, _xlfn._xlws.FILTER('Model output'!G:G, 'Model output'!Z:Z=A9)) &lt;&gt;"", OR(AND(ISNUMBER(SEARCH("level", _xlfn.TEXTJOIN("; ", TRUE, _xlfn._xlws.FILTER('Model output'!G:G, 'Model output'!Z:Z=A9)),1)),OR(ISNUMBER(SEARCH(" II", _xlfn.TEXTJOIN("; ", TRUE, _xlfn._xlws.FILTER('Model output'!G:G, 'Model output'!Z:Z=A9)),1)),ISNUMBER(SEARCH("2", _xlfn.TEXTJOIN("; ", TRUE, _xlfn._xlws.FILTER('Model output'!G:G, 'Model output'!Z:Z=A9)),1)),ISNUMBER(SEARCH("two", _xlfn.TEXTJOIN("; ", TRUE, _xlfn._xlws.FILTER('Model output'!G:G, 'Model output'!Z:Z=A9)),1)),ISNUMBER(SEARCH("III", _xlfn.TEXTJOIN("; ", TRUE, _xlfn._xlws.FILTER('Model output'!G:G, 'Model output'!Z:Z=A9)),1)),ISNUMBER(SEARCH("3", _xlfn.TEXTJOIN("; ", TRUE, _xlfn._xlws.FILTER('Model output'!G:G, 'Model output'!Z:Z=A9)),1)),ISNUMBER(SEARCH("three", _xlfn.TEXTJOIN("; ", TRUE, _xlfn._xlws.FILTER('Model output'!G:G, 'Model output'!Z:Z=A9)),1)),ISNUMBER(SEARCH("IV", _xlfn.TEXTJOIN("; ", TRUE, _xlfn._xlws.FILTER('Model output'!G:G, 'Model output'!Z:Z=A9)),1)),ISNUMBER(SEARCH("4", _xlfn.TEXTJOIN("; ", TRUE, _xlfn._xlws.FILTER('Model output'!G:G, 'Model output'!Z:Z=A9)),1)),ISNUMBER(SEARCH("five", _xlfn.TEXTJOIN("; ", TRUE, _xlfn._xlws.FILTER('Model output'!G:G, 'Model output'!Z:Z=A9)),1)),ISNUMBER(SEARCH("V ", _xlfn.TEXTJOIN("; ", TRUE, _xlfn._xlws.FILTER('Model output'!G:G, 'Model output'!Z:Z=A9)),1)),ISNUMBER(SEARCH("5", _xlfn.TEXTJOIN("; ", TRUE, _xlfn._xlws.FILTER('Model output'!G:G, 'Model output'!Z:Z=A9)),1)),ISNUMBER(SEARCH("five", _xlfn.TEXTJOIN("; ", TRUE, _xlfn._xlws.FILTER('Model output'!G:G, 'Model output'!Z:Z=A9)),1)),ISNUMBER(SEARCH(" lateral", _xlfn.TEXTJOIN("; ", TRUE, _xlfn._xlws.FILTER('Model output'!G:G, 'Model output'!Z:Z=A9)),1)))),ISNUMBER(SEARCH("cervical", _xlfn.TEXTJOIN("; ", TRUE, _xlfn._xlws.FILTER('Model output'!G:G, 'Model output'!Z:Z=A9)),1)),ISNUMBER(SEARCH("jugular", _xlfn.TEXTJOIN("; ", TRUE, _xlfn._xlws.FILTER('Model output'!G:G, 'Model output'!Z:Z=A9)),1)),ISNUMBER(SEARCH("left neck", _xlfn.TEXTJOIN("; ", TRUE, _xlfn._xlws.FILTER('Model output'!G:G, 'Model output'!Z:Z=A9)),1)),ISNUMBER(SEARCH("left anterior neck", _xlfn.TEXTJOIN("; ", TRUE, _xlfn._xlws.FILTER('Model output'!G:G, 'Model output'!Z:Z=A9)),1)),ISNUMBER(SEARCH("left posterior neck", _xlfn.TEXTJOIN("; ", TRUE, _xlfn._xlws.FILTER('Model output'!G:G, 'Model output'!Z:Z=A9)),1)),ISNUMBER(SEARCH("right neck", _xlfn.TEXTJOIN("; ", TRUE, _xlfn._xlws.FILTER('Model output'!G:G, 'Model output'!Z:Z=A9)),1)),ISNUMBER(SEARCH("right anterior neck", _xlfn.TEXTJOIN("; ", TRUE, _xlfn._xlws.FILTER('Model output'!G:G, 'Model output'!Z:Z=A9)),1)),ISNUMBER(SEARCH("right posterior neck", _xlfn.TEXTJOIN("; ", TRUE, _xlfn._xlws.FILTER('Model output'!G:G, 'Model output'!Z:Z=A9)),1)))),"lateral",IF(AND(K9=0, _xlfn.TEXTJOIN("; ", TRUE, _xlfn._xlws.FILTER('Model output'!G:G, 'Model output'!Z:Z=A9))=""),"", "central"))</f>
        <v/>
      </c>
      <c r="I9" s="17" t="str" cm="1">
        <f t="array" ref="I9">IF(OR(ISNUMBER(SEARCH("lymph",_xlfn.TEXTJOIN("; ", TRUE, _xlfn._xlws.FILTER('Model output'!H:H, 'Model output'!Z:Z=A9)),1)), ISNUMBER(SEARCH("Not mentioned",_xlfn.TEXTJOIN("; ", TRUE, _xlfn._xlws.FILTER('Model output'!H:H, 'Model output'!Z:Z=A9)),1)),ISNUMBER(SEARCH("subcutaneous soft tissues",_xlfn.TEXTJOIN("; ", TRUE, _xlfn._xlws.FILTER('Model output'!H:H, 'Model output'!Z:Z=A9)),1)),ISNUMBER(SEARCH("larynx",_xlfn.TEXTJOIN("; ", TRUE, _xlfn._xlws.FILTER('Model output'!H:H, 'Model output'!Z:Z=A9)),1)),ISNUMBER(SEARCH("trachea",_xlfn.TEXTJOIN("; ", TRUE, _xlfn._xlws.FILTER('Model output'!H:H, 'Model output'!Z:Z=A9)),1)),ISNUMBER(SEARCH("esophagus",_xlfn.TEXTJOIN("; ", TRUE, _xlfn._xlws.FILTER('Model output'!H:H, 'Model output'!Z:Z=A9)),1)),ISNUMBER(SEARCH("recurrent laryngeal nerve",_xlfn.TEXTJOIN("; ", TRUE, _xlfn._xlws.FILTER('Model output'!H:H, 'Model output'!Z:Z=A9)),1)),ISNUMBER(SEARCH("RLN",_xlfn.TEXTJOIN("; ", TRUE, _xlfn._xlws.FILTER('Model output'!H:H, 'Model output'!Z:Z=A9)),1)),_xlfn.TEXTJOIN("; ", TRUE, _xlfn._xlws.FILTER('Model output'!H:H, 'Model output'!Z:Z=A9))=""),"negative","positive")</f>
        <v>negative</v>
      </c>
      <c r="J9" s="17">
        <f>IF(IFERROR(INDEX('Model output'!I:I, MATCH(A9, 'Model output'!Z:Z, 0)), "") &lt; K9, "", IFERROR(INDEX('Model output'!I:I, MATCH(A9, 'Model output'!Z:Z, 0)), ""))</f>
        <v>1</v>
      </c>
      <c r="K9" s="17">
        <f>IFERROR(INDEX('Model output'!J:J, MATCH(A9, 'Model output'!Z:Z, 0)), "")</f>
        <v>0</v>
      </c>
      <c r="L9" s="18" t="str" cm="1">
        <f t="array" ref="L9">ReplaceTo(ReplaceAnd(SUBSTITUTE(SUBSTITUTE(_xlfn.TEXTJOIN("; ", TRUE, _xlfn._xlws.FILTER('Model output'!K:K, 'Model output'!Z:Z=A9)), " ", ""), ",", ";")))</f>
        <v/>
      </c>
      <c r="M9" t="str" cm="1">
        <f t="array" ref="M9">IF(LEFT(IF(RIGHT(SUBSTITUTE(FilterWithUnits(L9)&amp; ";" &amp;FilterStringsWithNumericAnd(L9) &amp; ";" &amp; FilterStringsWithX(L9), ";;", ";"),1)=";",LEFT(SUBSTITUTE(FilterWithUnits(L9)&amp; ";" &amp;FilterStringsWithNumericAnd(L9) &amp; ";" &amp; FilterStringsWithX(L9), ";;", ";"),LEN(SUBSTITUTE(FilterWithUnits(L9)&amp; ";" &amp;FilterStringsWithNumericAnd(L9) &amp; ";" &amp; FilterStringsWithX(L9), ";;", ";"))-1),SUBSTITUTE(FilterWithUnits(L9)&amp; ";" &amp;FilterStringsWithNumericAnd(L9) &amp; ";" &amp; FilterStringsWithX(L9), ";;", ";")),1)=";",RIGHT(IF(RIGHT(SUBSTITUTE(FilterWithUnits(L9)&amp; ";" &amp;FilterStringsWithNumericAnd(L9) &amp; ";" &amp; FilterStringsWithX(L9), ";;", ";"),1)=";",LEFT(SUBSTITUTE(FilterWithUnits(L9)&amp; ";" &amp;FilterStringsWithNumericAnd(L9) &amp; ";" &amp; FilterStringsWithX(L9), ";;", ";"),LEN(SUBSTITUTE(FilterWithUnits(L9)&amp; ";" &amp;FilterStringsWithNumericAnd(L9) &amp; ";" &amp; FilterStringsWithX(L9), ";;", ";"))-1),SUBSTITUTE(FilterWithUnits(L9)&amp; ";" &amp;FilterStringsWithNumericAnd(L9) &amp; ";" &amp; FilterStringsWithX(L9), ";;", ";")),LEN(IF(RIGHT(SUBSTITUTE(FilterWithUnits(L9)&amp; ";" &amp;FilterStringsWithNumericAnd(L9) &amp; ";" &amp; FilterStringsWithX(L9), ";;", ";"),1)=";",LEFT(SUBSTITUTE(FilterWithUnits(L9)&amp; ";" &amp;FilterStringsWithNumericAnd(L9) &amp; ";" &amp; FilterStringsWithX(L9), ";;", ";"),LEN(SUBSTITUTE(FilterWithUnits(L9)&amp; ";" &amp;FilterStringsWithNumericAnd(L9) &amp; ";" &amp; FilterStringsWithX(L9), ";;", ";"))-1),SUBSTITUTE(FilterWithUnits(L9)&amp; ";" &amp;FilterStringsWithNumericAnd(L9) &amp; ";" &amp; FilterStringsWithX(L9), ";;", ";")))-1),IF(RIGHT(SUBSTITUTE(FilterWithUnits(L9)&amp; ";" &amp;FilterStringsWithNumericAnd(L9) &amp; ";" &amp; FilterStringsWithX(L9), ";;", ";"),1)=";",LEFT(SUBSTITUTE(FilterWithUnits(L9)&amp; ";" &amp;FilterStringsWithNumericAnd(L9) &amp; ";" &amp; FilterStringsWithX(L9), ";;", ";"),LEN(SUBSTITUTE(FilterWithUnits(L9)&amp; ";" &amp;FilterStringsWithNumericAnd(L9) &amp; ";" &amp; FilterStringsWithX(L9), ";;", ";"))-1),SUBSTITUTE(FilterWithUnits(L9)&amp; ";" &amp;FilterStringsWithNumericAnd(L9) &amp; ";" &amp; FilterStringsWithX(L9), ";;", ";")))</f>
        <v/>
      </c>
      <c r="N9" t="str" cm="1">
        <f t="array" ref="N9">IF(MaxSize((SplitDimensions(M9)))=0, "", MaxSize((SplitDimensions(M9))))</f>
        <v/>
      </c>
      <c r="O9" t="str" cm="1">
        <f t="array" ref="O9">IF(ISERROR(INDEX(_xlfn._xlws.FILTER('Model output'!L:L, ('Model output'!Z:Z=A9)*('Model output'!L:L&lt;&gt;"")), 1)), " ", LOWER(INDEX(_xlfn._xlws.FILTER('Model output'!L:L, ('Model output'!Z:Z=A9)*('Model output'!L:L&lt;&gt;"")), 1)))</f>
        <v>papillary</v>
      </c>
      <c r="P9" t="str" cm="1">
        <f t="array" ref="P9">IF(ISERROR(INDEX(_xlfn._xlws.FILTER('Model output'!M:M, ('Model output'!Z:Z=A9)*('Model output'!M:M&lt;&gt;"")), 1)), " ", LOWER(INDEX(_xlfn._xlws.FILTER('Model output'!M:M, ('Model output'!Z:Z=A9)*('Model output'!M:M&lt;&gt;"")), 1)))</f>
        <v>infiltrative follicular</v>
      </c>
      <c r="Q9" t="str" cm="1">
        <f t="array" ref="Q9">IF(OR(ISNUMBER(SEARCH("ly",SUBSTITUTE(INDEX(_xlfn._xlws.FILTER('Model output'!N:N,('Model output'!Z:Z=A9)*('Model output'!N:N&lt;&gt;"")),1)," ",""),1)), ISNUMBER(SEARCH("pole",SUBSTITUTE(INDEX(_xlfn._xlws.FILTER('Model output'!N:N,('Model output'!Z:Z=A9)*('Model output'!N:N&lt;&gt;"")),1)," ",""),1))),"",SUBSTITUTE(INDEX(_xlfn._xlws.FILTER('Model output'!N:N,('Model output'!Z:Z=A9)*('Model output'!N:N&lt;&gt;"")),1)," ",""))</f>
        <v>4mm</v>
      </c>
      <c r="R9" t="str" cm="1">
        <f t="array" ref="R9">IF(LEFT(IF(RIGHT(SUBSTITUTE(FilterWithUnits(Q9)&amp; ";" &amp;FilterStringsWithNumericAnd(Q9) &amp; ";" &amp; FilterStringsWithX(Q9), ";;", ";"),1)=";",LEFT(SUBSTITUTE(FilterWithUnits(Q9)&amp; ";" &amp;FilterStringsWithNumericAnd(Q9) &amp; ";" &amp; FilterStringsWithX(Q9), ";;", ";"),LEN(SUBSTITUTE(FilterWithUnits(Q9)&amp; ";" &amp;FilterStringsWithNumericAnd(Q9) &amp; ";" &amp; FilterStringsWithX(Q9), ";;", ";"))-1),SUBSTITUTE(FilterWithUnits(Q9)&amp; ";" &amp;FilterStringsWithNumericAnd(Q9) &amp; ";" &amp; FilterStringsWithX(Q9), ";;", ";")),1)=";",RIGHT(IF(RIGHT(SUBSTITUTE(FilterWithUnits(Q9)&amp; ";" &amp;FilterStringsWithNumericAnd(Q9) &amp; ";" &amp; FilterStringsWithX(Q9), ";;", ";"),1)=";",LEFT(SUBSTITUTE(FilterWithUnits(Q9)&amp; ";" &amp;FilterStringsWithNumericAnd(Q9) &amp; ";" &amp; FilterStringsWithX(Q9), ";;", ";"),LEN(SUBSTITUTE(FilterWithUnits(Q9)&amp; ";" &amp;FilterStringsWithNumericAnd(Q9) &amp; ";" &amp; FilterStringsWithX(Q9), ";;", ";"))-1),SUBSTITUTE(FilterWithUnits(Q9)&amp; ";" &amp;FilterStringsWithNumericAnd(Q9) &amp; ";" &amp; FilterStringsWithX(Q9), ";;", ";")),LEN(IF(RIGHT(SUBSTITUTE(FilterWithUnits(Q9)&amp; ";" &amp;FilterStringsWithNumericAnd(Q9) &amp; ";" &amp; FilterStringsWithX(Q9), ";;", ";"),1)=";",LEFT(SUBSTITUTE(FilterWithUnits(Q9)&amp; ";" &amp;FilterStringsWithNumericAnd(Q9) &amp; ";" &amp; FilterStringsWithX(Q9), ";;", ";"),LEN(SUBSTITUTE(FilterWithUnits(Q9)&amp; ";" &amp;FilterStringsWithNumericAnd(Q9) &amp; ";" &amp; FilterStringsWithX(Q9), ";;", ";"))-1),SUBSTITUTE(FilterWithUnits(Q9)&amp; ";" &amp;FilterStringsWithNumericAnd(Q9) &amp; ";" &amp; FilterStringsWithX(Q9), ";;", ";")))-1),IF(RIGHT(SUBSTITUTE(FilterWithUnits(Q9)&amp; ";" &amp;FilterStringsWithNumericAnd(Q9) &amp; ";" &amp; FilterStringsWithX(Q9), ";;", ";"),1)=";",LEFT(SUBSTITUTE(FilterWithUnits(Q9)&amp; ";" &amp;FilterStringsWithNumericAnd(Q9) &amp; ";" &amp; FilterStringsWithX(Q9), ";;", ";"),LEN(SUBSTITUTE(FilterWithUnits(Q9)&amp; ";" &amp;FilterStringsWithNumericAnd(Q9) &amp; ";" &amp; FilterStringsWithX(Q9), ";;", ";"))-1),SUBSTITUTE(FilterWithUnits(Q9)&amp; ";" &amp;FilterStringsWithNumericAnd(Q9) &amp; ";" &amp; FilterStringsWithX(Q9), ";;", ";")))</f>
        <v>4mm</v>
      </c>
      <c r="S9" cm="1">
        <f t="array" ref="S9">IF(MaxSize((SplitDimensions(R9)))=0, "", MaxSize((SplitDimensions(R9))))</f>
        <v>0.4</v>
      </c>
      <c r="T9" s="17" t="str" cm="1">
        <f t="array" ref="T9">IF(ISERROR(INDEX(_xlfn._xlws.FILTER('Model output'!P:P,('Model output'!Z:Z=A9)*('Model output'!P:P&lt;&gt;"")),1)),"negative",IF(OR(ISNUMBER(SEARCH("foc",INDEX(_xlfn._xlws.FILTER('Model output'!P:P,('Model output'!Z:Z=A9)*('Model output'!P:P&lt;&gt;"")),1),1)),ISNUMBER(SEARCH("extensive",INDEX(_xlfn._xlws.FILTER('Model output'!P:P,('Model output'!Z:Z=A9)*('Model output'!P:P&lt;&gt;"")),1),1)),ISNUMBER(SEARCH("present",INDEX(_xlfn._xlws.FILTER('Model output'!P:P,('Model output'!Z:Z=A9)*('Model output'!P:P&lt;&gt;"")),1),1)),ISNUMBER(SEARCH("yes",INDEX(_xlfn._xlws.FILTER('Model output'!P:P,('Model output'!Z:Z=A9)*('Model output'!P:P&lt;&gt;"")),1),1))),"positive","negative"))</f>
        <v>negative</v>
      </c>
      <c r="V9" t="str" cm="1">
        <f t="array" ref="V9">IF(ISNUMBER(SEARCH("4",INDEX(_xlfn._xlws.FILTER('Model output'!P:P,('Model output'!Z:Z=A9)*('Model output'!P:P&lt;&gt;"")),1),1)),INDEX(_xlfn._xlws.FILTER('Model output'!P:P,('Model output'!Z:Z=A9)*('Model output'!P:P&lt;&gt;"")),1),"") &amp; _xlfn.TEXTJOIN("",TRUE,_xlfn._xlws.FILTER('Model output'!Q:Q,'Model output'!Z:Z=A9))</f>
        <v/>
      </c>
      <c r="W9" t="str">
        <f t="shared" si="2"/>
        <v>no</v>
      </c>
      <c r="X9" t="str" cm="1">
        <f t="array" ref="X9">IF(OR(ISNUMBER(SEARCH("focal",_xlfn.TEXTJOIN("; ",TRUE,_xlfn._xlws.FILTER('Model output'!R:R,'Model output'!Z:Z=A9)),1)),ISNUMBER(SEARCH("present",_xlfn.TEXTJOIN("; ",TRUE,_xlfn._xlws.FILTER('Model output'!R:R,'Model output'!Z:Z=A9)),1))),"positive",IF(_xlfn.TEXTJOIN("; ",TRUE,_xlfn._xlws.FILTER('Model output'!R:R,'Model output'!Z:Z=A9))="","negative",IF(OR(ISNUMBER(SEARCH("no",_xlfn.TEXTJOIN("; ",TRUE,_xlfn._xlws.FILTER('Model output'!R:R,'Model output'!Z:Z=A9)),1)),ISNUMBER(SEARCH("absent",_xlfn.TEXTJOIN("; ",TRUE,_xlfn._xlws.FILTER('Model output'!R:R,'Model output'!Z:Z=A9)),1))),"negative","positive")))</f>
        <v>negative</v>
      </c>
      <c r="Y9" s="17" t="str">
        <f t="shared" si="3"/>
        <v>negative</v>
      </c>
      <c r="AC9" s="17" t="str">
        <f t="shared" si="4"/>
        <v>negative</v>
      </c>
      <c r="AD9" t="str" cm="1">
        <f t="array" ref="AD9">_xlfn.TEXTJOIN("; ",TRUE,_xlfn._xlws.FILTER('Model output'!S:S,'Model output'!Z:Z=A9))</f>
        <v/>
      </c>
      <c r="AE9" s="17" t="str" cm="1">
        <f t="array" ref="AE9">IF(OR(ISNUMBER(SEARCH("uninvolved",_xlfn.TEXTJOIN("; ",TRUE,_xlfn._xlws.FILTER('Model output'!V:V,'Model output'!Z:Z=A9)),1)),ISNUMBER(SEARCH("clear",_xlfn.TEXTJOIN("; ",TRUE,_xlfn._xlws.FILTER('Model output'!V:V,'Model output'!Z:Z=A9)),1))*ISNUMBER(SEARCH("not mentioned",_xlfn.TEXTJOIN("; ",TRUE,_xlfn._xlws.FILTER('Model output'!V:V,'Model output'!Z:Z=A9)),1))),"negative",IF(ISNUMBER(SEARCH("cannot be assessed",_xlfn.TEXTJOIN("; ",TRUE,_xlfn._xlws.FILTER('Model output'!V:V,'Model output'!Z:Z=A9)),1)),"unknown","negative"))</f>
        <v>negative</v>
      </c>
      <c r="AG9" s="43" t="str">
        <f>IF(OR(ISNUMBER(SEARCH("non-invasive follicular",O9,1)), ISNUMBER(SEARCH("papillary-like nuclear features",P9,1)), ISNUMBER(SEARCH("non-invasive follicular",P9,1)),ISNUMBER(SEARCH("papillary-like nuclear features",P9,1))),"NIFTP", IF(OR(I9="positive",AC9="positive",AND(OR(ISNUMBER(SEARCH("follicular", O9)),ISNUMBER(SEARCH("FTC", O9))),W9="extensive"),AND(G9="positive",ISNUMBER(N9),N9&gt;3),AI9=1),"high",IF(OR(ISNUMBER(SEARCH("positive",Y9,1)),ISNUMBER(SEARCH("tall",P9,1)),ISNUMBER(SEARCH("hobnail",P9,1)),ISNUMBER(SEARCH("cribriform",P9,1)),ISNUMBER(SEARCH("diffuse",P9,1)),ISNUMBER(SEARCH("columnar",P9,1)),ISNUMBER(SEARCH("solid",P9,1)),ISNUMBER(SEARCH("tall",O9,1)),ISNUMBER(SEARCH("hobnail",O9,1)),ISNUMBER(SEARCH("cribriform",O9,1)),ISNUMBER(SEARCH("diffuse",O9,1)),ISNUMBER(SEARCH("columnar",O9,1)),ISNUMBER(SEARCH("solid",O9,1)),AND(OR(ISNUMBER(SEARCH("papillary carcinoma",O9,1)),ISNUMBER(SEARCH("papillary microcarcinoma",O9,1))),T9="positive"),,AND(AND(ISNUMBER(K9),K9&gt;=5),N9=""),AND(AND(ISNUMBER(K9),K9&gt;=5),AND(ISNUMBER(N9),N9&gt;=1)),H9="lateral"),"intermediate","low")))</f>
        <v>low</v>
      </c>
      <c r="AH9" s="44" t="str">
        <f t="shared" si="10"/>
        <v>1a</v>
      </c>
      <c r="AI9" s="56">
        <f t="shared" si="5"/>
        <v>0</v>
      </c>
      <c r="AJ9" s="56">
        <f t="shared" si="6"/>
        <v>0</v>
      </c>
      <c r="AK9" s="57" t="str">
        <f t="shared" si="7"/>
        <v>I</v>
      </c>
      <c r="AL9" s="45" t="s">
        <v>169</v>
      </c>
      <c r="AM9" s="46" t="s">
        <v>198</v>
      </c>
      <c r="AN9" s="46" t="s">
        <v>197</v>
      </c>
      <c r="AO9" s="46">
        <v>0</v>
      </c>
      <c r="AP9" s="46" t="s">
        <v>31</v>
      </c>
      <c r="AQ9" s="10">
        <f>IF(AL9=AG9,1,0)</f>
        <v>1</v>
      </c>
      <c r="AR9" s="27">
        <f>IF(AM9=AH9,1,0)</f>
        <v>1</v>
      </c>
      <c r="AS9" s="27">
        <f t="shared" si="8"/>
        <v>1</v>
      </c>
      <c r="AT9" s="27">
        <f t="shared" si="9"/>
        <v>1</v>
      </c>
      <c r="AU9" s="29">
        <f t="shared" si="9"/>
        <v>1</v>
      </c>
    </row>
    <row r="10" spans="1:47">
      <c r="A10" s="13">
        <v>8</v>
      </c>
      <c r="B10" s="16">
        <f>_xlfn.MAXIFS('Model output'!B:B,'Model output'!Z:Z,'Classification result'!$A10)</f>
        <v>45443</v>
      </c>
      <c r="C10" s="17">
        <f>_xlfn.MAXIFS('Model output'!C:C,'Model output'!Z:Z,'Classification result'!$A10)</f>
        <v>78</v>
      </c>
      <c r="D10" s="17" t="str" cm="1">
        <f t="array" ref="D10">LEFT(IF(ISERROR(RIGHT(IF(INDEX(_xlfn._xlws.FILTER('Model output'!D:D,('Model output'!Z:Z=A10)),1)&lt;&gt;"",INDEX(_xlfn._xlws.FILTER('Model output'!D:D,('Model output'!Z:Z=A10)),1),""),LEN(IF(INDEX(_xlfn._xlws.FILTER('Model output'!D:D,('Model output'!Z:Z=A10)),1)&lt;&gt;"",INDEX(_xlfn._xlws.FILTER('Model output'!D:D,('Model output'!Z:Z=A10)),1),""))-FIND("T",IF(INDEX(_xlfn._xlws.FILTER('Model output'!D:D,('Model output'!Z:Z=A10)),1)&lt;&gt;"",INDEX(_xlfn._xlws.FILTER('Model output'!D:D,('Model output'!Z:Z=A10)),1),""),1))),"",(RIGHT(IF(INDEX(_xlfn._xlws.FILTER('Model output'!D:D,('Model output'!Z:Z=A10)),1)&lt;&gt;"",INDEX(_xlfn._xlws.FILTER('Model output'!D:D,('Model output'!Z:Z=A10)),1),""),LEN(IF(INDEX(_xlfn._xlws.FILTER('Model output'!D:D,('Model output'!Z:Z=A10)),1)&lt;&gt;"",INDEX(_xlfn._xlws.FILTER('Model output'!D:D,('Model output'!Z:Z=A10)),1),""))-FIND("T",IF(INDEX(_xlfn._xlws.FILTER('Model output'!D:D,('Model output'!Z:Z=A10)),1)&lt;&gt;"",INDEX(_xlfn._xlws.FILTER('Model output'!D:D,('Model output'!Z:Z=A10)),1)))))),2)</f>
        <v>1b</v>
      </c>
      <c r="E10" s="17" t="str" cm="1">
        <f t="array" ref="E10">IF(ISNUMBER(SEARCH("N",IF(ISNUMBER(SEARCH("present",IF(INDEX(_xlfn._xlws.FILTER('Model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output'!Z:Z=A10)),1))),1)),RIGHT(IF(ISNUMBER(SEARCH("present",IF(INDEX(_xlfn._xlws.FILTER('Model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output'!Z:Z=A10)),1))),LEN(IF(ISNUMBER(SEARCH("present",IF(INDEX(_xlfn._xlws.FILTER('Model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output'!Z:Z=A10)),1))))-FIND("N",IF(ISNUMBER(SEARCH("present",IF(INDEX(_xlfn._xlws.FILTER('Model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output'!Z:Z=A10)),1))),1)), "")</f>
        <v/>
      </c>
      <c r="F10" s="17" cm="1">
        <f t="array" ref="F10">IF(AND(SUBSTITUTE(_xlfn.TEXTJOIN("/", TRUE, _xlfn._xlws.FILTER('Model output'!F:F, 'Model output'!Z:Z=A10)),"M", "")="", I10="negative"),0,IF(I10="positive",1,0))</f>
        <v>0</v>
      </c>
      <c r="G10" t="str">
        <f t="shared" si="0"/>
        <v/>
      </c>
      <c r="H10" t="str" cm="1">
        <f t="array" ref="H10">IF(AND(K10&gt;0, _xlfn.TEXTJOIN("; ", TRUE, _xlfn._xlws.FILTER('Model output'!G:G, 'Model output'!Z:Z=A10)) &lt;&gt;"", OR(AND(ISNUMBER(SEARCH("level", _xlfn.TEXTJOIN("; ", TRUE, _xlfn._xlws.FILTER('Model output'!G:G, 'Model output'!Z:Z=A10)),1)),OR(ISNUMBER(SEARCH(" II", _xlfn.TEXTJOIN("; ", TRUE, _xlfn._xlws.FILTER('Model output'!G:G, 'Model output'!Z:Z=A10)),1)),ISNUMBER(SEARCH("2", _xlfn.TEXTJOIN("; ", TRUE, _xlfn._xlws.FILTER('Model output'!G:G, 'Model output'!Z:Z=A10)),1)),ISNUMBER(SEARCH("two", _xlfn.TEXTJOIN("; ", TRUE, _xlfn._xlws.FILTER('Model output'!G:G, 'Model output'!Z:Z=A10)),1)),ISNUMBER(SEARCH("III", _xlfn.TEXTJOIN("; ", TRUE, _xlfn._xlws.FILTER('Model output'!G:G, 'Model output'!Z:Z=A10)),1)),ISNUMBER(SEARCH("3", _xlfn.TEXTJOIN("; ", TRUE, _xlfn._xlws.FILTER('Model output'!G:G, 'Model output'!Z:Z=A10)),1)),ISNUMBER(SEARCH("three", _xlfn.TEXTJOIN("; ", TRUE, _xlfn._xlws.FILTER('Model output'!G:G, 'Model output'!Z:Z=A10)),1)),ISNUMBER(SEARCH("IV", _xlfn.TEXTJOIN("; ", TRUE, _xlfn._xlws.FILTER('Model output'!G:G, 'Model output'!Z:Z=A10)),1)),ISNUMBER(SEARCH("4", _xlfn.TEXTJOIN("; ", TRUE, _xlfn._xlws.FILTER('Model output'!G:G, 'Model output'!Z:Z=A10)),1)),ISNUMBER(SEARCH("five", _xlfn.TEXTJOIN("; ", TRUE, _xlfn._xlws.FILTER('Model output'!G:G, 'Model output'!Z:Z=A10)),1)),ISNUMBER(SEARCH("V ", _xlfn.TEXTJOIN("; ", TRUE, _xlfn._xlws.FILTER('Model output'!G:G, 'Model output'!Z:Z=A10)),1)),ISNUMBER(SEARCH("5", _xlfn.TEXTJOIN("; ", TRUE, _xlfn._xlws.FILTER('Model output'!G:G, 'Model output'!Z:Z=A10)),1)),ISNUMBER(SEARCH("five", _xlfn.TEXTJOIN("; ", TRUE, _xlfn._xlws.FILTER('Model output'!G:G, 'Model output'!Z:Z=A10)),1)),ISNUMBER(SEARCH(" lateral", _xlfn.TEXTJOIN("; ", TRUE, _xlfn._xlws.FILTER('Model output'!G:G, 'Model output'!Z:Z=A10)),1)))),ISNUMBER(SEARCH("cervical", _xlfn.TEXTJOIN("; ", TRUE, _xlfn._xlws.FILTER('Model output'!G:G, 'Model output'!Z:Z=A10)),1)),ISNUMBER(SEARCH("jugular", _xlfn.TEXTJOIN("; ", TRUE, _xlfn._xlws.FILTER('Model output'!G:G, 'Model output'!Z:Z=A10)),1)),ISNUMBER(SEARCH("left neck", _xlfn.TEXTJOIN("; ", TRUE, _xlfn._xlws.FILTER('Model output'!G:G, 'Model output'!Z:Z=A10)),1)),ISNUMBER(SEARCH("left anterior neck", _xlfn.TEXTJOIN("; ", TRUE, _xlfn._xlws.FILTER('Model output'!G:G, 'Model output'!Z:Z=A10)),1)),ISNUMBER(SEARCH("left posterior neck", _xlfn.TEXTJOIN("; ", TRUE, _xlfn._xlws.FILTER('Model output'!G:G, 'Model output'!Z:Z=A10)),1)),ISNUMBER(SEARCH("right neck", _xlfn.TEXTJOIN("; ", TRUE, _xlfn._xlws.FILTER('Model output'!G:G, 'Model output'!Z:Z=A10)),1)),ISNUMBER(SEARCH("right anterior neck", _xlfn.TEXTJOIN("; ", TRUE, _xlfn._xlws.FILTER('Model output'!G:G, 'Model output'!Z:Z=A10)),1)),ISNUMBER(SEARCH("right posterior neck", _xlfn.TEXTJOIN("; ", TRUE, _xlfn._xlws.FILTER('Model output'!G:G, 'Model output'!Z:Z=A10)),1)))),"lateral",IF(AND(K10=0, _xlfn.TEXTJOIN("; ", TRUE, _xlfn._xlws.FILTER('Model output'!G:G, 'Model output'!Z:Z=A10))=""),"", "central"))</f>
        <v/>
      </c>
      <c r="I10" s="17" t="str" cm="1">
        <f t="array" ref="I10">IF(OR(ISNUMBER(SEARCH("lymph",_xlfn.TEXTJOIN("; ", TRUE, _xlfn._xlws.FILTER('Model output'!H:H, 'Model output'!Z:Z=A10)),1)), ISNUMBER(SEARCH("Not mentioned",_xlfn.TEXTJOIN("; ", TRUE, _xlfn._xlws.FILTER('Model output'!H:H, 'Model output'!Z:Z=A10)),1)),ISNUMBER(SEARCH("subcutaneous soft tissues",_xlfn.TEXTJOIN("; ", TRUE, _xlfn._xlws.FILTER('Model output'!H:H, 'Model output'!Z:Z=A10)),1)),ISNUMBER(SEARCH("larynx",_xlfn.TEXTJOIN("; ", TRUE, _xlfn._xlws.FILTER('Model output'!H:H, 'Model output'!Z:Z=A10)),1)),ISNUMBER(SEARCH("trachea",_xlfn.TEXTJOIN("; ", TRUE, _xlfn._xlws.FILTER('Model output'!H:H, 'Model output'!Z:Z=A10)),1)),ISNUMBER(SEARCH("esophagus",_xlfn.TEXTJOIN("; ", TRUE, _xlfn._xlws.FILTER('Model output'!H:H, 'Model output'!Z:Z=A10)),1)),ISNUMBER(SEARCH("recurrent laryngeal nerve",_xlfn.TEXTJOIN("; ", TRUE, _xlfn._xlws.FILTER('Model output'!H:H, 'Model output'!Z:Z=A10)),1)),ISNUMBER(SEARCH("RLN",_xlfn.TEXTJOIN("; ", TRUE, _xlfn._xlws.FILTER('Model output'!H:H, 'Model output'!Z:Z=A10)),1)),_xlfn.TEXTJOIN("; ", TRUE, _xlfn._xlws.FILTER('Model output'!H:H, 'Model output'!Z:Z=A10))=""),"negative","positive")</f>
        <v>negative</v>
      </c>
      <c r="J10" s="17">
        <f>IF(IFERROR(INDEX('Model output'!I:I, MATCH(A10, 'Model output'!Z:Z, 0)), "") &lt; K10, "", IFERROR(INDEX('Model output'!I:I, MATCH(A10, 'Model output'!Z:Z, 0)), ""))</f>
        <v>0</v>
      </c>
      <c r="K10" s="17">
        <f>IFERROR(INDEX('Model output'!J:J, MATCH(A10, 'Model output'!Z:Z, 0)), "")</f>
        <v>0</v>
      </c>
      <c r="L10" s="18" t="str" cm="1">
        <f t="array" ref="L10">ReplaceTo(ReplaceAnd(SUBSTITUTE(SUBSTITUTE(_xlfn.TEXTJOIN("; ", TRUE, _xlfn._xlws.FILTER('Model output'!K:K, 'Model output'!Z:Z=A10)), " ", ""), ",", ";")))</f>
        <v/>
      </c>
      <c r="M10" t="str" cm="1">
        <f t="array" ref="M10">IF(LEFT(IF(RIGHT(SUBSTITUTE(FilterWithUnits(L10)&amp; ";" &amp;FilterStringsWithNumericAnd(L10) &amp; ";" &amp; FilterStringsWithX(L10), ";;", ";"),1)=";",LEFT(SUBSTITUTE(FilterWithUnits(L10)&amp; ";" &amp;FilterStringsWithNumericAnd(L10) &amp; ";" &amp; FilterStringsWithX(L10), ";;", ";"),LEN(SUBSTITUTE(FilterWithUnits(L10)&amp; ";" &amp;FilterStringsWithNumericAnd(L10) &amp; ";" &amp; FilterStringsWithX(L10), ";;", ";"))-1),SUBSTITUTE(FilterWithUnits(L10)&amp; ";" &amp;FilterStringsWithNumericAnd(L10) &amp; ";" &amp; FilterStringsWithX(L10), ";;", ";")),1)=";",RIGHT(IF(RIGHT(SUBSTITUTE(FilterWithUnits(L10)&amp; ";" &amp;FilterStringsWithNumericAnd(L10) &amp; ";" &amp; FilterStringsWithX(L10), ";;", ";"),1)=";",LEFT(SUBSTITUTE(FilterWithUnits(L10)&amp; ";" &amp;FilterStringsWithNumericAnd(L10) &amp; ";" &amp; FilterStringsWithX(L10), ";;", ";"),LEN(SUBSTITUTE(FilterWithUnits(L10)&amp; ";" &amp;FilterStringsWithNumericAnd(L10) &amp; ";" &amp; FilterStringsWithX(L10), ";;", ";"))-1),SUBSTITUTE(FilterWithUnits(L10)&amp; ";" &amp;FilterStringsWithNumericAnd(L10) &amp; ";" &amp; FilterStringsWithX(L10), ";;", ";")),LEN(IF(RIGHT(SUBSTITUTE(FilterWithUnits(L10)&amp; ";" &amp;FilterStringsWithNumericAnd(L10) &amp; ";" &amp; FilterStringsWithX(L10), ";;", ";"),1)=";",LEFT(SUBSTITUTE(FilterWithUnits(L10)&amp; ";" &amp;FilterStringsWithNumericAnd(L10) &amp; ";" &amp; FilterStringsWithX(L10), ";;", ";"),LEN(SUBSTITUTE(FilterWithUnits(L10)&amp; ";" &amp;FilterStringsWithNumericAnd(L10) &amp; ";" &amp; FilterStringsWithX(L10), ";;", ";"))-1),SUBSTITUTE(FilterWithUnits(L10)&amp; ";" &amp;FilterStringsWithNumericAnd(L10) &amp; ";" &amp; FilterStringsWithX(L10), ";;", ";")))-1),IF(RIGHT(SUBSTITUTE(FilterWithUnits(L10)&amp; ";" &amp;FilterStringsWithNumericAnd(L10) &amp; ";" &amp; FilterStringsWithX(L10), ";;", ";"),1)=";",LEFT(SUBSTITUTE(FilterWithUnits(L10)&amp; ";" &amp;FilterStringsWithNumericAnd(L10) &amp; ";" &amp; FilterStringsWithX(L10), ";;", ";"),LEN(SUBSTITUTE(FilterWithUnits(L10)&amp; ";" &amp;FilterStringsWithNumericAnd(L10) &amp; ";" &amp; FilterStringsWithX(L10), ";;", ";"))-1),SUBSTITUTE(FilterWithUnits(L10)&amp; ";" &amp;FilterStringsWithNumericAnd(L10) &amp; ";" &amp; FilterStringsWithX(L10), ";;", ";")))</f>
        <v/>
      </c>
      <c r="N10" t="str" cm="1">
        <f t="array" ref="N10">IF(MaxSize((SplitDimensions(M10)))=0, "", MaxSize((SplitDimensions(M10))))</f>
        <v/>
      </c>
      <c r="O10" t="str" cm="1">
        <f t="array" ref="O10">IF(ISERROR(INDEX(_xlfn._xlws.FILTER('Model output'!L:L, ('Model output'!Z:Z=A10)*('Model output'!L:L&lt;&gt;"")), 1)), " ", LOWER(INDEX(_xlfn._xlws.FILTER('Model output'!L:L, ('Model output'!Z:Z=A10)*('Model output'!L:L&lt;&gt;"")), 1)))</f>
        <v>papillary</v>
      </c>
      <c r="P10" t="str" cm="1">
        <f t="array" ref="P10">IF(ISERROR(INDEX(_xlfn._xlws.FILTER('Model output'!M:M, ('Model output'!Z:Z=A10)*('Model output'!M:M&lt;&gt;"")), 1)), " ", LOWER(INDEX(_xlfn._xlws.FILTER('Model output'!M:M, ('Model output'!Z:Z=A10)*('Model output'!M:M&lt;&gt;"")), 1)))</f>
        <v>classic</v>
      </c>
      <c r="Q10" t="str" cm="1">
        <f t="array" ref="Q10">IF(OR(ISNUMBER(SEARCH("ly",SUBSTITUTE(INDEX(_xlfn._xlws.FILTER('Model output'!N:N,('Model output'!Z:Z=A10)*('Model output'!N:N&lt;&gt;"")),1)," ",""),1)), ISNUMBER(SEARCH("pole",SUBSTITUTE(INDEX(_xlfn._xlws.FILTER('Model output'!N:N,('Model output'!Z:Z=A10)*('Model output'!N:N&lt;&gt;"")),1)," ",""),1))),"",SUBSTITUTE(INDEX(_xlfn._xlws.FILTER('Model output'!N:N,('Model output'!Z:Z=A10)*('Model output'!N:N&lt;&gt;"")),1)," ",""))</f>
        <v>11.5mm</v>
      </c>
      <c r="R10" t="str" cm="1">
        <f t="array" ref="R10">IF(LEFT(IF(RIGHT(SUBSTITUTE(FilterWithUnits(Q10)&amp; ";" &amp;FilterStringsWithNumericAnd(Q10) &amp; ";" &amp; FilterStringsWithX(Q10), ";;", ";"),1)=";",LEFT(SUBSTITUTE(FilterWithUnits(Q10)&amp; ";" &amp;FilterStringsWithNumericAnd(Q10) &amp; ";" &amp; FilterStringsWithX(Q10), ";;", ";"),LEN(SUBSTITUTE(FilterWithUnits(Q10)&amp; ";" &amp;FilterStringsWithNumericAnd(Q10) &amp; ";" &amp; FilterStringsWithX(Q10), ";;", ";"))-1),SUBSTITUTE(FilterWithUnits(Q10)&amp; ";" &amp;FilterStringsWithNumericAnd(Q10) &amp; ";" &amp; FilterStringsWithX(Q10), ";;", ";")),1)=";",RIGHT(IF(RIGHT(SUBSTITUTE(FilterWithUnits(Q10)&amp; ";" &amp;FilterStringsWithNumericAnd(Q10) &amp; ";" &amp; FilterStringsWithX(Q10), ";;", ";"),1)=";",LEFT(SUBSTITUTE(FilterWithUnits(Q10)&amp; ";" &amp;FilterStringsWithNumericAnd(Q10) &amp; ";" &amp; FilterStringsWithX(Q10), ";;", ";"),LEN(SUBSTITUTE(FilterWithUnits(Q10)&amp; ";" &amp;FilterStringsWithNumericAnd(Q10) &amp; ";" &amp; FilterStringsWithX(Q10), ";;", ";"))-1),SUBSTITUTE(FilterWithUnits(Q10)&amp; ";" &amp;FilterStringsWithNumericAnd(Q10) &amp; ";" &amp; FilterStringsWithX(Q10), ";;", ";")),LEN(IF(RIGHT(SUBSTITUTE(FilterWithUnits(Q10)&amp; ";" &amp;FilterStringsWithNumericAnd(Q10) &amp; ";" &amp; FilterStringsWithX(Q10), ";;", ";"),1)=";",LEFT(SUBSTITUTE(FilterWithUnits(Q10)&amp; ";" &amp;FilterStringsWithNumericAnd(Q10) &amp; ";" &amp; FilterStringsWithX(Q10), ";;", ";"),LEN(SUBSTITUTE(FilterWithUnits(Q10)&amp; ";" &amp;FilterStringsWithNumericAnd(Q10) &amp; ";" &amp; FilterStringsWithX(Q10), ";;", ";"))-1),SUBSTITUTE(FilterWithUnits(Q10)&amp; ";" &amp;FilterStringsWithNumericAnd(Q10) &amp; ";" &amp; FilterStringsWithX(Q10), ";;", ";")))-1),IF(RIGHT(SUBSTITUTE(FilterWithUnits(Q10)&amp; ";" &amp;FilterStringsWithNumericAnd(Q10) &amp; ";" &amp; FilterStringsWithX(Q10), ";;", ";"),1)=";",LEFT(SUBSTITUTE(FilterWithUnits(Q10)&amp; ";" &amp;FilterStringsWithNumericAnd(Q10) &amp; ";" &amp; FilterStringsWithX(Q10), ";;", ";"),LEN(SUBSTITUTE(FilterWithUnits(Q10)&amp; ";" &amp;FilterStringsWithNumericAnd(Q10) &amp; ";" &amp; FilterStringsWithX(Q10), ";;", ";"))-1),SUBSTITUTE(FilterWithUnits(Q10)&amp; ";" &amp;FilterStringsWithNumericAnd(Q10) &amp; ";" &amp; FilterStringsWithX(Q10), ";;", ";")))</f>
        <v>11.5mm</v>
      </c>
      <c r="S10" cm="1">
        <f t="array" ref="S10">IF(MaxSize((SplitDimensions(R10)))=0, "", MaxSize((SplitDimensions(R10))))</f>
        <v>1.1499999999999999</v>
      </c>
      <c r="T10" s="17" t="str" cm="1">
        <f t="array" ref="T10">IF(ISERROR(INDEX(_xlfn._xlws.FILTER('Model output'!P:P,('Model output'!Z:Z=A10)*('Model output'!P:P&lt;&gt;"")),1)),"negative",IF(OR(ISNUMBER(SEARCH("foc",INDEX(_xlfn._xlws.FILTER('Model output'!P:P,('Model output'!Z:Z=A10)*('Model output'!P:P&lt;&gt;"")),1),1)),ISNUMBER(SEARCH("extensive",INDEX(_xlfn._xlws.FILTER('Model output'!P:P,('Model output'!Z:Z=A10)*('Model output'!P:P&lt;&gt;"")),1),1)),ISNUMBER(SEARCH("present",INDEX(_xlfn._xlws.FILTER('Model output'!P:P,('Model output'!Z:Z=A10)*('Model output'!P:P&lt;&gt;"")),1),1)),ISNUMBER(SEARCH("yes",INDEX(_xlfn._xlws.FILTER('Model output'!P:P,('Model output'!Z:Z=A10)*('Model output'!P:P&lt;&gt;"")),1),1))),"positive","negative"))</f>
        <v>negative</v>
      </c>
      <c r="V10" t="str" cm="1">
        <f t="array" ref="V10">IF(ISNUMBER(SEARCH("4",INDEX(_xlfn._xlws.FILTER('Model output'!P:P,('Model output'!Z:Z=A10)*('Model output'!P:P&lt;&gt;"")),1),1)),INDEX(_xlfn._xlws.FILTER('Model output'!P:P,('Model output'!Z:Z=A10)*('Model output'!P:P&lt;&gt;"")),1),"") &amp; _xlfn.TEXTJOIN("",TRUE,_xlfn._xlws.FILTER('Model output'!Q:Q,'Model output'!Z:Z=A10))</f>
        <v/>
      </c>
      <c r="W10" t="str">
        <f t="shared" si="2"/>
        <v>no</v>
      </c>
      <c r="X10" t="str" cm="1">
        <f t="array" ref="X10">IF(OR(ISNUMBER(SEARCH("focal",_xlfn.TEXTJOIN("; ",TRUE,_xlfn._xlws.FILTER('Model output'!R:R,'Model output'!Z:Z=A10)),1)),ISNUMBER(SEARCH("present",_xlfn.TEXTJOIN("; ",TRUE,_xlfn._xlws.FILTER('Model output'!R:R,'Model output'!Z:Z=A10)),1))),"positive",IF(_xlfn.TEXTJOIN("; ",TRUE,_xlfn._xlws.FILTER('Model output'!R:R,'Model output'!Z:Z=A10))="","negative",IF(OR(ISNUMBER(SEARCH("no",_xlfn.TEXTJOIN("; ",TRUE,_xlfn._xlws.FILTER('Model output'!R:R,'Model output'!Z:Z=A10)),1)),ISNUMBER(SEARCH("absent",_xlfn.TEXTJOIN("; ",TRUE,_xlfn._xlws.FILTER('Model output'!R:R,'Model output'!Z:Z=A10)),1))),"negative","positive")))</f>
        <v>negative</v>
      </c>
      <c r="Y10" s="17" t="str">
        <f t="shared" si="3"/>
        <v>negative</v>
      </c>
      <c r="AC10" s="17" t="str">
        <f t="shared" si="4"/>
        <v>negative</v>
      </c>
      <c r="AD10" t="str" cm="1">
        <f t="array" ref="AD10">_xlfn.TEXTJOIN("; ",TRUE,_xlfn._xlws.FILTER('Model output'!S:S,'Model output'!Z:Z=A10))</f>
        <v/>
      </c>
      <c r="AE10" s="17" t="str" cm="1">
        <f t="array" ref="AE10">IF(OR(ISNUMBER(SEARCH("uninvolved",_xlfn.TEXTJOIN("; ",TRUE,_xlfn._xlws.FILTER('Model output'!V:V,'Model output'!Z:Z=A10)),1)),ISNUMBER(SEARCH("clear",_xlfn.TEXTJOIN("; ",TRUE,_xlfn._xlws.FILTER('Model output'!V:V,'Model output'!Z:Z=A10)),1))*ISNUMBER(SEARCH("not mentioned",_xlfn.TEXTJOIN("; ",TRUE,_xlfn._xlws.FILTER('Model output'!V:V,'Model output'!Z:Z=A10)),1))),"negative",IF(ISNUMBER(SEARCH("cannot be assessed",_xlfn.TEXTJOIN("; ",TRUE,_xlfn._xlws.FILTER('Model output'!V:V,'Model output'!Z:Z=A10)),1)),"unknown","negative"))</f>
        <v>negative</v>
      </c>
      <c r="AG10" s="43" t="str">
        <f>IF(OR(ISNUMBER(SEARCH("non-invasive follicular",O10,1)), ISNUMBER(SEARCH("papillary-like nuclear features",P10,1)), ISNUMBER(SEARCH("non-invasive follicular",P10,1)),ISNUMBER(SEARCH("papillary-like nuclear features",P10,1))),"NIFTP", IF(OR(I10="positive",AC10="positive",AND(OR(ISNUMBER(SEARCH("follicular", O10)),ISNUMBER(SEARCH("FTC", O10))),W10="extensive"),AND(G10="positive",ISNUMBER(N10),N10&gt;3),AI10=1),"high",IF(OR(ISNUMBER(SEARCH("positive",Y10,1)),ISNUMBER(SEARCH("tall",P10,1)),ISNUMBER(SEARCH("hobnail",P10,1)),ISNUMBER(SEARCH("cribriform",P10,1)),ISNUMBER(SEARCH("diffuse",P10,1)),ISNUMBER(SEARCH("columnar",P10,1)),ISNUMBER(SEARCH("solid",P10,1)),ISNUMBER(SEARCH("tall",O10,1)),ISNUMBER(SEARCH("hobnail",O10,1)),ISNUMBER(SEARCH("cribriform",O10,1)),ISNUMBER(SEARCH("diffuse",O10,1)),ISNUMBER(SEARCH("columnar",O10,1)),ISNUMBER(SEARCH("solid",O10,1)),AND(OR(ISNUMBER(SEARCH("papillary carcinoma",O10,1)),ISNUMBER(SEARCH("papillary microcarcinoma",O10,1))),T10="positive"),,AND(AND(ISNUMBER(K10),K10&gt;=5),N10=""),AND(AND(ISNUMBER(K10),K10&gt;=5),AND(ISNUMBER(N10),N10&gt;=1)),H10="lateral"),"intermediate","low")))</f>
        <v>low</v>
      </c>
      <c r="AH10" s="44" t="str">
        <f t="shared" si="10"/>
        <v>1b</v>
      </c>
      <c r="AI10" s="56" t="str">
        <f t="shared" si="5"/>
        <v>x</v>
      </c>
      <c r="AJ10" s="56">
        <f t="shared" si="6"/>
        <v>0</v>
      </c>
      <c r="AK10" s="57" t="str">
        <f t="shared" si="7"/>
        <v>I</v>
      </c>
      <c r="AL10" s="45" t="s">
        <v>169</v>
      </c>
      <c r="AM10" s="46" t="s">
        <v>196</v>
      </c>
      <c r="AN10" s="46" t="s">
        <v>197</v>
      </c>
      <c r="AO10" s="46">
        <v>0</v>
      </c>
      <c r="AP10" s="46" t="s">
        <v>31</v>
      </c>
      <c r="AQ10" s="10">
        <f>IF(AL10=AG10,1,0)</f>
        <v>1</v>
      </c>
      <c r="AR10" s="27">
        <f>IF(AM10=AH10,1,0)</f>
        <v>1</v>
      </c>
      <c r="AS10" s="27">
        <f t="shared" si="8"/>
        <v>1</v>
      </c>
      <c r="AT10" s="27">
        <f t="shared" si="9"/>
        <v>1</v>
      </c>
      <c r="AU10" s="29">
        <f t="shared" si="9"/>
        <v>1</v>
      </c>
    </row>
    <row r="11" spans="1:47">
      <c r="A11" s="13">
        <v>9</v>
      </c>
      <c r="B11" s="16">
        <f>_xlfn.MAXIFS('Model output'!B:B,'Model output'!Z:Z,'Classification result'!$A11)</f>
        <v>45331</v>
      </c>
      <c r="C11" s="17">
        <f>_xlfn.MAXIFS('Model output'!C:C,'Model output'!Z:Z,'Classification result'!$A11)</f>
        <v>55</v>
      </c>
      <c r="D11" s="17" t="str" cm="1">
        <f t="array" ref="D11">LEFT(IF(ISERROR(RIGHT(IF(INDEX(_xlfn._xlws.FILTER('Model output'!D:D,('Model output'!Z:Z=A11)),1)&lt;&gt;"",INDEX(_xlfn._xlws.FILTER('Model output'!D:D,('Model output'!Z:Z=A11)),1),""),LEN(IF(INDEX(_xlfn._xlws.FILTER('Model output'!D:D,('Model output'!Z:Z=A11)),1)&lt;&gt;"",INDEX(_xlfn._xlws.FILTER('Model output'!D:D,('Model output'!Z:Z=A11)),1),""))-FIND("T",IF(INDEX(_xlfn._xlws.FILTER('Model output'!D:D,('Model output'!Z:Z=A11)),1)&lt;&gt;"",INDEX(_xlfn._xlws.FILTER('Model output'!D:D,('Model output'!Z:Z=A11)),1),""),1))),"",(RIGHT(IF(INDEX(_xlfn._xlws.FILTER('Model output'!D:D,('Model output'!Z:Z=A11)),1)&lt;&gt;"",INDEX(_xlfn._xlws.FILTER('Model output'!D:D,('Model output'!Z:Z=A11)),1),""),LEN(IF(INDEX(_xlfn._xlws.FILTER('Model output'!D:D,('Model output'!Z:Z=A11)),1)&lt;&gt;"",INDEX(_xlfn._xlws.FILTER('Model output'!D:D,('Model output'!Z:Z=A11)),1),""))-FIND("T",IF(INDEX(_xlfn._xlws.FILTER('Model output'!D:D,('Model output'!Z:Z=A11)),1)&lt;&gt;"",INDEX(_xlfn._xlws.FILTER('Model output'!D:D,('Model output'!Z:Z=A11)),1)))))),2)</f>
        <v>2</v>
      </c>
      <c r="E11" s="17" t="str" cm="1">
        <f t="array" ref="E11">IF(ISNUMBER(SEARCH("N",IF(ISNUMBER(SEARCH("present",IF(INDEX(_xlfn._xlws.FILTER('Model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output'!Z:Z=A11)),1))),1)),RIGHT(IF(ISNUMBER(SEARCH("present",IF(INDEX(_xlfn._xlws.FILTER('Model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output'!Z:Z=A11)),1))),LEN(IF(ISNUMBER(SEARCH("present",IF(INDEX(_xlfn._xlws.FILTER('Model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output'!Z:Z=A11)),1))))-FIND("N",IF(ISNUMBER(SEARCH("present",IF(INDEX(_xlfn._xlws.FILTER('Model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output'!Z:Z=A11)),1))),1)), "")</f>
        <v>2</v>
      </c>
      <c r="F11" s="17" cm="1">
        <f t="array" ref="F11">IF(AND(SUBSTITUTE(_xlfn.TEXTJOIN("/", TRUE, _xlfn._xlws.FILTER('Model output'!F:F, 'Model output'!Z:Z=A11)),"M", "")="", I11="negative"),0,IF(I11="positive",1,0))</f>
        <v>0</v>
      </c>
      <c r="G11" t="str">
        <f t="shared" si="0"/>
        <v>positive</v>
      </c>
      <c r="H11" t="str" cm="1">
        <f t="array" ref="H11">IF(AND(K11&gt;0, _xlfn.TEXTJOIN("; ", TRUE, _xlfn._xlws.FILTER('Model output'!G:G, 'Model output'!Z:Z=A11)) &lt;&gt;"", OR(AND(ISNUMBER(SEARCH("level", _xlfn.TEXTJOIN("; ", TRUE, _xlfn._xlws.FILTER('Model output'!G:G, 'Model output'!Z:Z=A11)),1)),OR(ISNUMBER(SEARCH(" II", _xlfn.TEXTJOIN("; ", TRUE, _xlfn._xlws.FILTER('Model output'!G:G, 'Model output'!Z:Z=A11)),1)),ISNUMBER(SEARCH("2", _xlfn.TEXTJOIN("; ", TRUE, _xlfn._xlws.FILTER('Model output'!G:G, 'Model output'!Z:Z=A11)),1)),ISNUMBER(SEARCH("two", _xlfn.TEXTJOIN("; ", TRUE, _xlfn._xlws.FILTER('Model output'!G:G, 'Model output'!Z:Z=A11)),1)),ISNUMBER(SEARCH("III", _xlfn.TEXTJOIN("; ", TRUE, _xlfn._xlws.FILTER('Model output'!G:G, 'Model output'!Z:Z=A11)),1)),ISNUMBER(SEARCH("3", _xlfn.TEXTJOIN("; ", TRUE, _xlfn._xlws.FILTER('Model output'!G:G, 'Model output'!Z:Z=A11)),1)),ISNUMBER(SEARCH("three", _xlfn.TEXTJOIN("; ", TRUE, _xlfn._xlws.FILTER('Model output'!G:G, 'Model output'!Z:Z=A11)),1)),ISNUMBER(SEARCH("IV", _xlfn.TEXTJOIN("; ", TRUE, _xlfn._xlws.FILTER('Model output'!G:G, 'Model output'!Z:Z=A11)),1)),ISNUMBER(SEARCH("4", _xlfn.TEXTJOIN("; ", TRUE, _xlfn._xlws.FILTER('Model output'!G:G, 'Model output'!Z:Z=A11)),1)),ISNUMBER(SEARCH("five", _xlfn.TEXTJOIN("; ", TRUE, _xlfn._xlws.FILTER('Model output'!G:G, 'Model output'!Z:Z=A11)),1)),ISNUMBER(SEARCH("V ", _xlfn.TEXTJOIN("; ", TRUE, _xlfn._xlws.FILTER('Model output'!G:G, 'Model output'!Z:Z=A11)),1)),ISNUMBER(SEARCH("5", _xlfn.TEXTJOIN("; ", TRUE, _xlfn._xlws.FILTER('Model output'!G:G, 'Model output'!Z:Z=A11)),1)),ISNUMBER(SEARCH("five", _xlfn.TEXTJOIN("; ", TRUE, _xlfn._xlws.FILTER('Model output'!G:G, 'Model output'!Z:Z=A11)),1)),ISNUMBER(SEARCH(" lateral", _xlfn.TEXTJOIN("; ", TRUE, _xlfn._xlws.FILTER('Model output'!G:G, 'Model output'!Z:Z=A11)),1)))),ISNUMBER(SEARCH("cervical", _xlfn.TEXTJOIN("; ", TRUE, _xlfn._xlws.FILTER('Model output'!G:G, 'Model output'!Z:Z=A11)),1)),ISNUMBER(SEARCH("jugular", _xlfn.TEXTJOIN("; ", TRUE, _xlfn._xlws.FILTER('Model output'!G:G, 'Model output'!Z:Z=A11)),1)),ISNUMBER(SEARCH("left neck", _xlfn.TEXTJOIN("; ", TRUE, _xlfn._xlws.FILTER('Model output'!G:G, 'Model output'!Z:Z=A11)),1)),ISNUMBER(SEARCH("left anterior neck", _xlfn.TEXTJOIN("; ", TRUE, _xlfn._xlws.FILTER('Model output'!G:G, 'Model output'!Z:Z=A11)),1)),ISNUMBER(SEARCH("left posterior neck", _xlfn.TEXTJOIN("; ", TRUE, _xlfn._xlws.FILTER('Model output'!G:G, 'Model output'!Z:Z=A11)),1)),ISNUMBER(SEARCH("right neck", _xlfn.TEXTJOIN("; ", TRUE, _xlfn._xlws.FILTER('Model output'!G:G, 'Model output'!Z:Z=A11)),1)),ISNUMBER(SEARCH("right anterior neck", _xlfn.TEXTJOIN("; ", TRUE, _xlfn._xlws.FILTER('Model output'!G:G, 'Model output'!Z:Z=A11)),1)),ISNUMBER(SEARCH("right posterior neck", _xlfn.TEXTJOIN("; ", TRUE, _xlfn._xlws.FILTER('Model output'!G:G, 'Model output'!Z:Z=A11)),1)))),"lateral",IF(AND(K11=0, _xlfn.TEXTJOIN("; ", TRUE, _xlfn._xlws.FILTER('Model output'!G:G, 'Model output'!Z:Z=A11))=""),"", "central"))</f>
        <v>central</v>
      </c>
      <c r="I11" s="17" t="str" cm="1">
        <f t="array" ref="I11">IF(OR(ISNUMBER(SEARCH("lymph",_xlfn.TEXTJOIN("; ", TRUE, _xlfn._xlws.FILTER('Model output'!H:H, 'Model output'!Z:Z=A11)),1)), ISNUMBER(SEARCH("Not mentioned",_xlfn.TEXTJOIN("; ", TRUE, _xlfn._xlws.FILTER('Model output'!H:H, 'Model output'!Z:Z=A11)),1)),ISNUMBER(SEARCH("subcutaneous soft tissues",_xlfn.TEXTJOIN("; ", TRUE, _xlfn._xlws.FILTER('Model output'!H:H, 'Model output'!Z:Z=A11)),1)),ISNUMBER(SEARCH("larynx",_xlfn.TEXTJOIN("; ", TRUE, _xlfn._xlws.FILTER('Model output'!H:H, 'Model output'!Z:Z=A11)),1)),ISNUMBER(SEARCH("trachea",_xlfn.TEXTJOIN("; ", TRUE, _xlfn._xlws.FILTER('Model output'!H:H, 'Model output'!Z:Z=A11)),1)),ISNUMBER(SEARCH("esophagus",_xlfn.TEXTJOIN("; ", TRUE, _xlfn._xlws.FILTER('Model output'!H:H, 'Model output'!Z:Z=A11)),1)),ISNUMBER(SEARCH("recurrent laryngeal nerve",_xlfn.TEXTJOIN("; ", TRUE, _xlfn._xlws.FILTER('Model output'!H:H, 'Model output'!Z:Z=A11)),1)),ISNUMBER(SEARCH("RLN",_xlfn.TEXTJOIN("; ", TRUE, _xlfn._xlws.FILTER('Model output'!H:H, 'Model output'!Z:Z=A11)),1)),_xlfn.TEXTJOIN("; ", TRUE, _xlfn._xlws.FILTER('Model output'!H:H, 'Model output'!Z:Z=A11))=""),"negative","positive")</f>
        <v>negative</v>
      </c>
      <c r="J11" s="17">
        <f>IF(IFERROR(INDEX('Model output'!I:I, MATCH(A11, 'Model output'!Z:Z, 0)), "") &lt; K11, "", IFERROR(INDEX('Model output'!I:I, MATCH(A11, 'Model output'!Z:Z, 0)), ""))</f>
        <v>8</v>
      </c>
      <c r="K11" s="17">
        <f>IFERROR(INDEX('Model output'!J:J, MATCH(A11, 'Model output'!Z:Z, 0)), "")</f>
        <v>4</v>
      </c>
      <c r="L11" s="18" t="str" cm="1">
        <f t="array" ref="L11">ReplaceTo(ReplaceAnd(SUBSTITUTE(SUBSTITUTE(_xlfn.TEXTJOIN("; ", TRUE, _xlfn._xlws.FILTER('Model output'!K:K, 'Model output'!Z:Z=A11)), " ", ""), ",", ";")))</f>
        <v>1.5cm</v>
      </c>
      <c r="M11" t="str" cm="1">
        <f t="array" ref="M11">IF(LEFT(IF(RIGHT(SUBSTITUTE(FilterWithUnits(L11)&amp; ";" &amp;FilterStringsWithNumericAnd(L11) &amp; ";" &amp; FilterStringsWithX(L11), ";;", ";"),1)=";",LEFT(SUBSTITUTE(FilterWithUnits(L11)&amp; ";" &amp;FilterStringsWithNumericAnd(L11) &amp; ";" &amp; FilterStringsWithX(L11), ";;", ";"),LEN(SUBSTITUTE(FilterWithUnits(L11)&amp; ";" &amp;FilterStringsWithNumericAnd(L11) &amp; ";" &amp; FilterStringsWithX(L11), ";;", ";"))-1),SUBSTITUTE(FilterWithUnits(L11)&amp; ";" &amp;FilterStringsWithNumericAnd(L11) &amp; ";" &amp; FilterStringsWithX(L11), ";;", ";")),1)=";",RIGHT(IF(RIGHT(SUBSTITUTE(FilterWithUnits(L11)&amp; ";" &amp;FilterStringsWithNumericAnd(L11) &amp; ";" &amp; FilterStringsWithX(L11), ";;", ";"),1)=";",LEFT(SUBSTITUTE(FilterWithUnits(L11)&amp; ";" &amp;FilterStringsWithNumericAnd(L11) &amp; ";" &amp; FilterStringsWithX(L11), ";;", ";"),LEN(SUBSTITUTE(FilterWithUnits(L11)&amp; ";" &amp;FilterStringsWithNumericAnd(L11) &amp; ";" &amp; FilterStringsWithX(L11), ";;", ";"))-1),SUBSTITUTE(FilterWithUnits(L11)&amp; ";" &amp;FilterStringsWithNumericAnd(L11) &amp; ";" &amp; FilterStringsWithX(L11), ";;", ";")),LEN(IF(RIGHT(SUBSTITUTE(FilterWithUnits(L11)&amp; ";" &amp;FilterStringsWithNumericAnd(L11) &amp; ";" &amp; FilterStringsWithX(L11), ";;", ";"),1)=";",LEFT(SUBSTITUTE(FilterWithUnits(L11)&amp; ";" &amp;FilterStringsWithNumericAnd(L11) &amp; ";" &amp; FilterStringsWithX(L11), ";;", ";"),LEN(SUBSTITUTE(FilterWithUnits(L11)&amp; ";" &amp;FilterStringsWithNumericAnd(L11) &amp; ";" &amp; FilterStringsWithX(L11), ";;", ";"))-1),SUBSTITUTE(FilterWithUnits(L11)&amp; ";" &amp;FilterStringsWithNumericAnd(L11) &amp; ";" &amp; FilterStringsWithX(L11), ";;", ";")))-1),IF(RIGHT(SUBSTITUTE(FilterWithUnits(L11)&amp; ";" &amp;FilterStringsWithNumericAnd(L11) &amp; ";" &amp; FilterStringsWithX(L11), ";;", ";"),1)=";",LEFT(SUBSTITUTE(FilterWithUnits(L11)&amp; ";" &amp;FilterStringsWithNumericAnd(L11) &amp; ";" &amp; FilterStringsWithX(L11), ";;", ";"),LEN(SUBSTITUTE(FilterWithUnits(L11)&amp; ";" &amp;FilterStringsWithNumericAnd(L11) &amp; ";" &amp; FilterStringsWithX(L11), ";;", ";"))-1),SUBSTITUTE(FilterWithUnits(L11)&amp; ";" &amp;FilterStringsWithNumericAnd(L11) &amp; ";" &amp; FilterStringsWithX(L11), ";;", ";")))</f>
        <v>1.5cm</v>
      </c>
      <c r="N11" cm="1">
        <f t="array" ref="N11">IF(MaxSize((SplitDimensions(M11)))=0, "", MaxSize((SplitDimensions(M11))))</f>
        <v>1.5</v>
      </c>
      <c r="O11" t="str" cm="1">
        <f t="array" ref="O11">IF(ISERROR(INDEX(_xlfn._xlws.FILTER('Model output'!L:L, ('Model output'!Z:Z=A11)*('Model output'!L:L&lt;&gt;"")), 1)), " ", LOWER(INDEX(_xlfn._xlws.FILTER('Model output'!L:L, ('Model output'!Z:Z=A11)*('Model output'!L:L&lt;&gt;"")), 1)))</f>
        <v>papillary</v>
      </c>
      <c r="P11" t="str" cm="1">
        <f t="array" ref="P11">IF(ISERROR(INDEX(_xlfn._xlws.FILTER('Model output'!M:M, ('Model output'!Z:Z=A11)*('Model output'!M:M&lt;&gt;"")), 1)), " ", LOWER(INDEX(_xlfn._xlws.FILTER('Model output'!M:M, ('Model output'!Z:Z=A11)*('Model output'!M:M&lt;&gt;"")), 1)))</f>
        <v>classic</v>
      </c>
      <c r="Q11" t="str" cm="1">
        <f t="array" ref="Q11">IF(OR(ISNUMBER(SEARCH("ly",SUBSTITUTE(INDEX(_xlfn._xlws.FILTER('Model output'!N:N,('Model output'!Z:Z=A11)*('Model output'!N:N&lt;&gt;"")),1)," ",""),1)), ISNUMBER(SEARCH("pole",SUBSTITUTE(INDEX(_xlfn._xlws.FILTER('Model output'!N:N,('Model output'!Z:Z=A11)*('Model output'!N:N&lt;&gt;"")),1)," ",""),1))),"",SUBSTITUTE(INDEX(_xlfn._xlws.FILTER('Model output'!N:N,('Model output'!Z:Z=A11)*('Model output'!N:N&lt;&gt;"")),1)," ",""))</f>
        <v>27x22x17mm</v>
      </c>
      <c r="R11" t="str" cm="1">
        <f t="array" ref="R11">IF(LEFT(IF(RIGHT(SUBSTITUTE(FilterWithUnits(Q11)&amp; ";" &amp;FilterStringsWithNumericAnd(Q11) &amp; ";" &amp; FilterStringsWithX(Q11), ";;", ";"),1)=";",LEFT(SUBSTITUTE(FilterWithUnits(Q11)&amp; ";" &amp;FilterStringsWithNumericAnd(Q11) &amp; ";" &amp; FilterStringsWithX(Q11), ";;", ";"),LEN(SUBSTITUTE(FilterWithUnits(Q11)&amp; ";" &amp;FilterStringsWithNumericAnd(Q11) &amp; ";" &amp; FilterStringsWithX(Q11), ";;", ";"))-1),SUBSTITUTE(FilterWithUnits(Q11)&amp; ";" &amp;FilterStringsWithNumericAnd(Q11) &amp; ";" &amp; FilterStringsWithX(Q11), ";;", ";")),1)=";",RIGHT(IF(RIGHT(SUBSTITUTE(FilterWithUnits(Q11)&amp; ";" &amp;FilterStringsWithNumericAnd(Q11) &amp; ";" &amp; FilterStringsWithX(Q11), ";;", ";"),1)=";",LEFT(SUBSTITUTE(FilterWithUnits(Q11)&amp; ";" &amp;FilterStringsWithNumericAnd(Q11) &amp; ";" &amp; FilterStringsWithX(Q11), ";;", ";"),LEN(SUBSTITUTE(FilterWithUnits(Q11)&amp; ";" &amp;FilterStringsWithNumericAnd(Q11) &amp; ";" &amp; FilterStringsWithX(Q11), ";;", ";"))-1),SUBSTITUTE(FilterWithUnits(Q11)&amp; ";" &amp;FilterStringsWithNumericAnd(Q11) &amp; ";" &amp; FilterStringsWithX(Q11), ";;", ";")),LEN(IF(RIGHT(SUBSTITUTE(FilterWithUnits(Q11)&amp; ";" &amp;FilterStringsWithNumericAnd(Q11) &amp; ";" &amp; FilterStringsWithX(Q11), ";;", ";"),1)=";",LEFT(SUBSTITUTE(FilterWithUnits(Q11)&amp; ";" &amp;FilterStringsWithNumericAnd(Q11) &amp; ";" &amp; FilterStringsWithX(Q11), ";;", ";"),LEN(SUBSTITUTE(FilterWithUnits(Q11)&amp; ";" &amp;FilterStringsWithNumericAnd(Q11) &amp; ";" &amp; FilterStringsWithX(Q11), ";;", ";"))-1),SUBSTITUTE(FilterWithUnits(Q11)&amp; ";" &amp;FilterStringsWithNumericAnd(Q11) &amp; ";" &amp; FilterStringsWithX(Q11), ";;", ";")))-1),IF(RIGHT(SUBSTITUTE(FilterWithUnits(Q11)&amp; ";" &amp;FilterStringsWithNumericAnd(Q11) &amp; ";" &amp; FilterStringsWithX(Q11), ";;", ";"),1)=";",LEFT(SUBSTITUTE(FilterWithUnits(Q11)&amp; ";" &amp;FilterStringsWithNumericAnd(Q11) &amp; ";" &amp; FilterStringsWithX(Q11), ";;", ";"),LEN(SUBSTITUTE(FilterWithUnits(Q11)&amp; ";" &amp;FilterStringsWithNumericAnd(Q11) &amp; ";" &amp; FilterStringsWithX(Q11), ";;", ";"))-1),SUBSTITUTE(FilterWithUnits(Q11)&amp; ";" &amp;FilterStringsWithNumericAnd(Q11) &amp; ";" &amp; FilterStringsWithX(Q11), ";;", ";")))</f>
        <v>27x22x17mm</v>
      </c>
      <c r="S11" cm="1">
        <f t="array" ref="S11">IF(MaxSize((SplitDimensions(R11)))=0, "", MaxSize((SplitDimensions(R11))))</f>
        <v>2.7</v>
      </c>
      <c r="T11" s="17" t="str" cm="1">
        <f t="array" ref="T11">IF(ISERROR(INDEX(_xlfn._xlws.FILTER('Model output'!P:P,('Model output'!Z:Z=A11)*('Model output'!P:P&lt;&gt;"")),1)),"negative",IF(OR(ISNUMBER(SEARCH("foc",INDEX(_xlfn._xlws.FILTER('Model output'!P:P,('Model output'!Z:Z=A11)*('Model output'!P:P&lt;&gt;"")),1),1)),ISNUMBER(SEARCH("extensive",INDEX(_xlfn._xlws.FILTER('Model output'!P:P,('Model output'!Z:Z=A11)*('Model output'!P:P&lt;&gt;"")),1),1)),ISNUMBER(SEARCH("present",INDEX(_xlfn._xlws.FILTER('Model output'!P:P,('Model output'!Z:Z=A11)*('Model output'!P:P&lt;&gt;"")),1),1)),ISNUMBER(SEARCH("yes",INDEX(_xlfn._xlws.FILTER('Model output'!P:P,('Model output'!Z:Z=A11)*('Model output'!P:P&lt;&gt;"")),1),1))),"positive","negative"))</f>
        <v>negative</v>
      </c>
      <c r="V11" t="str" cm="1">
        <f t="array" ref="V11">IF(ISNUMBER(SEARCH("4",INDEX(_xlfn._xlws.FILTER('Model output'!P:P,('Model output'!Z:Z=A11)*('Model output'!P:P&lt;&gt;"")),1),1)),INDEX(_xlfn._xlws.FILTER('Model output'!P:P,('Model output'!Z:Z=A11)*('Model output'!P:P&lt;&gt;"")),1),"") &amp; _xlfn.TEXTJOIN("",TRUE,_xlfn._xlws.FILTER('Model output'!Q:Q,'Model output'!Z:Z=A11))</f>
        <v/>
      </c>
      <c r="W11" t="str">
        <f t="shared" si="2"/>
        <v>no</v>
      </c>
      <c r="X11" t="str" cm="1">
        <f t="array" ref="X11">IF(OR(ISNUMBER(SEARCH("focal",_xlfn.TEXTJOIN("; ",TRUE,_xlfn._xlws.FILTER('Model output'!R:R,'Model output'!Z:Z=A11)),1)),ISNUMBER(SEARCH("present",_xlfn.TEXTJOIN("; ",TRUE,_xlfn._xlws.FILTER('Model output'!R:R,'Model output'!Z:Z=A11)),1))),"positive",IF(_xlfn.TEXTJOIN("; ",TRUE,_xlfn._xlws.FILTER('Model output'!R:R,'Model output'!Z:Z=A11))="","negative",IF(OR(ISNUMBER(SEARCH("no",_xlfn.TEXTJOIN("; ",TRUE,_xlfn._xlws.FILTER('Model output'!R:R,'Model output'!Z:Z=A11)),1)),ISNUMBER(SEARCH("absent",_xlfn.TEXTJOIN("; ",TRUE,_xlfn._xlws.FILTER('Model output'!R:R,'Model output'!Z:Z=A11)),1))),"negative","positive")))</f>
        <v>positive</v>
      </c>
      <c r="Y11" s="17" t="str">
        <f t="shared" si="3"/>
        <v>negative</v>
      </c>
      <c r="AC11" s="17" t="str">
        <f t="shared" si="4"/>
        <v>negative</v>
      </c>
      <c r="AD11" t="str" cm="1">
        <f t="array" ref="AD11">_xlfn.TEXTJOIN("; ",TRUE,_xlfn._xlws.FILTER('Model output'!S:S,'Model output'!Z:Z=A11))</f>
        <v/>
      </c>
      <c r="AE11" s="17" t="str" cm="1">
        <f t="array" ref="AE11">IF(OR(ISNUMBER(SEARCH("uninvolved",_xlfn.TEXTJOIN("; ",TRUE,_xlfn._xlws.FILTER('Model output'!V:V,'Model output'!Z:Z=A11)),1)),ISNUMBER(SEARCH("clear",_xlfn.TEXTJOIN("; ",TRUE,_xlfn._xlws.FILTER('Model output'!V:V,'Model output'!Z:Z=A11)),1))*ISNUMBER(SEARCH("not mentioned",_xlfn.TEXTJOIN("; ",TRUE,_xlfn._xlws.FILTER('Model output'!V:V,'Model output'!Z:Z=A11)),1))),"negative",IF(ISNUMBER(SEARCH("cannot be assessed",_xlfn.TEXTJOIN("; ",TRUE,_xlfn._xlws.FILTER('Model output'!V:V,'Model output'!Z:Z=A11)),1)),"unknown","negative"))</f>
        <v>negative</v>
      </c>
      <c r="AG11" s="43" t="str">
        <f>IF(OR(ISNUMBER(SEARCH("non-invasive follicular",O11,1)), ISNUMBER(SEARCH("papillary-like nuclear features",P11,1)), ISNUMBER(SEARCH("non-invasive follicular",P11,1)),ISNUMBER(SEARCH("papillary-like nuclear features",P11,1))),"NIFTP", IF(OR(I11="positive",AC11="positive",AND(OR(ISNUMBER(SEARCH("follicular", O11)),ISNUMBER(SEARCH("FTC", O11))),W11="extensive"),AND(G11="positive",ISNUMBER(N11),N11&gt;3),AI11=1),"high",IF(OR(ISNUMBER(SEARCH("positive",Y11,1)),ISNUMBER(SEARCH("tall",P11,1)),ISNUMBER(SEARCH("hobnail",P11,1)),ISNUMBER(SEARCH("cribriform",P11,1)),ISNUMBER(SEARCH("diffuse",P11,1)),ISNUMBER(SEARCH("columnar",P11,1)),ISNUMBER(SEARCH("solid",P11,1)),ISNUMBER(SEARCH("tall",O11,1)),ISNUMBER(SEARCH("hobnail",O11,1)),ISNUMBER(SEARCH("cribriform",O11,1)),ISNUMBER(SEARCH("diffuse",O11,1)),ISNUMBER(SEARCH("columnar",O11,1)),ISNUMBER(SEARCH("solid",O11,1)),AND(OR(ISNUMBER(SEARCH("papillary carcinoma",O11,1)),ISNUMBER(SEARCH("papillary microcarcinoma",O11,1))),T11="positive"),,AND(AND(ISNUMBER(K11),K11&gt;=5),N11=""),AND(AND(ISNUMBER(K11),K11&gt;=5),AND(ISNUMBER(N11),N11&gt;=1)),H11="lateral"),"intermediate","low")))</f>
        <v>low</v>
      </c>
      <c r="AH11" s="44" t="str">
        <f t="shared" si="10"/>
        <v>2</v>
      </c>
      <c r="AI11" s="56" t="str">
        <f t="shared" si="5"/>
        <v>1a</v>
      </c>
      <c r="AJ11" s="56">
        <f t="shared" si="6"/>
        <v>0</v>
      </c>
      <c r="AK11" s="57" t="str">
        <f t="shared" si="7"/>
        <v>II</v>
      </c>
      <c r="AL11" s="45" t="s">
        <v>167</v>
      </c>
      <c r="AM11" s="46" t="s">
        <v>343</v>
      </c>
      <c r="AN11" s="46" t="s">
        <v>198</v>
      </c>
      <c r="AO11" s="46">
        <v>0</v>
      </c>
      <c r="AP11" s="46" t="s">
        <v>43</v>
      </c>
      <c r="AQ11" s="10">
        <f>IF(AL11=AG11,1,0)</f>
        <v>0</v>
      </c>
      <c r="AR11" s="27">
        <f>IF(AM11=AH11,1,0)</f>
        <v>1</v>
      </c>
      <c r="AS11" s="27">
        <f t="shared" si="8"/>
        <v>1</v>
      </c>
      <c r="AT11" s="27">
        <f t="shared" si="9"/>
        <v>1</v>
      </c>
      <c r="AU11" s="29">
        <f t="shared" si="9"/>
        <v>1</v>
      </c>
    </row>
    <row r="12" spans="1:47">
      <c r="A12" s="13">
        <v>10</v>
      </c>
      <c r="B12" s="16">
        <f>_xlfn.MAXIFS('Model output'!B:B,'Model output'!Z:Z,'Classification result'!$A12)</f>
        <v>45436</v>
      </c>
      <c r="C12" s="17">
        <f>_xlfn.MAXIFS('Model output'!C:C,'Model output'!Z:Z,'Classification result'!$A12)</f>
        <v>24</v>
      </c>
      <c r="D12" s="17" t="str" cm="1">
        <f t="array" ref="D12">LEFT(IF(ISERROR(RIGHT(IF(INDEX(_xlfn._xlws.FILTER('Model output'!D:D,('Model output'!Z:Z=A12)),1)&lt;&gt;"",INDEX(_xlfn._xlws.FILTER('Model output'!D:D,('Model output'!Z:Z=A12)),1),""),LEN(IF(INDEX(_xlfn._xlws.FILTER('Model output'!D:D,('Model output'!Z:Z=A12)),1)&lt;&gt;"",INDEX(_xlfn._xlws.FILTER('Model output'!D:D,('Model output'!Z:Z=A12)),1),""))-FIND("T",IF(INDEX(_xlfn._xlws.FILTER('Model output'!D:D,('Model output'!Z:Z=A12)),1)&lt;&gt;"",INDEX(_xlfn._xlws.FILTER('Model output'!D:D,('Model output'!Z:Z=A12)),1),""),1))),"",(RIGHT(IF(INDEX(_xlfn._xlws.FILTER('Model output'!D:D,('Model output'!Z:Z=A12)),1)&lt;&gt;"",INDEX(_xlfn._xlws.FILTER('Model output'!D:D,('Model output'!Z:Z=A12)),1),""),LEN(IF(INDEX(_xlfn._xlws.FILTER('Model output'!D:D,('Model output'!Z:Z=A12)),1)&lt;&gt;"",INDEX(_xlfn._xlws.FILTER('Model output'!D:D,('Model output'!Z:Z=A12)),1),""))-FIND("T",IF(INDEX(_xlfn._xlws.FILTER('Model output'!D:D,('Model output'!Z:Z=A12)),1)&lt;&gt;"",INDEX(_xlfn._xlws.FILTER('Model output'!D:D,('Model output'!Z:Z=A12)),1)))))),2)</f>
        <v>1b</v>
      </c>
      <c r="E12" s="17" t="str" cm="1">
        <f t="array" ref="E12">IF(ISNUMBER(SEARCH("N",IF(ISNUMBER(SEARCH("present",IF(INDEX(_xlfn._xlws.FILTER('Model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output'!Z:Z=A12)),1))),1)),RIGHT(IF(ISNUMBER(SEARCH("present",IF(INDEX(_xlfn._xlws.FILTER('Model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output'!Z:Z=A12)),1))),LEN(IF(ISNUMBER(SEARCH("present",IF(INDEX(_xlfn._xlws.FILTER('Model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output'!Z:Z=A12)),1))))-FIND("N",IF(ISNUMBER(SEARCH("present",IF(INDEX(_xlfn._xlws.FILTER('Model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output'!Z:Z=A12)),1))),1)), "")</f>
        <v>1a</v>
      </c>
      <c r="F12" s="17" cm="1">
        <f t="array" ref="F12">IF(AND(SUBSTITUTE(_xlfn.TEXTJOIN("/", TRUE, _xlfn._xlws.FILTER('Model output'!F:F, 'Model output'!Z:Z=A12)),"M", "")="", I12="negative"),0,IF(I12="positive",1,0))</f>
        <v>0</v>
      </c>
      <c r="G12" t="str">
        <f t="shared" si="0"/>
        <v>positive</v>
      </c>
      <c r="H12" t="str" cm="1">
        <f t="array" ref="H12">IF(AND(K12&gt;0, _xlfn.TEXTJOIN("; ", TRUE, _xlfn._xlws.FILTER('Model output'!G:G, 'Model output'!Z:Z=A12)) &lt;&gt;"", OR(AND(ISNUMBER(SEARCH("level", _xlfn.TEXTJOIN("; ", TRUE, _xlfn._xlws.FILTER('Model output'!G:G, 'Model output'!Z:Z=A12)),1)),OR(ISNUMBER(SEARCH(" II", _xlfn.TEXTJOIN("; ", TRUE, _xlfn._xlws.FILTER('Model output'!G:G, 'Model output'!Z:Z=A12)),1)),ISNUMBER(SEARCH("2", _xlfn.TEXTJOIN("; ", TRUE, _xlfn._xlws.FILTER('Model output'!G:G, 'Model output'!Z:Z=A12)),1)),ISNUMBER(SEARCH("two", _xlfn.TEXTJOIN("; ", TRUE, _xlfn._xlws.FILTER('Model output'!G:G, 'Model output'!Z:Z=A12)),1)),ISNUMBER(SEARCH("III", _xlfn.TEXTJOIN("; ", TRUE, _xlfn._xlws.FILTER('Model output'!G:G, 'Model output'!Z:Z=A12)),1)),ISNUMBER(SEARCH("3", _xlfn.TEXTJOIN("; ", TRUE, _xlfn._xlws.FILTER('Model output'!G:G, 'Model output'!Z:Z=A12)),1)),ISNUMBER(SEARCH("three", _xlfn.TEXTJOIN("; ", TRUE, _xlfn._xlws.FILTER('Model output'!G:G, 'Model output'!Z:Z=A12)),1)),ISNUMBER(SEARCH("IV", _xlfn.TEXTJOIN("; ", TRUE, _xlfn._xlws.FILTER('Model output'!G:G, 'Model output'!Z:Z=A12)),1)),ISNUMBER(SEARCH("4", _xlfn.TEXTJOIN("; ", TRUE, _xlfn._xlws.FILTER('Model output'!G:G, 'Model output'!Z:Z=A12)),1)),ISNUMBER(SEARCH("five", _xlfn.TEXTJOIN("; ", TRUE, _xlfn._xlws.FILTER('Model output'!G:G, 'Model output'!Z:Z=A12)),1)),ISNUMBER(SEARCH("V ", _xlfn.TEXTJOIN("; ", TRUE, _xlfn._xlws.FILTER('Model output'!G:G, 'Model output'!Z:Z=A12)),1)),ISNUMBER(SEARCH("5", _xlfn.TEXTJOIN("; ", TRUE, _xlfn._xlws.FILTER('Model output'!G:G, 'Model output'!Z:Z=A12)),1)),ISNUMBER(SEARCH("five", _xlfn.TEXTJOIN("; ", TRUE, _xlfn._xlws.FILTER('Model output'!G:G, 'Model output'!Z:Z=A12)),1)),ISNUMBER(SEARCH(" lateral", _xlfn.TEXTJOIN("; ", TRUE, _xlfn._xlws.FILTER('Model output'!G:G, 'Model output'!Z:Z=A12)),1)))),ISNUMBER(SEARCH("cervical", _xlfn.TEXTJOIN("; ", TRUE, _xlfn._xlws.FILTER('Model output'!G:G, 'Model output'!Z:Z=A12)),1)),ISNUMBER(SEARCH("jugular", _xlfn.TEXTJOIN("; ", TRUE, _xlfn._xlws.FILTER('Model output'!G:G, 'Model output'!Z:Z=A12)),1)),ISNUMBER(SEARCH("left neck", _xlfn.TEXTJOIN("; ", TRUE, _xlfn._xlws.FILTER('Model output'!G:G, 'Model output'!Z:Z=A12)),1)),ISNUMBER(SEARCH("left anterior neck", _xlfn.TEXTJOIN("; ", TRUE, _xlfn._xlws.FILTER('Model output'!G:G, 'Model output'!Z:Z=A12)),1)),ISNUMBER(SEARCH("left posterior neck", _xlfn.TEXTJOIN("; ", TRUE, _xlfn._xlws.FILTER('Model output'!G:G, 'Model output'!Z:Z=A12)),1)),ISNUMBER(SEARCH("right neck", _xlfn.TEXTJOIN("; ", TRUE, _xlfn._xlws.FILTER('Model output'!G:G, 'Model output'!Z:Z=A12)),1)),ISNUMBER(SEARCH("right anterior neck", _xlfn.TEXTJOIN("; ", TRUE, _xlfn._xlws.FILTER('Model output'!G:G, 'Model output'!Z:Z=A12)),1)),ISNUMBER(SEARCH("right posterior neck", _xlfn.TEXTJOIN("; ", TRUE, _xlfn._xlws.FILTER('Model output'!G:G, 'Model output'!Z:Z=A12)),1)))),"lateral",IF(AND(K12=0, _xlfn.TEXTJOIN("; ", TRUE, _xlfn._xlws.FILTER('Model output'!G:G, 'Model output'!Z:Z=A12))=""),"", "central"))</f>
        <v>central</v>
      </c>
      <c r="I12" s="17" t="str" cm="1">
        <f t="array" ref="I12">IF(OR(ISNUMBER(SEARCH("lymph",_xlfn.TEXTJOIN("; ", TRUE, _xlfn._xlws.FILTER('Model output'!H:H, 'Model output'!Z:Z=A12)),1)), ISNUMBER(SEARCH("Not mentioned",_xlfn.TEXTJOIN("; ", TRUE, _xlfn._xlws.FILTER('Model output'!H:H, 'Model output'!Z:Z=A12)),1)),ISNUMBER(SEARCH("subcutaneous soft tissues",_xlfn.TEXTJOIN("; ", TRUE, _xlfn._xlws.FILTER('Model output'!H:H, 'Model output'!Z:Z=A12)),1)),ISNUMBER(SEARCH("larynx",_xlfn.TEXTJOIN("; ", TRUE, _xlfn._xlws.FILTER('Model output'!H:H, 'Model output'!Z:Z=A12)),1)),ISNUMBER(SEARCH("trachea",_xlfn.TEXTJOIN("; ", TRUE, _xlfn._xlws.FILTER('Model output'!H:H, 'Model output'!Z:Z=A12)),1)),ISNUMBER(SEARCH("esophagus",_xlfn.TEXTJOIN("; ", TRUE, _xlfn._xlws.FILTER('Model output'!H:H, 'Model output'!Z:Z=A12)),1)),ISNUMBER(SEARCH("recurrent laryngeal nerve",_xlfn.TEXTJOIN("; ", TRUE, _xlfn._xlws.FILTER('Model output'!H:H, 'Model output'!Z:Z=A12)),1)),ISNUMBER(SEARCH("RLN",_xlfn.TEXTJOIN("; ", TRUE, _xlfn._xlws.FILTER('Model output'!H:H, 'Model output'!Z:Z=A12)),1)),_xlfn.TEXTJOIN("; ", TRUE, _xlfn._xlws.FILTER('Model output'!H:H, 'Model output'!Z:Z=A12))=""),"negative","positive")</f>
        <v>negative</v>
      </c>
      <c r="J12" s="17">
        <f>IF(IFERROR(INDEX('Model output'!I:I, MATCH(A12, 'Model output'!Z:Z, 0)), "") &lt; K12, "", IFERROR(INDEX('Model output'!I:I, MATCH(A12, 'Model output'!Z:Z, 0)), ""))</f>
        <v>1</v>
      </c>
      <c r="K12" s="17">
        <f>IFERROR(INDEX('Model output'!J:J, MATCH(A12, 'Model output'!Z:Z, 0)), "")</f>
        <v>1</v>
      </c>
      <c r="L12" s="18" t="str" cm="1">
        <f t="array" ref="L12">ReplaceTo(ReplaceAnd(SUBSTITUTE(SUBSTITUTE(_xlfn.TEXTJOIN("; ", TRUE, _xlfn._xlws.FILTER('Model output'!K:K, 'Model output'!Z:Z=A12)), " ", ""), ",", ";")))</f>
        <v/>
      </c>
      <c r="M12" t="str" cm="1">
        <f t="array" ref="M12">IF(LEFT(IF(RIGHT(SUBSTITUTE(FilterWithUnits(L12)&amp; ";" &amp;FilterStringsWithNumericAnd(L12) &amp; ";" &amp; FilterStringsWithX(L12), ";;", ";"),1)=";",LEFT(SUBSTITUTE(FilterWithUnits(L12)&amp; ";" &amp;FilterStringsWithNumericAnd(L12) &amp; ";" &amp; FilterStringsWithX(L12), ";;", ";"),LEN(SUBSTITUTE(FilterWithUnits(L12)&amp; ";" &amp;FilterStringsWithNumericAnd(L12) &amp; ";" &amp; FilterStringsWithX(L12), ";;", ";"))-1),SUBSTITUTE(FilterWithUnits(L12)&amp; ";" &amp;FilterStringsWithNumericAnd(L12) &amp; ";" &amp; FilterStringsWithX(L12), ";;", ";")),1)=";",RIGHT(IF(RIGHT(SUBSTITUTE(FilterWithUnits(L12)&amp; ";" &amp;FilterStringsWithNumericAnd(L12) &amp; ";" &amp; FilterStringsWithX(L12), ";;", ";"),1)=";",LEFT(SUBSTITUTE(FilterWithUnits(L12)&amp; ";" &amp;FilterStringsWithNumericAnd(L12) &amp; ";" &amp; FilterStringsWithX(L12), ";;", ";"),LEN(SUBSTITUTE(FilterWithUnits(L12)&amp; ";" &amp;FilterStringsWithNumericAnd(L12) &amp; ";" &amp; FilterStringsWithX(L12), ";;", ";"))-1),SUBSTITUTE(FilterWithUnits(L12)&amp; ";" &amp;FilterStringsWithNumericAnd(L12) &amp; ";" &amp; FilterStringsWithX(L12), ";;", ";")),LEN(IF(RIGHT(SUBSTITUTE(FilterWithUnits(L12)&amp; ";" &amp;FilterStringsWithNumericAnd(L12) &amp; ";" &amp; FilterStringsWithX(L12), ";;", ";"),1)=";",LEFT(SUBSTITUTE(FilterWithUnits(L12)&amp; ";" &amp;FilterStringsWithNumericAnd(L12) &amp; ";" &amp; FilterStringsWithX(L12), ";;", ";"),LEN(SUBSTITUTE(FilterWithUnits(L12)&amp; ";" &amp;FilterStringsWithNumericAnd(L12) &amp; ";" &amp; FilterStringsWithX(L12), ";;", ";"))-1),SUBSTITUTE(FilterWithUnits(L12)&amp; ";" &amp;FilterStringsWithNumericAnd(L12) &amp; ";" &amp; FilterStringsWithX(L12), ";;", ";")))-1),IF(RIGHT(SUBSTITUTE(FilterWithUnits(L12)&amp; ";" &amp;FilterStringsWithNumericAnd(L12) &amp; ";" &amp; FilterStringsWithX(L12), ";;", ";"),1)=";",LEFT(SUBSTITUTE(FilterWithUnits(L12)&amp; ";" &amp;FilterStringsWithNumericAnd(L12) &amp; ";" &amp; FilterStringsWithX(L12), ";;", ";"),LEN(SUBSTITUTE(FilterWithUnits(L12)&amp; ";" &amp;FilterStringsWithNumericAnd(L12) &amp; ";" &amp; FilterStringsWithX(L12), ";;", ";"))-1),SUBSTITUTE(FilterWithUnits(L12)&amp; ";" &amp;FilterStringsWithNumericAnd(L12) &amp; ";" &amp; FilterStringsWithX(L12), ";;", ";")))</f>
        <v/>
      </c>
      <c r="N12" t="str" cm="1">
        <f t="array" ref="N12">IF(MaxSize((SplitDimensions(M12)))=0, "", MaxSize((SplitDimensions(M12))))</f>
        <v/>
      </c>
      <c r="O12" t="str" cm="1">
        <f t="array" ref="O12">IF(ISERROR(INDEX(_xlfn._xlws.FILTER('Model output'!L:L, ('Model output'!Z:Z=A12)*('Model output'!L:L&lt;&gt;"")), 1)), " ", LOWER(INDEX(_xlfn._xlws.FILTER('Model output'!L:L, ('Model output'!Z:Z=A12)*('Model output'!L:L&lt;&gt;"")), 1)))</f>
        <v>papillary</v>
      </c>
      <c r="P12" t="str" cm="1">
        <f t="array" ref="P12">IF(ISERROR(INDEX(_xlfn._xlws.FILTER('Model output'!M:M, ('Model output'!Z:Z=A12)*('Model output'!M:M&lt;&gt;"")), 1)), " ", LOWER(INDEX(_xlfn._xlws.FILTER('Model output'!M:M, ('Model output'!Z:Z=A12)*('Model output'!M:M&lt;&gt;"")), 1)))</f>
        <v>classic</v>
      </c>
      <c r="Q12" t="str" cm="1">
        <f t="array" ref="Q12">IF(OR(ISNUMBER(SEARCH("ly",SUBSTITUTE(INDEX(_xlfn._xlws.FILTER('Model output'!N:N,('Model output'!Z:Z=A12)*('Model output'!N:N&lt;&gt;"")),1)," ",""),1)), ISNUMBER(SEARCH("pole",SUBSTITUTE(INDEX(_xlfn._xlws.FILTER('Model output'!N:N,('Model output'!Z:Z=A12)*('Model output'!N:N&lt;&gt;"")),1)," ",""),1))),"",SUBSTITUTE(INDEX(_xlfn._xlws.FILTER('Model output'!N:N,('Model output'!Z:Z=A12)*('Model output'!N:N&lt;&gt;"")),1)," ",""))</f>
        <v>16mm</v>
      </c>
      <c r="R12" t="str" cm="1">
        <f t="array" ref="R12">IF(LEFT(IF(RIGHT(SUBSTITUTE(FilterWithUnits(Q12)&amp; ";" &amp;FilterStringsWithNumericAnd(Q12) &amp; ";" &amp; FilterStringsWithX(Q12), ";;", ";"),1)=";",LEFT(SUBSTITUTE(FilterWithUnits(Q12)&amp; ";" &amp;FilterStringsWithNumericAnd(Q12) &amp; ";" &amp; FilterStringsWithX(Q12), ";;", ";"),LEN(SUBSTITUTE(FilterWithUnits(Q12)&amp; ";" &amp;FilterStringsWithNumericAnd(Q12) &amp; ";" &amp; FilterStringsWithX(Q12), ";;", ";"))-1),SUBSTITUTE(FilterWithUnits(Q12)&amp; ";" &amp;FilterStringsWithNumericAnd(Q12) &amp; ";" &amp; FilterStringsWithX(Q12), ";;", ";")),1)=";",RIGHT(IF(RIGHT(SUBSTITUTE(FilterWithUnits(Q12)&amp; ";" &amp;FilterStringsWithNumericAnd(Q12) &amp; ";" &amp; FilterStringsWithX(Q12), ";;", ";"),1)=";",LEFT(SUBSTITUTE(FilterWithUnits(Q12)&amp; ";" &amp;FilterStringsWithNumericAnd(Q12) &amp; ";" &amp; FilterStringsWithX(Q12), ";;", ";"),LEN(SUBSTITUTE(FilterWithUnits(Q12)&amp; ";" &amp;FilterStringsWithNumericAnd(Q12) &amp; ";" &amp; FilterStringsWithX(Q12), ";;", ";"))-1),SUBSTITUTE(FilterWithUnits(Q12)&amp; ";" &amp;FilterStringsWithNumericAnd(Q12) &amp; ";" &amp; FilterStringsWithX(Q12), ";;", ";")),LEN(IF(RIGHT(SUBSTITUTE(FilterWithUnits(Q12)&amp; ";" &amp;FilterStringsWithNumericAnd(Q12) &amp; ";" &amp; FilterStringsWithX(Q12), ";;", ";"),1)=";",LEFT(SUBSTITUTE(FilterWithUnits(Q12)&amp; ";" &amp;FilterStringsWithNumericAnd(Q12) &amp; ";" &amp; FilterStringsWithX(Q12), ";;", ";"),LEN(SUBSTITUTE(FilterWithUnits(Q12)&amp; ";" &amp;FilterStringsWithNumericAnd(Q12) &amp; ";" &amp; FilterStringsWithX(Q12), ";;", ";"))-1),SUBSTITUTE(FilterWithUnits(Q12)&amp; ";" &amp;FilterStringsWithNumericAnd(Q12) &amp; ";" &amp; FilterStringsWithX(Q12), ";;", ";")))-1),IF(RIGHT(SUBSTITUTE(FilterWithUnits(Q12)&amp; ";" &amp;FilterStringsWithNumericAnd(Q12) &amp; ";" &amp; FilterStringsWithX(Q12), ";;", ";"),1)=";",LEFT(SUBSTITUTE(FilterWithUnits(Q12)&amp; ";" &amp;FilterStringsWithNumericAnd(Q12) &amp; ";" &amp; FilterStringsWithX(Q12), ";;", ";"),LEN(SUBSTITUTE(FilterWithUnits(Q12)&amp; ";" &amp;FilterStringsWithNumericAnd(Q12) &amp; ";" &amp; FilterStringsWithX(Q12), ";;", ";"))-1),SUBSTITUTE(FilterWithUnits(Q12)&amp; ";" &amp;FilterStringsWithNumericAnd(Q12) &amp; ";" &amp; FilterStringsWithX(Q12), ";;", ";")))</f>
        <v>16mm</v>
      </c>
      <c r="S12" cm="1">
        <f t="array" ref="S12">IF(MaxSize((SplitDimensions(R12)))=0, "", MaxSize((SplitDimensions(R12))))</f>
        <v>1.6</v>
      </c>
      <c r="T12" s="17" t="str" cm="1">
        <f t="array" ref="T12">IF(ISERROR(INDEX(_xlfn._xlws.FILTER('Model output'!P:P,('Model output'!Z:Z=A12)*('Model output'!P:P&lt;&gt;"")),1)),"negative",IF(OR(ISNUMBER(SEARCH("foc",INDEX(_xlfn._xlws.FILTER('Model output'!P:P,('Model output'!Z:Z=A12)*('Model output'!P:P&lt;&gt;"")),1),1)),ISNUMBER(SEARCH("extensive",INDEX(_xlfn._xlws.FILTER('Model output'!P:P,('Model output'!Z:Z=A12)*('Model output'!P:P&lt;&gt;"")),1),1)),ISNUMBER(SEARCH("present",INDEX(_xlfn._xlws.FILTER('Model output'!P:P,('Model output'!Z:Z=A12)*('Model output'!P:P&lt;&gt;"")),1),1)),ISNUMBER(SEARCH("yes",INDEX(_xlfn._xlws.FILTER('Model output'!P:P,('Model output'!Z:Z=A12)*('Model output'!P:P&lt;&gt;"")),1),1))),"positive","negative"))</f>
        <v>negative</v>
      </c>
      <c r="V12" t="str" cm="1">
        <f t="array" ref="V12">IF(ISNUMBER(SEARCH("4",INDEX(_xlfn._xlws.FILTER('Model output'!P:P,('Model output'!Z:Z=A12)*('Model output'!P:P&lt;&gt;"")),1),1)),INDEX(_xlfn._xlws.FILTER('Model output'!P:P,('Model output'!Z:Z=A12)*('Model output'!P:P&lt;&gt;"")),1),"") &amp; _xlfn.TEXTJOIN("",TRUE,_xlfn._xlws.FILTER('Model output'!Q:Q,'Model output'!Z:Z=A12))</f>
        <v/>
      </c>
      <c r="W12" t="str">
        <f t="shared" si="2"/>
        <v>no</v>
      </c>
      <c r="X12" t="str" cm="1">
        <f t="array" ref="X12">IF(OR(ISNUMBER(SEARCH("focal",_xlfn.TEXTJOIN("; ",TRUE,_xlfn._xlws.FILTER('Model output'!R:R,'Model output'!Z:Z=A12)),1)),ISNUMBER(SEARCH("present",_xlfn.TEXTJOIN("; ",TRUE,_xlfn._xlws.FILTER('Model output'!R:R,'Model output'!Z:Z=A12)),1))),"positive",IF(_xlfn.TEXTJOIN("; ",TRUE,_xlfn._xlws.FILTER('Model output'!R:R,'Model output'!Z:Z=A12))="","negative",IF(OR(ISNUMBER(SEARCH("no",_xlfn.TEXTJOIN("; ",TRUE,_xlfn._xlws.FILTER('Model output'!R:R,'Model output'!Z:Z=A12)),1)),ISNUMBER(SEARCH("absent",_xlfn.TEXTJOIN("; ",TRUE,_xlfn._xlws.FILTER('Model output'!R:R,'Model output'!Z:Z=A12)),1))),"negative","positive")))</f>
        <v>negative</v>
      </c>
      <c r="Y12" s="17" t="str">
        <f t="shared" si="3"/>
        <v>negative</v>
      </c>
      <c r="AC12" s="17" t="str">
        <f t="shared" si="4"/>
        <v>negative</v>
      </c>
      <c r="AD12" t="str" cm="1">
        <f t="array" ref="AD12">_xlfn.TEXTJOIN("; ",TRUE,_xlfn._xlws.FILTER('Model output'!S:S,'Model output'!Z:Z=A12))</f>
        <v/>
      </c>
      <c r="AE12" s="17" t="str" cm="1">
        <f t="array" ref="AE12">IF(OR(ISNUMBER(SEARCH("uninvolved",_xlfn.TEXTJOIN("; ",TRUE,_xlfn._xlws.FILTER('Model output'!V:V,'Model output'!Z:Z=A12)),1)),ISNUMBER(SEARCH("clear",_xlfn.TEXTJOIN("; ",TRUE,_xlfn._xlws.FILTER('Model output'!V:V,'Model output'!Z:Z=A12)),1))*ISNUMBER(SEARCH("not mentioned",_xlfn.TEXTJOIN("; ",TRUE,_xlfn._xlws.FILTER('Model output'!V:V,'Model output'!Z:Z=A12)),1))),"negative",IF(ISNUMBER(SEARCH("cannot be assessed",_xlfn.TEXTJOIN("; ",TRUE,_xlfn._xlws.FILTER('Model output'!V:V,'Model output'!Z:Z=A12)),1)),"unknown","negative"))</f>
        <v>negative</v>
      </c>
      <c r="AG12" s="43" t="str">
        <f>IF(OR(ISNUMBER(SEARCH("non-invasive follicular",O12,1)), ISNUMBER(SEARCH("papillary-like nuclear features",P12,1)), ISNUMBER(SEARCH("non-invasive follicular",P12,1)),ISNUMBER(SEARCH("papillary-like nuclear features",P12,1))),"NIFTP", IF(OR(I12="positive",AC12="positive",AND(OR(ISNUMBER(SEARCH("follicular", O12)),ISNUMBER(SEARCH("FTC", O12))),W12="extensive"),AND(G12="positive",ISNUMBER(N12),N12&gt;3),AI12=1),"high",IF(OR(ISNUMBER(SEARCH("positive",Y12,1)),ISNUMBER(SEARCH("tall",P12,1)),ISNUMBER(SEARCH("hobnail",P12,1)),ISNUMBER(SEARCH("cribriform",P12,1)),ISNUMBER(SEARCH("diffuse",P12,1)),ISNUMBER(SEARCH("columnar",P12,1)),ISNUMBER(SEARCH("solid",P12,1)),ISNUMBER(SEARCH("tall",O12,1)),ISNUMBER(SEARCH("hobnail",O12,1)),ISNUMBER(SEARCH("cribriform",O12,1)),ISNUMBER(SEARCH("diffuse",O12,1)),ISNUMBER(SEARCH("columnar",O12,1)),ISNUMBER(SEARCH("solid",O12,1)),AND(OR(ISNUMBER(SEARCH("papillary carcinoma",O12,1)),ISNUMBER(SEARCH("papillary microcarcinoma",O12,1))),T12="positive"),,AND(AND(ISNUMBER(K12),K12&gt;=5),N12=""),AND(AND(ISNUMBER(K12),K12&gt;=5),AND(ISNUMBER(N12),N12&gt;=1)),H12="lateral"),"intermediate","low")))</f>
        <v>low</v>
      </c>
      <c r="AH12" s="44" t="str">
        <f t="shared" si="10"/>
        <v>1b</v>
      </c>
      <c r="AI12" s="56" t="str">
        <f t="shared" si="5"/>
        <v>1a</v>
      </c>
      <c r="AJ12" s="56">
        <f t="shared" si="6"/>
        <v>0</v>
      </c>
      <c r="AK12" s="57" t="str">
        <f t="shared" si="7"/>
        <v>I</v>
      </c>
      <c r="AL12" s="45" t="s">
        <v>169</v>
      </c>
      <c r="AM12" s="46" t="s">
        <v>196</v>
      </c>
      <c r="AN12" s="46" t="s">
        <v>198</v>
      </c>
      <c r="AO12" s="46">
        <v>0</v>
      </c>
      <c r="AP12" s="46" t="s">
        <v>31</v>
      </c>
      <c r="AQ12" s="10">
        <f>IF(AL12=AG12,1,0)</f>
        <v>1</v>
      </c>
      <c r="AR12" s="27">
        <f>IF(AM12=AH12,1,0)</f>
        <v>1</v>
      </c>
      <c r="AS12" s="27">
        <f t="shared" si="8"/>
        <v>1</v>
      </c>
      <c r="AT12" s="27">
        <f t="shared" si="9"/>
        <v>1</v>
      </c>
      <c r="AU12" s="29">
        <f t="shared" si="9"/>
        <v>1</v>
      </c>
    </row>
    <row r="13" spans="1:47">
      <c r="A13" s="13">
        <v>11</v>
      </c>
      <c r="B13" s="16">
        <f>_xlfn.MAXIFS('Model output'!B:B,'Model output'!Z:Z,'Classification result'!$A13)</f>
        <v>45443</v>
      </c>
      <c r="C13" s="17">
        <f>_xlfn.MAXIFS('Model output'!C:C,'Model output'!Z:Z,'Classification result'!$A13)</f>
        <v>70</v>
      </c>
      <c r="D13" s="17" t="str" cm="1">
        <f t="array" ref="D13">LEFT(IF(ISERROR(RIGHT(IF(INDEX(_xlfn._xlws.FILTER('Model output'!D:D,('Model output'!Z:Z=A13)),1)&lt;&gt;"",INDEX(_xlfn._xlws.FILTER('Model output'!D:D,('Model output'!Z:Z=A13)),1),""),LEN(IF(INDEX(_xlfn._xlws.FILTER('Model output'!D:D,('Model output'!Z:Z=A13)),1)&lt;&gt;"",INDEX(_xlfn._xlws.FILTER('Model output'!D:D,('Model output'!Z:Z=A13)),1),""))-FIND("T",IF(INDEX(_xlfn._xlws.FILTER('Model output'!D:D,('Model output'!Z:Z=A13)),1)&lt;&gt;"",INDEX(_xlfn._xlws.FILTER('Model output'!D:D,('Model output'!Z:Z=A13)),1),""),1))),"",(RIGHT(IF(INDEX(_xlfn._xlws.FILTER('Model output'!D:D,('Model output'!Z:Z=A13)),1)&lt;&gt;"",INDEX(_xlfn._xlws.FILTER('Model output'!D:D,('Model output'!Z:Z=A13)),1),""),LEN(IF(INDEX(_xlfn._xlws.FILTER('Model output'!D:D,('Model output'!Z:Z=A13)),1)&lt;&gt;"",INDEX(_xlfn._xlws.FILTER('Model output'!D:D,('Model output'!Z:Z=A13)),1),""))-FIND("T",IF(INDEX(_xlfn._xlws.FILTER('Model output'!D:D,('Model output'!Z:Z=A13)),1)&lt;&gt;"",INDEX(_xlfn._xlws.FILTER('Model output'!D:D,('Model output'!Z:Z=A13)),1)))))),2)</f>
        <v>3a</v>
      </c>
      <c r="E13" s="17" t="str" cm="1">
        <f t="array" ref="E13">IF(ISNUMBER(SEARCH("N",IF(ISNUMBER(SEARCH("present",IF(INDEX(_xlfn._xlws.FILTER('Model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output'!Z:Z=A13)),1))),1)),RIGHT(IF(ISNUMBER(SEARCH("present",IF(INDEX(_xlfn._xlws.FILTER('Model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output'!Z:Z=A13)),1))),LEN(IF(ISNUMBER(SEARCH("present",IF(INDEX(_xlfn._xlws.FILTER('Model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output'!Z:Z=A13)),1))))-FIND("N",IF(ISNUMBER(SEARCH("present",IF(INDEX(_xlfn._xlws.FILTER('Model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output'!Z:Z=A13)),1))),1)), "")</f>
        <v/>
      </c>
      <c r="F13" s="17" cm="1">
        <f t="array" ref="F13">IF(AND(SUBSTITUTE(_xlfn.TEXTJOIN("/", TRUE, _xlfn._xlws.FILTER('Model output'!F:F, 'Model output'!Z:Z=A13)),"M", "")="", I13="negative"),0,IF(I13="positive",1,0))</f>
        <v>0</v>
      </c>
      <c r="G13" t="str">
        <f t="shared" si="0"/>
        <v/>
      </c>
      <c r="H13" t="str" cm="1">
        <f t="array" ref="H13">IF(AND(K13&gt;0, _xlfn.TEXTJOIN("; ", TRUE, _xlfn._xlws.FILTER('Model output'!G:G, 'Model output'!Z:Z=A13)) &lt;&gt;"", OR(AND(ISNUMBER(SEARCH("level", _xlfn.TEXTJOIN("; ", TRUE, _xlfn._xlws.FILTER('Model output'!G:G, 'Model output'!Z:Z=A13)),1)),OR(ISNUMBER(SEARCH(" II", _xlfn.TEXTJOIN("; ", TRUE, _xlfn._xlws.FILTER('Model output'!G:G, 'Model output'!Z:Z=A13)),1)),ISNUMBER(SEARCH("2", _xlfn.TEXTJOIN("; ", TRUE, _xlfn._xlws.FILTER('Model output'!G:G, 'Model output'!Z:Z=A13)),1)),ISNUMBER(SEARCH("two", _xlfn.TEXTJOIN("; ", TRUE, _xlfn._xlws.FILTER('Model output'!G:G, 'Model output'!Z:Z=A13)),1)),ISNUMBER(SEARCH("III", _xlfn.TEXTJOIN("; ", TRUE, _xlfn._xlws.FILTER('Model output'!G:G, 'Model output'!Z:Z=A13)),1)),ISNUMBER(SEARCH("3", _xlfn.TEXTJOIN("; ", TRUE, _xlfn._xlws.FILTER('Model output'!G:G, 'Model output'!Z:Z=A13)),1)),ISNUMBER(SEARCH("three", _xlfn.TEXTJOIN("; ", TRUE, _xlfn._xlws.FILTER('Model output'!G:G, 'Model output'!Z:Z=A13)),1)),ISNUMBER(SEARCH("IV", _xlfn.TEXTJOIN("; ", TRUE, _xlfn._xlws.FILTER('Model output'!G:G, 'Model output'!Z:Z=A13)),1)),ISNUMBER(SEARCH("4", _xlfn.TEXTJOIN("; ", TRUE, _xlfn._xlws.FILTER('Model output'!G:G, 'Model output'!Z:Z=A13)),1)),ISNUMBER(SEARCH("five", _xlfn.TEXTJOIN("; ", TRUE, _xlfn._xlws.FILTER('Model output'!G:G, 'Model output'!Z:Z=A13)),1)),ISNUMBER(SEARCH("V ", _xlfn.TEXTJOIN("; ", TRUE, _xlfn._xlws.FILTER('Model output'!G:G, 'Model output'!Z:Z=A13)),1)),ISNUMBER(SEARCH("5", _xlfn.TEXTJOIN("; ", TRUE, _xlfn._xlws.FILTER('Model output'!G:G, 'Model output'!Z:Z=A13)),1)),ISNUMBER(SEARCH("five", _xlfn.TEXTJOIN("; ", TRUE, _xlfn._xlws.FILTER('Model output'!G:G, 'Model output'!Z:Z=A13)),1)),ISNUMBER(SEARCH(" lateral", _xlfn.TEXTJOIN("; ", TRUE, _xlfn._xlws.FILTER('Model output'!G:G, 'Model output'!Z:Z=A13)),1)))),ISNUMBER(SEARCH("cervical", _xlfn.TEXTJOIN("; ", TRUE, _xlfn._xlws.FILTER('Model output'!G:G, 'Model output'!Z:Z=A13)),1)),ISNUMBER(SEARCH("jugular", _xlfn.TEXTJOIN("; ", TRUE, _xlfn._xlws.FILTER('Model output'!G:G, 'Model output'!Z:Z=A13)),1)),ISNUMBER(SEARCH("left neck", _xlfn.TEXTJOIN("; ", TRUE, _xlfn._xlws.FILTER('Model output'!G:G, 'Model output'!Z:Z=A13)),1)),ISNUMBER(SEARCH("left anterior neck", _xlfn.TEXTJOIN("; ", TRUE, _xlfn._xlws.FILTER('Model output'!G:G, 'Model output'!Z:Z=A13)),1)),ISNUMBER(SEARCH("left posterior neck", _xlfn.TEXTJOIN("; ", TRUE, _xlfn._xlws.FILTER('Model output'!G:G, 'Model output'!Z:Z=A13)),1)),ISNUMBER(SEARCH("right neck", _xlfn.TEXTJOIN("; ", TRUE, _xlfn._xlws.FILTER('Model output'!G:G, 'Model output'!Z:Z=A13)),1)),ISNUMBER(SEARCH("right anterior neck", _xlfn.TEXTJOIN("; ", TRUE, _xlfn._xlws.FILTER('Model output'!G:G, 'Model output'!Z:Z=A13)),1)),ISNUMBER(SEARCH("right posterior neck", _xlfn.TEXTJOIN("; ", TRUE, _xlfn._xlws.FILTER('Model output'!G:G, 'Model output'!Z:Z=A13)),1)))),"lateral",IF(AND(K13=0, _xlfn.TEXTJOIN("; ", TRUE, _xlfn._xlws.FILTER('Model output'!G:G, 'Model output'!Z:Z=A13))=""),"", "central"))</f>
        <v/>
      </c>
      <c r="I13" s="17" t="str" cm="1">
        <f t="array" ref="I13">IF(OR(ISNUMBER(SEARCH("lymph",_xlfn.TEXTJOIN("; ", TRUE, _xlfn._xlws.FILTER('Model output'!H:H, 'Model output'!Z:Z=A13)),1)), ISNUMBER(SEARCH("Not mentioned",_xlfn.TEXTJOIN("; ", TRUE, _xlfn._xlws.FILTER('Model output'!H:H, 'Model output'!Z:Z=A13)),1)),ISNUMBER(SEARCH("subcutaneous soft tissues",_xlfn.TEXTJOIN("; ", TRUE, _xlfn._xlws.FILTER('Model output'!H:H, 'Model output'!Z:Z=A13)),1)),ISNUMBER(SEARCH("larynx",_xlfn.TEXTJOIN("; ", TRUE, _xlfn._xlws.FILTER('Model output'!H:H, 'Model output'!Z:Z=A13)),1)),ISNUMBER(SEARCH("trachea",_xlfn.TEXTJOIN("; ", TRUE, _xlfn._xlws.FILTER('Model output'!H:H, 'Model output'!Z:Z=A13)),1)),ISNUMBER(SEARCH("esophagus",_xlfn.TEXTJOIN("; ", TRUE, _xlfn._xlws.FILTER('Model output'!H:H, 'Model output'!Z:Z=A13)),1)),ISNUMBER(SEARCH("recurrent laryngeal nerve",_xlfn.TEXTJOIN("; ", TRUE, _xlfn._xlws.FILTER('Model output'!H:H, 'Model output'!Z:Z=A13)),1)),ISNUMBER(SEARCH("RLN",_xlfn.TEXTJOIN("; ", TRUE, _xlfn._xlws.FILTER('Model output'!H:H, 'Model output'!Z:Z=A13)),1)),_xlfn.TEXTJOIN("; ", TRUE, _xlfn._xlws.FILTER('Model output'!H:H, 'Model output'!Z:Z=A13))=""),"negative","positive")</f>
        <v>negative</v>
      </c>
      <c r="J13" s="17">
        <f>IF(IFERROR(INDEX('Model output'!I:I, MATCH(A13, 'Model output'!Z:Z, 0)), "") &lt; K13, "", IFERROR(INDEX('Model output'!I:I, MATCH(A13, 'Model output'!Z:Z, 0)), ""))</f>
        <v>0</v>
      </c>
      <c r="K13" s="17">
        <f>IFERROR(INDEX('Model output'!J:J, MATCH(A13, 'Model output'!Z:Z, 0)), "")</f>
        <v>0</v>
      </c>
      <c r="L13" s="18" t="str" cm="1">
        <f t="array" ref="L13">ReplaceTo(ReplaceAnd(SUBSTITUTE(SUBSTITUTE(_xlfn.TEXTJOIN("; ", TRUE, _xlfn._xlws.FILTER('Model output'!K:K, 'Model output'!Z:Z=A13)), " ", ""), ",", ";")))</f>
        <v/>
      </c>
      <c r="M13" t="str" cm="1">
        <f t="array" ref="M13">IF(LEFT(IF(RIGHT(SUBSTITUTE(FilterWithUnits(L13)&amp; ";" &amp;FilterStringsWithNumericAnd(L13) &amp; ";" &amp; FilterStringsWithX(L13), ";;", ";"),1)=";",LEFT(SUBSTITUTE(FilterWithUnits(L13)&amp; ";" &amp;FilterStringsWithNumericAnd(L13) &amp; ";" &amp; FilterStringsWithX(L13), ";;", ";"),LEN(SUBSTITUTE(FilterWithUnits(L13)&amp; ";" &amp;FilterStringsWithNumericAnd(L13) &amp; ";" &amp; FilterStringsWithX(L13), ";;", ";"))-1),SUBSTITUTE(FilterWithUnits(L13)&amp; ";" &amp;FilterStringsWithNumericAnd(L13) &amp; ";" &amp; FilterStringsWithX(L13), ";;", ";")),1)=";",RIGHT(IF(RIGHT(SUBSTITUTE(FilterWithUnits(L13)&amp; ";" &amp;FilterStringsWithNumericAnd(L13) &amp; ";" &amp; FilterStringsWithX(L13), ";;", ";"),1)=";",LEFT(SUBSTITUTE(FilterWithUnits(L13)&amp; ";" &amp;FilterStringsWithNumericAnd(L13) &amp; ";" &amp; FilterStringsWithX(L13), ";;", ";"),LEN(SUBSTITUTE(FilterWithUnits(L13)&amp; ";" &amp;FilterStringsWithNumericAnd(L13) &amp; ";" &amp; FilterStringsWithX(L13), ";;", ";"))-1),SUBSTITUTE(FilterWithUnits(L13)&amp; ";" &amp;FilterStringsWithNumericAnd(L13) &amp; ";" &amp; FilterStringsWithX(L13), ";;", ";")),LEN(IF(RIGHT(SUBSTITUTE(FilterWithUnits(L13)&amp; ";" &amp;FilterStringsWithNumericAnd(L13) &amp; ";" &amp; FilterStringsWithX(L13), ";;", ";"),1)=";",LEFT(SUBSTITUTE(FilterWithUnits(L13)&amp; ";" &amp;FilterStringsWithNumericAnd(L13) &amp; ";" &amp; FilterStringsWithX(L13), ";;", ";"),LEN(SUBSTITUTE(FilterWithUnits(L13)&amp; ";" &amp;FilterStringsWithNumericAnd(L13) &amp; ";" &amp; FilterStringsWithX(L13), ";;", ";"))-1),SUBSTITUTE(FilterWithUnits(L13)&amp; ";" &amp;FilterStringsWithNumericAnd(L13) &amp; ";" &amp; FilterStringsWithX(L13), ";;", ";")))-1),IF(RIGHT(SUBSTITUTE(FilterWithUnits(L13)&amp; ";" &amp;FilterStringsWithNumericAnd(L13) &amp; ";" &amp; FilterStringsWithX(L13), ";;", ";"),1)=";",LEFT(SUBSTITUTE(FilterWithUnits(L13)&amp; ";" &amp;FilterStringsWithNumericAnd(L13) &amp; ";" &amp; FilterStringsWithX(L13), ";;", ";"),LEN(SUBSTITUTE(FilterWithUnits(L13)&amp; ";" &amp;FilterStringsWithNumericAnd(L13) &amp; ";" &amp; FilterStringsWithX(L13), ";;", ";"))-1),SUBSTITUTE(FilterWithUnits(L13)&amp; ";" &amp;FilterStringsWithNumericAnd(L13) &amp; ";" &amp; FilterStringsWithX(L13), ";;", ";")))</f>
        <v/>
      </c>
      <c r="N13" t="str" cm="1">
        <f t="array" ref="N13">IF(MaxSize((SplitDimensions(M13)))=0, "", MaxSize((SplitDimensions(M13))))</f>
        <v/>
      </c>
      <c r="O13" t="str" cm="1">
        <f t="array" ref="O13">IF(ISERROR(INDEX(_xlfn._xlws.FILTER('Model output'!L:L, ('Model output'!Z:Z=A13)*('Model output'!L:L&lt;&gt;"")), 1)), " ", LOWER(INDEX(_xlfn._xlws.FILTER('Model output'!L:L, ('Model output'!Z:Z=A13)*('Model output'!L:L&lt;&gt;"")), 1)))</f>
        <v>follicular</v>
      </c>
      <c r="P13" t="str" cm="1">
        <f t="array" ref="P13">IF(ISERROR(INDEX(_xlfn._xlws.FILTER('Model output'!M:M, ('Model output'!Z:Z=A13)*('Model output'!M:M&lt;&gt;"")), 1)), " ", LOWER(INDEX(_xlfn._xlws.FILTER('Model output'!M:M, ('Model output'!Z:Z=A13)*('Model output'!M:M&lt;&gt;"")), 1)))</f>
        <v>minimally invasive</v>
      </c>
      <c r="Q13" t="str" cm="1">
        <f t="array" ref="Q13">IF(OR(ISNUMBER(SEARCH("ly",SUBSTITUTE(INDEX(_xlfn._xlws.FILTER('Model output'!N:N,('Model output'!Z:Z=A13)*('Model output'!N:N&lt;&gt;"")),1)," ",""),1)), ISNUMBER(SEARCH("pole",SUBSTITUTE(INDEX(_xlfn._xlws.FILTER('Model output'!N:N,('Model output'!Z:Z=A13)*('Model output'!N:N&lt;&gt;"")),1)," ",""),1))),"",SUBSTITUTE(INDEX(_xlfn._xlws.FILTER('Model output'!N:N,('Model output'!Z:Z=A13)*('Model output'!N:N&lt;&gt;"")),1)," ",""))</f>
        <v>50mm</v>
      </c>
      <c r="R13" t="str" cm="1">
        <f t="array" ref="R13">IF(LEFT(IF(RIGHT(SUBSTITUTE(FilterWithUnits(Q13)&amp; ";" &amp;FilterStringsWithNumericAnd(Q13) &amp; ";" &amp; FilterStringsWithX(Q13), ";;", ";"),1)=";",LEFT(SUBSTITUTE(FilterWithUnits(Q13)&amp; ";" &amp;FilterStringsWithNumericAnd(Q13) &amp; ";" &amp; FilterStringsWithX(Q13), ";;", ";"),LEN(SUBSTITUTE(FilterWithUnits(Q13)&amp; ";" &amp;FilterStringsWithNumericAnd(Q13) &amp; ";" &amp; FilterStringsWithX(Q13), ";;", ";"))-1),SUBSTITUTE(FilterWithUnits(Q13)&amp; ";" &amp;FilterStringsWithNumericAnd(Q13) &amp; ";" &amp; FilterStringsWithX(Q13), ";;", ";")),1)=";",RIGHT(IF(RIGHT(SUBSTITUTE(FilterWithUnits(Q13)&amp; ";" &amp;FilterStringsWithNumericAnd(Q13) &amp; ";" &amp; FilterStringsWithX(Q13), ";;", ";"),1)=";",LEFT(SUBSTITUTE(FilterWithUnits(Q13)&amp; ";" &amp;FilterStringsWithNumericAnd(Q13) &amp; ";" &amp; FilterStringsWithX(Q13), ";;", ";"),LEN(SUBSTITUTE(FilterWithUnits(Q13)&amp; ";" &amp;FilterStringsWithNumericAnd(Q13) &amp; ";" &amp; FilterStringsWithX(Q13), ";;", ";"))-1),SUBSTITUTE(FilterWithUnits(Q13)&amp; ";" &amp;FilterStringsWithNumericAnd(Q13) &amp; ";" &amp; FilterStringsWithX(Q13), ";;", ";")),LEN(IF(RIGHT(SUBSTITUTE(FilterWithUnits(Q13)&amp; ";" &amp;FilterStringsWithNumericAnd(Q13) &amp; ";" &amp; FilterStringsWithX(Q13), ";;", ";"),1)=";",LEFT(SUBSTITUTE(FilterWithUnits(Q13)&amp; ";" &amp;FilterStringsWithNumericAnd(Q13) &amp; ";" &amp; FilterStringsWithX(Q13), ";;", ";"),LEN(SUBSTITUTE(FilterWithUnits(Q13)&amp; ";" &amp;FilterStringsWithNumericAnd(Q13) &amp; ";" &amp; FilterStringsWithX(Q13), ";;", ";"))-1),SUBSTITUTE(FilterWithUnits(Q13)&amp; ";" &amp;FilterStringsWithNumericAnd(Q13) &amp; ";" &amp; FilterStringsWithX(Q13), ";;", ";")))-1),IF(RIGHT(SUBSTITUTE(FilterWithUnits(Q13)&amp; ";" &amp;FilterStringsWithNumericAnd(Q13) &amp; ";" &amp; FilterStringsWithX(Q13), ";;", ";"),1)=";",LEFT(SUBSTITUTE(FilterWithUnits(Q13)&amp; ";" &amp;FilterStringsWithNumericAnd(Q13) &amp; ";" &amp; FilterStringsWithX(Q13), ";;", ";"),LEN(SUBSTITUTE(FilterWithUnits(Q13)&amp; ";" &amp;FilterStringsWithNumericAnd(Q13) &amp; ";" &amp; FilterStringsWithX(Q13), ";;", ";"))-1),SUBSTITUTE(FilterWithUnits(Q13)&amp; ";" &amp;FilterStringsWithNumericAnd(Q13) &amp; ";" &amp; FilterStringsWithX(Q13), ";;", ";")))</f>
        <v>50mm</v>
      </c>
      <c r="S13" cm="1">
        <f t="array" ref="S13">IF(MaxSize((SplitDimensions(R13)))=0, "", MaxSize((SplitDimensions(R13))))</f>
        <v>5</v>
      </c>
      <c r="T13" s="17" t="str" cm="1">
        <f t="array" ref="T13">IF(ISERROR(INDEX(_xlfn._xlws.FILTER('Model output'!P:P,('Model output'!Z:Z=A13)*('Model output'!P:P&lt;&gt;"")),1)),"negative",IF(OR(ISNUMBER(SEARCH("foc",INDEX(_xlfn._xlws.FILTER('Model output'!P:P,('Model output'!Z:Z=A13)*('Model output'!P:P&lt;&gt;"")),1),1)),ISNUMBER(SEARCH("extensive",INDEX(_xlfn._xlws.FILTER('Model output'!P:P,('Model output'!Z:Z=A13)*('Model output'!P:P&lt;&gt;"")),1),1)),ISNUMBER(SEARCH("present",INDEX(_xlfn._xlws.FILTER('Model output'!P:P,('Model output'!Z:Z=A13)*('Model output'!P:P&lt;&gt;"")),1),1)),ISNUMBER(SEARCH("yes",INDEX(_xlfn._xlws.FILTER('Model output'!P:P,('Model output'!Z:Z=A13)*('Model output'!P:P&lt;&gt;"")),1),1))),"positive","negative"))</f>
        <v>negative</v>
      </c>
      <c r="V13" t="str" cm="1">
        <f t="array" ref="V13">IF(ISNUMBER(SEARCH("4",INDEX(_xlfn._xlws.FILTER('Model output'!P:P,('Model output'!Z:Z=A13)*('Model output'!P:P&lt;&gt;"")),1),1)),INDEX(_xlfn._xlws.FILTER('Model output'!P:P,('Model output'!Z:Z=A13)*('Model output'!P:P&lt;&gt;"")),1),"") &amp; _xlfn.TEXTJOIN("",TRUE,_xlfn._xlws.FILTER('Model output'!Q:Q,'Model output'!Z:Z=A13))</f>
        <v/>
      </c>
      <c r="W13" t="str">
        <f t="shared" si="2"/>
        <v>no</v>
      </c>
      <c r="X13" t="str" cm="1">
        <f t="array" ref="X13">IF(OR(ISNUMBER(SEARCH("focal",_xlfn.TEXTJOIN("; ",TRUE,_xlfn._xlws.FILTER('Model output'!R:R,'Model output'!Z:Z=A13)),1)),ISNUMBER(SEARCH("present",_xlfn.TEXTJOIN("; ",TRUE,_xlfn._xlws.FILTER('Model output'!R:R,'Model output'!Z:Z=A13)),1))),"positive",IF(_xlfn.TEXTJOIN("; ",TRUE,_xlfn._xlws.FILTER('Model output'!R:R,'Model output'!Z:Z=A13))="","negative",IF(OR(ISNUMBER(SEARCH("no",_xlfn.TEXTJOIN("; ",TRUE,_xlfn._xlws.FILTER('Model output'!R:R,'Model output'!Z:Z=A13)),1)),ISNUMBER(SEARCH("absent",_xlfn.TEXTJOIN("; ",TRUE,_xlfn._xlws.FILTER('Model output'!R:R,'Model output'!Z:Z=A13)),1))),"negative","positive")))</f>
        <v>positive</v>
      </c>
      <c r="Y13" s="17" t="str">
        <f t="shared" si="3"/>
        <v>negative</v>
      </c>
      <c r="AC13" s="17" t="str">
        <f t="shared" si="4"/>
        <v>negative</v>
      </c>
      <c r="AD13" t="str" cm="1">
        <f t="array" ref="AD13">_xlfn.TEXTJOIN("; ",TRUE,_xlfn._xlws.FILTER('Model output'!S:S,'Model output'!Z:Z=A13))</f>
        <v>Not identified</v>
      </c>
      <c r="AE13" s="17" t="str" cm="1">
        <f t="array" ref="AE13">IF(OR(ISNUMBER(SEARCH("uninvolved",_xlfn.TEXTJOIN("; ",TRUE,_xlfn._xlws.FILTER('Model output'!V:V,'Model output'!Z:Z=A13)),1)),ISNUMBER(SEARCH("clear",_xlfn.TEXTJOIN("; ",TRUE,_xlfn._xlws.FILTER('Model output'!V:V,'Model output'!Z:Z=A13)),1))*ISNUMBER(SEARCH("not mentioned",_xlfn.TEXTJOIN("; ",TRUE,_xlfn._xlws.FILTER('Model output'!V:V,'Model output'!Z:Z=A13)),1))),"negative",IF(ISNUMBER(SEARCH("cannot be assessed",_xlfn.TEXTJOIN("; ",TRUE,_xlfn._xlws.FILTER('Model output'!V:V,'Model output'!Z:Z=A13)),1)),"unknown","negative"))</f>
        <v>negative</v>
      </c>
      <c r="AG13" s="43" t="str">
        <f>IF(OR(ISNUMBER(SEARCH("non-invasive follicular",O13,1)), ISNUMBER(SEARCH("papillary-like nuclear features",P13,1)), ISNUMBER(SEARCH("non-invasive follicular",P13,1)),ISNUMBER(SEARCH("papillary-like nuclear features",P13,1))),"NIFTP", IF(OR(I13="positive",AC13="positive",AND(OR(ISNUMBER(SEARCH("follicular", O13)),ISNUMBER(SEARCH("FTC", O13))),W13="extensive"),AND(G13="positive",ISNUMBER(N13),N13&gt;3),AI13=1),"high",IF(OR(ISNUMBER(SEARCH("positive",Y13,1)),ISNUMBER(SEARCH("tall",P13,1)),ISNUMBER(SEARCH("hobnail",P13,1)),ISNUMBER(SEARCH("cribriform",P13,1)),ISNUMBER(SEARCH("diffuse",P13,1)),ISNUMBER(SEARCH("columnar",P13,1)),ISNUMBER(SEARCH("solid",P13,1)),ISNUMBER(SEARCH("tall",O13,1)),ISNUMBER(SEARCH("hobnail",O13,1)),ISNUMBER(SEARCH("cribriform",O13,1)),ISNUMBER(SEARCH("diffuse",O13,1)),ISNUMBER(SEARCH("columnar",O13,1)),ISNUMBER(SEARCH("solid",O13,1)),AND(OR(ISNUMBER(SEARCH("papillary carcinoma",O13,1)),ISNUMBER(SEARCH("papillary microcarcinoma",O13,1))),T13="positive"),,AND(AND(ISNUMBER(K13),K13&gt;=5),N13=""),AND(AND(ISNUMBER(K13),K13&gt;=5),AND(ISNUMBER(N13),N13&gt;=1)),H13="lateral"),"intermediate","low")))</f>
        <v>low</v>
      </c>
      <c r="AH13" s="44" t="str">
        <f t="shared" si="10"/>
        <v>3a</v>
      </c>
      <c r="AI13" s="56" t="str">
        <f t="shared" si="5"/>
        <v>x</v>
      </c>
      <c r="AJ13" s="56">
        <f t="shared" si="6"/>
        <v>0</v>
      </c>
      <c r="AK13" s="57" t="str">
        <f t="shared" si="7"/>
        <v>II</v>
      </c>
      <c r="AL13" s="45" t="s">
        <v>169</v>
      </c>
      <c r="AM13" s="46" t="s">
        <v>200</v>
      </c>
      <c r="AN13" s="46" t="s">
        <v>197</v>
      </c>
      <c r="AO13" s="46">
        <v>0</v>
      </c>
      <c r="AP13" s="46" t="s">
        <v>43</v>
      </c>
      <c r="AQ13" s="10">
        <f>IF(AL13=AG13,1,0)</f>
        <v>1</v>
      </c>
      <c r="AR13" s="27">
        <f>IF(AM13=AH13,1,0)</f>
        <v>1</v>
      </c>
      <c r="AS13" s="27">
        <f t="shared" si="8"/>
        <v>1</v>
      </c>
      <c r="AT13" s="27">
        <f t="shared" si="9"/>
        <v>1</v>
      </c>
      <c r="AU13" s="29">
        <f t="shared" si="9"/>
        <v>1</v>
      </c>
    </row>
    <row r="14" spans="1:47">
      <c r="A14" s="13">
        <v>12</v>
      </c>
      <c r="B14" s="16">
        <f>_xlfn.MAXIFS('Model output'!B:B,'Model output'!Z:Z,'Classification result'!$A14)</f>
        <v>45415</v>
      </c>
      <c r="C14" s="17">
        <f>_xlfn.MAXIFS('Model output'!C:C,'Model output'!Z:Z,'Classification result'!$A14)</f>
        <v>67</v>
      </c>
      <c r="D14" s="17" t="str" cm="1">
        <f t="array" ref="D14">LEFT(IF(ISERROR(RIGHT(IF(INDEX(_xlfn._xlws.FILTER('Model output'!D:D,('Model output'!Z:Z=A14)),1)&lt;&gt;"",INDEX(_xlfn._xlws.FILTER('Model output'!D:D,('Model output'!Z:Z=A14)),1),""),LEN(IF(INDEX(_xlfn._xlws.FILTER('Model output'!D:D,('Model output'!Z:Z=A14)),1)&lt;&gt;"",INDEX(_xlfn._xlws.FILTER('Model output'!D:D,('Model output'!Z:Z=A14)),1),""))-FIND("T",IF(INDEX(_xlfn._xlws.FILTER('Model output'!D:D,('Model output'!Z:Z=A14)),1)&lt;&gt;"",INDEX(_xlfn._xlws.FILTER('Model output'!D:D,('Model output'!Z:Z=A14)),1),""),1))),"",(RIGHT(IF(INDEX(_xlfn._xlws.FILTER('Model output'!D:D,('Model output'!Z:Z=A14)),1)&lt;&gt;"",INDEX(_xlfn._xlws.FILTER('Model output'!D:D,('Model output'!Z:Z=A14)),1),""),LEN(IF(INDEX(_xlfn._xlws.FILTER('Model output'!D:D,('Model output'!Z:Z=A14)),1)&lt;&gt;"",INDEX(_xlfn._xlws.FILTER('Model output'!D:D,('Model output'!Z:Z=A14)),1),""))-FIND("T",IF(INDEX(_xlfn._xlws.FILTER('Model output'!D:D,('Model output'!Z:Z=A14)),1)&lt;&gt;"",INDEX(_xlfn._xlws.FILTER('Model output'!D:D,('Model output'!Z:Z=A14)),1)))))),2)</f>
        <v>3a</v>
      </c>
      <c r="E14" s="17" t="str" cm="1">
        <f t="array" ref="E14">IF(ISNUMBER(SEARCH("N",IF(ISNUMBER(SEARCH("present",IF(INDEX(_xlfn._xlws.FILTER('Model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output'!Z:Z=A14)),1))),1)),RIGHT(IF(ISNUMBER(SEARCH("present",IF(INDEX(_xlfn._xlws.FILTER('Model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output'!Z:Z=A14)),1))),LEN(IF(ISNUMBER(SEARCH("present",IF(INDEX(_xlfn._xlws.FILTER('Model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output'!Z:Z=A14)),1))))-FIND("N",IF(ISNUMBER(SEARCH("present",IF(INDEX(_xlfn._xlws.FILTER('Model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output'!Z:Z=A14)),1))),1)), "")</f>
        <v>X</v>
      </c>
      <c r="F14" s="17" cm="1">
        <f t="array" ref="F14">IF(AND(SUBSTITUTE(_xlfn.TEXTJOIN("/", TRUE, _xlfn._xlws.FILTER('Model output'!F:F, 'Model output'!Z:Z=A14)),"M", "")="", I14="negative"),0,IF(I14="positive",1,0))</f>
        <v>0</v>
      </c>
      <c r="G14" t="str">
        <f t="shared" si="0"/>
        <v/>
      </c>
      <c r="H14" t="str" cm="1">
        <f t="array" ref="H14">IF(AND(K14&gt;0, _xlfn.TEXTJOIN("; ", TRUE, _xlfn._xlws.FILTER('Model output'!G:G, 'Model output'!Z:Z=A14)) &lt;&gt;"", OR(AND(ISNUMBER(SEARCH("level", _xlfn.TEXTJOIN("; ", TRUE, _xlfn._xlws.FILTER('Model output'!G:G, 'Model output'!Z:Z=A14)),1)),OR(ISNUMBER(SEARCH(" II", _xlfn.TEXTJOIN("; ", TRUE, _xlfn._xlws.FILTER('Model output'!G:G, 'Model output'!Z:Z=A14)),1)),ISNUMBER(SEARCH("2", _xlfn.TEXTJOIN("; ", TRUE, _xlfn._xlws.FILTER('Model output'!G:G, 'Model output'!Z:Z=A14)),1)),ISNUMBER(SEARCH("two", _xlfn.TEXTJOIN("; ", TRUE, _xlfn._xlws.FILTER('Model output'!G:G, 'Model output'!Z:Z=A14)),1)),ISNUMBER(SEARCH("III", _xlfn.TEXTJOIN("; ", TRUE, _xlfn._xlws.FILTER('Model output'!G:G, 'Model output'!Z:Z=A14)),1)),ISNUMBER(SEARCH("3", _xlfn.TEXTJOIN("; ", TRUE, _xlfn._xlws.FILTER('Model output'!G:G, 'Model output'!Z:Z=A14)),1)),ISNUMBER(SEARCH("three", _xlfn.TEXTJOIN("; ", TRUE, _xlfn._xlws.FILTER('Model output'!G:G, 'Model output'!Z:Z=A14)),1)),ISNUMBER(SEARCH("IV", _xlfn.TEXTJOIN("; ", TRUE, _xlfn._xlws.FILTER('Model output'!G:G, 'Model output'!Z:Z=A14)),1)),ISNUMBER(SEARCH("4", _xlfn.TEXTJOIN("; ", TRUE, _xlfn._xlws.FILTER('Model output'!G:G, 'Model output'!Z:Z=A14)),1)),ISNUMBER(SEARCH("five", _xlfn.TEXTJOIN("; ", TRUE, _xlfn._xlws.FILTER('Model output'!G:G, 'Model output'!Z:Z=A14)),1)),ISNUMBER(SEARCH("V ", _xlfn.TEXTJOIN("; ", TRUE, _xlfn._xlws.FILTER('Model output'!G:G, 'Model output'!Z:Z=A14)),1)),ISNUMBER(SEARCH("5", _xlfn.TEXTJOIN("; ", TRUE, _xlfn._xlws.FILTER('Model output'!G:G, 'Model output'!Z:Z=A14)),1)),ISNUMBER(SEARCH("five", _xlfn.TEXTJOIN("; ", TRUE, _xlfn._xlws.FILTER('Model output'!G:G, 'Model output'!Z:Z=A14)),1)),ISNUMBER(SEARCH(" lateral", _xlfn.TEXTJOIN("; ", TRUE, _xlfn._xlws.FILTER('Model output'!G:G, 'Model output'!Z:Z=A14)),1)))),ISNUMBER(SEARCH("cervical", _xlfn.TEXTJOIN("; ", TRUE, _xlfn._xlws.FILTER('Model output'!G:G, 'Model output'!Z:Z=A14)),1)),ISNUMBER(SEARCH("jugular", _xlfn.TEXTJOIN("; ", TRUE, _xlfn._xlws.FILTER('Model output'!G:G, 'Model output'!Z:Z=A14)),1)),ISNUMBER(SEARCH("left neck", _xlfn.TEXTJOIN("; ", TRUE, _xlfn._xlws.FILTER('Model output'!G:G, 'Model output'!Z:Z=A14)),1)),ISNUMBER(SEARCH("left anterior neck", _xlfn.TEXTJOIN("; ", TRUE, _xlfn._xlws.FILTER('Model output'!G:G, 'Model output'!Z:Z=A14)),1)),ISNUMBER(SEARCH("left posterior neck", _xlfn.TEXTJOIN("; ", TRUE, _xlfn._xlws.FILTER('Model output'!G:G, 'Model output'!Z:Z=A14)),1)),ISNUMBER(SEARCH("right neck", _xlfn.TEXTJOIN("; ", TRUE, _xlfn._xlws.FILTER('Model output'!G:G, 'Model output'!Z:Z=A14)),1)),ISNUMBER(SEARCH("right anterior neck", _xlfn.TEXTJOIN("; ", TRUE, _xlfn._xlws.FILTER('Model output'!G:G, 'Model output'!Z:Z=A14)),1)),ISNUMBER(SEARCH("right posterior neck", _xlfn.TEXTJOIN("; ", TRUE, _xlfn._xlws.FILTER('Model output'!G:G, 'Model output'!Z:Z=A14)),1)))),"lateral",IF(AND(K14=0, _xlfn.TEXTJOIN("; ", TRUE, _xlfn._xlws.FILTER('Model output'!G:G, 'Model output'!Z:Z=A14))=""),"", "central"))</f>
        <v/>
      </c>
      <c r="I14" s="17" t="str" cm="1">
        <f t="array" ref="I14">IF(OR(ISNUMBER(SEARCH("lymph",_xlfn.TEXTJOIN("; ", TRUE, _xlfn._xlws.FILTER('Model output'!H:H, 'Model output'!Z:Z=A14)),1)), ISNUMBER(SEARCH("Not mentioned",_xlfn.TEXTJOIN("; ", TRUE, _xlfn._xlws.FILTER('Model output'!H:H, 'Model output'!Z:Z=A14)),1)),ISNUMBER(SEARCH("subcutaneous soft tissues",_xlfn.TEXTJOIN("; ", TRUE, _xlfn._xlws.FILTER('Model output'!H:H, 'Model output'!Z:Z=A14)),1)),ISNUMBER(SEARCH("larynx",_xlfn.TEXTJOIN("; ", TRUE, _xlfn._xlws.FILTER('Model output'!H:H, 'Model output'!Z:Z=A14)),1)),ISNUMBER(SEARCH("trachea",_xlfn.TEXTJOIN("; ", TRUE, _xlfn._xlws.FILTER('Model output'!H:H, 'Model output'!Z:Z=A14)),1)),ISNUMBER(SEARCH("esophagus",_xlfn.TEXTJOIN("; ", TRUE, _xlfn._xlws.FILTER('Model output'!H:H, 'Model output'!Z:Z=A14)),1)),ISNUMBER(SEARCH("recurrent laryngeal nerve",_xlfn.TEXTJOIN("; ", TRUE, _xlfn._xlws.FILTER('Model output'!H:H, 'Model output'!Z:Z=A14)),1)),ISNUMBER(SEARCH("RLN",_xlfn.TEXTJOIN("; ", TRUE, _xlfn._xlws.FILTER('Model output'!H:H, 'Model output'!Z:Z=A14)),1)),_xlfn.TEXTJOIN("; ", TRUE, _xlfn._xlws.FILTER('Model output'!H:H, 'Model output'!Z:Z=A14))=""),"negative","positive")</f>
        <v>negative</v>
      </c>
      <c r="J14" s="17">
        <f>IF(IFERROR(INDEX('Model output'!I:I, MATCH(A14, 'Model output'!Z:Z, 0)), "") &lt; K14, "", IFERROR(INDEX('Model output'!I:I, MATCH(A14, 'Model output'!Z:Z, 0)), ""))</f>
        <v>0</v>
      </c>
      <c r="K14" s="17">
        <f>IFERROR(INDEX('Model output'!J:J, MATCH(A14, 'Model output'!Z:Z, 0)), "")</f>
        <v>0</v>
      </c>
      <c r="L14" s="18" t="str" cm="1">
        <f t="array" ref="L14">ReplaceTo(ReplaceAnd(SUBSTITUTE(SUBSTITUTE(_xlfn.TEXTJOIN("; ", TRUE, _xlfn._xlws.FILTER('Model output'!K:K, 'Model output'!Z:Z=A14)), " ", ""), ",", ";")))</f>
        <v/>
      </c>
      <c r="M14" t="str" cm="1">
        <f t="array" ref="M14">IF(LEFT(IF(RIGHT(SUBSTITUTE(FilterWithUnits(L14)&amp; ";" &amp;FilterStringsWithNumericAnd(L14) &amp; ";" &amp; FilterStringsWithX(L14), ";;", ";"),1)=";",LEFT(SUBSTITUTE(FilterWithUnits(L14)&amp; ";" &amp;FilterStringsWithNumericAnd(L14) &amp; ";" &amp; FilterStringsWithX(L14), ";;", ";"),LEN(SUBSTITUTE(FilterWithUnits(L14)&amp; ";" &amp;FilterStringsWithNumericAnd(L14) &amp; ";" &amp; FilterStringsWithX(L14), ";;", ";"))-1),SUBSTITUTE(FilterWithUnits(L14)&amp; ";" &amp;FilterStringsWithNumericAnd(L14) &amp; ";" &amp; FilterStringsWithX(L14), ";;", ";")),1)=";",RIGHT(IF(RIGHT(SUBSTITUTE(FilterWithUnits(L14)&amp; ";" &amp;FilterStringsWithNumericAnd(L14) &amp; ";" &amp; FilterStringsWithX(L14), ";;", ";"),1)=";",LEFT(SUBSTITUTE(FilterWithUnits(L14)&amp; ";" &amp;FilterStringsWithNumericAnd(L14) &amp; ";" &amp; FilterStringsWithX(L14), ";;", ";"),LEN(SUBSTITUTE(FilterWithUnits(L14)&amp; ";" &amp;FilterStringsWithNumericAnd(L14) &amp; ";" &amp; FilterStringsWithX(L14), ";;", ";"))-1),SUBSTITUTE(FilterWithUnits(L14)&amp; ";" &amp;FilterStringsWithNumericAnd(L14) &amp; ";" &amp; FilterStringsWithX(L14), ";;", ";")),LEN(IF(RIGHT(SUBSTITUTE(FilterWithUnits(L14)&amp; ";" &amp;FilterStringsWithNumericAnd(L14) &amp; ";" &amp; FilterStringsWithX(L14), ";;", ";"),1)=";",LEFT(SUBSTITUTE(FilterWithUnits(L14)&amp; ";" &amp;FilterStringsWithNumericAnd(L14) &amp; ";" &amp; FilterStringsWithX(L14), ";;", ";"),LEN(SUBSTITUTE(FilterWithUnits(L14)&amp; ";" &amp;FilterStringsWithNumericAnd(L14) &amp; ";" &amp; FilterStringsWithX(L14), ";;", ";"))-1),SUBSTITUTE(FilterWithUnits(L14)&amp; ";" &amp;FilterStringsWithNumericAnd(L14) &amp; ";" &amp; FilterStringsWithX(L14), ";;", ";")))-1),IF(RIGHT(SUBSTITUTE(FilterWithUnits(L14)&amp; ";" &amp;FilterStringsWithNumericAnd(L14) &amp; ";" &amp; FilterStringsWithX(L14), ";;", ";"),1)=";",LEFT(SUBSTITUTE(FilterWithUnits(L14)&amp; ";" &amp;FilterStringsWithNumericAnd(L14) &amp; ";" &amp; FilterStringsWithX(L14), ";;", ";"),LEN(SUBSTITUTE(FilterWithUnits(L14)&amp; ";" &amp;FilterStringsWithNumericAnd(L14) &amp; ";" &amp; FilterStringsWithX(L14), ";;", ";"))-1),SUBSTITUTE(FilterWithUnits(L14)&amp; ";" &amp;FilterStringsWithNumericAnd(L14) &amp; ";" &amp; FilterStringsWithX(L14), ";;", ";")))</f>
        <v/>
      </c>
      <c r="N14" t="str" cm="1">
        <f t="array" ref="N14">IF(MaxSize((SplitDimensions(M14)))=0, "", MaxSize((SplitDimensions(M14))))</f>
        <v/>
      </c>
      <c r="O14" t="str" cm="1">
        <f t="array" ref="O14">IF(ISERROR(INDEX(_xlfn._xlws.FILTER('Model output'!L:L, ('Model output'!Z:Z=A14)*('Model output'!L:L&lt;&gt;"")), 1)), " ", LOWER(INDEX(_xlfn._xlws.FILTER('Model output'!L:L, ('Model output'!Z:Z=A14)*('Model output'!L:L&lt;&gt;"")), 1)))</f>
        <v>follicular</v>
      </c>
      <c r="P14" t="str" cm="1">
        <f t="array" ref="P14">IF(ISERROR(INDEX(_xlfn._xlws.FILTER('Model output'!M:M, ('Model output'!Z:Z=A14)*('Model output'!M:M&lt;&gt;"")), 1)), " ", LOWER(INDEX(_xlfn._xlws.FILTER('Model output'!M:M, ('Model output'!Z:Z=A14)*('Model output'!M:M&lt;&gt;"")), 1)))</f>
        <v>minimally invasive</v>
      </c>
      <c r="Q14" t="str" cm="1">
        <f t="array" ref="Q14">IF(OR(ISNUMBER(SEARCH("ly",SUBSTITUTE(INDEX(_xlfn._xlws.FILTER('Model output'!N:N,('Model output'!Z:Z=A14)*('Model output'!N:N&lt;&gt;"")),1)," ",""),1)), ISNUMBER(SEARCH("pole",SUBSTITUTE(INDEX(_xlfn._xlws.FILTER('Model output'!N:N,('Model output'!Z:Z=A14)*('Model output'!N:N&lt;&gt;"")),1)," ",""),1))),"",SUBSTITUTE(INDEX(_xlfn._xlws.FILTER('Model output'!N:N,('Model output'!Z:Z=A14)*('Model output'!N:N&lt;&gt;"")),1)," ",""))</f>
        <v>50mm</v>
      </c>
      <c r="R14" t="str" cm="1">
        <f t="array" ref="R14">IF(LEFT(IF(RIGHT(SUBSTITUTE(FilterWithUnits(Q14)&amp; ";" &amp;FilterStringsWithNumericAnd(Q14) &amp; ";" &amp; FilterStringsWithX(Q14), ";;", ";"),1)=";",LEFT(SUBSTITUTE(FilterWithUnits(Q14)&amp; ";" &amp;FilterStringsWithNumericAnd(Q14) &amp; ";" &amp; FilterStringsWithX(Q14), ";;", ";"),LEN(SUBSTITUTE(FilterWithUnits(Q14)&amp; ";" &amp;FilterStringsWithNumericAnd(Q14) &amp; ";" &amp; FilterStringsWithX(Q14), ";;", ";"))-1),SUBSTITUTE(FilterWithUnits(Q14)&amp; ";" &amp;FilterStringsWithNumericAnd(Q14) &amp; ";" &amp; FilterStringsWithX(Q14), ";;", ";")),1)=";",RIGHT(IF(RIGHT(SUBSTITUTE(FilterWithUnits(Q14)&amp; ";" &amp;FilterStringsWithNumericAnd(Q14) &amp; ";" &amp; FilterStringsWithX(Q14), ";;", ";"),1)=";",LEFT(SUBSTITUTE(FilterWithUnits(Q14)&amp; ";" &amp;FilterStringsWithNumericAnd(Q14) &amp; ";" &amp; FilterStringsWithX(Q14), ";;", ";"),LEN(SUBSTITUTE(FilterWithUnits(Q14)&amp; ";" &amp;FilterStringsWithNumericAnd(Q14) &amp; ";" &amp; FilterStringsWithX(Q14), ";;", ";"))-1),SUBSTITUTE(FilterWithUnits(Q14)&amp; ";" &amp;FilterStringsWithNumericAnd(Q14) &amp; ";" &amp; FilterStringsWithX(Q14), ";;", ";")),LEN(IF(RIGHT(SUBSTITUTE(FilterWithUnits(Q14)&amp; ";" &amp;FilterStringsWithNumericAnd(Q14) &amp; ";" &amp; FilterStringsWithX(Q14), ";;", ";"),1)=";",LEFT(SUBSTITUTE(FilterWithUnits(Q14)&amp; ";" &amp;FilterStringsWithNumericAnd(Q14) &amp; ";" &amp; FilterStringsWithX(Q14), ";;", ";"),LEN(SUBSTITUTE(FilterWithUnits(Q14)&amp; ";" &amp;FilterStringsWithNumericAnd(Q14) &amp; ";" &amp; FilterStringsWithX(Q14), ";;", ";"))-1),SUBSTITUTE(FilterWithUnits(Q14)&amp; ";" &amp;FilterStringsWithNumericAnd(Q14) &amp; ";" &amp; FilterStringsWithX(Q14), ";;", ";")))-1),IF(RIGHT(SUBSTITUTE(FilterWithUnits(Q14)&amp; ";" &amp;FilterStringsWithNumericAnd(Q14) &amp; ";" &amp; FilterStringsWithX(Q14), ";;", ";"),1)=";",LEFT(SUBSTITUTE(FilterWithUnits(Q14)&amp; ";" &amp;FilterStringsWithNumericAnd(Q14) &amp; ";" &amp; FilterStringsWithX(Q14), ";;", ";"),LEN(SUBSTITUTE(FilterWithUnits(Q14)&amp; ";" &amp;FilterStringsWithNumericAnd(Q14) &amp; ";" &amp; FilterStringsWithX(Q14), ";;", ";"))-1),SUBSTITUTE(FilterWithUnits(Q14)&amp; ";" &amp;FilterStringsWithNumericAnd(Q14) &amp; ";" &amp; FilterStringsWithX(Q14), ";;", ";")))</f>
        <v>50mm</v>
      </c>
      <c r="S14" cm="1">
        <f t="array" ref="S14">IF(MaxSize((SplitDimensions(R14)))=0, "", MaxSize((SplitDimensions(R14))))</f>
        <v>5</v>
      </c>
      <c r="T14" s="17" t="str" cm="1">
        <f t="array" ref="T14">IF(ISERROR(INDEX(_xlfn._xlws.FILTER('Model output'!P:P,('Model output'!Z:Z=A14)*('Model output'!P:P&lt;&gt;"")),1)),"negative",IF(OR(ISNUMBER(SEARCH("foc",INDEX(_xlfn._xlws.FILTER('Model output'!P:P,('Model output'!Z:Z=A14)*('Model output'!P:P&lt;&gt;"")),1),1)),ISNUMBER(SEARCH("extensive",INDEX(_xlfn._xlws.FILTER('Model output'!P:P,('Model output'!Z:Z=A14)*('Model output'!P:P&lt;&gt;"")),1),1)),ISNUMBER(SEARCH("present",INDEX(_xlfn._xlws.FILTER('Model output'!P:P,('Model output'!Z:Z=A14)*('Model output'!P:P&lt;&gt;"")),1),1)),ISNUMBER(SEARCH("yes",INDEX(_xlfn._xlws.FILTER('Model output'!P:P,('Model output'!Z:Z=A14)*('Model output'!P:P&lt;&gt;"")),1),1))),"positive","negative"))</f>
        <v>positive</v>
      </c>
      <c r="V14" t="str" cm="1">
        <f t="array" ref="V14">IF(ISNUMBER(SEARCH("4",INDEX(_xlfn._xlws.FILTER('Model output'!P:P,('Model output'!Z:Z=A14)*('Model output'!P:P&lt;&gt;"")),1),1)),INDEX(_xlfn._xlws.FILTER('Model output'!P:P,('Model output'!Z:Z=A14)*('Model output'!P:P&lt;&gt;"")),1),"") &amp; _xlfn.TEXTJOIN("",TRUE,_xlfn._xlws.FILTER('Model output'!Q:Q,'Model output'!Z:Z=A14))</f>
        <v>Focal (&lt; 4 vessels)&lt; 4</v>
      </c>
      <c r="W14" t="str">
        <f t="shared" si="2"/>
        <v>minimal</v>
      </c>
      <c r="X14" t="str" cm="1">
        <f t="array" ref="X14">IF(OR(ISNUMBER(SEARCH("focal",_xlfn.TEXTJOIN("; ",TRUE,_xlfn._xlws.FILTER('Model output'!R:R,'Model output'!Z:Z=A14)),1)),ISNUMBER(SEARCH("present",_xlfn.TEXTJOIN("; ",TRUE,_xlfn._xlws.FILTER('Model output'!R:R,'Model output'!Z:Z=A14)),1))),"positive",IF(_xlfn.TEXTJOIN("; ",TRUE,_xlfn._xlws.FILTER('Model output'!R:R,'Model output'!Z:Z=A14))="","negative",IF(OR(ISNUMBER(SEARCH("no",_xlfn.TEXTJOIN("; ",TRUE,_xlfn._xlws.FILTER('Model output'!R:R,'Model output'!Z:Z=A14)),1)),ISNUMBER(SEARCH("absent",_xlfn.TEXTJOIN("; ",TRUE,_xlfn._xlws.FILTER('Model output'!R:R,'Model output'!Z:Z=A14)),1))),"negative","positive")))</f>
        <v>positive</v>
      </c>
      <c r="Y14" s="17" t="str">
        <f t="shared" si="3"/>
        <v>negative</v>
      </c>
      <c r="AC14" s="17" t="str">
        <f t="shared" si="4"/>
        <v>negative</v>
      </c>
      <c r="AD14" t="str" cm="1">
        <f t="array" ref="AD14">_xlfn.TEXTJOIN("; ",TRUE,_xlfn._xlws.FILTER('Model output'!S:S,'Model output'!Z:Z=A14))</f>
        <v/>
      </c>
      <c r="AE14" s="17" t="str" cm="1">
        <f t="array" ref="AE14">IF(OR(ISNUMBER(SEARCH("uninvolved",_xlfn.TEXTJOIN("; ",TRUE,_xlfn._xlws.FILTER('Model output'!V:V,'Model output'!Z:Z=A14)),1)),ISNUMBER(SEARCH("clear",_xlfn.TEXTJOIN("; ",TRUE,_xlfn._xlws.FILTER('Model output'!V:V,'Model output'!Z:Z=A14)),1))*ISNUMBER(SEARCH("not mentioned",_xlfn.TEXTJOIN("; ",TRUE,_xlfn._xlws.FILTER('Model output'!V:V,'Model output'!Z:Z=A14)),1))),"negative",IF(ISNUMBER(SEARCH("cannot be assessed",_xlfn.TEXTJOIN("; ",TRUE,_xlfn._xlws.FILTER('Model output'!V:V,'Model output'!Z:Z=A14)),1)),"unknown","negative"))</f>
        <v>negative</v>
      </c>
      <c r="AG14" s="43" t="str">
        <f>IF(OR(ISNUMBER(SEARCH("non-invasive follicular",O14,1)), ISNUMBER(SEARCH("papillary-like nuclear features",P14,1)), ISNUMBER(SEARCH("non-invasive follicular",P14,1)),ISNUMBER(SEARCH("papillary-like nuclear features",P14,1))),"NIFTP", IF(OR(I14="positive",AC14="positive",AND(OR(ISNUMBER(SEARCH("follicular", O14)),ISNUMBER(SEARCH("FTC", O14))),W14="extensive"),AND(G14="positive",ISNUMBER(N14),N14&gt;3),AI14=1),"high",IF(OR(ISNUMBER(SEARCH("positive",Y14,1)),ISNUMBER(SEARCH("tall",P14,1)),ISNUMBER(SEARCH("hobnail",P14,1)),ISNUMBER(SEARCH("cribriform",P14,1)),ISNUMBER(SEARCH("diffuse",P14,1)),ISNUMBER(SEARCH("columnar",P14,1)),ISNUMBER(SEARCH("solid",P14,1)),ISNUMBER(SEARCH("tall",O14,1)),ISNUMBER(SEARCH("hobnail",O14,1)),ISNUMBER(SEARCH("cribriform",O14,1)),ISNUMBER(SEARCH("diffuse",O14,1)),ISNUMBER(SEARCH("columnar",O14,1)),ISNUMBER(SEARCH("solid",O14,1)),AND(OR(ISNUMBER(SEARCH("papillary carcinoma",O14,1)),ISNUMBER(SEARCH("papillary microcarcinoma",O14,1))),T14="positive"),,AND(AND(ISNUMBER(K14),K14&gt;=5),N14=""),AND(AND(ISNUMBER(K14),K14&gt;=5),AND(ISNUMBER(N14),N14&gt;=1)),H14="lateral"),"intermediate","low")))</f>
        <v>low</v>
      </c>
      <c r="AH14" s="44" t="str">
        <f t="shared" si="10"/>
        <v>3a</v>
      </c>
      <c r="AI14" s="56" t="str">
        <f t="shared" si="5"/>
        <v>x</v>
      </c>
      <c r="AJ14" s="56">
        <f t="shared" si="6"/>
        <v>0</v>
      </c>
      <c r="AK14" s="57" t="str">
        <f t="shared" si="7"/>
        <v>II</v>
      </c>
      <c r="AL14" s="45" t="s">
        <v>167</v>
      </c>
      <c r="AM14" s="46" t="s">
        <v>200</v>
      </c>
      <c r="AN14" s="46" t="s">
        <v>197</v>
      </c>
      <c r="AO14" s="46">
        <v>0</v>
      </c>
      <c r="AP14" s="46" t="s">
        <v>43</v>
      </c>
      <c r="AQ14" s="10">
        <f>IF(AL14=AG14,1,0)</f>
        <v>0</v>
      </c>
      <c r="AR14" s="27">
        <f>IF(AM14=AH14,1,0)</f>
        <v>1</v>
      </c>
      <c r="AS14" s="27">
        <f t="shared" si="8"/>
        <v>1</v>
      </c>
      <c r="AT14" s="27">
        <f t="shared" si="9"/>
        <v>1</v>
      </c>
      <c r="AU14" s="29">
        <f t="shared" si="9"/>
        <v>1</v>
      </c>
    </row>
    <row r="15" spans="1:47">
      <c r="A15" s="13">
        <v>13</v>
      </c>
      <c r="B15" s="16">
        <f>_xlfn.MAXIFS('Model output'!B:B,'Model output'!Z:Z,'Classification result'!$A15)</f>
        <v>45420</v>
      </c>
      <c r="C15" s="17">
        <f>_xlfn.MAXIFS('Model output'!C:C,'Model output'!Z:Z,'Classification result'!$A15)</f>
        <v>66</v>
      </c>
      <c r="D15" s="17" t="str" cm="1">
        <f t="array" ref="D15">LEFT(IF(ISERROR(RIGHT(IF(INDEX(_xlfn._xlws.FILTER('Model output'!D:D,('Model output'!Z:Z=A15)),1)&lt;&gt;"",INDEX(_xlfn._xlws.FILTER('Model output'!D:D,('Model output'!Z:Z=A15)),1),""),LEN(IF(INDEX(_xlfn._xlws.FILTER('Model output'!D:D,('Model output'!Z:Z=A15)),1)&lt;&gt;"",INDEX(_xlfn._xlws.FILTER('Model output'!D:D,('Model output'!Z:Z=A15)),1),""))-FIND("T",IF(INDEX(_xlfn._xlws.FILTER('Model output'!D:D,('Model output'!Z:Z=A15)),1)&lt;&gt;"",INDEX(_xlfn._xlws.FILTER('Model output'!D:D,('Model output'!Z:Z=A15)),1),""),1))),"",(RIGHT(IF(INDEX(_xlfn._xlws.FILTER('Model output'!D:D,('Model output'!Z:Z=A15)),1)&lt;&gt;"",INDEX(_xlfn._xlws.FILTER('Model output'!D:D,('Model output'!Z:Z=A15)),1),""),LEN(IF(INDEX(_xlfn._xlws.FILTER('Model output'!D:D,('Model output'!Z:Z=A15)),1)&lt;&gt;"",INDEX(_xlfn._xlws.FILTER('Model output'!D:D,('Model output'!Z:Z=A15)),1),""))-FIND("T",IF(INDEX(_xlfn._xlws.FILTER('Model output'!D:D,('Model output'!Z:Z=A15)),1)&lt;&gt;"",INDEX(_xlfn._xlws.FILTER('Model output'!D:D,('Model output'!Z:Z=A15)),1)))))),2)</f>
        <v>3</v>
      </c>
      <c r="E15" s="17" t="str" cm="1">
        <f t="array" ref="E15">IF(ISNUMBER(SEARCH("N",IF(ISNUMBER(SEARCH("present",IF(INDEX(_xlfn._xlws.FILTER('Model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output'!Z:Z=A15)),1))),1)),RIGHT(IF(ISNUMBER(SEARCH("present",IF(INDEX(_xlfn._xlws.FILTER('Model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output'!Z:Z=A15)),1))),LEN(IF(ISNUMBER(SEARCH("present",IF(INDEX(_xlfn._xlws.FILTER('Model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output'!Z:Z=A15)),1))))-FIND("N",IF(ISNUMBER(SEARCH("present",IF(INDEX(_xlfn._xlws.FILTER('Model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output'!Z:Z=A15)),1))),1)), "")</f>
        <v>1b</v>
      </c>
      <c r="F15" s="17" cm="1">
        <f t="array" ref="F15">IF(AND(SUBSTITUTE(_xlfn.TEXTJOIN("/", TRUE, _xlfn._xlws.FILTER('Model output'!F:F, 'Model output'!Z:Z=A15)),"M", "")="", I15="negative"),0,IF(I15="positive",1,0))</f>
        <v>0</v>
      </c>
      <c r="G15" t="str">
        <f t="shared" si="0"/>
        <v>positive</v>
      </c>
      <c r="H15" t="str" cm="1">
        <f t="array" ref="H15">IF(AND(K15&gt;0, _xlfn.TEXTJOIN("; ", TRUE, _xlfn._xlws.FILTER('Model output'!G:G, 'Model output'!Z:Z=A15)) &lt;&gt;"", OR(AND(ISNUMBER(SEARCH("level", _xlfn.TEXTJOIN("; ", TRUE, _xlfn._xlws.FILTER('Model output'!G:G, 'Model output'!Z:Z=A15)),1)),OR(ISNUMBER(SEARCH(" II", _xlfn.TEXTJOIN("; ", TRUE, _xlfn._xlws.FILTER('Model output'!G:G, 'Model output'!Z:Z=A15)),1)),ISNUMBER(SEARCH("2", _xlfn.TEXTJOIN("; ", TRUE, _xlfn._xlws.FILTER('Model output'!G:G, 'Model output'!Z:Z=A15)),1)),ISNUMBER(SEARCH("two", _xlfn.TEXTJOIN("; ", TRUE, _xlfn._xlws.FILTER('Model output'!G:G, 'Model output'!Z:Z=A15)),1)),ISNUMBER(SEARCH("III", _xlfn.TEXTJOIN("; ", TRUE, _xlfn._xlws.FILTER('Model output'!G:G, 'Model output'!Z:Z=A15)),1)),ISNUMBER(SEARCH("3", _xlfn.TEXTJOIN("; ", TRUE, _xlfn._xlws.FILTER('Model output'!G:G, 'Model output'!Z:Z=A15)),1)),ISNUMBER(SEARCH("three", _xlfn.TEXTJOIN("; ", TRUE, _xlfn._xlws.FILTER('Model output'!G:G, 'Model output'!Z:Z=A15)),1)),ISNUMBER(SEARCH("IV", _xlfn.TEXTJOIN("; ", TRUE, _xlfn._xlws.FILTER('Model output'!G:G, 'Model output'!Z:Z=A15)),1)),ISNUMBER(SEARCH("4", _xlfn.TEXTJOIN("; ", TRUE, _xlfn._xlws.FILTER('Model output'!G:G, 'Model output'!Z:Z=A15)),1)),ISNUMBER(SEARCH("five", _xlfn.TEXTJOIN("; ", TRUE, _xlfn._xlws.FILTER('Model output'!G:G, 'Model output'!Z:Z=A15)),1)),ISNUMBER(SEARCH("V ", _xlfn.TEXTJOIN("; ", TRUE, _xlfn._xlws.FILTER('Model output'!G:G, 'Model output'!Z:Z=A15)),1)),ISNUMBER(SEARCH("5", _xlfn.TEXTJOIN("; ", TRUE, _xlfn._xlws.FILTER('Model output'!G:G, 'Model output'!Z:Z=A15)),1)),ISNUMBER(SEARCH("five", _xlfn.TEXTJOIN("; ", TRUE, _xlfn._xlws.FILTER('Model output'!G:G, 'Model output'!Z:Z=A15)),1)),ISNUMBER(SEARCH(" lateral", _xlfn.TEXTJOIN("; ", TRUE, _xlfn._xlws.FILTER('Model output'!G:G, 'Model output'!Z:Z=A15)),1)))),ISNUMBER(SEARCH("cervical", _xlfn.TEXTJOIN("; ", TRUE, _xlfn._xlws.FILTER('Model output'!G:G, 'Model output'!Z:Z=A15)),1)),ISNUMBER(SEARCH("jugular", _xlfn.TEXTJOIN("; ", TRUE, _xlfn._xlws.FILTER('Model output'!G:G, 'Model output'!Z:Z=A15)),1)),ISNUMBER(SEARCH("left neck", _xlfn.TEXTJOIN("; ", TRUE, _xlfn._xlws.FILTER('Model output'!G:G, 'Model output'!Z:Z=A15)),1)),ISNUMBER(SEARCH("left anterior neck", _xlfn.TEXTJOIN("; ", TRUE, _xlfn._xlws.FILTER('Model output'!G:G, 'Model output'!Z:Z=A15)),1)),ISNUMBER(SEARCH("left posterior neck", _xlfn.TEXTJOIN("; ", TRUE, _xlfn._xlws.FILTER('Model output'!G:G, 'Model output'!Z:Z=A15)),1)),ISNUMBER(SEARCH("right neck", _xlfn.TEXTJOIN("; ", TRUE, _xlfn._xlws.FILTER('Model output'!G:G, 'Model output'!Z:Z=A15)),1)),ISNUMBER(SEARCH("right anterior neck", _xlfn.TEXTJOIN("; ", TRUE, _xlfn._xlws.FILTER('Model output'!G:G, 'Model output'!Z:Z=A15)),1)),ISNUMBER(SEARCH("right posterior neck", _xlfn.TEXTJOIN("; ", TRUE, _xlfn._xlws.FILTER('Model output'!G:G, 'Model output'!Z:Z=A15)),1)))),"lateral",IF(AND(K15=0, _xlfn.TEXTJOIN("; ", TRUE, _xlfn._xlws.FILTER('Model output'!G:G, 'Model output'!Z:Z=A15))=""),"", "central"))</f>
        <v>lateral</v>
      </c>
      <c r="I15" s="17" t="str" cm="1">
        <f t="array" ref="I15">IF(OR(ISNUMBER(SEARCH("lymph",_xlfn.TEXTJOIN("; ", TRUE, _xlfn._xlws.FILTER('Model output'!H:H, 'Model output'!Z:Z=A15)),1)), ISNUMBER(SEARCH("Not mentioned",_xlfn.TEXTJOIN("; ", TRUE, _xlfn._xlws.FILTER('Model output'!H:H, 'Model output'!Z:Z=A15)),1)),ISNUMBER(SEARCH("subcutaneous soft tissues",_xlfn.TEXTJOIN("; ", TRUE, _xlfn._xlws.FILTER('Model output'!H:H, 'Model output'!Z:Z=A15)),1)),ISNUMBER(SEARCH("larynx",_xlfn.TEXTJOIN("; ", TRUE, _xlfn._xlws.FILTER('Model output'!H:H, 'Model output'!Z:Z=A15)),1)),ISNUMBER(SEARCH("trachea",_xlfn.TEXTJOIN("; ", TRUE, _xlfn._xlws.FILTER('Model output'!H:H, 'Model output'!Z:Z=A15)),1)),ISNUMBER(SEARCH("esophagus",_xlfn.TEXTJOIN("; ", TRUE, _xlfn._xlws.FILTER('Model output'!H:H, 'Model output'!Z:Z=A15)),1)),ISNUMBER(SEARCH("recurrent laryngeal nerve",_xlfn.TEXTJOIN("; ", TRUE, _xlfn._xlws.FILTER('Model output'!H:H, 'Model output'!Z:Z=A15)),1)),ISNUMBER(SEARCH("RLN",_xlfn.TEXTJOIN("; ", TRUE, _xlfn._xlws.FILTER('Model output'!H:H, 'Model output'!Z:Z=A15)),1)),_xlfn.TEXTJOIN("; ", TRUE, _xlfn._xlws.FILTER('Model output'!H:H, 'Model output'!Z:Z=A15))=""),"negative","positive")</f>
        <v>negative</v>
      </c>
      <c r="J15" s="17">
        <f>IF(IFERROR(INDEX('Model output'!I:I, MATCH(A15, 'Model output'!Z:Z, 0)), "") &lt; K15, "", IFERROR(INDEX('Model output'!I:I, MATCH(A15, 'Model output'!Z:Z, 0)), ""))</f>
        <v>19</v>
      </c>
      <c r="K15" s="17">
        <f>IFERROR(INDEX('Model output'!J:J, MATCH(A15, 'Model output'!Z:Z, 0)), "")</f>
        <v>2</v>
      </c>
      <c r="L15" s="18" t="str" cm="1">
        <f t="array" ref="L15">ReplaceTo(ReplaceAnd(SUBSTITUTE(SUBSTITUTE(_xlfn.TEXTJOIN("; ", TRUE, _xlfn._xlws.FILTER('Model output'!K:K, 'Model output'!Z:Z=A15)), " ", ""), ",", ";")))</f>
        <v>notmentioned;4cm</v>
      </c>
      <c r="M15" t="str" cm="1">
        <f t="array" ref="M15">IF(LEFT(IF(RIGHT(SUBSTITUTE(FilterWithUnits(L15)&amp; ";" &amp;FilterStringsWithNumericAnd(L15) &amp; ";" &amp; FilterStringsWithX(L15), ";;", ";"),1)=";",LEFT(SUBSTITUTE(FilterWithUnits(L15)&amp; ";" &amp;FilterStringsWithNumericAnd(L15) &amp; ";" &amp; FilterStringsWithX(L15), ";;", ";"),LEN(SUBSTITUTE(FilterWithUnits(L15)&amp; ";" &amp;FilterStringsWithNumericAnd(L15) &amp; ";" &amp; FilterStringsWithX(L15), ";;", ";"))-1),SUBSTITUTE(FilterWithUnits(L15)&amp; ";" &amp;FilterStringsWithNumericAnd(L15) &amp; ";" &amp; FilterStringsWithX(L15), ";;", ";")),1)=";",RIGHT(IF(RIGHT(SUBSTITUTE(FilterWithUnits(L15)&amp; ";" &amp;FilterStringsWithNumericAnd(L15) &amp; ";" &amp; FilterStringsWithX(L15), ";;", ";"),1)=";",LEFT(SUBSTITUTE(FilterWithUnits(L15)&amp; ";" &amp;FilterStringsWithNumericAnd(L15) &amp; ";" &amp; FilterStringsWithX(L15), ";;", ";"),LEN(SUBSTITUTE(FilterWithUnits(L15)&amp; ";" &amp;FilterStringsWithNumericAnd(L15) &amp; ";" &amp; FilterStringsWithX(L15), ";;", ";"))-1),SUBSTITUTE(FilterWithUnits(L15)&amp; ";" &amp;FilterStringsWithNumericAnd(L15) &amp; ";" &amp; FilterStringsWithX(L15), ";;", ";")),LEN(IF(RIGHT(SUBSTITUTE(FilterWithUnits(L15)&amp; ";" &amp;FilterStringsWithNumericAnd(L15) &amp; ";" &amp; FilterStringsWithX(L15), ";;", ";"),1)=";",LEFT(SUBSTITUTE(FilterWithUnits(L15)&amp; ";" &amp;FilterStringsWithNumericAnd(L15) &amp; ";" &amp; FilterStringsWithX(L15), ";;", ";"),LEN(SUBSTITUTE(FilterWithUnits(L15)&amp; ";" &amp;FilterStringsWithNumericAnd(L15) &amp; ";" &amp; FilterStringsWithX(L15), ";;", ";"))-1),SUBSTITUTE(FilterWithUnits(L15)&amp; ";" &amp;FilterStringsWithNumericAnd(L15) &amp; ";" &amp; FilterStringsWithX(L15), ";;", ";")))-1),IF(RIGHT(SUBSTITUTE(FilterWithUnits(L15)&amp; ";" &amp;FilterStringsWithNumericAnd(L15) &amp; ";" &amp; FilterStringsWithX(L15), ";;", ";"),1)=";",LEFT(SUBSTITUTE(FilterWithUnits(L15)&amp; ";" &amp;FilterStringsWithNumericAnd(L15) &amp; ";" &amp; FilterStringsWithX(L15), ";;", ";"),LEN(SUBSTITUTE(FilterWithUnits(L15)&amp; ";" &amp;FilterStringsWithNumericAnd(L15) &amp; ";" &amp; FilterStringsWithX(L15), ";;", ";"))-1),SUBSTITUTE(FilterWithUnits(L15)&amp; ";" &amp;FilterStringsWithNumericAnd(L15) &amp; ";" &amp; FilterStringsWithX(L15), ";;", ";")))</f>
        <v>4cm</v>
      </c>
      <c r="N15" cm="1">
        <f t="array" ref="N15">IF(MaxSize((SplitDimensions(M15)))=0, "", MaxSize((SplitDimensions(M15))))</f>
        <v>4</v>
      </c>
      <c r="O15" t="str" cm="1">
        <f t="array" ref="O15">IF(ISERROR(INDEX(_xlfn._xlws.FILTER('Model output'!L:L, ('Model output'!Z:Z=A15)*('Model output'!L:L&lt;&gt;"")), 1)), " ", LOWER(INDEX(_xlfn._xlws.FILTER('Model output'!L:L, ('Model output'!Z:Z=A15)*('Model output'!L:L&lt;&gt;"")), 1)))</f>
        <v>papillary</v>
      </c>
      <c r="P15" t="str" cm="1">
        <f t="array" ref="P15">IF(ISERROR(INDEX(_xlfn._xlws.FILTER('Model output'!M:M, ('Model output'!Z:Z=A15)*('Model output'!M:M&lt;&gt;"")), 1)), " ", LOWER(INDEX(_xlfn._xlws.FILTER('Model output'!M:M, ('Model output'!Z:Z=A15)*('Model output'!M:M&lt;&gt;"")), 1)))</f>
        <v>classic</v>
      </c>
      <c r="Q15" t="str" cm="1">
        <f t="array" ref="Q15">IF(OR(ISNUMBER(SEARCH("ly",SUBSTITUTE(INDEX(_xlfn._xlws.FILTER('Model output'!N:N,('Model output'!Z:Z=A15)*('Model output'!N:N&lt;&gt;"")),1)," ",""),1)), ISNUMBER(SEARCH("pole",SUBSTITUTE(INDEX(_xlfn._xlws.FILTER('Model output'!N:N,('Model output'!Z:Z=A15)*('Model output'!N:N&lt;&gt;"")),1)," ",""),1))),"",SUBSTITUTE(INDEX(_xlfn._xlws.FILTER('Model output'!N:N,('Model output'!Z:Z=A15)*('Model output'!N:N&lt;&gt;"")),1)," ",""))</f>
        <v>63mm</v>
      </c>
      <c r="R15" t="str" cm="1">
        <f t="array" ref="R15">IF(LEFT(IF(RIGHT(SUBSTITUTE(FilterWithUnits(Q15)&amp; ";" &amp;FilterStringsWithNumericAnd(Q15) &amp; ";" &amp; FilterStringsWithX(Q15), ";;", ";"),1)=";",LEFT(SUBSTITUTE(FilterWithUnits(Q15)&amp; ";" &amp;FilterStringsWithNumericAnd(Q15) &amp; ";" &amp; FilterStringsWithX(Q15), ";;", ";"),LEN(SUBSTITUTE(FilterWithUnits(Q15)&amp; ";" &amp;FilterStringsWithNumericAnd(Q15) &amp; ";" &amp; FilterStringsWithX(Q15), ";;", ";"))-1),SUBSTITUTE(FilterWithUnits(Q15)&amp; ";" &amp;FilterStringsWithNumericAnd(Q15) &amp; ";" &amp; FilterStringsWithX(Q15), ";;", ";")),1)=";",RIGHT(IF(RIGHT(SUBSTITUTE(FilterWithUnits(Q15)&amp; ";" &amp;FilterStringsWithNumericAnd(Q15) &amp; ";" &amp; FilterStringsWithX(Q15), ";;", ";"),1)=";",LEFT(SUBSTITUTE(FilterWithUnits(Q15)&amp; ";" &amp;FilterStringsWithNumericAnd(Q15) &amp; ";" &amp; FilterStringsWithX(Q15), ";;", ";"),LEN(SUBSTITUTE(FilterWithUnits(Q15)&amp; ";" &amp;FilterStringsWithNumericAnd(Q15) &amp; ";" &amp; FilterStringsWithX(Q15), ";;", ";"))-1),SUBSTITUTE(FilterWithUnits(Q15)&amp; ";" &amp;FilterStringsWithNumericAnd(Q15) &amp; ";" &amp; FilterStringsWithX(Q15), ";;", ";")),LEN(IF(RIGHT(SUBSTITUTE(FilterWithUnits(Q15)&amp; ";" &amp;FilterStringsWithNumericAnd(Q15) &amp; ";" &amp; FilterStringsWithX(Q15), ";;", ";"),1)=";",LEFT(SUBSTITUTE(FilterWithUnits(Q15)&amp; ";" &amp;FilterStringsWithNumericAnd(Q15) &amp; ";" &amp; FilterStringsWithX(Q15), ";;", ";"),LEN(SUBSTITUTE(FilterWithUnits(Q15)&amp; ";" &amp;FilterStringsWithNumericAnd(Q15) &amp; ";" &amp; FilterStringsWithX(Q15), ";;", ";"))-1),SUBSTITUTE(FilterWithUnits(Q15)&amp; ";" &amp;FilterStringsWithNumericAnd(Q15) &amp; ";" &amp; FilterStringsWithX(Q15), ";;", ";")))-1),IF(RIGHT(SUBSTITUTE(FilterWithUnits(Q15)&amp; ";" &amp;FilterStringsWithNumericAnd(Q15) &amp; ";" &amp; FilterStringsWithX(Q15), ";;", ";"),1)=";",LEFT(SUBSTITUTE(FilterWithUnits(Q15)&amp; ";" &amp;FilterStringsWithNumericAnd(Q15) &amp; ";" &amp; FilterStringsWithX(Q15), ";;", ";"),LEN(SUBSTITUTE(FilterWithUnits(Q15)&amp; ";" &amp;FilterStringsWithNumericAnd(Q15) &amp; ";" &amp; FilterStringsWithX(Q15), ";;", ";"))-1),SUBSTITUTE(FilterWithUnits(Q15)&amp; ";" &amp;FilterStringsWithNumericAnd(Q15) &amp; ";" &amp; FilterStringsWithX(Q15), ";;", ";")))</f>
        <v>63mm</v>
      </c>
      <c r="S15" cm="1">
        <f t="array" ref="S15">IF(MaxSize((SplitDimensions(R15)))=0, "", MaxSize((SplitDimensions(R15))))</f>
        <v>6.3</v>
      </c>
      <c r="T15" s="17" t="str" cm="1">
        <f t="array" ref="T15">IF(ISERROR(INDEX(_xlfn._xlws.FILTER('Model output'!P:P,('Model output'!Z:Z=A15)*('Model output'!P:P&lt;&gt;"")),1)),"negative",IF(OR(ISNUMBER(SEARCH("foc",INDEX(_xlfn._xlws.FILTER('Model output'!P:P,('Model output'!Z:Z=A15)*('Model output'!P:P&lt;&gt;"")),1),1)),ISNUMBER(SEARCH("extensive",INDEX(_xlfn._xlws.FILTER('Model output'!P:P,('Model output'!Z:Z=A15)*('Model output'!P:P&lt;&gt;"")),1),1)),ISNUMBER(SEARCH("present",INDEX(_xlfn._xlws.FILTER('Model output'!P:P,('Model output'!Z:Z=A15)*('Model output'!P:P&lt;&gt;"")),1),1)),ISNUMBER(SEARCH("yes",INDEX(_xlfn._xlws.FILTER('Model output'!P:P,('Model output'!Z:Z=A15)*('Model output'!P:P&lt;&gt;"")),1),1))),"positive","negative"))</f>
        <v>positive</v>
      </c>
      <c r="V15" t="str" cm="1">
        <f t="array" ref="V15">IF(ISNUMBER(SEARCH("4",INDEX(_xlfn._xlws.FILTER('Model output'!P:P,('Model output'!Z:Z=A15)*('Model output'!P:P&lt;&gt;"")),1),1)),INDEX(_xlfn._xlws.FILTER('Model output'!P:P,('Model output'!Z:Z=A15)*('Model output'!P:P&lt;&gt;"")),1),"") &amp; _xlfn.TEXTJOIN("",TRUE,_xlfn._xlws.FILTER('Model output'!Q:Q,'Model output'!Z:Z=A15))</f>
        <v xml:space="preserve"> </v>
      </c>
      <c r="W15" t="str">
        <f t="shared" si="2"/>
        <v>minimal</v>
      </c>
      <c r="X15" t="str" cm="1">
        <f t="array" ref="X15">IF(OR(ISNUMBER(SEARCH("focal",_xlfn.TEXTJOIN("; ",TRUE,_xlfn._xlws.FILTER('Model output'!R:R,'Model output'!Z:Z=A15)),1)),ISNUMBER(SEARCH("present",_xlfn.TEXTJOIN("; ",TRUE,_xlfn._xlws.FILTER('Model output'!R:R,'Model output'!Z:Z=A15)),1))),"positive",IF(_xlfn.TEXTJOIN("; ",TRUE,_xlfn._xlws.FILTER('Model output'!R:R,'Model output'!Z:Z=A15))="","negative",IF(OR(ISNUMBER(SEARCH("no",_xlfn.TEXTJOIN("; ",TRUE,_xlfn._xlws.FILTER('Model output'!R:R,'Model output'!Z:Z=A15)),1)),ISNUMBER(SEARCH("absent",_xlfn.TEXTJOIN("; ",TRUE,_xlfn._xlws.FILTER('Model output'!R:R,'Model output'!Z:Z=A15)),1))),"negative","positive")))</f>
        <v>positive</v>
      </c>
      <c r="Y15" s="17" t="str">
        <f t="shared" si="3"/>
        <v>positive</v>
      </c>
      <c r="AC15" s="17" t="str">
        <f t="shared" si="4"/>
        <v>negative</v>
      </c>
      <c r="AD15" t="str" cm="1">
        <f t="array" ref="AD15">_xlfn.TEXTJOIN("; ",TRUE,_xlfn._xlws.FILTER('Model output'!S:S,'Model output'!Z:Z=A15))</f>
        <v>Present; Present</v>
      </c>
      <c r="AE15" s="17" t="str" cm="1">
        <f t="array" ref="AE15">IF(OR(ISNUMBER(SEARCH("uninvolved",_xlfn.TEXTJOIN("; ",TRUE,_xlfn._xlws.FILTER('Model output'!V:V,'Model output'!Z:Z=A15)),1)),ISNUMBER(SEARCH("clear",_xlfn.TEXTJOIN("; ",TRUE,_xlfn._xlws.FILTER('Model output'!V:V,'Model output'!Z:Z=A15)),1))*ISNUMBER(SEARCH("not mentioned",_xlfn.TEXTJOIN("; ",TRUE,_xlfn._xlws.FILTER('Model output'!V:V,'Model output'!Z:Z=A15)),1))),"negative",IF(ISNUMBER(SEARCH("cannot be assessed",_xlfn.TEXTJOIN("; ",TRUE,_xlfn._xlws.FILTER('Model output'!V:V,'Model output'!Z:Z=A15)),1)),"unknown","negative"))</f>
        <v>negative</v>
      </c>
      <c r="AG15" s="43" t="str">
        <f>IF(OR(ISNUMBER(SEARCH("non-invasive follicular",O15,1)), ISNUMBER(SEARCH("papillary-like nuclear features",P15,1)), ISNUMBER(SEARCH("non-invasive follicular",P15,1)),ISNUMBER(SEARCH("papillary-like nuclear features",P15,1))),"NIFTP", IF(OR(I15="positive",AC15="positive",AND(OR(ISNUMBER(SEARCH("follicular", O15)),ISNUMBER(SEARCH("FTC", O15))),W15="extensive"),AND(G15="positive",ISNUMBER(N15),N15&gt;3),AI15=1),"high",IF(OR(ISNUMBER(SEARCH("positive",Y15,1)),ISNUMBER(SEARCH("tall",P15,1)),ISNUMBER(SEARCH("hobnail",P15,1)),ISNUMBER(SEARCH("cribriform",P15,1)),ISNUMBER(SEARCH("diffuse",P15,1)),ISNUMBER(SEARCH("columnar",P15,1)),ISNUMBER(SEARCH("solid",P15,1)),ISNUMBER(SEARCH("tall",O15,1)),ISNUMBER(SEARCH("hobnail",O15,1)),ISNUMBER(SEARCH("cribriform",O15,1)),ISNUMBER(SEARCH("diffuse",O15,1)),ISNUMBER(SEARCH("columnar",O15,1)),ISNUMBER(SEARCH("solid",O15,1)),AND(OR(ISNUMBER(SEARCH("papillary carcinoma",O15,1)),ISNUMBER(SEARCH("papillary microcarcinoma",O15,1))),T15="positive"),,AND(AND(ISNUMBER(K15),K15&gt;=5),N15=""),AND(AND(ISNUMBER(K15),K15&gt;=5),AND(ISNUMBER(N15),N15&gt;=1)),H15="lateral"),"intermediate","low")))</f>
        <v>high</v>
      </c>
      <c r="AH15" s="44" t="str">
        <f t="shared" si="10"/>
        <v>3a</v>
      </c>
      <c r="AI15" s="56" t="str">
        <f t="shared" si="5"/>
        <v>1b</v>
      </c>
      <c r="AJ15" s="56">
        <f t="shared" si="6"/>
        <v>0</v>
      </c>
      <c r="AK15" s="57" t="str">
        <f t="shared" si="7"/>
        <v>II</v>
      </c>
      <c r="AL15" s="45" t="s">
        <v>168</v>
      </c>
      <c r="AM15" s="46" t="s">
        <v>201</v>
      </c>
      <c r="AN15" s="46" t="s">
        <v>196</v>
      </c>
      <c r="AO15" s="46">
        <v>0</v>
      </c>
      <c r="AP15" s="46" t="s">
        <v>67</v>
      </c>
      <c r="AQ15" s="10">
        <f>IF(AL15=AG15,1,0)</f>
        <v>1</v>
      </c>
      <c r="AR15" s="27">
        <f>IF(AM15=AH15,1,0)</f>
        <v>0</v>
      </c>
      <c r="AS15" s="27">
        <f t="shared" si="8"/>
        <v>1</v>
      </c>
      <c r="AT15" s="27">
        <f t="shared" si="9"/>
        <v>1</v>
      </c>
      <c r="AU15" s="29">
        <f t="shared" si="9"/>
        <v>0</v>
      </c>
    </row>
    <row r="16" spans="1:47">
      <c r="A16" s="13">
        <v>14</v>
      </c>
      <c r="B16" s="16">
        <f>_xlfn.MAXIFS('Model output'!B:B,'Model output'!Z:Z,'Classification result'!$A16)</f>
        <v>45394</v>
      </c>
      <c r="C16" s="17">
        <f>_xlfn.MAXIFS('Model output'!C:C,'Model output'!Z:Z,'Classification result'!$A16)</f>
        <v>51</v>
      </c>
      <c r="D16" s="17" t="str" cm="1">
        <f t="array" ref="D16">LEFT(IF(ISERROR(RIGHT(IF(INDEX(_xlfn._xlws.FILTER('Model output'!D:D,('Model output'!Z:Z=A16)),1)&lt;&gt;"",INDEX(_xlfn._xlws.FILTER('Model output'!D:D,('Model output'!Z:Z=A16)),1),""),LEN(IF(INDEX(_xlfn._xlws.FILTER('Model output'!D:D,('Model output'!Z:Z=A16)),1)&lt;&gt;"",INDEX(_xlfn._xlws.FILTER('Model output'!D:D,('Model output'!Z:Z=A16)),1),""))-FIND("T",IF(INDEX(_xlfn._xlws.FILTER('Model output'!D:D,('Model output'!Z:Z=A16)),1)&lt;&gt;"",INDEX(_xlfn._xlws.FILTER('Model output'!D:D,('Model output'!Z:Z=A16)),1),""),1))),"",(RIGHT(IF(INDEX(_xlfn._xlws.FILTER('Model output'!D:D,('Model output'!Z:Z=A16)),1)&lt;&gt;"",INDEX(_xlfn._xlws.FILTER('Model output'!D:D,('Model output'!Z:Z=A16)),1),""),LEN(IF(INDEX(_xlfn._xlws.FILTER('Model output'!D:D,('Model output'!Z:Z=A16)),1)&lt;&gt;"",INDEX(_xlfn._xlws.FILTER('Model output'!D:D,('Model output'!Z:Z=A16)),1),""))-FIND("T",IF(INDEX(_xlfn._xlws.FILTER('Model output'!D:D,('Model output'!Z:Z=A16)),1)&lt;&gt;"",INDEX(_xlfn._xlws.FILTER('Model output'!D:D,('Model output'!Z:Z=A16)),1)))))),2)</f>
        <v>3b</v>
      </c>
      <c r="E16" s="17" t="str" cm="1">
        <f t="array" ref="E16">IF(ISNUMBER(SEARCH("N",IF(ISNUMBER(SEARCH("present",IF(INDEX(_xlfn._xlws.FILTER('Model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output'!Z:Z=A16)),1))),1)),RIGHT(IF(ISNUMBER(SEARCH("present",IF(INDEX(_xlfn._xlws.FILTER('Model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output'!Z:Z=A16)),1))),LEN(IF(ISNUMBER(SEARCH("present",IF(INDEX(_xlfn._xlws.FILTER('Model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output'!Z:Z=A16)),1))))-FIND("N",IF(ISNUMBER(SEARCH("present",IF(INDEX(_xlfn._xlws.FILTER('Model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output'!Z:Z=A16)),1))),1)), "")</f>
        <v/>
      </c>
      <c r="F16" s="17" cm="1">
        <f t="array" ref="F16">IF(AND(SUBSTITUTE(_xlfn.TEXTJOIN("/", TRUE, _xlfn._xlws.FILTER('Model output'!F:F, 'Model output'!Z:Z=A16)),"M", "")="", I16="negative"),0,IF(I16="positive",1,0))</f>
        <v>0</v>
      </c>
      <c r="G16" t="str">
        <f t="shared" si="0"/>
        <v/>
      </c>
      <c r="H16" t="str" cm="1">
        <f t="array" ref="H16">IF(AND(K16&gt;0, _xlfn.TEXTJOIN("; ", TRUE, _xlfn._xlws.FILTER('Model output'!G:G, 'Model output'!Z:Z=A16)) &lt;&gt;"", OR(AND(ISNUMBER(SEARCH("level", _xlfn.TEXTJOIN("; ", TRUE, _xlfn._xlws.FILTER('Model output'!G:G, 'Model output'!Z:Z=A16)),1)),OR(ISNUMBER(SEARCH(" II", _xlfn.TEXTJOIN("; ", TRUE, _xlfn._xlws.FILTER('Model output'!G:G, 'Model output'!Z:Z=A16)),1)),ISNUMBER(SEARCH("2", _xlfn.TEXTJOIN("; ", TRUE, _xlfn._xlws.FILTER('Model output'!G:G, 'Model output'!Z:Z=A16)),1)),ISNUMBER(SEARCH("two", _xlfn.TEXTJOIN("; ", TRUE, _xlfn._xlws.FILTER('Model output'!G:G, 'Model output'!Z:Z=A16)),1)),ISNUMBER(SEARCH("III", _xlfn.TEXTJOIN("; ", TRUE, _xlfn._xlws.FILTER('Model output'!G:G, 'Model output'!Z:Z=A16)),1)),ISNUMBER(SEARCH("3", _xlfn.TEXTJOIN("; ", TRUE, _xlfn._xlws.FILTER('Model output'!G:G, 'Model output'!Z:Z=A16)),1)),ISNUMBER(SEARCH("three", _xlfn.TEXTJOIN("; ", TRUE, _xlfn._xlws.FILTER('Model output'!G:G, 'Model output'!Z:Z=A16)),1)),ISNUMBER(SEARCH("IV", _xlfn.TEXTJOIN("; ", TRUE, _xlfn._xlws.FILTER('Model output'!G:G, 'Model output'!Z:Z=A16)),1)),ISNUMBER(SEARCH("4", _xlfn.TEXTJOIN("; ", TRUE, _xlfn._xlws.FILTER('Model output'!G:G, 'Model output'!Z:Z=A16)),1)),ISNUMBER(SEARCH("five", _xlfn.TEXTJOIN("; ", TRUE, _xlfn._xlws.FILTER('Model output'!G:G, 'Model output'!Z:Z=A16)),1)),ISNUMBER(SEARCH("V ", _xlfn.TEXTJOIN("; ", TRUE, _xlfn._xlws.FILTER('Model output'!G:G, 'Model output'!Z:Z=A16)),1)),ISNUMBER(SEARCH("5", _xlfn.TEXTJOIN("; ", TRUE, _xlfn._xlws.FILTER('Model output'!G:G, 'Model output'!Z:Z=A16)),1)),ISNUMBER(SEARCH("five", _xlfn.TEXTJOIN("; ", TRUE, _xlfn._xlws.FILTER('Model output'!G:G, 'Model output'!Z:Z=A16)),1)),ISNUMBER(SEARCH(" lateral", _xlfn.TEXTJOIN("; ", TRUE, _xlfn._xlws.FILTER('Model output'!G:G, 'Model output'!Z:Z=A16)),1)))),ISNUMBER(SEARCH("cervical", _xlfn.TEXTJOIN("; ", TRUE, _xlfn._xlws.FILTER('Model output'!G:G, 'Model output'!Z:Z=A16)),1)),ISNUMBER(SEARCH("jugular", _xlfn.TEXTJOIN("; ", TRUE, _xlfn._xlws.FILTER('Model output'!G:G, 'Model output'!Z:Z=A16)),1)),ISNUMBER(SEARCH("left neck", _xlfn.TEXTJOIN("; ", TRUE, _xlfn._xlws.FILTER('Model output'!G:G, 'Model output'!Z:Z=A16)),1)),ISNUMBER(SEARCH("left anterior neck", _xlfn.TEXTJOIN("; ", TRUE, _xlfn._xlws.FILTER('Model output'!G:G, 'Model output'!Z:Z=A16)),1)),ISNUMBER(SEARCH("left posterior neck", _xlfn.TEXTJOIN("; ", TRUE, _xlfn._xlws.FILTER('Model output'!G:G, 'Model output'!Z:Z=A16)),1)),ISNUMBER(SEARCH("right neck", _xlfn.TEXTJOIN("; ", TRUE, _xlfn._xlws.FILTER('Model output'!G:G, 'Model output'!Z:Z=A16)),1)),ISNUMBER(SEARCH("right anterior neck", _xlfn.TEXTJOIN("; ", TRUE, _xlfn._xlws.FILTER('Model output'!G:G, 'Model output'!Z:Z=A16)),1)),ISNUMBER(SEARCH("right posterior neck", _xlfn.TEXTJOIN("; ", TRUE, _xlfn._xlws.FILTER('Model output'!G:G, 'Model output'!Z:Z=A16)),1)))),"lateral",IF(AND(K16=0, _xlfn.TEXTJOIN("; ", TRUE, _xlfn._xlws.FILTER('Model output'!G:G, 'Model output'!Z:Z=A16))=""),"", "central"))</f>
        <v/>
      </c>
      <c r="I16" s="17" t="str" cm="1">
        <f t="array" ref="I16">IF(OR(ISNUMBER(SEARCH("lymph",_xlfn.TEXTJOIN("; ", TRUE, _xlfn._xlws.FILTER('Model output'!H:H, 'Model output'!Z:Z=A16)),1)), ISNUMBER(SEARCH("Not mentioned",_xlfn.TEXTJOIN("; ", TRUE, _xlfn._xlws.FILTER('Model output'!H:H, 'Model output'!Z:Z=A16)),1)),ISNUMBER(SEARCH("subcutaneous soft tissues",_xlfn.TEXTJOIN("; ", TRUE, _xlfn._xlws.FILTER('Model output'!H:H, 'Model output'!Z:Z=A16)),1)),ISNUMBER(SEARCH("larynx",_xlfn.TEXTJOIN("; ", TRUE, _xlfn._xlws.FILTER('Model output'!H:H, 'Model output'!Z:Z=A16)),1)),ISNUMBER(SEARCH("trachea",_xlfn.TEXTJOIN("; ", TRUE, _xlfn._xlws.FILTER('Model output'!H:H, 'Model output'!Z:Z=A16)),1)),ISNUMBER(SEARCH("esophagus",_xlfn.TEXTJOIN("; ", TRUE, _xlfn._xlws.FILTER('Model output'!H:H, 'Model output'!Z:Z=A16)),1)),ISNUMBER(SEARCH("recurrent laryngeal nerve",_xlfn.TEXTJOIN("; ", TRUE, _xlfn._xlws.FILTER('Model output'!H:H, 'Model output'!Z:Z=A16)),1)),ISNUMBER(SEARCH("RLN",_xlfn.TEXTJOIN("; ", TRUE, _xlfn._xlws.FILTER('Model output'!H:H, 'Model output'!Z:Z=A16)),1)),_xlfn.TEXTJOIN("; ", TRUE, _xlfn._xlws.FILTER('Model output'!H:H, 'Model output'!Z:Z=A16))=""),"negative","positive")</f>
        <v>negative</v>
      </c>
      <c r="J16" s="17">
        <f>IF(IFERROR(INDEX('Model output'!I:I, MATCH(A16, 'Model output'!Z:Z, 0)), "") &lt; K16, "", IFERROR(INDEX('Model output'!I:I, MATCH(A16, 'Model output'!Z:Z, 0)), ""))</f>
        <v>0</v>
      </c>
      <c r="K16" s="17">
        <f>IFERROR(INDEX('Model output'!J:J, MATCH(A16, 'Model output'!Z:Z, 0)), "")</f>
        <v>0</v>
      </c>
      <c r="L16" s="18" t="str" cm="1">
        <f t="array" ref="L16">ReplaceTo(ReplaceAnd(SUBSTITUTE(SUBSTITUTE(_xlfn.TEXTJOIN("; ", TRUE, _xlfn._xlws.FILTER('Model output'!K:K, 'Model output'!Z:Z=A16)), " ", ""), ",", ";")))</f>
        <v/>
      </c>
      <c r="M16" t="str" cm="1">
        <f t="array" ref="M16">IF(LEFT(IF(RIGHT(SUBSTITUTE(FilterWithUnits(L16)&amp; ";" &amp;FilterStringsWithNumericAnd(L16) &amp; ";" &amp; FilterStringsWithX(L16), ";;", ";"),1)=";",LEFT(SUBSTITUTE(FilterWithUnits(L16)&amp; ";" &amp;FilterStringsWithNumericAnd(L16) &amp; ";" &amp; FilterStringsWithX(L16), ";;", ";"),LEN(SUBSTITUTE(FilterWithUnits(L16)&amp; ";" &amp;FilterStringsWithNumericAnd(L16) &amp; ";" &amp; FilterStringsWithX(L16), ";;", ";"))-1),SUBSTITUTE(FilterWithUnits(L16)&amp; ";" &amp;FilterStringsWithNumericAnd(L16) &amp; ";" &amp; FilterStringsWithX(L16), ";;", ";")),1)=";",RIGHT(IF(RIGHT(SUBSTITUTE(FilterWithUnits(L16)&amp; ";" &amp;FilterStringsWithNumericAnd(L16) &amp; ";" &amp; FilterStringsWithX(L16), ";;", ";"),1)=";",LEFT(SUBSTITUTE(FilterWithUnits(L16)&amp; ";" &amp;FilterStringsWithNumericAnd(L16) &amp; ";" &amp; FilterStringsWithX(L16), ";;", ";"),LEN(SUBSTITUTE(FilterWithUnits(L16)&amp; ";" &amp;FilterStringsWithNumericAnd(L16) &amp; ";" &amp; FilterStringsWithX(L16), ";;", ";"))-1),SUBSTITUTE(FilterWithUnits(L16)&amp; ";" &amp;FilterStringsWithNumericAnd(L16) &amp; ";" &amp; FilterStringsWithX(L16), ";;", ";")),LEN(IF(RIGHT(SUBSTITUTE(FilterWithUnits(L16)&amp; ";" &amp;FilterStringsWithNumericAnd(L16) &amp; ";" &amp; FilterStringsWithX(L16), ";;", ";"),1)=";",LEFT(SUBSTITUTE(FilterWithUnits(L16)&amp; ";" &amp;FilterStringsWithNumericAnd(L16) &amp; ";" &amp; FilterStringsWithX(L16), ";;", ";"),LEN(SUBSTITUTE(FilterWithUnits(L16)&amp; ";" &amp;FilterStringsWithNumericAnd(L16) &amp; ";" &amp; FilterStringsWithX(L16), ";;", ";"))-1),SUBSTITUTE(FilterWithUnits(L16)&amp; ";" &amp;FilterStringsWithNumericAnd(L16) &amp; ";" &amp; FilterStringsWithX(L16), ";;", ";")))-1),IF(RIGHT(SUBSTITUTE(FilterWithUnits(L16)&amp; ";" &amp;FilterStringsWithNumericAnd(L16) &amp; ";" &amp; FilterStringsWithX(L16), ";;", ";"),1)=";",LEFT(SUBSTITUTE(FilterWithUnits(L16)&amp; ";" &amp;FilterStringsWithNumericAnd(L16) &amp; ";" &amp; FilterStringsWithX(L16), ";;", ";"),LEN(SUBSTITUTE(FilterWithUnits(L16)&amp; ";" &amp;FilterStringsWithNumericAnd(L16) &amp; ";" &amp; FilterStringsWithX(L16), ";;", ";"))-1),SUBSTITUTE(FilterWithUnits(L16)&amp; ";" &amp;FilterStringsWithNumericAnd(L16) &amp; ";" &amp; FilterStringsWithX(L16), ";;", ";")))</f>
        <v/>
      </c>
      <c r="N16" t="str" cm="1">
        <f t="array" ref="N16">IF(MaxSize((SplitDimensions(M16)))=0, "", MaxSize((SplitDimensions(M16))))</f>
        <v/>
      </c>
      <c r="O16" t="str" cm="1">
        <f t="array" ref="O16">IF(ISERROR(INDEX(_xlfn._xlws.FILTER('Model output'!L:L, ('Model output'!Z:Z=A16)*('Model output'!L:L&lt;&gt;"")), 1)), " ", LOWER(INDEX(_xlfn._xlws.FILTER('Model output'!L:L, ('Model output'!Z:Z=A16)*('Model output'!L:L&lt;&gt;"")), 1)))</f>
        <v>papillary</v>
      </c>
      <c r="P16" t="str" cm="1">
        <f t="array" ref="P16">IF(ISERROR(INDEX(_xlfn._xlws.FILTER('Model output'!M:M, ('Model output'!Z:Z=A16)*('Model output'!M:M&lt;&gt;"")), 1)), " ", LOWER(INDEX(_xlfn._xlws.FILTER('Model output'!M:M, ('Model output'!Z:Z=A16)*('Model output'!M:M&lt;&gt;"")), 1)))</f>
        <v>classic</v>
      </c>
      <c r="Q16" t="str" cm="1">
        <f t="array" ref="Q16">IF(OR(ISNUMBER(SEARCH("ly",SUBSTITUTE(INDEX(_xlfn._xlws.FILTER('Model output'!N:N,('Model output'!Z:Z=A16)*('Model output'!N:N&lt;&gt;"")),1)," ",""),1)), ISNUMBER(SEARCH("pole",SUBSTITUTE(INDEX(_xlfn._xlws.FILTER('Model output'!N:N,('Model output'!Z:Z=A16)*('Model output'!N:N&lt;&gt;"")),1)," ",""),1))),"",SUBSTITUTE(INDEX(_xlfn._xlws.FILTER('Model output'!N:N,('Model output'!Z:Z=A16)*('Model output'!N:N&lt;&gt;"")),1)," ",""))</f>
        <v>3.9cm</v>
      </c>
      <c r="R16" t="str" cm="1">
        <f t="array" ref="R16">IF(LEFT(IF(RIGHT(SUBSTITUTE(FilterWithUnits(Q16)&amp; ";" &amp;FilterStringsWithNumericAnd(Q16) &amp; ";" &amp; FilterStringsWithX(Q16), ";;", ";"),1)=";",LEFT(SUBSTITUTE(FilterWithUnits(Q16)&amp; ";" &amp;FilterStringsWithNumericAnd(Q16) &amp; ";" &amp; FilterStringsWithX(Q16), ";;", ";"),LEN(SUBSTITUTE(FilterWithUnits(Q16)&amp; ";" &amp;FilterStringsWithNumericAnd(Q16) &amp; ";" &amp; FilterStringsWithX(Q16), ";;", ";"))-1),SUBSTITUTE(FilterWithUnits(Q16)&amp; ";" &amp;FilterStringsWithNumericAnd(Q16) &amp; ";" &amp; FilterStringsWithX(Q16), ";;", ";")),1)=";",RIGHT(IF(RIGHT(SUBSTITUTE(FilterWithUnits(Q16)&amp; ";" &amp;FilterStringsWithNumericAnd(Q16) &amp; ";" &amp; FilterStringsWithX(Q16), ";;", ";"),1)=";",LEFT(SUBSTITUTE(FilterWithUnits(Q16)&amp; ";" &amp;FilterStringsWithNumericAnd(Q16) &amp; ";" &amp; FilterStringsWithX(Q16), ";;", ";"),LEN(SUBSTITUTE(FilterWithUnits(Q16)&amp; ";" &amp;FilterStringsWithNumericAnd(Q16) &amp; ";" &amp; FilterStringsWithX(Q16), ";;", ";"))-1),SUBSTITUTE(FilterWithUnits(Q16)&amp; ";" &amp;FilterStringsWithNumericAnd(Q16) &amp; ";" &amp; FilterStringsWithX(Q16), ";;", ";")),LEN(IF(RIGHT(SUBSTITUTE(FilterWithUnits(Q16)&amp; ";" &amp;FilterStringsWithNumericAnd(Q16) &amp; ";" &amp; FilterStringsWithX(Q16), ";;", ";"),1)=";",LEFT(SUBSTITUTE(FilterWithUnits(Q16)&amp; ";" &amp;FilterStringsWithNumericAnd(Q16) &amp; ";" &amp; FilterStringsWithX(Q16), ";;", ";"),LEN(SUBSTITUTE(FilterWithUnits(Q16)&amp; ";" &amp;FilterStringsWithNumericAnd(Q16) &amp; ";" &amp; FilterStringsWithX(Q16), ";;", ";"))-1),SUBSTITUTE(FilterWithUnits(Q16)&amp; ";" &amp;FilterStringsWithNumericAnd(Q16) &amp; ";" &amp; FilterStringsWithX(Q16), ";;", ";")))-1),IF(RIGHT(SUBSTITUTE(FilterWithUnits(Q16)&amp; ";" &amp;FilterStringsWithNumericAnd(Q16) &amp; ";" &amp; FilterStringsWithX(Q16), ";;", ";"),1)=";",LEFT(SUBSTITUTE(FilterWithUnits(Q16)&amp; ";" &amp;FilterStringsWithNumericAnd(Q16) &amp; ";" &amp; FilterStringsWithX(Q16), ";;", ";"),LEN(SUBSTITUTE(FilterWithUnits(Q16)&amp; ";" &amp;FilterStringsWithNumericAnd(Q16) &amp; ";" &amp; FilterStringsWithX(Q16), ";;", ";"))-1),SUBSTITUTE(FilterWithUnits(Q16)&amp; ";" &amp;FilterStringsWithNumericAnd(Q16) &amp; ";" &amp; FilterStringsWithX(Q16), ";;", ";")))</f>
        <v>3.9cm</v>
      </c>
      <c r="S16" cm="1">
        <f t="array" ref="S16">IF(MaxSize((SplitDimensions(R16)))=0, "", MaxSize((SplitDimensions(R16))))</f>
        <v>3.9</v>
      </c>
      <c r="T16" s="17" t="str" cm="1">
        <f t="array" ref="T16">IF(ISERROR(INDEX(_xlfn._xlws.FILTER('Model output'!P:P,('Model output'!Z:Z=A16)*('Model output'!P:P&lt;&gt;"")),1)),"negative",IF(OR(ISNUMBER(SEARCH("foc",INDEX(_xlfn._xlws.FILTER('Model output'!P:P,('Model output'!Z:Z=A16)*('Model output'!P:P&lt;&gt;"")),1),1)),ISNUMBER(SEARCH("extensive",INDEX(_xlfn._xlws.FILTER('Model output'!P:P,('Model output'!Z:Z=A16)*('Model output'!P:P&lt;&gt;"")),1),1)),ISNUMBER(SEARCH("present",INDEX(_xlfn._xlws.FILTER('Model output'!P:P,('Model output'!Z:Z=A16)*('Model output'!P:P&lt;&gt;"")),1),1)),ISNUMBER(SEARCH("yes",INDEX(_xlfn._xlws.FILTER('Model output'!P:P,('Model output'!Z:Z=A16)*('Model output'!P:P&lt;&gt;"")),1),1))),"positive","negative"))</f>
        <v>positive</v>
      </c>
      <c r="V16" t="str" cm="1">
        <f t="array" ref="V16">IF(ISNUMBER(SEARCH("4",INDEX(_xlfn._xlws.FILTER('Model output'!P:P,('Model output'!Z:Z=A16)*('Model output'!P:P&lt;&gt;"")),1),1)),INDEX(_xlfn._xlws.FILTER('Model output'!P:P,('Model output'!Z:Z=A16)*('Model output'!P:P&lt;&gt;"")),1),"") &amp; _xlfn.TEXTJOIN("",TRUE,_xlfn._xlws.FILTER('Model output'!Q:Q,'Model output'!Z:Z=A16))</f>
        <v>Focal (&lt; 4 vessels)&lt; 4</v>
      </c>
      <c r="W16" t="str">
        <f t="shared" si="2"/>
        <v>minimal</v>
      </c>
      <c r="X16" t="str" cm="1">
        <f t="array" ref="X16">IF(OR(ISNUMBER(SEARCH("focal",_xlfn.TEXTJOIN("; ",TRUE,_xlfn._xlws.FILTER('Model output'!R:R,'Model output'!Z:Z=A16)),1)),ISNUMBER(SEARCH("present",_xlfn.TEXTJOIN("; ",TRUE,_xlfn._xlws.FILTER('Model output'!R:R,'Model output'!Z:Z=A16)),1))),"positive",IF(_xlfn.TEXTJOIN("; ",TRUE,_xlfn._xlws.FILTER('Model output'!R:R,'Model output'!Z:Z=A16))="","negative",IF(OR(ISNUMBER(SEARCH("no",_xlfn.TEXTJOIN("; ",TRUE,_xlfn._xlws.FILTER('Model output'!R:R,'Model output'!Z:Z=A16)),1)),ISNUMBER(SEARCH("absent",_xlfn.TEXTJOIN("; ",TRUE,_xlfn._xlws.FILTER('Model output'!R:R,'Model output'!Z:Z=A16)),1))),"negative","positive")))</f>
        <v>positive</v>
      </c>
      <c r="Y16" s="17" t="str">
        <f t="shared" si="3"/>
        <v>positive</v>
      </c>
      <c r="AC16" s="17" t="str">
        <f t="shared" si="4"/>
        <v>positive</v>
      </c>
      <c r="AD16" t="str" cm="1">
        <f t="array" ref="AD16">_xlfn.TEXTJOIN("; ",TRUE,_xlfn._xlws.FILTER('Model output'!S:S,'Model output'!Z:Z=A16))</f>
        <v>Invading only strap muscles</v>
      </c>
      <c r="AE16" s="17" t="str" cm="1">
        <f t="array" ref="AE16">IF(OR(ISNUMBER(SEARCH("uninvolved",_xlfn.TEXTJOIN("; ",TRUE,_xlfn._xlws.FILTER('Model output'!V:V,'Model output'!Z:Z=A16)),1)),ISNUMBER(SEARCH("clear",_xlfn.TEXTJOIN("; ",TRUE,_xlfn._xlws.FILTER('Model output'!V:V,'Model output'!Z:Z=A16)),1))*ISNUMBER(SEARCH("not mentioned",_xlfn.TEXTJOIN("; ",TRUE,_xlfn._xlws.FILTER('Model output'!V:V,'Model output'!Z:Z=A16)),1))),"negative",IF(ISNUMBER(SEARCH("cannot be assessed",_xlfn.TEXTJOIN("; ",TRUE,_xlfn._xlws.FILTER('Model output'!V:V,'Model output'!Z:Z=A16)),1)),"unknown","negative"))</f>
        <v>negative</v>
      </c>
      <c r="AG16" s="43" t="str">
        <f>IF(OR(ISNUMBER(SEARCH("non-invasive follicular",O16,1)), ISNUMBER(SEARCH("papillary-like nuclear features",P16,1)), ISNUMBER(SEARCH("non-invasive follicular",P16,1)),ISNUMBER(SEARCH("papillary-like nuclear features",P16,1))),"NIFTP", IF(OR(I16="positive",AC16="positive",AND(OR(ISNUMBER(SEARCH("follicular", O16)),ISNUMBER(SEARCH("FTC", O16))),W16="extensive"),AND(G16="positive",ISNUMBER(N16),N16&gt;3),AI16=1),"high",IF(OR(ISNUMBER(SEARCH("positive",Y16,1)),ISNUMBER(SEARCH("tall",P16,1)),ISNUMBER(SEARCH("hobnail",P16,1)),ISNUMBER(SEARCH("cribriform",P16,1)),ISNUMBER(SEARCH("diffuse",P16,1)),ISNUMBER(SEARCH("columnar",P16,1)),ISNUMBER(SEARCH("solid",P16,1)),ISNUMBER(SEARCH("tall",O16,1)),ISNUMBER(SEARCH("hobnail",O16,1)),ISNUMBER(SEARCH("cribriform",O16,1)),ISNUMBER(SEARCH("diffuse",O16,1)),ISNUMBER(SEARCH("columnar",O16,1)),ISNUMBER(SEARCH("solid",O16,1)),AND(OR(ISNUMBER(SEARCH("papillary carcinoma",O16,1)),ISNUMBER(SEARCH("papillary microcarcinoma",O16,1))),T16="positive"),,AND(AND(ISNUMBER(K16),K16&gt;=5),N16=""),AND(AND(ISNUMBER(K16),K16&gt;=5),AND(ISNUMBER(N16),N16&gt;=1)),H16="lateral"),"intermediate","low")))</f>
        <v>high</v>
      </c>
      <c r="AH16" s="44" t="str">
        <f t="shared" si="10"/>
        <v>3b</v>
      </c>
      <c r="AI16" s="56" t="str">
        <f t="shared" si="5"/>
        <v>x</v>
      </c>
      <c r="AJ16" s="56">
        <f t="shared" si="6"/>
        <v>0</v>
      </c>
      <c r="AK16" s="57" t="str">
        <f t="shared" si="7"/>
        <v>I</v>
      </c>
      <c r="AL16" s="45" t="s">
        <v>168</v>
      </c>
      <c r="AM16" s="46" t="s">
        <v>199</v>
      </c>
      <c r="AN16" s="46" t="s">
        <v>197</v>
      </c>
      <c r="AO16" s="46">
        <v>0</v>
      </c>
      <c r="AP16" s="46" t="s">
        <v>31</v>
      </c>
      <c r="AQ16" s="10">
        <f>IF(AL16=AG16,1,0)</f>
        <v>1</v>
      </c>
      <c r="AR16" s="27">
        <f>IF(AM16=AH16,1,0)</f>
        <v>1</v>
      </c>
      <c r="AS16" s="27">
        <f t="shared" si="8"/>
        <v>1</v>
      </c>
      <c r="AT16" s="27">
        <f t="shared" si="9"/>
        <v>1</v>
      </c>
      <c r="AU16" s="29">
        <f t="shared" si="9"/>
        <v>1</v>
      </c>
    </row>
    <row r="17" spans="1:47">
      <c r="A17" s="13">
        <v>15</v>
      </c>
      <c r="B17" s="16">
        <f>_xlfn.MAXIFS('Model output'!B:B,'Model output'!Z:Z,'Classification result'!$A17)</f>
        <v>45441</v>
      </c>
      <c r="C17" s="17">
        <f>_xlfn.MAXIFS('Model output'!C:C,'Model output'!Z:Z,'Classification result'!$A17)</f>
        <v>64</v>
      </c>
      <c r="D17" s="17" t="str" cm="1">
        <f t="array" ref="D17">LEFT(IF(ISERROR(RIGHT(IF(INDEX(_xlfn._xlws.FILTER('Model output'!D:D,('Model output'!Z:Z=A17)),1)&lt;&gt;"",INDEX(_xlfn._xlws.FILTER('Model output'!D:D,('Model output'!Z:Z=A17)),1),""),LEN(IF(INDEX(_xlfn._xlws.FILTER('Model output'!D:D,('Model output'!Z:Z=A17)),1)&lt;&gt;"",INDEX(_xlfn._xlws.FILTER('Model output'!D:D,('Model output'!Z:Z=A17)),1),""))-FIND("T",IF(INDEX(_xlfn._xlws.FILTER('Model output'!D:D,('Model output'!Z:Z=A17)),1)&lt;&gt;"",INDEX(_xlfn._xlws.FILTER('Model output'!D:D,('Model output'!Z:Z=A17)),1),""),1))),"",(RIGHT(IF(INDEX(_xlfn._xlws.FILTER('Model output'!D:D,('Model output'!Z:Z=A17)),1)&lt;&gt;"",INDEX(_xlfn._xlws.FILTER('Model output'!D:D,('Model output'!Z:Z=A17)),1),""),LEN(IF(INDEX(_xlfn._xlws.FILTER('Model output'!D:D,('Model output'!Z:Z=A17)),1)&lt;&gt;"",INDEX(_xlfn._xlws.FILTER('Model output'!D:D,('Model output'!Z:Z=A17)),1),""))-FIND("T",IF(INDEX(_xlfn._xlws.FILTER('Model output'!D:D,('Model output'!Z:Z=A17)),1)&lt;&gt;"",INDEX(_xlfn._xlws.FILTER('Model output'!D:D,('Model output'!Z:Z=A17)),1)))))),2)</f>
        <v/>
      </c>
      <c r="E17" s="17" t="str" cm="1">
        <f t="array" ref="E17">IF(ISNUMBER(SEARCH("N",IF(ISNUMBER(SEARCH("present",IF(INDEX(_xlfn._xlws.FILTER('Model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output'!Z:Z=A17)),1))),1)),RIGHT(IF(ISNUMBER(SEARCH("present",IF(INDEX(_xlfn._xlws.FILTER('Model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output'!Z:Z=A17)),1))),LEN(IF(ISNUMBER(SEARCH("present",IF(INDEX(_xlfn._xlws.FILTER('Model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output'!Z:Z=A17)),1))))-FIND("N",IF(ISNUMBER(SEARCH("present",IF(INDEX(_xlfn._xlws.FILTER('Model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output'!Z:Z=A17)),1))),1)), "")</f>
        <v/>
      </c>
      <c r="F17" s="17" cm="1">
        <f t="array" ref="F17">IF(AND(SUBSTITUTE(_xlfn.TEXTJOIN("/", TRUE, _xlfn._xlws.FILTER('Model output'!F:F, 'Model output'!Z:Z=A17)),"M", "")="", I17="negative"),0,IF(I17="positive",1,0))</f>
        <v>0</v>
      </c>
      <c r="G17" t="str">
        <f t="shared" si="0"/>
        <v/>
      </c>
      <c r="H17" t="str" cm="1">
        <f t="array" ref="H17">IF(AND(K17&gt;0, _xlfn.TEXTJOIN("; ", TRUE, _xlfn._xlws.FILTER('Model output'!G:G, 'Model output'!Z:Z=A17)) &lt;&gt;"", OR(AND(ISNUMBER(SEARCH("level", _xlfn.TEXTJOIN("; ", TRUE, _xlfn._xlws.FILTER('Model output'!G:G, 'Model output'!Z:Z=A17)),1)),OR(ISNUMBER(SEARCH(" II", _xlfn.TEXTJOIN("; ", TRUE, _xlfn._xlws.FILTER('Model output'!G:G, 'Model output'!Z:Z=A17)),1)),ISNUMBER(SEARCH("2", _xlfn.TEXTJOIN("; ", TRUE, _xlfn._xlws.FILTER('Model output'!G:G, 'Model output'!Z:Z=A17)),1)),ISNUMBER(SEARCH("two", _xlfn.TEXTJOIN("; ", TRUE, _xlfn._xlws.FILTER('Model output'!G:G, 'Model output'!Z:Z=A17)),1)),ISNUMBER(SEARCH("III", _xlfn.TEXTJOIN("; ", TRUE, _xlfn._xlws.FILTER('Model output'!G:G, 'Model output'!Z:Z=A17)),1)),ISNUMBER(SEARCH("3", _xlfn.TEXTJOIN("; ", TRUE, _xlfn._xlws.FILTER('Model output'!G:G, 'Model output'!Z:Z=A17)),1)),ISNUMBER(SEARCH("three", _xlfn.TEXTJOIN("; ", TRUE, _xlfn._xlws.FILTER('Model output'!G:G, 'Model output'!Z:Z=A17)),1)),ISNUMBER(SEARCH("IV", _xlfn.TEXTJOIN("; ", TRUE, _xlfn._xlws.FILTER('Model output'!G:G, 'Model output'!Z:Z=A17)),1)),ISNUMBER(SEARCH("4", _xlfn.TEXTJOIN("; ", TRUE, _xlfn._xlws.FILTER('Model output'!G:G, 'Model output'!Z:Z=A17)),1)),ISNUMBER(SEARCH("five", _xlfn.TEXTJOIN("; ", TRUE, _xlfn._xlws.FILTER('Model output'!G:G, 'Model output'!Z:Z=A17)),1)),ISNUMBER(SEARCH("V ", _xlfn.TEXTJOIN("; ", TRUE, _xlfn._xlws.FILTER('Model output'!G:G, 'Model output'!Z:Z=A17)),1)),ISNUMBER(SEARCH("5", _xlfn.TEXTJOIN("; ", TRUE, _xlfn._xlws.FILTER('Model output'!G:G, 'Model output'!Z:Z=A17)),1)),ISNUMBER(SEARCH("five", _xlfn.TEXTJOIN("; ", TRUE, _xlfn._xlws.FILTER('Model output'!G:G, 'Model output'!Z:Z=A17)),1)),ISNUMBER(SEARCH(" lateral", _xlfn.TEXTJOIN("; ", TRUE, _xlfn._xlws.FILTER('Model output'!G:G, 'Model output'!Z:Z=A17)),1)))),ISNUMBER(SEARCH("cervical", _xlfn.TEXTJOIN("; ", TRUE, _xlfn._xlws.FILTER('Model output'!G:G, 'Model output'!Z:Z=A17)),1)),ISNUMBER(SEARCH("jugular", _xlfn.TEXTJOIN("; ", TRUE, _xlfn._xlws.FILTER('Model output'!G:G, 'Model output'!Z:Z=A17)),1)),ISNUMBER(SEARCH("left neck", _xlfn.TEXTJOIN("; ", TRUE, _xlfn._xlws.FILTER('Model output'!G:G, 'Model output'!Z:Z=A17)),1)),ISNUMBER(SEARCH("left anterior neck", _xlfn.TEXTJOIN("; ", TRUE, _xlfn._xlws.FILTER('Model output'!G:G, 'Model output'!Z:Z=A17)),1)),ISNUMBER(SEARCH("left posterior neck", _xlfn.TEXTJOIN("; ", TRUE, _xlfn._xlws.FILTER('Model output'!G:G, 'Model output'!Z:Z=A17)),1)),ISNUMBER(SEARCH("right neck", _xlfn.TEXTJOIN("; ", TRUE, _xlfn._xlws.FILTER('Model output'!G:G, 'Model output'!Z:Z=A17)),1)),ISNUMBER(SEARCH("right anterior neck", _xlfn.TEXTJOIN("; ", TRUE, _xlfn._xlws.FILTER('Model output'!G:G, 'Model output'!Z:Z=A17)),1)),ISNUMBER(SEARCH("right posterior neck", _xlfn.TEXTJOIN("; ", TRUE, _xlfn._xlws.FILTER('Model output'!G:G, 'Model output'!Z:Z=A17)),1)))),"lateral",IF(AND(K17=0, _xlfn.TEXTJOIN("; ", TRUE, _xlfn._xlws.FILTER('Model output'!G:G, 'Model output'!Z:Z=A17))=""),"", "central"))</f>
        <v/>
      </c>
      <c r="I17" s="17" t="str" cm="1">
        <f t="array" ref="I17">IF(OR(ISNUMBER(SEARCH("lymph",_xlfn.TEXTJOIN("; ", TRUE, _xlfn._xlws.FILTER('Model output'!H:H, 'Model output'!Z:Z=A17)),1)), ISNUMBER(SEARCH("Not mentioned",_xlfn.TEXTJOIN("; ", TRUE, _xlfn._xlws.FILTER('Model output'!H:H, 'Model output'!Z:Z=A17)),1)),ISNUMBER(SEARCH("subcutaneous soft tissues",_xlfn.TEXTJOIN("; ", TRUE, _xlfn._xlws.FILTER('Model output'!H:H, 'Model output'!Z:Z=A17)),1)),ISNUMBER(SEARCH("larynx",_xlfn.TEXTJOIN("; ", TRUE, _xlfn._xlws.FILTER('Model output'!H:H, 'Model output'!Z:Z=A17)),1)),ISNUMBER(SEARCH("trachea",_xlfn.TEXTJOIN("; ", TRUE, _xlfn._xlws.FILTER('Model output'!H:H, 'Model output'!Z:Z=A17)),1)),ISNUMBER(SEARCH("esophagus",_xlfn.TEXTJOIN("; ", TRUE, _xlfn._xlws.FILTER('Model output'!H:H, 'Model output'!Z:Z=A17)),1)),ISNUMBER(SEARCH("recurrent laryngeal nerve",_xlfn.TEXTJOIN("; ", TRUE, _xlfn._xlws.FILTER('Model output'!H:H, 'Model output'!Z:Z=A17)),1)),ISNUMBER(SEARCH("RLN",_xlfn.TEXTJOIN("; ", TRUE, _xlfn._xlws.FILTER('Model output'!H:H, 'Model output'!Z:Z=A17)),1)),_xlfn.TEXTJOIN("; ", TRUE, _xlfn._xlws.FILTER('Model output'!H:H, 'Model output'!Z:Z=A17))=""),"negative","positive")</f>
        <v>negative</v>
      </c>
      <c r="J17" s="17">
        <f>IF(IFERROR(INDEX('Model output'!I:I, MATCH(A17, 'Model output'!Z:Z, 0)), "") &lt; K17, "", IFERROR(INDEX('Model output'!I:I, MATCH(A17, 'Model output'!Z:Z, 0)), ""))</f>
        <v>0</v>
      </c>
      <c r="K17" s="17">
        <f>IFERROR(INDEX('Model output'!J:J, MATCH(A17, 'Model output'!Z:Z, 0)), "")</f>
        <v>0</v>
      </c>
      <c r="L17" s="18" t="str" cm="1">
        <f t="array" ref="L17">ReplaceTo(ReplaceAnd(SUBSTITUTE(SUBSTITUTE(_xlfn.TEXTJOIN("; ", TRUE, _xlfn._xlws.FILTER('Model output'!K:K, 'Model output'!Z:Z=A17)), " ", ""), ",", ";")))</f>
        <v/>
      </c>
      <c r="M17" t="str" cm="1">
        <f t="array" ref="M17">IF(LEFT(IF(RIGHT(SUBSTITUTE(FilterWithUnits(L17)&amp; ";" &amp;FilterStringsWithNumericAnd(L17) &amp; ";" &amp; FilterStringsWithX(L17), ";;", ";"),1)=";",LEFT(SUBSTITUTE(FilterWithUnits(L17)&amp; ";" &amp;FilterStringsWithNumericAnd(L17) &amp; ";" &amp; FilterStringsWithX(L17), ";;", ";"),LEN(SUBSTITUTE(FilterWithUnits(L17)&amp; ";" &amp;FilterStringsWithNumericAnd(L17) &amp; ";" &amp; FilterStringsWithX(L17), ";;", ";"))-1),SUBSTITUTE(FilterWithUnits(L17)&amp; ";" &amp;FilterStringsWithNumericAnd(L17) &amp; ";" &amp; FilterStringsWithX(L17), ";;", ";")),1)=";",RIGHT(IF(RIGHT(SUBSTITUTE(FilterWithUnits(L17)&amp; ";" &amp;FilterStringsWithNumericAnd(L17) &amp; ";" &amp; FilterStringsWithX(L17), ";;", ";"),1)=";",LEFT(SUBSTITUTE(FilterWithUnits(L17)&amp; ";" &amp;FilterStringsWithNumericAnd(L17) &amp; ";" &amp; FilterStringsWithX(L17), ";;", ";"),LEN(SUBSTITUTE(FilterWithUnits(L17)&amp; ";" &amp;FilterStringsWithNumericAnd(L17) &amp; ";" &amp; FilterStringsWithX(L17), ";;", ";"))-1),SUBSTITUTE(FilterWithUnits(L17)&amp; ";" &amp;FilterStringsWithNumericAnd(L17) &amp; ";" &amp; FilterStringsWithX(L17), ";;", ";")),LEN(IF(RIGHT(SUBSTITUTE(FilterWithUnits(L17)&amp; ";" &amp;FilterStringsWithNumericAnd(L17) &amp; ";" &amp; FilterStringsWithX(L17), ";;", ";"),1)=";",LEFT(SUBSTITUTE(FilterWithUnits(L17)&amp; ";" &amp;FilterStringsWithNumericAnd(L17) &amp; ";" &amp; FilterStringsWithX(L17), ";;", ";"),LEN(SUBSTITUTE(FilterWithUnits(L17)&amp; ";" &amp;FilterStringsWithNumericAnd(L17) &amp; ";" &amp; FilterStringsWithX(L17), ";;", ";"))-1),SUBSTITUTE(FilterWithUnits(L17)&amp; ";" &amp;FilterStringsWithNumericAnd(L17) &amp; ";" &amp; FilterStringsWithX(L17), ";;", ";")))-1),IF(RIGHT(SUBSTITUTE(FilterWithUnits(L17)&amp; ";" &amp;FilterStringsWithNumericAnd(L17) &amp; ";" &amp; FilterStringsWithX(L17), ";;", ";"),1)=";",LEFT(SUBSTITUTE(FilterWithUnits(L17)&amp; ";" &amp;FilterStringsWithNumericAnd(L17) &amp; ";" &amp; FilterStringsWithX(L17), ";;", ";"),LEN(SUBSTITUTE(FilterWithUnits(L17)&amp; ";" &amp;FilterStringsWithNumericAnd(L17) &amp; ";" &amp; FilterStringsWithX(L17), ";;", ";"))-1),SUBSTITUTE(FilterWithUnits(L17)&amp; ";" &amp;FilterStringsWithNumericAnd(L17) &amp; ";" &amp; FilterStringsWithX(L17), ";;", ";")))</f>
        <v/>
      </c>
      <c r="N17" t="str" cm="1">
        <f t="array" ref="N17">IF(MaxSize((SplitDimensions(M17)))=0, "", MaxSize((SplitDimensions(M17))))</f>
        <v/>
      </c>
      <c r="O17" t="str" cm="1">
        <f t="array" ref="O17">IF(ISERROR(INDEX(_xlfn._xlws.FILTER('Model output'!L:L, ('Model output'!Z:Z=A17)*('Model output'!L:L&lt;&gt;"")), 1)), " ", LOWER(INDEX(_xlfn._xlws.FILTER('Model output'!L:L, ('Model output'!Z:Z=A17)*('Model output'!L:L&lt;&gt;"")), 1)))</f>
        <v>follicular</v>
      </c>
      <c r="P17" t="str" cm="1">
        <f t="array" ref="P17">IF(ISERROR(INDEX(_xlfn._xlws.FILTER('Model output'!M:M, ('Model output'!Z:Z=A17)*('Model output'!M:M&lt;&gt;"")), 1)), " ", LOWER(INDEX(_xlfn._xlws.FILTER('Model output'!M:M, ('Model output'!Z:Z=A17)*('Model output'!M:M&lt;&gt;"")), 1)))</f>
        <v>non-invasive follicular thyroid neoplasm with papillary-like nuclear features</v>
      </c>
      <c r="Q17" t="str" cm="1">
        <f t="array" ref="Q17">IF(OR(ISNUMBER(SEARCH("ly",SUBSTITUTE(INDEX(_xlfn._xlws.FILTER('Model output'!N:N,('Model output'!Z:Z=A17)*('Model output'!N:N&lt;&gt;"")),1)," ",""),1)), ISNUMBER(SEARCH("pole",SUBSTITUTE(INDEX(_xlfn._xlws.FILTER('Model output'!N:N,('Model output'!Z:Z=A17)*('Model output'!N:N&lt;&gt;"")),1)," ",""),1))),"",SUBSTITUTE(INDEX(_xlfn._xlws.FILTER('Model output'!N:N,('Model output'!Z:Z=A17)*('Model output'!N:N&lt;&gt;"")),1)," ",""))</f>
        <v>25x15x15mm</v>
      </c>
      <c r="R17" t="str" cm="1">
        <f t="array" ref="R17">IF(LEFT(IF(RIGHT(SUBSTITUTE(FilterWithUnits(Q17)&amp; ";" &amp;FilterStringsWithNumericAnd(Q17) &amp; ";" &amp; FilterStringsWithX(Q17), ";;", ";"),1)=";",LEFT(SUBSTITUTE(FilterWithUnits(Q17)&amp; ";" &amp;FilterStringsWithNumericAnd(Q17) &amp; ";" &amp; FilterStringsWithX(Q17), ";;", ";"),LEN(SUBSTITUTE(FilterWithUnits(Q17)&amp; ";" &amp;FilterStringsWithNumericAnd(Q17) &amp; ";" &amp; FilterStringsWithX(Q17), ";;", ";"))-1),SUBSTITUTE(FilterWithUnits(Q17)&amp; ";" &amp;FilterStringsWithNumericAnd(Q17) &amp; ";" &amp; FilterStringsWithX(Q17), ";;", ";")),1)=";",RIGHT(IF(RIGHT(SUBSTITUTE(FilterWithUnits(Q17)&amp; ";" &amp;FilterStringsWithNumericAnd(Q17) &amp; ";" &amp; FilterStringsWithX(Q17), ";;", ";"),1)=";",LEFT(SUBSTITUTE(FilterWithUnits(Q17)&amp; ";" &amp;FilterStringsWithNumericAnd(Q17) &amp; ";" &amp; FilterStringsWithX(Q17), ";;", ";"),LEN(SUBSTITUTE(FilterWithUnits(Q17)&amp; ";" &amp;FilterStringsWithNumericAnd(Q17) &amp; ";" &amp; FilterStringsWithX(Q17), ";;", ";"))-1),SUBSTITUTE(FilterWithUnits(Q17)&amp; ";" &amp;FilterStringsWithNumericAnd(Q17) &amp; ";" &amp; FilterStringsWithX(Q17), ";;", ";")),LEN(IF(RIGHT(SUBSTITUTE(FilterWithUnits(Q17)&amp; ";" &amp;FilterStringsWithNumericAnd(Q17) &amp; ";" &amp; FilterStringsWithX(Q17), ";;", ";"),1)=";",LEFT(SUBSTITUTE(FilterWithUnits(Q17)&amp; ";" &amp;FilterStringsWithNumericAnd(Q17) &amp; ";" &amp; FilterStringsWithX(Q17), ";;", ";"),LEN(SUBSTITUTE(FilterWithUnits(Q17)&amp; ";" &amp;FilterStringsWithNumericAnd(Q17) &amp; ";" &amp; FilterStringsWithX(Q17), ";;", ";"))-1),SUBSTITUTE(FilterWithUnits(Q17)&amp; ";" &amp;FilterStringsWithNumericAnd(Q17) &amp; ";" &amp; FilterStringsWithX(Q17), ";;", ";")))-1),IF(RIGHT(SUBSTITUTE(FilterWithUnits(Q17)&amp; ";" &amp;FilterStringsWithNumericAnd(Q17) &amp; ";" &amp; FilterStringsWithX(Q17), ";;", ";"),1)=";",LEFT(SUBSTITUTE(FilterWithUnits(Q17)&amp; ";" &amp;FilterStringsWithNumericAnd(Q17) &amp; ";" &amp; FilterStringsWithX(Q17), ";;", ";"),LEN(SUBSTITUTE(FilterWithUnits(Q17)&amp; ";" &amp;FilterStringsWithNumericAnd(Q17) &amp; ";" &amp; FilterStringsWithX(Q17), ";;", ";"))-1),SUBSTITUTE(FilterWithUnits(Q17)&amp; ";" &amp;FilterStringsWithNumericAnd(Q17) &amp; ";" &amp; FilterStringsWithX(Q17), ";;", ";")))</f>
        <v>25x15x15mm</v>
      </c>
      <c r="S17" cm="1">
        <f t="array" ref="S17">IF(MaxSize((SplitDimensions(R17)))=0, "", MaxSize((SplitDimensions(R17))))</f>
        <v>2.5</v>
      </c>
      <c r="T17" s="17" t="str" cm="1">
        <f t="array" ref="T17">IF(ISERROR(INDEX(_xlfn._xlws.FILTER('Model output'!P:P,('Model output'!Z:Z=A17)*('Model output'!P:P&lt;&gt;"")),1)),"negative",IF(OR(ISNUMBER(SEARCH("foc",INDEX(_xlfn._xlws.FILTER('Model output'!P:P,('Model output'!Z:Z=A17)*('Model output'!P:P&lt;&gt;"")),1),1)),ISNUMBER(SEARCH("extensive",INDEX(_xlfn._xlws.FILTER('Model output'!P:P,('Model output'!Z:Z=A17)*('Model output'!P:P&lt;&gt;"")),1),1)),ISNUMBER(SEARCH("present",INDEX(_xlfn._xlws.FILTER('Model output'!P:P,('Model output'!Z:Z=A17)*('Model output'!P:P&lt;&gt;"")),1),1)),ISNUMBER(SEARCH("yes",INDEX(_xlfn._xlws.FILTER('Model output'!P:P,('Model output'!Z:Z=A17)*('Model output'!P:P&lt;&gt;"")),1),1))),"positive","negative"))</f>
        <v>negative</v>
      </c>
      <c r="V17" t="str" cm="1">
        <f t="array" ref="V17">IF(ISNUMBER(SEARCH("4",INDEX(_xlfn._xlws.FILTER('Model output'!P:P,('Model output'!Z:Z=A17)*('Model output'!P:P&lt;&gt;"")),1),1)),INDEX(_xlfn._xlws.FILTER('Model output'!P:P,('Model output'!Z:Z=A17)*('Model output'!P:P&lt;&gt;"")),1),"") &amp; _xlfn.TEXTJOIN("",TRUE,_xlfn._xlws.FILTER('Model output'!Q:Q,'Model output'!Z:Z=A17))</f>
        <v/>
      </c>
      <c r="W17" t="str">
        <f t="shared" si="2"/>
        <v>no</v>
      </c>
      <c r="X17" t="str" cm="1">
        <f t="array" ref="X17">IF(OR(ISNUMBER(SEARCH("focal",_xlfn.TEXTJOIN("; ",TRUE,_xlfn._xlws.FILTER('Model output'!R:R,'Model output'!Z:Z=A17)),1)),ISNUMBER(SEARCH("present",_xlfn.TEXTJOIN("; ",TRUE,_xlfn._xlws.FILTER('Model output'!R:R,'Model output'!Z:Z=A17)),1))),"positive",IF(_xlfn.TEXTJOIN("; ",TRUE,_xlfn._xlws.FILTER('Model output'!R:R,'Model output'!Z:Z=A17))="","negative",IF(OR(ISNUMBER(SEARCH("no",_xlfn.TEXTJOIN("; ",TRUE,_xlfn._xlws.FILTER('Model output'!R:R,'Model output'!Z:Z=A17)),1)),ISNUMBER(SEARCH("absent",_xlfn.TEXTJOIN("; ",TRUE,_xlfn._xlws.FILTER('Model output'!R:R,'Model output'!Z:Z=A17)),1))),"negative","positive")))</f>
        <v>positive</v>
      </c>
      <c r="Y17" s="17" t="str">
        <f t="shared" si="3"/>
        <v>negative</v>
      </c>
      <c r="AC17" s="17" t="str">
        <f t="shared" si="4"/>
        <v>negative</v>
      </c>
      <c r="AD17" t="str" cm="1">
        <f t="array" ref="AD17">_xlfn.TEXTJOIN("; ",TRUE,_xlfn._xlws.FILTER('Model output'!S:S,'Model output'!Z:Z=A17))</f>
        <v>Negative</v>
      </c>
      <c r="AE17" s="17" t="str" cm="1">
        <f t="array" ref="AE17">IF(OR(ISNUMBER(SEARCH("uninvolved",_xlfn.TEXTJOIN("; ",TRUE,_xlfn._xlws.FILTER('Model output'!V:V,'Model output'!Z:Z=A17)),1)),ISNUMBER(SEARCH("clear",_xlfn.TEXTJOIN("; ",TRUE,_xlfn._xlws.FILTER('Model output'!V:V,'Model output'!Z:Z=A17)),1))*ISNUMBER(SEARCH("not mentioned",_xlfn.TEXTJOIN("; ",TRUE,_xlfn._xlws.FILTER('Model output'!V:V,'Model output'!Z:Z=A17)),1))),"negative",IF(ISNUMBER(SEARCH("cannot be assessed",_xlfn.TEXTJOIN("; ",TRUE,_xlfn._xlws.FILTER('Model output'!V:V,'Model output'!Z:Z=A17)),1)),"unknown","negative"))</f>
        <v>negative</v>
      </c>
      <c r="AG17" s="43" t="str">
        <f>IF(OR(ISNUMBER(SEARCH("non-invasive follicular",O17,1)), ISNUMBER(SEARCH("papillary-like nuclear features",P17,1)), ISNUMBER(SEARCH("non-invasive follicular",P17,1)),ISNUMBER(SEARCH("papillary-like nuclear features",P17,1))),"NIFTP", IF(OR(I17="positive",AC17="positive",AND(OR(ISNUMBER(SEARCH("follicular", O17)),ISNUMBER(SEARCH("FTC", O17))),W17="extensive"),AND(G17="positive",ISNUMBER(N17),N17&gt;3),AI17=1),"high",IF(OR(ISNUMBER(SEARCH("positive",Y17,1)),ISNUMBER(SEARCH("tall",P17,1)),ISNUMBER(SEARCH("hobnail",P17,1)),ISNUMBER(SEARCH("cribriform",P17,1)),ISNUMBER(SEARCH("diffuse",P17,1)),ISNUMBER(SEARCH("columnar",P17,1)),ISNUMBER(SEARCH("solid",P17,1)),ISNUMBER(SEARCH("tall",O17,1)),ISNUMBER(SEARCH("hobnail",O17,1)),ISNUMBER(SEARCH("cribriform",O17,1)),ISNUMBER(SEARCH("diffuse",O17,1)),ISNUMBER(SEARCH("columnar",O17,1)),ISNUMBER(SEARCH("solid",O17,1)),AND(OR(ISNUMBER(SEARCH("papillary carcinoma",O17,1)),ISNUMBER(SEARCH("papillary microcarcinoma",O17,1))),T17="positive"),,AND(AND(ISNUMBER(K17),K17&gt;=5),N17=""),AND(AND(ISNUMBER(K17),K17&gt;=5),AND(ISNUMBER(N17),N17&gt;=1)),H17="lateral"),"intermediate","low")))</f>
        <v>NIFTP</v>
      </c>
      <c r="AH17" s="44" t="str">
        <f t="shared" ref="AH17:AH21" si="11">IF(OR(ISNUMBER(SEARCH("non-invasive follicular",O17)),ISNUMBER(SEARCH("papillary-like nuclear features",O17)),ISNUMBER(SEARCH("non-invasive follicular",P17)),ISNUMBER(SEARCH("papillary-like nuclear features",P17))),"NIFTP", IF(OR(D17="4b",AND(AC17="positive",OR(ISNUMBER(SEARCH("prevertebral",AD17)),ISNUMBER(SEARCH("fascia",AD17)),ISNUMBER(SEARCH("carotid artery",AD17)),ISNUMBER(SEARCH("mediastinal",AD17))))),"4b",IF(OR(D17="4a",AND(AC17="positive",OR(ISNUMBER(SEARCH("soft tissue",AD17)),ISNUMBER(SEARCH("larynx",AD17)),ISNUMBER(SEARCH("trachea",AD17)),ISNUMBER(SEARCH("esophagus",AD17)),ISNUMBER(SEARCH("recurrent laryngeal nerve",AD17)),ISNUMBER(SEARCH("RLN",AD17))))),"4a", IF(OR(D17="3b", AC17="positive",ISNUMBER(SEARCH("strap",AD17)),ISNUMBER(SEARCH("adipose tissue",AD17)),ISNUMBER(SEARCH("sternothyroid",AD17)),ISNUMBER(SEARCH("sternohyoid",AD17)),ISNUMBER(SEARCH("thyrohyoid",AD17)),ISNUMBER(SEARCH("omohyoid",AD17))),"3b",IF(OR(D17="3a", AND(S17&lt;&gt;"",S17&gt;4)),"3a",IF(AND(S17&lt;&gt;"", S17&lt;=4,S17&gt;2),"2",IF(AND(S17&lt;&gt;"",S17&lt;=2,S17&gt;1),"1b",IF(AND(S17&lt;&gt;"",S17&lt;=1),"1a","1a"))))))))</f>
        <v>NIFTP</v>
      </c>
      <c r="AI17" s="56" t="str">
        <f t="shared" si="5"/>
        <v>NIFTP</v>
      </c>
      <c r="AJ17" s="56" t="str">
        <f t="shared" si="6"/>
        <v>NIFTP</v>
      </c>
      <c r="AK17" s="57" t="str">
        <f t="shared" si="7"/>
        <v>NIFTP</v>
      </c>
      <c r="AL17" s="45" t="s">
        <v>73</v>
      </c>
      <c r="AM17" s="46" t="s">
        <v>73</v>
      </c>
      <c r="AN17" s="46" t="s">
        <v>73</v>
      </c>
      <c r="AO17" s="46" t="s">
        <v>73</v>
      </c>
      <c r="AP17" s="46" t="s">
        <v>73</v>
      </c>
      <c r="AQ17" s="10">
        <f>IF(AL17=AG17,1,0)</f>
        <v>1</v>
      </c>
      <c r="AR17" s="27">
        <f>IF(AM17=AH17,1,0)</f>
        <v>1</v>
      </c>
      <c r="AS17" s="27">
        <f t="shared" si="8"/>
        <v>1</v>
      </c>
      <c r="AT17" s="27">
        <f t="shared" si="9"/>
        <v>1</v>
      </c>
      <c r="AU17" s="29">
        <f t="shared" si="9"/>
        <v>1</v>
      </c>
    </row>
    <row r="18" spans="1:47">
      <c r="A18" s="13">
        <v>16</v>
      </c>
      <c r="B18" s="16">
        <f>_xlfn.MAXIFS('Model output'!B:B,'Model output'!Z:Z,'Classification result'!$A18)</f>
        <v>45331</v>
      </c>
      <c r="C18" s="17">
        <f>_xlfn.MAXIFS('Model output'!C:C,'Model output'!Z:Z,'Classification result'!$A18)</f>
        <v>43</v>
      </c>
      <c r="D18" s="17" t="str" cm="1">
        <f t="array" ref="D18">LEFT(IF(ISERROR(RIGHT(IF(INDEX(_xlfn._xlws.FILTER('Model output'!D:D,('Model output'!Z:Z=A18)),1)&lt;&gt;"",INDEX(_xlfn._xlws.FILTER('Model output'!D:D,('Model output'!Z:Z=A18)),1),""),LEN(IF(INDEX(_xlfn._xlws.FILTER('Model output'!D:D,('Model output'!Z:Z=A18)),1)&lt;&gt;"",INDEX(_xlfn._xlws.FILTER('Model output'!D:D,('Model output'!Z:Z=A18)),1),""))-FIND("T",IF(INDEX(_xlfn._xlws.FILTER('Model output'!D:D,('Model output'!Z:Z=A18)),1)&lt;&gt;"",INDEX(_xlfn._xlws.FILTER('Model output'!D:D,('Model output'!Z:Z=A18)),1),""),1))),"",(RIGHT(IF(INDEX(_xlfn._xlws.FILTER('Model output'!D:D,('Model output'!Z:Z=A18)),1)&lt;&gt;"",INDEX(_xlfn._xlws.FILTER('Model output'!D:D,('Model output'!Z:Z=A18)),1),""),LEN(IF(INDEX(_xlfn._xlws.FILTER('Model output'!D:D,('Model output'!Z:Z=A18)),1)&lt;&gt;"",INDEX(_xlfn._xlws.FILTER('Model output'!D:D,('Model output'!Z:Z=A18)),1),""))-FIND("T",IF(INDEX(_xlfn._xlws.FILTER('Model output'!D:D,('Model output'!Z:Z=A18)),1)&lt;&gt;"",INDEX(_xlfn._xlws.FILTER('Model output'!D:D,('Model output'!Z:Z=A18)),1)))))),2)</f>
        <v>2</v>
      </c>
      <c r="E18" s="17" t="str" cm="1">
        <f t="array" ref="E18">IF(ISNUMBER(SEARCH("N",IF(ISNUMBER(SEARCH("present",IF(INDEX(_xlfn._xlws.FILTER('Model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output'!Z:Z=A18)),1))),1)),RIGHT(IF(ISNUMBER(SEARCH("present",IF(INDEX(_xlfn._xlws.FILTER('Model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output'!Z:Z=A18)),1))),LEN(IF(ISNUMBER(SEARCH("present",IF(INDEX(_xlfn._xlws.FILTER('Model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output'!Z:Z=A18)),1))))-FIND("N",IF(ISNUMBER(SEARCH("present",IF(INDEX(_xlfn._xlws.FILTER('Model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output'!Z:Z=A18)),1))),1)), "")</f>
        <v>X</v>
      </c>
      <c r="F18" s="17" cm="1">
        <f t="array" ref="F18">IF(AND(SUBSTITUTE(_xlfn.TEXTJOIN("/", TRUE, _xlfn._xlws.FILTER('Model output'!F:F, 'Model output'!Z:Z=A18)),"M", "")="", I18="negative"),0,IF(I18="positive",1,0))</f>
        <v>0</v>
      </c>
      <c r="G18" t="str">
        <f t="shared" si="0"/>
        <v>positive</v>
      </c>
      <c r="H18" t="str" cm="1">
        <f t="array" ref="H18">IF(AND(K18&gt;0, _xlfn.TEXTJOIN("; ", TRUE, _xlfn._xlws.FILTER('Model output'!G:G, 'Model output'!Z:Z=A18)) &lt;&gt;"", OR(AND(ISNUMBER(SEARCH("level", _xlfn.TEXTJOIN("; ", TRUE, _xlfn._xlws.FILTER('Model output'!G:G, 'Model output'!Z:Z=A18)),1)),OR(ISNUMBER(SEARCH(" II", _xlfn.TEXTJOIN("; ", TRUE, _xlfn._xlws.FILTER('Model output'!G:G, 'Model output'!Z:Z=A18)),1)),ISNUMBER(SEARCH("2", _xlfn.TEXTJOIN("; ", TRUE, _xlfn._xlws.FILTER('Model output'!G:G, 'Model output'!Z:Z=A18)),1)),ISNUMBER(SEARCH("two", _xlfn.TEXTJOIN("; ", TRUE, _xlfn._xlws.FILTER('Model output'!G:G, 'Model output'!Z:Z=A18)),1)),ISNUMBER(SEARCH("III", _xlfn.TEXTJOIN("; ", TRUE, _xlfn._xlws.FILTER('Model output'!G:G, 'Model output'!Z:Z=A18)),1)),ISNUMBER(SEARCH("3", _xlfn.TEXTJOIN("; ", TRUE, _xlfn._xlws.FILTER('Model output'!G:G, 'Model output'!Z:Z=A18)),1)),ISNUMBER(SEARCH("three", _xlfn.TEXTJOIN("; ", TRUE, _xlfn._xlws.FILTER('Model output'!G:G, 'Model output'!Z:Z=A18)),1)),ISNUMBER(SEARCH("IV", _xlfn.TEXTJOIN("; ", TRUE, _xlfn._xlws.FILTER('Model output'!G:G, 'Model output'!Z:Z=A18)),1)),ISNUMBER(SEARCH("4", _xlfn.TEXTJOIN("; ", TRUE, _xlfn._xlws.FILTER('Model output'!G:G, 'Model output'!Z:Z=A18)),1)),ISNUMBER(SEARCH("five", _xlfn.TEXTJOIN("; ", TRUE, _xlfn._xlws.FILTER('Model output'!G:G, 'Model output'!Z:Z=A18)),1)),ISNUMBER(SEARCH("V ", _xlfn.TEXTJOIN("; ", TRUE, _xlfn._xlws.FILTER('Model output'!G:G, 'Model output'!Z:Z=A18)),1)),ISNUMBER(SEARCH("5", _xlfn.TEXTJOIN("; ", TRUE, _xlfn._xlws.FILTER('Model output'!G:G, 'Model output'!Z:Z=A18)),1)),ISNUMBER(SEARCH("five", _xlfn.TEXTJOIN("; ", TRUE, _xlfn._xlws.FILTER('Model output'!G:G, 'Model output'!Z:Z=A18)),1)),ISNUMBER(SEARCH(" lateral", _xlfn.TEXTJOIN("; ", TRUE, _xlfn._xlws.FILTER('Model output'!G:G, 'Model output'!Z:Z=A18)),1)))),ISNUMBER(SEARCH("cervical", _xlfn.TEXTJOIN("; ", TRUE, _xlfn._xlws.FILTER('Model output'!G:G, 'Model output'!Z:Z=A18)),1)),ISNUMBER(SEARCH("jugular", _xlfn.TEXTJOIN("; ", TRUE, _xlfn._xlws.FILTER('Model output'!G:G, 'Model output'!Z:Z=A18)),1)),ISNUMBER(SEARCH("left neck", _xlfn.TEXTJOIN("; ", TRUE, _xlfn._xlws.FILTER('Model output'!G:G, 'Model output'!Z:Z=A18)),1)),ISNUMBER(SEARCH("left anterior neck", _xlfn.TEXTJOIN("; ", TRUE, _xlfn._xlws.FILTER('Model output'!G:G, 'Model output'!Z:Z=A18)),1)),ISNUMBER(SEARCH("left posterior neck", _xlfn.TEXTJOIN("; ", TRUE, _xlfn._xlws.FILTER('Model output'!G:G, 'Model output'!Z:Z=A18)),1)),ISNUMBER(SEARCH("right neck", _xlfn.TEXTJOIN("; ", TRUE, _xlfn._xlws.FILTER('Model output'!G:G, 'Model output'!Z:Z=A18)),1)),ISNUMBER(SEARCH("right anterior neck", _xlfn.TEXTJOIN("; ", TRUE, _xlfn._xlws.FILTER('Model output'!G:G, 'Model output'!Z:Z=A18)),1)),ISNUMBER(SEARCH("right posterior neck", _xlfn.TEXTJOIN("; ", TRUE, _xlfn._xlws.FILTER('Model output'!G:G, 'Model output'!Z:Z=A18)),1)))),"lateral",IF(AND(K18=0, _xlfn.TEXTJOIN("; ", TRUE, _xlfn._xlws.FILTER('Model output'!G:G, 'Model output'!Z:Z=A18))=""),"", "central"))</f>
        <v>central</v>
      </c>
      <c r="I18" s="17" t="str" cm="1">
        <f t="array" ref="I18">IF(OR(ISNUMBER(SEARCH("lymph",_xlfn.TEXTJOIN("; ", TRUE, _xlfn._xlws.FILTER('Model output'!H:H, 'Model output'!Z:Z=A18)),1)), ISNUMBER(SEARCH("Not mentioned",_xlfn.TEXTJOIN("; ", TRUE, _xlfn._xlws.FILTER('Model output'!H:H, 'Model output'!Z:Z=A18)),1)),ISNUMBER(SEARCH("subcutaneous soft tissues",_xlfn.TEXTJOIN("; ", TRUE, _xlfn._xlws.FILTER('Model output'!H:H, 'Model output'!Z:Z=A18)),1)),ISNUMBER(SEARCH("larynx",_xlfn.TEXTJOIN("; ", TRUE, _xlfn._xlws.FILTER('Model output'!H:H, 'Model output'!Z:Z=A18)),1)),ISNUMBER(SEARCH("trachea",_xlfn.TEXTJOIN("; ", TRUE, _xlfn._xlws.FILTER('Model output'!H:H, 'Model output'!Z:Z=A18)),1)),ISNUMBER(SEARCH("esophagus",_xlfn.TEXTJOIN("; ", TRUE, _xlfn._xlws.FILTER('Model output'!H:H, 'Model output'!Z:Z=A18)),1)),ISNUMBER(SEARCH("recurrent laryngeal nerve",_xlfn.TEXTJOIN("; ", TRUE, _xlfn._xlws.FILTER('Model output'!H:H, 'Model output'!Z:Z=A18)),1)),ISNUMBER(SEARCH("RLN",_xlfn.TEXTJOIN("; ", TRUE, _xlfn._xlws.FILTER('Model output'!H:H, 'Model output'!Z:Z=A18)),1)),_xlfn.TEXTJOIN("; ", TRUE, _xlfn._xlws.FILTER('Model output'!H:H, 'Model output'!Z:Z=A18))=""),"negative","positive")</f>
        <v>negative</v>
      </c>
      <c r="J18" s="17">
        <f>IF(IFERROR(INDEX('Model output'!I:I, MATCH(A18, 'Model output'!Z:Z, 0)), "") &lt; K18, "", IFERROR(INDEX('Model output'!I:I, MATCH(A18, 'Model output'!Z:Z, 0)), ""))</f>
        <v>6</v>
      </c>
      <c r="K18" s="17">
        <f>IFERROR(INDEX('Model output'!J:J, MATCH(A18, 'Model output'!Z:Z, 0)), "")</f>
        <v>0</v>
      </c>
      <c r="L18" s="18" t="str" cm="1">
        <f t="array" ref="L18">ReplaceTo(ReplaceAnd(SUBSTITUTE(SUBSTITUTE(_xlfn.TEXTJOIN("; ", TRUE, _xlfn._xlws.FILTER('Model output'!K:K, 'Model output'!Z:Z=A18)), " ", ""), ",", ";")))</f>
        <v/>
      </c>
      <c r="M18" t="str" cm="1">
        <f t="array" ref="M18">IF(LEFT(IF(RIGHT(SUBSTITUTE(FilterWithUnits(L18)&amp; ";" &amp;FilterStringsWithNumericAnd(L18) &amp; ";" &amp; FilterStringsWithX(L18), ";;", ";"),1)=";",LEFT(SUBSTITUTE(FilterWithUnits(L18)&amp; ";" &amp;FilterStringsWithNumericAnd(L18) &amp; ";" &amp; FilterStringsWithX(L18), ";;", ";"),LEN(SUBSTITUTE(FilterWithUnits(L18)&amp; ";" &amp;FilterStringsWithNumericAnd(L18) &amp; ";" &amp; FilterStringsWithX(L18), ";;", ";"))-1),SUBSTITUTE(FilterWithUnits(L18)&amp; ";" &amp;FilterStringsWithNumericAnd(L18) &amp; ";" &amp; FilterStringsWithX(L18), ";;", ";")),1)=";",RIGHT(IF(RIGHT(SUBSTITUTE(FilterWithUnits(L18)&amp; ";" &amp;FilterStringsWithNumericAnd(L18) &amp; ";" &amp; FilterStringsWithX(L18), ";;", ";"),1)=";",LEFT(SUBSTITUTE(FilterWithUnits(L18)&amp; ";" &amp;FilterStringsWithNumericAnd(L18) &amp; ";" &amp; FilterStringsWithX(L18), ";;", ";"),LEN(SUBSTITUTE(FilterWithUnits(L18)&amp; ";" &amp;FilterStringsWithNumericAnd(L18) &amp; ";" &amp; FilterStringsWithX(L18), ";;", ";"))-1),SUBSTITUTE(FilterWithUnits(L18)&amp; ";" &amp;FilterStringsWithNumericAnd(L18) &amp; ";" &amp; FilterStringsWithX(L18), ";;", ";")),LEN(IF(RIGHT(SUBSTITUTE(FilterWithUnits(L18)&amp; ";" &amp;FilterStringsWithNumericAnd(L18) &amp; ";" &amp; FilterStringsWithX(L18), ";;", ";"),1)=";",LEFT(SUBSTITUTE(FilterWithUnits(L18)&amp; ";" &amp;FilterStringsWithNumericAnd(L18) &amp; ";" &amp; FilterStringsWithX(L18), ";;", ";"),LEN(SUBSTITUTE(FilterWithUnits(L18)&amp; ";" &amp;FilterStringsWithNumericAnd(L18) &amp; ";" &amp; FilterStringsWithX(L18), ";;", ";"))-1),SUBSTITUTE(FilterWithUnits(L18)&amp; ";" &amp;FilterStringsWithNumericAnd(L18) &amp; ";" &amp; FilterStringsWithX(L18), ";;", ";")))-1),IF(RIGHT(SUBSTITUTE(FilterWithUnits(L18)&amp; ";" &amp;FilterStringsWithNumericAnd(L18) &amp; ";" &amp; FilterStringsWithX(L18), ";;", ";"),1)=";",LEFT(SUBSTITUTE(FilterWithUnits(L18)&amp; ";" &amp;FilterStringsWithNumericAnd(L18) &amp; ";" &amp; FilterStringsWithX(L18), ";;", ";"),LEN(SUBSTITUTE(FilterWithUnits(L18)&amp; ";" &amp;FilterStringsWithNumericAnd(L18) &amp; ";" &amp; FilterStringsWithX(L18), ";;", ";"))-1),SUBSTITUTE(FilterWithUnits(L18)&amp; ";" &amp;FilterStringsWithNumericAnd(L18) &amp; ";" &amp; FilterStringsWithX(L18), ";;", ";")))</f>
        <v/>
      </c>
      <c r="N18" t="str" cm="1">
        <f t="array" ref="N18">IF(MaxSize((SplitDimensions(M18)))=0, "", MaxSize((SplitDimensions(M18))))</f>
        <v/>
      </c>
      <c r="O18" t="str" cm="1">
        <f t="array" ref="O18">IF(ISERROR(INDEX(_xlfn._xlws.FILTER('Model output'!L:L, ('Model output'!Z:Z=A18)*('Model output'!L:L&lt;&gt;"")), 1)), " ", LOWER(INDEX(_xlfn._xlws.FILTER('Model output'!L:L, ('Model output'!Z:Z=A18)*('Model output'!L:L&lt;&gt;"")), 1)))</f>
        <v>papillary</v>
      </c>
      <c r="P18" t="str" cm="1">
        <f t="array" ref="P18">IF(ISERROR(INDEX(_xlfn._xlws.FILTER('Model output'!M:M, ('Model output'!Z:Z=A18)*('Model output'!M:M&lt;&gt;"")), 1)), " ", LOWER(INDEX(_xlfn._xlws.FILTER('Model output'!M:M, ('Model output'!Z:Z=A18)*('Model output'!M:M&lt;&gt;"")), 1)))</f>
        <v>classic</v>
      </c>
      <c r="Q18" t="str" cm="1">
        <f t="array" ref="Q18">IF(OR(ISNUMBER(SEARCH("ly",SUBSTITUTE(INDEX(_xlfn._xlws.FILTER('Model output'!N:N,('Model output'!Z:Z=A18)*('Model output'!N:N&lt;&gt;"")),1)," ",""),1)), ISNUMBER(SEARCH("pole",SUBSTITUTE(INDEX(_xlfn._xlws.FILTER('Model output'!N:N,('Model output'!Z:Z=A18)*('Model output'!N:N&lt;&gt;"")),1)," ",""),1))),"",SUBSTITUTE(INDEX(_xlfn._xlws.FILTER('Model output'!N:N,('Model output'!Z:Z=A18)*('Model output'!N:N&lt;&gt;"")),1)," ",""))</f>
        <v>36x32x26mm</v>
      </c>
      <c r="R18" t="str" cm="1">
        <f t="array" ref="R18">IF(LEFT(IF(RIGHT(SUBSTITUTE(FilterWithUnits(Q18)&amp; ";" &amp;FilterStringsWithNumericAnd(Q18) &amp; ";" &amp; FilterStringsWithX(Q18), ";;", ";"),1)=";",LEFT(SUBSTITUTE(FilterWithUnits(Q18)&amp; ";" &amp;FilterStringsWithNumericAnd(Q18) &amp; ";" &amp; FilterStringsWithX(Q18), ";;", ";"),LEN(SUBSTITUTE(FilterWithUnits(Q18)&amp; ";" &amp;FilterStringsWithNumericAnd(Q18) &amp; ";" &amp; FilterStringsWithX(Q18), ";;", ";"))-1),SUBSTITUTE(FilterWithUnits(Q18)&amp; ";" &amp;FilterStringsWithNumericAnd(Q18) &amp; ";" &amp; FilterStringsWithX(Q18), ";;", ";")),1)=";",RIGHT(IF(RIGHT(SUBSTITUTE(FilterWithUnits(Q18)&amp; ";" &amp;FilterStringsWithNumericAnd(Q18) &amp; ";" &amp; FilterStringsWithX(Q18), ";;", ";"),1)=";",LEFT(SUBSTITUTE(FilterWithUnits(Q18)&amp; ";" &amp;FilterStringsWithNumericAnd(Q18) &amp; ";" &amp; FilterStringsWithX(Q18), ";;", ";"),LEN(SUBSTITUTE(FilterWithUnits(Q18)&amp; ";" &amp;FilterStringsWithNumericAnd(Q18) &amp; ";" &amp; FilterStringsWithX(Q18), ";;", ";"))-1),SUBSTITUTE(FilterWithUnits(Q18)&amp; ";" &amp;FilterStringsWithNumericAnd(Q18) &amp; ";" &amp; FilterStringsWithX(Q18), ";;", ";")),LEN(IF(RIGHT(SUBSTITUTE(FilterWithUnits(Q18)&amp; ";" &amp;FilterStringsWithNumericAnd(Q18) &amp; ";" &amp; FilterStringsWithX(Q18), ";;", ";"),1)=";",LEFT(SUBSTITUTE(FilterWithUnits(Q18)&amp; ";" &amp;FilterStringsWithNumericAnd(Q18) &amp; ";" &amp; FilterStringsWithX(Q18), ";;", ";"),LEN(SUBSTITUTE(FilterWithUnits(Q18)&amp; ";" &amp;FilterStringsWithNumericAnd(Q18) &amp; ";" &amp; FilterStringsWithX(Q18), ";;", ";"))-1),SUBSTITUTE(FilterWithUnits(Q18)&amp; ";" &amp;FilterStringsWithNumericAnd(Q18) &amp; ";" &amp; FilterStringsWithX(Q18), ";;", ";")))-1),IF(RIGHT(SUBSTITUTE(FilterWithUnits(Q18)&amp; ";" &amp;FilterStringsWithNumericAnd(Q18) &amp; ";" &amp; FilterStringsWithX(Q18), ";;", ";"),1)=";",LEFT(SUBSTITUTE(FilterWithUnits(Q18)&amp; ";" &amp;FilterStringsWithNumericAnd(Q18) &amp; ";" &amp; FilterStringsWithX(Q18), ";;", ";"),LEN(SUBSTITUTE(FilterWithUnits(Q18)&amp; ";" &amp;FilterStringsWithNumericAnd(Q18) &amp; ";" &amp; FilterStringsWithX(Q18), ";;", ";"))-1),SUBSTITUTE(FilterWithUnits(Q18)&amp; ";" &amp;FilterStringsWithNumericAnd(Q18) &amp; ";" &amp; FilterStringsWithX(Q18), ";;", ";")))</f>
        <v>36x32x26mm</v>
      </c>
      <c r="S18" cm="1">
        <f t="array" ref="S18">IF(MaxSize((SplitDimensions(R18)))=0, "", MaxSize((SplitDimensions(R18))))</f>
        <v>3.6</v>
      </c>
      <c r="T18" s="17" t="str" cm="1">
        <f t="array" ref="T18">IF(ISERROR(INDEX(_xlfn._xlws.FILTER('Model output'!P:P,('Model output'!Z:Z=A18)*('Model output'!P:P&lt;&gt;"")),1)),"negative",IF(OR(ISNUMBER(SEARCH("foc",INDEX(_xlfn._xlws.FILTER('Model output'!P:P,('Model output'!Z:Z=A18)*('Model output'!P:P&lt;&gt;"")),1),1)),ISNUMBER(SEARCH("extensive",INDEX(_xlfn._xlws.FILTER('Model output'!P:P,('Model output'!Z:Z=A18)*('Model output'!P:P&lt;&gt;"")),1),1)),ISNUMBER(SEARCH("present",INDEX(_xlfn._xlws.FILTER('Model output'!P:P,('Model output'!Z:Z=A18)*('Model output'!P:P&lt;&gt;"")),1),1)),ISNUMBER(SEARCH("yes",INDEX(_xlfn._xlws.FILTER('Model output'!P:P,('Model output'!Z:Z=A18)*('Model output'!P:P&lt;&gt;"")),1),1))),"positive","negative"))</f>
        <v>positive</v>
      </c>
      <c r="V18" t="str" cm="1">
        <f t="array" ref="V18">IF(ISNUMBER(SEARCH("4",INDEX(_xlfn._xlws.FILTER('Model output'!P:P,('Model output'!Z:Z=A18)*('Model output'!P:P&lt;&gt;"")),1),1)),INDEX(_xlfn._xlws.FILTER('Model output'!P:P,('Model output'!Z:Z=A18)*('Model output'!P:P&lt;&gt;"")),1),"") &amp; _xlfn.TEXTJOIN("",TRUE,_xlfn._xlws.FILTER('Model output'!Q:Q,'Model output'!Z:Z=A18))</f>
        <v/>
      </c>
      <c r="W18" t="str">
        <f t="shared" si="2"/>
        <v>minimal</v>
      </c>
      <c r="X18" t="str" cm="1">
        <f t="array" ref="X18">IF(OR(ISNUMBER(SEARCH("focal",_xlfn.TEXTJOIN("; ",TRUE,_xlfn._xlws.FILTER('Model output'!R:R,'Model output'!Z:Z=A18)),1)),ISNUMBER(SEARCH("present",_xlfn.TEXTJOIN("; ",TRUE,_xlfn._xlws.FILTER('Model output'!R:R,'Model output'!Z:Z=A18)),1))),"positive",IF(_xlfn.TEXTJOIN("; ",TRUE,_xlfn._xlws.FILTER('Model output'!R:R,'Model output'!Z:Z=A18))="","negative",IF(OR(ISNUMBER(SEARCH("no",_xlfn.TEXTJOIN("; ",TRUE,_xlfn._xlws.FILTER('Model output'!R:R,'Model output'!Z:Z=A18)),1)),ISNUMBER(SEARCH("absent",_xlfn.TEXTJOIN("; ",TRUE,_xlfn._xlws.FILTER('Model output'!R:R,'Model output'!Z:Z=A18)),1))),"negative","positive")))</f>
        <v>positive</v>
      </c>
      <c r="Y18" s="17" t="str">
        <f t="shared" si="3"/>
        <v>positive</v>
      </c>
      <c r="AC18" s="17" t="str">
        <f t="shared" si="4"/>
        <v>negative</v>
      </c>
      <c r="AD18" t="str" cm="1">
        <f t="array" ref="AD18">_xlfn.TEXTJOIN("; ",TRUE,_xlfn._xlws.FILTER('Model output'!S:S,'Model output'!Z:Z=A18))</f>
        <v>Present</v>
      </c>
      <c r="AE18" s="17" t="str" cm="1">
        <f t="array" ref="AE18">IF(OR(ISNUMBER(SEARCH("uninvolved",_xlfn.TEXTJOIN("; ",TRUE,_xlfn._xlws.FILTER('Model output'!V:V,'Model output'!Z:Z=A18)),1)),ISNUMBER(SEARCH("clear",_xlfn.TEXTJOIN("; ",TRUE,_xlfn._xlws.FILTER('Model output'!V:V,'Model output'!Z:Z=A18)),1))*ISNUMBER(SEARCH("not mentioned",_xlfn.TEXTJOIN("; ",TRUE,_xlfn._xlws.FILTER('Model output'!V:V,'Model output'!Z:Z=A18)),1))),"negative",IF(ISNUMBER(SEARCH("cannot be assessed",_xlfn.TEXTJOIN("; ",TRUE,_xlfn._xlws.FILTER('Model output'!V:V,'Model output'!Z:Z=A18)),1)),"unknown","negative"))</f>
        <v>negative</v>
      </c>
      <c r="AG18" s="43" t="str">
        <f>IF(OR(ISNUMBER(SEARCH("non-invasive follicular",O18,1)), ISNUMBER(SEARCH("papillary-like nuclear features",P18,1)), ISNUMBER(SEARCH("non-invasive follicular",P18,1)),ISNUMBER(SEARCH("papillary-like nuclear features",P18,1))),"NIFTP", IF(OR(I18="positive",AC18="positive",AND(OR(ISNUMBER(SEARCH("follicular", O18)),ISNUMBER(SEARCH("FTC", O18))),W18="extensive"),AND(G18="positive",ISNUMBER(N18),N18&gt;3),AI18=1),"high",IF(OR(ISNUMBER(SEARCH("positive",Y18,1)),ISNUMBER(SEARCH("tall",P18,1)),ISNUMBER(SEARCH("hobnail",P18,1)),ISNUMBER(SEARCH("cribriform",P18,1)),ISNUMBER(SEARCH("diffuse",P18,1)),ISNUMBER(SEARCH("columnar",P18,1)),ISNUMBER(SEARCH("solid",P18,1)),ISNUMBER(SEARCH("tall",O18,1)),ISNUMBER(SEARCH("hobnail",O18,1)),ISNUMBER(SEARCH("cribriform",O18,1)),ISNUMBER(SEARCH("diffuse",O18,1)),ISNUMBER(SEARCH("columnar",O18,1)),ISNUMBER(SEARCH("solid",O18,1)),AND(OR(ISNUMBER(SEARCH("papillary carcinoma",O18,1)),ISNUMBER(SEARCH("papillary microcarcinoma",O18,1))),T18="positive"),,AND(AND(ISNUMBER(K18),K18&gt;=5),N18=""),AND(AND(ISNUMBER(K18),K18&gt;=5),AND(ISNUMBER(N18),N18&gt;=1)),H18="lateral"),"intermediate","low")))</f>
        <v>intermediate</v>
      </c>
      <c r="AH18" s="44" t="str">
        <f t="shared" si="11"/>
        <v>2</v>
      </c>
      <c r="AI18" s="56">
        <f t="shared" si="5"/>
        <v>0</v>
      </c>
      <c r="AJ18" s="56">
        <f t="shared" si="6"/>
        <v>0</v>
      </c>
      <c r="AK18" s="57" t="str">
        <f t="shared" si="7"/>
        <v>I</v>
      </c>
      <c r="AL18" s="45" t="s">
        <v>167</v>
      </c>
      <c r="AM18" s="46" t="s">
        <v>343</v>
      </c>
      <c r="AN18" s="46">
        <v>0</v>
      </c>
      <c r="AO18" s="46">
        <v>0</v>
      </c>
      <c r="AP18" s="46" t="s">
        <v>31</v>
      </c>
      <c r="AQ18" s="10">
        <f>IF(AL18=AG18,1,0)</f>
        <v>1</v>
      </c>
      <c r="AR18" s="27">
        <f>IF(AM18=AH18,1,0)</f>
        <v>1</v>
      </c>
      <c r="AS18" s="27">
        <f t="shared" si="8"/>
        <v>1</v>
      </c>
      <c r="AT18" s="27">
        <f t="shared" si="9"/>
        <v>1</v>
      </c>
      <c r="AU18" s="29">
        <f t="shared" si="9"/>
        <v>1</v>
      </c>
    </row>
    <row r="19" spans="1:47">
      <c r="A19" s="13">
        <v>17</v>
      </c>
      <c r="B19" s="16">
        <f>_xlfn.MAXIFS('Model output'!B:B,'Model output'!Z:Z,'Classification result'!$A19)</f>
        <v>45457</v>
      </c>
      <c r="C19" s="17">
        <f>_xlfn.MAXIFS('Model output'!C:C,'Model output'!Z:Z,'Classification result'!$A19)</f>
        <v>49</v>
      </c>
      <c r="D19" s="17" t="str" cm="1">
        <f t="array" ref="D19">LEFT(IF(ISERROR(RIGHT(IF(INDEX(_xlfn._xlws.FILTER('Model output'!D:D,('Model output'!Z:Z=A19)),1)&lt;&gt;"",INDEX(_xlfn._xlws.FILTER('Model output'!D:D,('Model output'!Z:Z=A19)),1),""),LEN(IF(INDEX(_xlfn._xlws.FILTER('Model output'!D:D,('Model output'!Z:Z=A19)),1)&lt;&gt;"",INDEX(_xlfn._xlws.FILTER('Model output'!D:D,('Model output'!Z:Z=A19)),1),""))-FIND("T",IF(INDEX(_xlfn._xlws.FILTER('Model output'!D:D,('Model output'!Z:Z=A19)),1)&lt;&gt;"",INDEX(_xlfn._xlws.FILTER('Model output'!D:D,('Model output'!Z:Z=A19)),1),""),1))),"",(RIGHT(IF(INDEX(_xlfn._xlws.FILTER('Model output'!D:D,('Model output'!Z:Z=A19)),1)&lt;&gt;"",INDEX(_xlfn._xlws.FILTER('Model output'!D:D,('Model output'!Z:Z=A19)),1),""),LEN(IF(INDEX(_xlfn._xlws.FILTER('Model output'!D:D,('Model output'!Z:Z=A19)),1)&lt;&gt;"",INDEX(_xlfn._xlws.FILTER('Model output'!D:D,('Model output'!Z:Z=A19)),1),""))-FIND("T",IF(INDEX(_xlfn._xlws.FILTER('Model output'!D:D,('Model output'!Z:Z=A19)),1)&lt;&gt;"",INDEX(_xlfn._xlws.FILTER('Model output'!D:D,('Model output'!Z:Z=A19)),1)))))),2)</f>
        <v>1b</v>
      </c>
      <c r="E19" s="17" t="str" cm="1">
        <f t="array" ref="E19">IF(ISNUMBER(SEARCH("N",IF(ISNUMBER(SEARCH("present",IF(INDEX(_xlfn._xlws.FILTER('Model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output'!Z:Z=A19)),1))),1)),RIGHT(IF(ISNUMBER(SEARCH("present",IF(INDEX(_xlfn._xlws.FILTER('Model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output'!Z:Z=A19)),1))),LEN(IF(ISNUMBER(SEARCH("present",IF(INDEX(_xlfn._xlws.FILTER('Model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output'!Z:Z=A19)),1))))-FIND("N",IF(ISNUMBER(SEARCH("present",IF(INDEX(_xlfn._xlws.FILTER('Model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output'!Z:Z=A19)),1))),1)), "")</f>
        <v>1b</v>
      </c>
      <c r="F19" s="17" cm="1">
        <f t="array" ref="F19">IF(AND(SUBSTITUTE(_xlfn.TEXTJOIN("/", TRUE, _xlfn._xlws.FILTER('Model output'!F:F, 'Model output'!Z:Z=A19)),"M", "")="", I19="negative"),0,IF(I19="positive",1,0))</f>
        <v>0</v>
      </c>
      <c r="G19" t="str">
        <f t="shared" si="0"/>
        <v>positive</v>
      </c>
      <c r="H19" t="str" cm="1">
        <f t="array" ref="H19">IF(AND(K19&gt;0, _xlfn.TEXTJOIN("; ", TRUE, _xlfn._xlws.FILTER('Model output'!G:G, 'Model output'!Z:Z=A19)) &lt;&gt;"", OR(AND(ISNUMBER(SEARCH("level", _xlfn.TEXTJOIN("; ", TRUE, _xlfn._xlws.FILTER('Model output'!G:G, 'Model output'!Z:Z=A19)),1)),OR(ISNUMBER(SEARCH(" II", _xlfn.TEXTJOIN("; ", TRUE, _xlfn._xlws.FILTER('Model output'!G:G, 'Model output'!Z:Z=A19)),1)),ISNUMBER(SEARCH("2", _xlfn.TEXTJOIN("; ", TRUE, _xlfn._xlws.FILTER('Model output'!G:G, 'Model output'!Z:Z=A19)),1)),ISNUMBER(SEARCH("two", _xlfn.TEXTJOIN("; ", TRUE, _xlfn._xlws.FILTER('Model output'!G:G, 'Model output'!Z:Z=A19)),1)),ISNUMBER(SEARCH("III", _xlfn.TEXTJOIN("; ", TRUE, _xlfn._xlws.FILTER('Model output'!G:G, 'Model output'!Z:Z=A19)),1)),ISNUMBER(SEARCH("3", _xlfn.TEXTJOIN("; ", TRUE, _xlfn._xlws.FILTER('Model output'!G:G, 'Model output'!Z:Z=A19)),1)),ISNUMBER(SEARCH("three", _xlfn.TEXTJOIN("; ", TRUE, _xlfn._xlws.FILTER('Model output'!G:G, 'Model output'!Z:Z=A19)),1)),ISNUMBER(SEARCH("IV", _xlfn.TEXTJOIN("; ", TRUE, _xlfn._xlws.FILTER('Model output'!G:G, 'Model output'!Z:Z=A19)),1)),ISNUMBER(SEARCH("4", _xlfn.TEXTJOIN("; ", TRUE, _xlfn._xlws.FILTER('Model output'!G:G, 'Model output'!Z:Z=A19)),1)),ISNUMBER(SEARCH("five", _xlfn.TEXTJOIN("; ", TRUE, _xlfn._xlws.FILTER('Model output'!G:G, 'Model output'!Z:Z=A19)),1)),ISNUMBER(SEARCH("V ", _xlfn.TEXTJOIN("; ", TRUE, _xlfn._xlws.FILTER('Model output'!G:G, 'Model output'!Z:Z=A19)),1)),ISNUMBER(SEARCH("5", _xlfn.TEXTJOIN("; ", TRUE, _xlfn._xlws.FILTER('Model output'!G:G, 'Model output'!Z:Z=A19)),1)),ISNUMBER(SEARCH("five", _xlfn.TEXTJOIN("; ", TRUE, _xlfn._xlws.FILTER('Model output'!G:G, 'Model output'!Z:Z=A19)),1)),ISNUMBER(SEARCH(" lateral", _xlfn.TEXTJOIN("; ", TRUE, _xlfn._xlws.FILTER('Model output'!G:G, 'Model output'!Z:Z=A19)),1)))),ISNUMBER(SEARCH("cervical", _xlfn.TEXTJOIN("; ", TRUE, _xlfn._xlws.FILTER('Model output'!G:G, 'Model output'!Z:Z=A19)),1)),ISNUMBER(SEARCH("jugular", _xlfn.TEXTJOIN("; ", TRUE, _xlfn._xlws.FILTER('Model output'!G:G, 'Model output'!Z:Z=A19)),1)),ISNUMBER(SEARCH("left neck", _xlfn.TEXTJOIN("; ", TRUE, _xlfn._xlws.FILTER('Model output'!G:G, 'Model output'!Z:Z=A19)),1)),ISNUMBER(SEARCH("left anterior neck", _xlfn.TEXTJOIN("; ", TRUE, _xlfn._xlws.FILTER('Model output'!G:G, 'Model output'!Z:Z=A19)),1)),ISNUMBER(SEARCH("left posterior neck", _xlfn.TEXTJOIN("; ", TRUE, _xlfn._xlws.FILTER('Model output'!G:G, 'Model output'!Z:Z=A19)),1)),ISNUMBER(SEARCH("right neck", _xlfn.TEXTJOIN("; ", TRUE, _xlfn._xlws.FILTER('Model output'!G:G, 'Model output'!Z:Z=A19)),1)),ISNUMBER(SEARCH("right anterior neck", _xlfn.TEXTJOIN("; ", TRUE, _xlfn._xlws.FILTER('Model output'!G:G, 'Model output'!Z:Z=A19)),1)),ISNUMBER(SEARCH("right posterior neck", _xlfn.TEXTJOIN("; ", TRUE, _xlfn._xlws.FILTER('Model output'!G:G, 'Model output'!Z:Z=A19)),1)))),"lateral",IF(AND(K19=0, _xlfn.TEXTJOIN("; ", TRUE, _xlfn._xlws.FILTER('Model output'!G:G, 'Model output'!Z:Z=A19))=""),"", "central"))</f>
        <v>lateral</v>
      </c>
      <c r="I19" s="17" t="str" cm="1">
        <f t="array" ref="I19">IF(OR(ISNUMBER(SEARCH("lymph",_xlfn.TEXTJOIN("; ", TRUE, _xlfn._xlws.FILTER('Model output'!H:H, 'Model output'!Z:Z=A19)),1)), ISNUMBER(SEARCH("Not mentioned",_xlfn.TEXTJOIN("; ", TRUE, _xlfn._xlws.FILTER('Model output'!H:H, 'Model output'!Z:Z=A19)),1)),ISNUMBER(SEARCH("subcutaneous soft tissues",_xlfn.TEXTJOIN("; ", TRUE, _xlfn._xlws.FILTER('Model output'!H:H, 'Model output'!Z:Z=A19)),1)),ISNUMBER(SEARCH("larynx",_xlfn.TEXTJOIN("; ", TRUE, _xlfn._xlws.FILTER('Model output'!H:H, 'Model output'!Z:Z=A19)),1)),ISNUMBER(SEARCH("trachea",_xlfn.TEXTJOIN("; ", TRUE, _xlfn._xlws.FILTER('Model output'!H:H, 'Model output'!Z:Z=A19)),1)),ISNUMBER(SEARCH("esophagus",_xlfn.TEXTJOIN("; ", TRUE, _xlfn._xlws.FILTER('Model output'!H:H, 'Model output'!Z:Z=A19)),1)),ISNUMBER(SEARCH("recurrent laryngeal nerve",_xlfn.TEXTJOIN("; ", TRUE, _xlfn._xlws.FILTER('Model output'!H:H, 'Model output'!Z:Z=A19)),1)),ISNUMBER(SEARCH("RLN",_xlfn.TEXTJOIN("; ", TRUE, _xlfn._xlws.FILTER('Model output'!H:H, 'Model output'!Z:Z=A19)),1)),_xlfn.TEXTJOIN("; ", TRUE, _xlfn._xlws.FILTER('Model output'!H:H, 'Model output'!Z:Z=A19))=""),"negative","positive")</f>
        <v>negative</v>
      </c>
      <c r="J19" s="17">
        <f>IF(IFERROR(INDEX('Model output'!I:I, MATCH(A19, 'Model output'!Z:Z, 0)), "") &lt; K19, "", IFERROR(INDEX('Model output'!I:I, MATCH(A19, 'Model output'!Z:Z, 0)), ""))</f>
        <v>21</v>
      </c>
      <c r="K19" s="17">
        <f>IFERROR(INDEX('Model output'!J:J, MATCH(A19, 'Model output'!Z:Z, 0)), "")</f>
        <v>5</v>
      </c>
      <c r="L19" s="18" t="str" cm="1">
        <f t="array" ref="L19">ReplaceTo(ReplaceAnd(SUBSTITUTE(SUBSTITUTE(_xlfn.TEXTJOIN("; ", TRUE, _xlfn._xlws.FILTER('Model output'!K:K, 'Model output'!Z:Z=A19)), " ", ""), ",", ";")))</f>
        <v>8mm</v>
      </c>
      <c r="M19" t="str" cm="1">
        <f t="array" ref="M19">IF(LEFT(IF(RIGHT(SUBSTITUTE(FilterWithUnits(L19)&amp; ";" &amp;FilterStringsWithNumericAnd(L19) &amp; ";" &amp; FilterStringsWithX(L19), ";;", ";"),1)=";",LEFT(SUBSTITUTE(FilterWithUnits(L19)&amp; ";" &amp;FilterStringsWithNumericAnd(L19) &amp; ";" &amp; FilterStringsWithX(L19), ";;", ";"),LEN(SUBSTITUTE(FilterWithUnits(L19)&amp; ";" &amp;FilterStringsWithNumericAnd(L19) &amp; ";" &amp; FilterStringsWithX(L19), ";;", ";"))-1),SUBSTITUTE(FilterWithUnits(L19)&amp; ";" &amp;FilterStringsWithNumericAnd(L19) &amp; ";" &amp; FilterStringsWithX(L19), ";;", ";")),1)=";",RIGHT(IF(RIGHT(SUBSTITUTE(FilterWithUnits(L19)&amp; ";" &amp;FilterStringsWithNumericAnd(L19) &amp; ";" &amp; FilterStringsWithX(L19), ";;", ";"),1)=";",LEFT(SUBSTITUTE(FilterWithUnits(L19)&amp; ";" &amp;FilterStringsWithNumericAnd(L19) &amp; ";" &amp; FilterStringsWithX(L19), ";;", ";"),LEN(SUBSTITUTE(FilterWithUnits(L19)&amp; ";" &amp;FilterStringsWithNumericAnd(L19) &amp; ";" &amp; FilterStringsWithX(L19), ";;", ";"))-1),SUBSTITUTE(FilterWithUnits(L19)&amp; ";" &amp;FilterStringsWithNumericAnd(L19) &amp; ";" &amp; FilterStringsWithX(L19), ";;", ";")),LEN(IF(RIGHT(SUBSTITUTE(FilterWithUnits(L19)&amp; ";" &amp;FilterStringsWithNumericAnd(L19) &amp; ";" &amp; FilterStringsWithX(L19), ";;", ";"),1)=";",LEFT(SUBSTITUTE(FilterWithUnits(L19)&amp; ";" &amp;FilterStringsWithNumericAnd(L19) &amp; ";" &amp; FilterStringsWithX(L19), ";;", ";"),LEN(SUBSTITUTE(FilterWithUnits(L19)&amp; ";" &amp;FilterStringsWithNumericAnd(L19) &amp; ";" &amp; FilterStringsWithX(L19), ";;", ";"))-1),SUBSTITUTE(FilterWithUnits(L19)&amp; ";" &amp;FilterStringsWithNumericAnd(L19) &amp; ";" &amp; FilterStringsWithX(L19), ";;", ";")))-1),IF(RIGHT(SUBSTITUTE(FilterWithUnits(L19)&amp; ";" &amp;FilterStringsWithNumericAnd(L19) &amp; ";" &amp; FilterStringsWithX(L19), ";;", ";"),1)=";",LEFT(SUBSTITUTE(FilterWithUnits(L19)&amp; ";" &amp;FilterStringsWithNumericAnd(L19) &amp; ";" &amp; FilterStringsWithX(L19), ";;", ";"),LEN(SUBSTITUTE(FilterWithUnits(L19)&amp; ";" &amp;FilterStringsWithNumericAnd(L19) &amp; ";" &amp; FilterStringsWithX(L19), ";;", ";"))-1),SUBSTITUTE(FilterWithUnits(L19)&amp; ";" &amp;FilterStringsWithNumericAnd(L19) &amp; ";" &amp; FilterStringsWithX(L19), ";;", ";")))</f>
        <v>8mm</v>
      </c>
      <c r="N19" cm="1">
        <f t="array" ref="N19">IF(MaxSize((SplitDimensions(M19)))=0, "", MaxSize((SplitDimensions(M19))))</f>
        <v>0.8</v>
      </c>
      <c r="O19" t="str" cm="1">
        <f t="array" ref="O19">IF(ISERROR(INDEX(_xlfn._xlws.FILTER('Model output'!L:L, ('Model output'!Z:Z=A19)*('Model output'!L:L&lt;&gt;"")), 1)), " ", LOWER(INDEX(_xlfn._xlws.FILTER('Model output'!L:L, ('Model output'!Z:Z=A19)*('Model output'!L:L&lt;&gt;"")), 1)))</f>
        <v>papillary</v>
      </c>
      <c r="P19" t="str" cm="1">
        <f t="array" ref="P19">IF(ISERROR(INDEX(_xlfn._xlws.FILTER('Model output'!M:M, ('Model output'!Z:Z=A19)*('Model output'!M:M&lt;&gt;"")), 1)), " ", LOWER(INDEX(_xlfn._xlws.FILTER('Model output'!M:M, ('Model output'!Z:Z=A19)*('Model output'!M:M&lt;&gt;"")), 1)))</f>
        <v>classic</v>
      </c>
      <c r="Q19" t="str" cm="1">
        <f t="array" ref="Q19">IF(OR(ISNUMBER(SEARCH("ly",SUBSTITUTE(INDEX(_xlfn._xlws.FILTER('Model output'!N:N,('Model output'!Z:Z=A19)*('Model output'!N:N&lt;&gt;"")),1)," ",""),1)), ISNUMBER(SEARCH("pole",SUBSTITUTE(INDEX(_xlfn._xlws.FILTER('Model output'!N:N,('Model output'!Z:Z=A19)*('Model output'!N:N&lt;&gt;"")),1)," ",""),1))),"",SUBSTITUTE(INDEX(_xlfn._xlws.FILTER('Model output'!N:N,('Model output'!Z:Z=A19)*('Model output'!N:N&lt;&gt;"")),1)," ",""))</f>
        <v>11mm</v>
      </c>
      <c r="R19" t="str" cm="1">
        <f t="array" ref="R19">IF(LEFT(IF(RIGHT(SUBSTITUTE(FilterWithUnits(Q19)&amp; ";" &amp;FilterStringsWithNumericAnd(Q19) &amp; ";" &amp; FilterStringsWithX(Q19), ";;", ";"),1)=";",LEFT(SUBSTITUTE(FilterWithUnits(Q19)&amp; ";" &amp;FilterStringsWithNumericAnd(Q19) &amp; ";" &amp; FilterStringsWithX(Q19), ";;", ";"),LEN(SUBSTITUTE(FilterWithUnits(Q19)&amp; ";" &amp;FilterStringsWithNumericAnd(Q19) &amp; ";" &amp; FilterStringsWithX(Q19), ";;", ";"))-1),SUBSTITUTE(FilterWithUnits(Q19)&amp; ";" &amp;FilterStringsWithNumericAnd(Q19) &amp; ";" &amp; FilterStringsWithX(Q19), ";;", ";")),1)=";",RIGHT(IF(RIGHT(SUBSTITUTE(FilterWithUnits(Q19)&amp; ";" &amp;FilterStringsWithNumericAnd(Q19) &amp; ";" &amp; FilterStringsWithX(Q19), ";;", ";"),1)=";",LEFT(SUBSTITUTE(FilterWithUnits(Q19)&amp; ";" &amp;FilterStringsWithNumericAnd(Q19) &amp; ";" &amp; FilterStringsWithX(Q19), ";;", ";"),LEN(SUBSTITUTE(FilterWithUnits(Q19)&amp; ";" &amp;FilterStringsWithNumericAnd(Q19) &amp; ";" &amp; FilterStringsWithX(Q19), ";;", ";"))-1),SUBSTITUTE(FilterWithUnits(Q19)&amp; ";" &amp;FilterStringsWithNumericAnd(Q19) &amp; ";" &amp; FilterStringsWithX(Q19), ";;", ";")),LEN(IF(RIGHT(SUBSTITUTE(FilterWithUnits(Q19)&amp; ";" &amp;FilterStringsWithNumericAnd(Q19) &amp; ";" &amp; FilterStringsWithX(Q19), ";;", ";"),1)=";",LEFT(SUBSTITUTE(FilterWithUnits(Q19)&amp; ";" &amp;FilterStringsWithNumericAnd(Q19) &amp; ";" &amp; FilterStringsWithX(Q19), ";;", ";"),LEN(SUBSTITUTE(FilterWithUnits(Q19)&amp; ";" &amp;FilterStringsWithNumericAnd(Q19) &amp; ";" &amp; FilterStringsWithX(Q19), ";;", ";"))-1),SUBSTITUTE(FilterWithUnits(Q19)&amp; ";" &amp;FilterStringsWithNumericAnd(Q19) &amp; ";" &amp; FilterStringsWithX(Q19), ";;", ";")))-1),IF(RIGHT(SUBSTITUTE(FilterWithUnits(Q19)&amp; ";" &amp;FilterStringsWithNumericAnd(Q19) &amp; ";" &amp; FilterStringsWithX(Q19), ";;", ";"),1)=";",LEFT(SUBSTITUTE(FilterWithUnits(Q19)&amp; ";" &amp;FilterStringsWithNumericAnd(Q19) &amp; ";" &amp; FilterStringsWithX(Q19), ";;", ";"),LEN(SUBSTITUTE(FilterWithUnits(Q19)&amp; ";" &amp;FilterStringsWithNumericAnd(Q19) &amp; ";" &amp; FilterStringsWithX(Q19), ";;", ";"))-1),SUBSTITUTE(FilterWithUnits(Q19)&amp; ";" &amp;FilterStringsWithNumericAnd(Q19) &amp; ";" &amp; FilterStringsWithX(Q19), ";;", ";")))</f>
        <v>11mm</v>
      </c>
      <c r="S19" cm="1">
        <f t="array" ref="S19">IF(MaxSize((SplitDimensions(R19)))=0, "", MaxSize((SplitDimensions(R19))))</f>
        <v>1.1000000000000001</v>
      </c>
      <c r="T19" s="17" t="str" cm="1">
        <f t="array" ref="T19">IF(ISERROR(INDEX(_xlfn._xlws.FILTER('Model output'!P:P,('Model output'!Z:Z=A19)*('Model output'!P:P&lt;&gt;"")),1)),"negative",IF(OR(ISNUMBER(SEARCH("foc",INDEX(_xlfn._xlws.FILTER('Model output'!P:P,('Model output'!Z:Z=A19)*('Model output'!P:P&lt;&gt;"")),1),1)),ISNUMBER(SEARCH("extensive",INDEX(_xlfn._xlws.FILTER('Model output'!P:P,('Model output'!Z:Z=A19)*('Model output'!P:P&lt;&gt;"")),1),1)),ISNUMBER(SEARCH("present",INDEX(_xlfn._xlws.FILTER('Model output'!P:P,('Model output'!Z:Z=A19)*('Model output'!P:P&lt;&gt;"")),1),1)),ISNUMBER(SEARCH("yes",INDEX(_xlfn._xlws.FILTER('Model output'!P:P,('Model output'!Z:Z=A19)*('Model output'!P:P&lt;&gt;"")),1),1))),"positive","negative"))</f>
        <v>negative</v>
      </c>
      <c r="V19" t="str" cm="1">
        <f t="array" ref="V19">IF(ISNUMBER(SEARCH("4",INDEX(_xlfn._xlws.FILTER('Model output'!P:P,('Model output'!Z:Z=A19)*('Model output'!P:P&lt;&gt;"")),1),1)),INDEX(_xlfn._xlws.FILTER('Model output'!P:P,('Model output'!Z:Z=A19)*('Model output'!P:P&lt;&gt;"")),1),"") &amp; _xlfn.TEXTJOIN("",TRUE,_xlfn._xlws.FILTER('Model output'!Q:Q,'Model output'!Z:Z=A19))</f>
        <v/>
      </c>
      <c r="W19" t="str">
        <f t="shared" si="2"/>
        <v>no</v>
      </c>
      <c r="X19" t="str" cm="1">
        <f t="array" ref="X19">IF(OR(ISNUMBER(SEARCH("focal",_xlfn.TEXTJOIN("; ",TRUE,_xlfn._xlws.FILTER('Model output'!R:R,'Model output'!Z:Z=A19)),1)),ISNUMBER(SEARCH("present",_xlfn.TEXTJOIN("; ",TRUE,_xlfn._xlws.FILTER('Model output'!R:R,'Model output'!Z:Z=A19)),1))),"positive",IF(_xlfn.TEXTJOIN("; ",TRUE,_xlfn._xlws.FILTER('Model output'!R:R,'Model output'!Z:Z=A19))="","negative",IF(OR(ISNUMBER(SEARCH("no",_xlfn.TEXTJOIN("; ",TRUE,_xlfn._xlws.FILTER('Model output'!R:R,'Model output'!Z:Z=A19)),1)),ISNUMBER(SEARCH("absent",_xlfn.TEXTJOIN("; ",TRUE,_xlfn._xlws.FILTER('Model output'!R:R,'Model output'!Z:Z=A19)),1))),"negative","positive")))</f>
        <v>negative</v>
      </c>
      <c r="Y19" s="17" t="str">
        <f t="shared" si="3"/>
        <v>negative</v>
      </c>
      <c r="AC19" s="17" t="str">
        <f t="shared" si="4"/>
        <v>negative</v>
      </c>
      <c r="AD19" t="str" cm="1">
        <f t="array" ref="AD19">_xlfn.TEXTJOIN("; ",TRUE,_xlfn._xlws.FILTER('Model output'!S:S,'Model output'!Z:Z=A19))</f>
        <v/>
      </c>
      <c r="AE19" s="17" t="str" cm="1">
        <f t="array" ref="AE19">IF(OR(ISNUMBER(SEARCH("uninvolved",_xlfn.TEXTJOIN("; ",TRUE,_xlfn._xlws.FILTER('Model output'!V:V,'Model output'!Z:Z=A19)),1)),ISNUMBER(SEARCH("clear",_xlfn.TEXTJOIN("; ",TRUE,_xlfn._xlws.FILTER('Model output'!V:V,'Model output'!Z:Z=A19)),1))*ISNUMBER(SEARCH("not mentioned",_xlfn.TEXTJOIN("; ",TRUE,_xlfn._xlws.FILTER('Model output'!V:V,'Model output'!Z:Z=A19)),1))),"negative",IF(ISNUMBER(SEARCH("cannot be assessed",_xlfn.TEXTJOIN("; ",TRUE,_xlfn._xlws.FILTER('Model output'!V:V,'Model output'!Z:Z=A19)),1)),"unknown","negative"))</f>
        <v>negative</v>
      </c>
      <c r="AG19" s="43" t="str">
        <f>IF(OR(ISNUMBER(SEARCH("non-invasive follicular",O19,1)), ISNUMBER(SEARCH("papillary-like nuclear features",P19,1)), ISNUMBER(SEARCH("non-invasive follicular",P19,1)),ISNUMBER(SEARCH("papillary-like nuclear features",P19,1))),"NIFTP", IF(OR(I19="positive",AC19="positive",AND(OR(ISNUMBER(SEARCH("follicular", O19)),ISNUMBER(SEARCH("FTC", O19))),W19="extensive"),AND(G19="positive",ISNUMBER(N19),N19&gt;3),AI19=1),"high",IF(OR(ISNUMBER(SEARCH("positive",Y19,1)),ISNUMBER(SEARCH("tall",P19,1)),ISNUMBER(SEARCH("hobnail",P19,1)),ISNUMBER(SEARCH("cribriform",P19,1)),ISNUMBER(SEARCH("diffuse",P19,1)),ISNUMBER(SEARCH("columnar",P19,1)),ISNUMBER(SEARCH("solid",P19,1)),ISNUMBER(SEARCH("tall",O19,1)),ISNUMBER(SEARCH("hobnail",O19,1)),ISNUMBER(SEARCH("cribriform",O19,1)),ISNUMBER(SEARCH("diffuse",O19,1)),ISNUMBER(SEARCH("columnar",O19,1)),ISNUMBER(SEARCH("solid",O19,1)),AND(OR(ISNUMBER(SEARCH("papillary carcinoma",O19,1)),ISNUMBER(SEARCH("papillary microcarcinoma",O19,1))),T19="positive"),,AND(AND(ISNUMBER(K19),K19&gt;=5),N19=""),AND(AND(ISNUMBER(K19),K19&gt;=5),AND(ISNUMBER(N19),N19&gt;=1)),H19="lateral"),"intermediate","low")))</f>
        <v>intermediate</v>
      </c>
      <c r="AH19" s="44" t="str">
        <f t="shared" si="11"/>
        <v>1b</v>
      </c>
      <c r="AI19" s="56" t="str">
        <f t="shared" si="5"/>
        <v>1b</v>
      </c>
      <c r="AJ19" s="56">
        <f t="shared" si="6"/>
        <v>0</v>
      </c>
      <c r="AK19" s="57" t="str">
        <f t="shared" si="7"/>
        <v>I</v>
      </c>
      <c r="AL19" s="45" t="s">
        <v>167</v>
      </c>
      <c r="AM19" s="46" t="s">
        <v>196</v>
      </c>
      <c r="AN19" s="46" t="s">
        <v>196</v>
      </c>
      <c r="AO19" s="46">
        <v>0</v>
      </c>
      <c r="AP19" s="46" t="s">
        <v>31</v>
      </c>
      <c r="AQ19" s="10">
        <f>IF(AL19=AG19,1,0)</f>
        <v>1</v>
      </c>
      <c r="AR19" s="27">
        <f>IF(AM19=AH19,1,0)</f>
        <v>1</v>
      </c>
      <c r="AS19" s="27">
        <f t="shared" si="8"/>
        <v>1</v>
      </c>
      <c r="AT19" s="27">
        <f t="shared" si="9"/>
        <v>1</v>
      </c>
      <c r="AU19" s="29">
        <f t="shared" si="9"/>
        <v>1</v>
      </c>
    </row>
    <row r="20" spans="1:47">
      <c r="A20" s="13">
        <v>18</v>
      </c>
      <c r="B20" s="16">
        <f>_xlfn.MAXIFS('Model output'!B:B,'Model output'!Z:Z,'Classification result'!$A20)</f>
        <v>45355</v>
      </c>
      <c r="C20" s="17">
        <f>_xlfn.MAXIFS('Model output'!C:C,'Model output'!Z:Z,'Classification result'!$A20)</f>
        <v>55</v>
      </c>
      <c r="D20" s="17" t="str" cm="1">
        <f t="array" ref="D20">LEFT(IF(ISERROR(RIGHT(IF(INDEX(_xlfn._xlws.FILTER('Model output'!D:D,('Model output'!Z:Z=A20)),1)&lt;&gt;"",INDEX(_xlfn._xlws.FILTER('Model output'!D:D,('Model output'!Z:Z=A20)),1),""),LEN(IF(INDEX(_xlfn._xlws.FILTER('Model output'!D:D,('Model output'!Z:Z=A20)),1)&lt;&gt;"",INDEX(_xlfn._xlws.FILTER('Model output'!D:D,('Model output'!Z:Z=A20)),1),""))-FIND("T",IF(INDEX(_xlfn._xlws.FILTER('Model output'!D:D,('Model output'!Z:Z=A20)),1)&lt;&gt;"",INDEX(_xlfn._xlws.FILTER('Model output'!D:D,('Model output'!Z:Z=A20)),1),""),1))),"",(RIGHT(IF(INDEX(_xlfn._xlws.FILTER('Model output'!D:D,('Model output'!Z:Z=A20)),1)&lt;&gt;"",INDEX(_xlfn._xlws.FILTER('Model output'!D:D,('Model output'!Z:Z=A20)),1),""),LEN(IF(INDEX(_xlfn._xlws.FILTER('Model output'!D:D,('Model output'!Z:Z=A20)),1)&lt;&gt;"",INDEX(_xlfn._xlws.FILTER('Model output'!D:D,('Model output'!Z:Z=A20)),1),""))-FIND("T",IF(INDEX(_xlfn._xlws.FILTER('Model output'!D:D,('Model output'!Z:Z=A20)),1)&lt;&gt;"",INDEX(_xlfn._xlws.FILTER('Model output'!D:D,('Model output'!Z:Z=A20)),1)))))),2)</f>
        <v>4a</v>
      </c>
      <c r="E20" s="17" t="str" cm="1">
        <f t="array" ref="E20">IF(ISNUMBER(SEARCH("N",IF(ISNUMBER(SEARCH("present",IF(INDEX(_xlfn._xlws.FILTER('Model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output'!Z:Z=A20)),1))),1)),RIGHT(IF(ISNUMBER(SEARCH("present",IF(INDEX(_xlfn._xlws.FILTER('Model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output'!Z:Z=A20)),1))),LEN(IF(ISNUMBER(SEARCH("present",IF(INDEX(_xlfn._xlws.FILTER('Model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output'!Z:Z=A20)),1))))-FIND("N",IF(ISNUMBER(SEARCH("present",IF(INDEX(_xlfn._xlws.FILTER('Model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output'!Z:Z=A20)),1))),1)), "")</f>
        <v>1a</v>
      </c>
      <c r="F20" s="17" cm="1">
        <f t="array" ref="F20">IF(AND(SUBSTITUTE(_xlfn.TEXTJOIN("/", TRUE, _xlfn._xlws.FILTER('Model output'!F:F, 'Model output'!Z:Z=A20)),"M", "")="", I20="negative"),0,IF(I20="positive",1,0))</f>
        <v>0</v>
      </c>
      <c r="G20" t="str">
        <f t="shared" si="0"/>
        <v>positive</v>
      </c>
      <c r="H20" t="str" cm="1">
        <f t="array" ref="H20">IF(AND(K20&gt;0, _xlfn.TEXTJOIN("; ", TRUE, _xlfn._xlws.FILTER('Model output'!G:G, 'Model output'!Z:Z=A20)) &lt;&gt;"", OR(AND(ISNUMBER(SEARCH("level", _xlfn.TEXTJOIN("; ", TRUE, _xlfn._xlws.FILTER('Model output'!G:G, 'Model output'!Z:Z=A20)),1)),OR(ISNUMBER(SEARCH(" II", _xlfn.TEXTJOIN("; ", TRUE, _xlfn._xlws.FILTER('Model output'!G:G, 'Model output'!Z:Z=A20)),1)),ISNUMBER(SEARCH("2", _xlfn.TEXTJOIN("; ", TRUE, _xlfn._xlws.FILTER('Model output'!G:G, 'Model output'!Z:Z=A20)),1)),ISNUMBER(SEARCH("two", _xlfn.TEXTJOIN("; ", TRUE, _xlfn._xlws.FILTER('Model output'!G:G, 'Model output'!Z:Z=A20)),1)),ISNUMBER(SEARCH("III", _xlfn.TEXTJOIN("; ", TRUE, _xlfn._xlws.FILTER('Model output'!G:G, 'Model output'!Z:Z=A20)),1)),ISNUMBER(SEARCH("3", _xlfn.TEXTJOIN("; ", TRUE, _xlfn._xlws.FILTER('Model output'!G:G, 'Model output'!Z:Z=A20)),1)),ISNUMBER(SEARCH("three", _xlfn.TEXTJOIN("; ", TRUE, _xlfn._xlws.FILTER('Model output'!G:G, 'Model output'!Z:Z=A20)),1)),ISNUMBER(SEARCH("IV", _xlfn.TEXTJOIN("; ", TRUE, _xlfn._xlws.FILTER('Model output'!G:G, 'Model output'!Z:Z=A20)),1)),ISNUMBER(SEARCH("4", _xlfn.TEXTJOIN("; ", TRUE, _xlfn._xlws.FILTER('Model output'!G:G, 'Model output'!Z:Z=A20)),1)),ISNUMBER(SEARCH("five", _xlfn.TEXTJOIN("; ", TRUE, _xlfn._xlws.FILTER('Model output'!G:G, 'Model output'!Z:Z=A20)),1)),ISNUMBER(SEARCH("V ", _xlfn.TEXTJOIN("; ", TRUE, _xlfn._xlws.FILTER('Model output'!G:G, 'Model output'!Z:Z=A20)),1)),ISNUMBER(SEARCH("5", _xlfn.TEXTJOIN("; ", TRUE, _xlfn._xlws.FILTER('Model output'!G:G, 'Model output'!Z:Z=A20)),1)),ISNUMBER(SEARCH("five", _xlfn.TEXTJOIN("; ", TRUE, _xlfn._xlws.FILTER('Model output'!G:G, 'Model output'!Z:Z=A20)),1)),ISNUMBER(SEARCH(" lateral", _xlfn.TEXTJOIN("; ", TRUE, _xlfn._xlws.FILTER('Model output'!G:G, 'Model output'!Z:Z=A20)),1)))),ISNUMBER(SEARCH("cervical", _xlfn.TEXTJOIN("; ", TRUE, _xlfn._xlws.FILTER('Model output'!G:G, 'Model output'!Z:Z=A20)),1)),ISNUMBER(SEARCH("jugular", _xlfn.TEXTJOIN("; ", TRUE, _xlfn._xlws.FILTER('Model output'!G:G, 'Model output'!Z:Z=A20)),1)),ISNUMBER(SEARCH("left neck", _xlfn.TEXTJOIN("; ", TRUE, _xlfn._xlws.FILTER('Model output'!G:G, 'Model output'!Z:Z=A20)),1)),ISNUMBER(SEARCH("left anterior neck", _xlfn.TEXTJOIN("; ", TRUE, _xlfn._xlws.FILTER('Model output'!G:G, 'Model output'!Z:Z=A20)),1)),ISNUMBER(SEARCH("left posterior neck", _xlfn.TEXTJOIN("; ", TRUE, _xlfn._xlws.FILTER('Model output'!G:G, 'Model output'!Z:Z=A20)),1)),ISNUMBER(SEARCH("right neck", _xlfn.TEXTJOIN("; ", TRUE, _xlfn._xlws.FILTER('Model output'!G:G, 'Model output'!Z:Z=A20)),1)),ISNUMBER(SEARCH("right anterior neck", _xlfn.TEXTJOIN("; ", TRUE, _xlfn._xlws.FILTER('Model output'!G:G, 'Model output'!Z:Z=A20)),1)),ISNUMBER(SEARCH("right posterior neck", _xlfn.TEXTJOIN("; ", TRUE, _xlfn._xlws.FILTER('Model output'!G:G, 'Model output'!Z:Z=A20)),1)))),"lateral",IF(AND(K20=0, _xlfn.TEXTJOIN("; ", TRUE, _xlfn._xlws.FILTER('Model output'!G:G, 'Model output'!Z:Z=A20))=""),"", "central"))</f>
        <v>central</v>
      </c>
      <c r="I20" s="17" t="str" cm="1">
        <f t="array" ref="I20">IF(OR(ISNUMBER(SEARCH("lymph",_xlfn.TEXTJOIN("; ", TRUE, _xlfn._xlws.FILTER('Model output'!H:H, 'Model output'!Z:Z=A20)),1)), ISNUMBER(SEARCH("Not mentioned",_xlfn.TEXTJOIN("; ", TRUE, _xlfn._xlws.FILTER('Model output'!H:H, 'Model output'!Z:Z=A20)),1)),ISNUMBER(SEARCH("subcutaneous soft tissues",_xlfn.TEXTJOIN("; ", TRUE, _xlfn._xlws.FILTER('Model output'!H:H, 'Model output'!Z:Z=A20)),1)),ISNUMBER(SEARCH("larynx",_xlfn.TEXTJOIN("; ", TRUE, _xlfn._xlws.FILTER('Model output'!H:H, 'Model output'!Z:Z=A20)),1)),ISNUMBER(SEARCH("trachea",_xlfn.TEXTJOIN("; ", TRUE, _xlfn._xlws.FILTER('Model output'!H:H, 'Model output'!Z:Z=A20)),1)),ISNUMBER(SEARCH("esophagus",_xlfn.TEXTJOIN("; ", TRUE, _xlfn._xlws.FILTER('Model output'!H:H, 'Model output'!Z:Z=A20)),1)),ISNUMBER(SEARCH("recurrent laryngeal nerve",_xlfn.TEXTJOIN("; ", TRUE, _xlfn._xlws.FILTER('Model output'!H:H, 'Model output'!Z:Z=A20)),1)),ISNUMBER(SEARCH("RLN",_xlfn.TEXTJOIN("; ", TRUE, _xlfn._xlws.FILTER('Model output'!H:H, 'Model output'!Z:Z=A20)),1)),_xlfn.TEXTJOIN("; ", TRUE, _xlfn._xlws.FILTER('Model output'!H:H, 'Model output'!Z:Z=A20))=""),"negative","positive")</f>
        <v>negative</v>
      </c>
      <c r="J20" s="17">
        <f>IF(IFERROR(INDEX('Model output'!I:I, MATCH(A20, 'Model output'!Z:Z, 0)), "") &lt; K20, "", IFERROR(INDEX('Model output'!I:I, MATCH(A20, 'Model output'!Z:Z, 0)), ""))</f>
        <v>4</v>
      </c>
      <c r="K20" s="17">
        <f>IFERROR(INDEX('Model output'!J:J, MATCH(A20, 'Model output'!Z:Z, 0)), "")</f>
        <v>4</v>
      </c>
      <c r="L20" s="18" t="str" cm="1">
        <f t="array" ref="L20">ReplaceTo(ReplaceAnd(SUBSTITUTE(SUBSTITUTE(_xlfn.TEXTJOIN("; ", TRUE, _xlfn._xlws.FILTER('Model output'!K:K, 'Model output'!Z:Z=A20)), " ", ""), ",", ";")))</f>
        <v/>
      </c>
      <c r="M20" t="str" cm="1">
        <f t="array" ref="M20">IF(LEFT(IF(RIGHT(SUBSTITUTE(FilterWithUnits(L20)&amp; ";" &amp;FilterStringsWithNumericAnd(L20) &amp; ";" &amp; FilterStringsWithX(L20), ";;", ";"),1)=";",LEFT(SUBSTITUTE(FilterWithUnits(L20)&amp; ";" &amp;FilterStringsWithNumericAnd(L20) &amp; ";" &amp; FilterStringsWithX(L20), ";;", ";"),LEN(SUBSTITUTE(FilterWithUnits(L20)&amp; ";" &amp;FilterStringsWithNumericAnd(L20) &amp; ";" &amp; FilterStringsWithX(L20), ";;", ";"))-1),SUBSTITUTE(FilterWithUnits(L20)&amp; ";" &amp;FilterStringsWithNumericAnd(L20) &amp; ";" &amp; FilterStringsWithX(L20), ";;", ";")),1)=";",RIGHT(IF(RIGHT(SUBSTITUTE(FilterWithUnits(L20)&amp; ";" &amp;FilterStringsWithNumericAnd(L20) &amp; ";" &amp; FilterStringsWithX(L20), ";;", ";"),1)=";",LEFT(SUBSTITUTE(FilterWithUnits(L20)&amp; ";" &amp;FilterStringsWithNumericAnd(L20) &amp; ";" &amp; FilterStringsWithX(L20), ";;", ";"),LEN(SUBSTITUTE(FilterWithUnits(L20)&amp; ";" &amp;FilterStringsWithNumericAnd(L20) &amp; ";" &amp; FilterStringsWithX(L20), ";;", ";"))-1),SUBSTITUTE(FilterWithUnits(L20)&amp; ";" &amp;FilterStringsWithNumericAnd(L20) &amp; ";" &amp; FilterStringsWithX(L20), ";;", ";")),LEN(IF(RIGHT(SUBSTITUTE(FilterWithUnits(L20)&amp; ";" &amp;FilterStringsWithNumericAnd(L20) &amp; ";" &amp; FilterStringsWithX(L20), ";;", ";"),1)=";",LEFT(SUBSTITUTE(FilterWithUnits(L20)&amp; ";" &amp;FilterStringsWithNumericAnd(L20) &amp; ";" &amp; FilterStringsWithX(L20), ";;", ";"),LEN(SUBSTITUTE(FilterWithUnits(L20)&amp; ";" &amp;FilterStringsWithNumericAnd(L20) &amp; ";" &amp; FilterStringsWithX(L20), ";;", ";"))-1),SUBSTITUTE(FilterWithUnits(L20)&amp; ";" &amp;FilterStringsWithNumericAnd(L20) &amp; ";" &amp; FilterStringsWithX(L20), ";;", ";")))-1),IF(RIGHT(SUBSTITUTE(FilterWithUnits(L20)&amp; ";" &amp;FilterStringsWithNumericAnd(L20) &amp; ";" &amp; FilterStringsWithX(L20), ";;", ";"),1)=";",LEFT(SUBSTITUTE(FilterWithUnits(L20)&amp; ";" &amp;FilterStringsWithNumericAnd(L20) &amp; ";" &amp; FilterStringsWithX(L20), ";;", ";"),LEN(SUBSTITUTE(FilterWithUnits(L20)&amp; ";" &amp;FilterStringsWithNumericAnd(L20) &amp; ";" &amp; FilterStringsWithX(L20), ";;", ";"))-1),SUBSTITUTE(FilterWithUnits(L20)&amp; ";" &amp;FilterStringsWithNumericAnd(L20) &amp; ";" &amp; FilterStringsWithX(L20), ";;", ";")))</f>
        <v/>
      </c>
      <c r="N20" t="str" cm="1">
        <f t="array" ref="N20">IF(MaxSize((SplitDimensions(M20)))=0, "", MaxSize((SplitDimensions(M20))))</f>
        <v/>
      </c>
      <c r="O20" t="str" cm="1">
        <f t="array" ref="O20">IF(ISERROR(INDEX(_xlfn._xlws.FILTER('Model output'!L:L, ('Model output'!Z:Z=A20)*('Model output'!L:L&lt;&gt;"")), 1)), " ", LOWER(INDEX(_xlfn._xlws.FILTER('Model output'!L:L, ('Model output'!Z:Z=A20)*('Model output'!L:L&lt;&gt;"")), 1)))</f>
        <v>papillary</v>
      </c>
      <c r="P20" t="str" cm="1">
        <f t="array" ref="P20">IF(ISERROR(INDEX(_xlfn._xlws.FILTER('Model output'!M:M, ('Model output'!Z:Z=A20)*('Model output'!M:M&lt;&gt;"")), 1)), " ", LOWER(INDEX(_xlfn._xlws.FILTER('Model output'!M:M, ('Model output'!Z:Z=A20)*('Model output'!M:M&lt;&gt;"")), 1)))</f>
        <v>classic</v>
      </c>
      <c r="Q20" t="str" cm="1">
        <f t="array" ref="Q20">IF(OR(ISNUMBER(SEARCH("ly",SUBSTITUTE(INDEX(_xlfn._xlws.FILTER('Model output'!N:N,('Model output'!Z:Z=A20)*('Model output'!N:N&lt;&gt;"")),1)," ",""),1)), ISNUMBER(SEARCH("pole",SUBSTITUTE(INDEX(_xlfn._xlws.FILTER('Model output'!N:N,('Model output'!Z:Z=A20)*('Model output'!N:N&lt;&gt;"")),1)," ",""),1))),"",SUBSTITUTE(INDEX(_xlfn._xlws.FILTER('Model output'!N:N,('Model output'!Z:Z=A20)*('Model output'!N:N&lt;&gt;"")),1)," ",""))</f>
        <v>30mm</v>
      </c>
      <c r="R20" t="str" cm="1">
        <f t="array" ref="R20">IF(LEFT(IF(RIGHT(SUBSTITUTE(FilterWithUnits(Q20)&amp; ";" &amp;FilterStringsWithNumericAnd(Q20) &amp; ";" &amp; FilterStringsWithX(Q20), ";;", ";"),1)=";",LEFT(SUBSTITUTE(FilterWithUnits(Q20)&amp; ";" &amp;FilterStringsWithNumericAnd(Q20) &amp; ";" &amp; FilterStringsWithX(Q20), ";;", ";"),LEN(SUBSTITUTE(FilterWithUnits(Q20)&amp; ";" &amp;FilterStringsWithNumericAnd(Q20) &amp; ";" &amp; FilterStringsWithX(Q20), ";;", ";"))-1),SUBSTITUTE(FilterWithUnits(Q20)&amp; ";" &amp;FilterStringsWithNumericAnd(Q20) &amp; ";" &amp; FilterStringsWithX(Q20), ";;", ";")),1)=";",RIGHT(IF(RIGHT(SUBSTITUTE(FilterWithUnits(Q20)&amp; ";" &amp;FilterStringsWithNumericAnd(Q20) &amp; ";" &amp; FilterStringsWithX(Q20), ";;", ";"),1)=";",LEFT(SUBSTITUTE(FilterWithUnits(Q20)&amp; ";" &amp;FilterStringsWithNumericAnd(Q20) &amp; ";" &amp; FilterStringsWithX(Q20), ";;", ";"),LEN(SUBSTITUTE(FilterWithUnits(Q20)&amp; ";" &amp;FilterStringsWithNumericAnd(Q20) &amp; ";" &amp; FilterStringsWithX(Q20), ";;", ";"))-1),SUBSTITUTE(FilterWithUnits(Q20)&amp; ";" &amp;FilterStringsWithNumericAnd(Q20) &amp; ";" &amp; FilterStringsWithX(Q20), ";;", ";")),LEN(IF(RIGHT(SUBSTITUTE(FilterWithUnits(Q20)&amp; ";" &amp;FilterStringsWithNumericAnd(Q20) &amp; ";" &amp; FilterStringsWithX(Q20), ";;", ";"),1)=";",LEFT(SUBSTITUTE(FilterWithUnits(Q20)&amp; ";" &amp;FilterStringsWithNumericAnd(Q20) &amp; ";" &amp; FilterStringsWithX(Q20), ";;", ";"),LEN(SUBSTITUTE(FilterWithUnits(Q20)&amp; ";" &amp;FilterStringsWithNumericAnd(Q20) &amp; ";" &amp; FilterStringsWithX(Q20), ";;", ";"))-1),SUBSTITUTE(FilterWithUnits(Q20)&amp; ";" &amp;FilterStringsWithNumericAnd(Q20) &amp; ";" &amp; FilterStringsWithX(Q20), ";;", ";")))-1),IF(RIGHT(SUBSTITUTE(FilterWithUnits(Q20)&amp; ";" &amp;FilterStringsWithNumericAnd(Q20) &amp; ";" &amp; FilterStringsWithX(Q20), ";;", ";"),1)=";",LEFT(SUBSTITUTE(FilterWithUnits(Q20)&amp; ";" &amp;FilterStringsWithNumericAnd(Q20) &amp; ";" &amp; FilterStringsWithX(Q20), ";;", ";"),LEN(SUBSTITUTE(FilterWithUnits(Q20)&amp; ";" &amp;FilterStringsWithNumericAnd(Q20) &amp; ";" &amp; FilterStringsWithX(Q20), ";;", ";"))-1),SUBSTITUTE(FilterWithUnits(Q20)&amp; ";" &amp;FilterStringsWithNumericAnd(Q20) &amp; ";" &amp; FilterStringsWithX(Q20), ";;", ";")))</f>
        <v>30mm</v>
      </c>
      <c r="S20" cm="1">
        <f t="array" ref="S20">IF(MaxSize((SplitDimensions(R20)))=0, "", MaxSize((SplitDimensions(R20))))</f>
        <v>3</v>
      </c>
      <c r="T20" s="17" t="str" cm="1">
        <f t="array" ref="T20">IF(ISERROR(INDEX(_xlfn._xlws.FILTER('Model output'!P:P,('Model output'!Z:Z=A20)*('Model output'!P:P&lt;&gt;"")),1)),"negative",IF(OR(ISNUMBER(SEARCH("foc",INDEX(_xlfn._xlws.FILTER('Model output'!P:P,('Model output'!Z:Z=A20)*('Model output'!P:P&lt;&gt;"")),1),1)),ISNUMBER(SEARCH("extensive",INDEX(_xlfn._xlws.FILTER('Model output'!P:P,('Model output'!Z:Z=A20)*('Model output'!P:P&lt;&gt;"")),1),1)),ISNUMBER(SEARCH("present",INDEX(_xlfn._xlws.FILTER('Model output'!P:P,('Model output'!Z:Z=A20)*('Model output'!P:P&lt;&gt;"")),1),1)),ISNUMBER(SEARCH("yes",INDEX(_xlfn._xlws.FILTER('Model output'!P:P,('Model output'!Z:Z=A20)*('Model output'!P:P&lt;&gt;"")),1),1))),"positive","negative"))</f>
        <v>negative</v>
      </c>
      <c r="V20" t="str" cm="1">
        <f t="array" ref="V20">IF(ISNUMBER(SEARCH("4",INDEX(_xlfn._xlws.FILTER('Model output'!P:P,('Model output'!Z:Z=A20)*('Model output'!P:P&lt;&gt;"")),1),1)),INDEX(_xlfn._xlws.FILTER('Model output'!P:P,('Model output'!Z:Z=A20)*('Model output'!P:P&lt;&gt;"")),1),"") &amp; _xlfn.TEXTJOIN("",TRUE,_xlfn._xlws.FILTER('Model output'!Q:Q,'Model output'!Z:Z=A20))</f>
        <v/>
      </c>
      <c r="W20" t="str">
        <f t="shared" si="2"/>
        <v>no</v>
      </c>
      <c r="X20" t="str" cm="1">
        <f t="array" ref="X20">IF(OR(ISNUMBER(SEARCH("focal",_xlfn.TEXTJOIN("; ",TRUE,_xlfn._xlws.FILTER('Model output'!R:R,'Model output'!Z:Z=A20)),1)),ISNUMBER(SEARCH("present",_xlfn.TEXTJOIN("; ",TRUE,_xlfn._xlws.FILTER('Model output'!R:R,'Model output'!Z:Z=A20)),1))),"positive",IF(_xlfn.TEXTJOIN("; ",TRUE,_xlfn._xlws.FILTER('Model output'!R:R,'Model output'!Z:Z=A20))="","negative",IF(OR(ISNUMBER(SEARCH("no",_xlfn.TEXTJOIN("; ",TRUE,_xlfn._xlws.FILTER('Model output'!R:R,'Model output'!Z:Z=A20)),1)),ISNUMBER(SEARCH("absent",_xlfn.TEXTJOIN("; ",TRUE,_xlfn._xlws.FILTER('Model output'!R:R,'Model output'!Z:Z=A20)),1))),"negative","positive")))</f>
        <v>positive</v>
      </c>
      <c r="Y20" s="17" t="str">
        <f t="shared" si="3"/>
        <v>positive</v>
      </c>
      <c r="AC20" s="17" t="str">
        <f t="shared" si="4"/>
        <v>positive</v>
      </c>
      <c r="AD20" t="str" cm="1">
        <f t="array" ref="AD20">_xlfn.TEXTJOIN("; ",TRUE,_xlfn._xlws.FILTER('Model output'!S:S,'Model output'!Z:Z=A20))</f>
        <v>Invading only strap muscles; Present</v>
      </c>
      <c r="AE20" s="17" t="str" cm="1">
        <f t="array" ref="AE20">IF(OR(ISNUMBER(SEARCH("uninvolved",_xlfn.TEXTJOIN("; ",TRUE,_xlfn._xlws.FILTER('Model output'!V:V,'Model output'!Z:Z=A20)),1)),ISNUMBER(SEARCH("clear",_xlfn.TEXTJOIN("; ",TRUE,_xlfn._xlws.FILTER('Model output'!V:V,'Model output'!Z:Z=A20)),1))*ISNUMBER(SEARCH("not mentioned",_xlfn.TEXTJOIN("; ",TRUE,_xlfn._xlws.FILTER('Model output'!V:V,'Model output'!Z:Z=A20)),1))),"negative",IF(ISNUMBER(SEARCH("cannot be assessed",_xlfn.TEXTJOIN("; ",TRUE,_xlfn._xlws.FILTER('Model output'!V:V,'Model output'!Z:Z=A20)),1)),"unknown","negative"))</f>
        <v>negative</v>
      </c>
      <c r="AG20" s="43" t="str">
        <f>IF(OR(ISNUMBER(SEARCH("non-invasive follicular",O20,1)), ISNUMBER(SEARCH("papillary-like nuclear features",P20,1)), ISNUMBER(SEARCH("non-invasive follicular",P20,1)),ISNUMBER(SEARCH("papillary-like nuclear features",P20,1))),"NIFTP", IF(OR(I20="positive",AC20="positive",AND(OR(ISNUMBER(SEARCH("follicular", O20)),ISNUMBER(SEARCH("FTC", O20))),W20="extensive"),AND(G20="positive",ISNUMBER(N20),N20&gt;3),AI20=1),"high",IF(OR(ISNUMBER(SEARCH("positive",Y20,1)),ISNUMBER(SEARCH("tall",P20,1)),ISNUMBER(SEARCH("hobnail",P20,1)),ISNUMBER(SEARCH("cribriform",P20,1)),ISNUMBER(SEARCH("diffuse",P20,1)),ISNUMBER(SEARCH("columnar",P20,1)),ISNUMBER(SEARCH("solid",P20,1)),ISNUMBER(SEARCH("tall",O20,1)),ISNUMBER(SEARCH("hobnail",O20,1)),ISNUMBER(SEARCH("cribriform",O20,1)),ISNUMBER(SEARCH("diffuse",O20,1)),ISNUMBER(SEARCH("columnar",O20,1)),ISNUMBER(SEARCH("solid",O20,1)),AND(OR(ISNUMBER(SEARCH("papillary carcinoma",O20,1)),ISNUMBER(SEARCH("papillary microcarcinoma",O20,1))),T20="positive"),,AND(AND(ISNUMBER(K20),K20&gt;=5),N20=""),AND(AND(ISNUMBER(K20),K20&gt;=5),AND(ISNUMBER(N20),N20&gt;=1)),H20="lateral"),"intermediate","low")))</f>
        <v>high</v>
      </c>
      <c r="AH20" s="44" t="str">
        <f t="shared" si="11"/>
        <v>4a</v>
      </c>
      <c r="AI20" s="56" t="str">
        <f t="shared" si="5"/>
        <v>1a</v>
      </c>
      <c r="AJ20" s="56">
        <f t="shared" si="6"/>
        <v>0</v>
      </c>
      <c r="AK20" s="57" t="str">
        <f t="shared" si="7"/>
        <v>III</v>
      </c>
      <c r="AL20" s="45" t="s">
        <v>168</v>
      </c>
      <c r="AM20" s="46" t="s">
        <v>201</v>
      </c>
      <c r="AN20" s="46" t="s">
        <v>198</v>
      </c>
      <c r="AO20" s="46">
        <v>0</v>
      </c>
      <c r="AP20" s="46" t="s">
        <v>67</v>
      </c>
      <c r="AQ20" s="10">
        <f>IF(AL20=AG20,1,0)</f>
        <v>1</v>
      </c>
      <c r="AR20" s="27">
        <f>IF(AM20=AH20,1,0)</f>
        <v>1</v>
      </c>
      <c r="AS20" s="27">
        <f t="shared" si="8"/>
        <v>1</v>
      </c>
      <c r="AT20" s="27">
        <f t="shared" si="9"/>
        <v>1</v>
      </c>
      <c r="AU20" s="29">
        <f t="shared" si="9"/>
        <v>1</v>
      </c>
    </row>
    <row r="21" spans="1:47">
      <c r="A21" s="13">
        <v>19</v>
      </c>
      <c r="B21" s="16">
        <f>_xlfn.MAXIFS('Model output'!B:B,'Model output'!Z:Z,'Classification result'!$A21)</f>
        <v>45457</v>
      </c>
      <c r="C21" s="17">
        <f>_xlfn.MAXIFS('Model output'!C:C,'Model output'!Z:Z,'Classification result'!$A21)</f>
        <v>23</v>
      </c>
      <c r="D21" s="17" t="str" cm="1">
        <f t="array" ref="D21">LEFT(IF(ISERROR(RIGHT(IF(INDEX(_xlfn._xlws.FILTER('Model output'!D:D,('Model output'!Z:Z=A21)),1)&lt;&gt;"",INDEX(_xlfn._xlws.FILTER('Model output'!D:D,('Model output'!Z:Z=A21)),1),""),LEN(IF(INDEX(_xlfn._xlws.FILTER('Model output'!D:D,('Model output'!Z:Z=A21)),1)&lt;&gt;"",INDEX(_xlfn._xlws.FILTER('Model output'!D:D,('Model output'!Z:Z=A21)),1),""))-FIND("T",IF(INDEX(_xlfn._xlws.FILTER('Model output'!D:D,('Model output'!Z:Z=A21)),1)&lt;&gt;"",INDEX(_xlfn._xlws.FILTER('Model output'!D:D,('Model output'!Z:Z=A21)),1),""),1))),"",(RIGHT(IF(INDEX(_xlfn._xlws.FILTER('Model output'!D:D,('Model output'!Z:Z=A21)),1)&lt;&gt;"",INDEX(_xlfn._xlws.FILTER('Model output'!D:D,('Model output'!Z:Z=A21)),1),""),LEN(IF(INDEX(_xlfn._xlws.FILTER('Model output'!D:D,('Model output'!Z:Z=A21)),1)&lt;&gt;"",INDEX(_xlfn._xlws.FILTER('Model output'!D:D,('Model output'!Z:Z=A21)),1),""))-FIND("T",IF(INDEX(_xlfn._xlws.FILTER('Model output'!D:D,('Model output'!Z:Z=A21)),1)&lt;&gt;"",INDEX(_xlfn._xlws.FILTER('Model output'!D:D,('Model output'!Z:Z=A21)),1)))))),2)</f>
        <v/>
      </c>
      <c r="E21" s="17" t="str" cm="1">
        <f t="array" ref="E21">IF(ISNUMBER(SEARCH("N",IF(ISNUMBER(SEARCH("present",IF(INDEX(_xlfn._xlws.FILTER('Model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output'!Z:Z=A21)),1))),1)),RIGHT(IF(ISNUMBER(SEARCH("present",IF(INDEX(_xlfn._xlws.FILTER('Model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output'!Z:Z=A21)),1))),LEN(IF(ISNUMBER(SEARCH("present",IF(INDEX(_xlfn._xlws.FILTER('Model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output'!Z:Z=A21)),1))))-FIND("N",IF(ISNUMBER(SEARCH("present",IF(INDEX(_xlfn._xlws.FILTER('Model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output'!Z:Z=A21)),1))),1)), "")</f>
        <v/>
      </c>
      <c r="F21" s="17" cm="1">
        <f t="array" ref="F21">IF(AND(SUBSTITUTE(_xlfn.TEXTJOIN("/", TRUE, _xlfn._xlws.FILTER('Model output'!F:F, 'Model output'!Z:Z=A21)),"M", "")="", I21="negative"),0,IF(I21="positive",1,0))</f>
        <v>0</v>
      </c>
      <c r="G21" t="str">
        <f t="shared" si="0"/>
        <v/>
      </c>
      <c r="H21" t="str" cm="1">
        <f t="array" ref="H21">IF(AND(K21&gt;0, _xlfn.TEXTJOIN("; ", TRUE, _xlfn._xlws.FILTER('Model output'!G:G, 'Model output'!Z:Z=A21)) &lt;&gt;"", OR(AND(ISNUMBER(SEARCH("level", _xlfn.TEXTJOIN("; ", TRUE, _xlfn._xlws.FILTER('Model output'!G:G, 'Model output'!Z:Z=A21)),1)),OR(ISNUMBER(SEARCH(" II", _xlfn.TEXTJOIN("; ", TRUE, _xlfn._xlws.FILTER('Model output'!G:G, 'Model output'!Z:Z=A21)),1)),ISNUMBER(SEARCH("2", _xlfn.TEXTJOIN("; ", TRUE, _xlfn._xlws.FILTER('Model output'!G:G, 'Model output'!Z:Z=A21)),1)),ISNUMBER(SEARCH("two", _xlfn.TEXTJOIN("; ", TRUE, _xlfn._xlws.FILTER('Model output'!G:G, 'Model output'!Z:Z=A21)),1)),ISNUMBER(SEARCH("III", _xlfn.TEXTJOIN("; ", TRUE, _xlfn._xlws.FILTER('Model output'!G:G, 'Model output'!Z:Z=A21)),1)),ISNUMBER(SEARCH("3", _xlfn.TEXTJOIN("; ", TRUE, _xlfn._xlws.FILTER('Model output'!G:G, 'Model output'!Z:Z=A21)),1)),ISNUMBER(SEARCH("three", _xlfn.TEXTJOIN("; ", TRUE, _xlfn._xlws.FILTER('Model output'!G:G, 'Model output'!Z:Z=A21)),1)),ISNUMBER(SEARCH("IV", _xlfn.TEXTJOIN("; ", TRUE, _xlfn._xlws.FILTER('Model output'!G:G, 'Model output'!Z:Z=A21)),1)),ISNUMBER(SEARCH("4", _xlfn.TEXTJOIN("; ", TRUE, _xlfn._xlws.FILTER('Model output'!G:G, 'Model output'!Z:Z=A21)),1)),ISNUMBER(SEARCH("five", _xlfn.TEXTJOIN("; ", TRUE, _xlfn._xlws.FILTER('Model output'!G:G, 'Model output'!Z:Z=A21)),1)),ISNUMBER(SEARCH("V ", _xlfn.TEXTJOIN("; ", TRUE, _xlfn._xlws.FILTER('Model output'!G:G, 'Model output'!Z:Z=A21)),1)),ISNUMBER(SEARCH("5", _xlfn.TEXTJOIN("; ", TRUE, _xlfn._xlws.FILTER('Model output'!G:G, 'Model output'!Z:Z=A21)),1)),ISNUMBER(SEARCH("five", _xlfn.TEXTJOIN("; ", TRUE, _xlfn._xlws.FILTER('Model output'!G:G, 'Model output'!Z:Z=A21)),1)),ISNUMBER(SEARCH(" lateral", _xlfn.TEXTJOIN("; ", TRUE, _xlfn._xlws.FILTER('Model output'!G:G, 'Model output'!Z:Z=A21)),1)))),ISNUMBER(SEARCH("cervical", _xlfn.TEXTJOIN("; ", TRUE, _xlfn._xlws.FILTER('Model output'!G:G, 'Model output'!Z:Z=A21)),1)),ISNUMBER(SEARCH("jugular", _xlfn.TEXTJOIN("; ", TRUE, _xlfn._xlws.FILTER('Model output'!G:G, 'Model output'!Z:Z=A21)),1)),ISNUMBER(SEARCH("left neck", _xlfn.TEXTJOIN("; ", TRUE, _xlfn._xlws.FILTER('Model output'!G:G, 'Model output'!Z:Z=A21)),1)),ISNUMBER(SEARCH("left anterior neck", _xlfn.TEXTJOIN("; ", TRUE, _xlfn._xlws.FILTER('Model output'!G:G, 'Model output'!Z:Z=A21)),1)),ISNUMBER(SEARCH("left posterior neck", _xlfn.TEXTJOIN("; ", TRUE, _xlfn._xlws.FILTER('Model output'!G:G, 'Model output'!Z:Z=A21)),1)),ISNUMBER(SEARCH("right neck", _xlfn.TEXTJOIN("; ", TRUE, _xlfn._xlws.FILTER('Model output'!G:G, 'Model output'!Z:Z=A21)),1)),ISNUMBER(SEARCH("right anterior neck", _xlfn.TEXTJOIN("; ", TRUE, _xlfn._xlws.FILTER('Model output'!G:G, 'Model output'!Z:Z=A21)),1)),ISNUMBER(SEARCH("right posterior neck", _xlfn.TEXTJOIN("; ", TRUE, _xlfn._xlws.FILTER('Model output'!G:G, 'Model output'!Z:Z=A21)),1)))),"lateral",IF(AND(K21=0, _xlfn.TEXTJOIN("; ", TRUE, _xlfn._xlws.FILTER('Model output'!G:G, 'Model output'!Z:Z=A21))=""),"", "central"))</f>
        <v/>
      </c>
      <c r="I21" s="17" t="str" cm="1">
        <f t="array" ref="I21">IF(OR(ISNUMBER(SEARCH("lymph",_xlfn.TEXTJOIN("; ", TRUE, _xlfn._xlws.FILTER('Model output'!H:H, 'Model output'!Z:Z=A21)),1)), ISNUMBER(SEARCH("Not mentioned",_xlfn.TEXTJOIN("; ", TRUE, _xlfn._xlws.FILTER('Model output'!H:H, 'Model output'!Z:Z=A21)),1)),ISNUMBER(SEARCH("subcutaneous soft tissues",_xlfn.TEXTJOIN("; ", TRUE, _xlfn._xlws.FILTER('Model output'!H:H, 'Model output'!Z:Z=A21)),1)),ISNUMBER(SEARCH("larynx",_xlfn.TEXTJOIN("; ", TRUE, _xlfn._xlws.FILTER('Model output'!H:H, 'Model output'!Z:Z=A21)),1)),ISNUMBER(SEARCH("trachea",_xlfn.TEXTJOIN("; ", TRUE, _xlfn._xlws.FILTER('Model output'!H:H, 'Model output'!Z:Z=A21)),1)),ISNUMBER(SEARCH("esophagus",_xlfn.TEXTJOIN("; ", TRUE, _xlfn._xlws.FILTER('Model output'!H:H, 'Model output'!Z:Z=A21)),1)),ISNUMBER(SEARCH("recurrent laryngeal nerve",_xlfn.TEXTJOIN("; ", TRUE, _xlfn._xlws.FILTER('Model output'!H:H, 'Model output'!Z:Z=A21)),1)),ISNUMBER(SEARCH("RLN",_xlfn.TEXTJOIN("; ", TRUE, _xlfn._xlws.FILTER('Model output'!H:H, 'Model output'!Z:Z=A21)),1)),_xlfn.TEXTJOIN("; ", TRUE, _xlfn._xlws.FILTER('Model output'!H:H, 'Model output'!Z:Z=A21))=""),"negative","positive")</f>
        <v>negative</v>
      </c>
      <c r="J21" s="17">
        <f>IF(IFERROR(INDEX('Model output'!I:I, MATCH(A21, 'Model output'!Z:Z, 0)), "") &lt; K21, "", IFERROR(INDEX('Model output'!I:I, MATCH(A21, 'Model output'!Z:Z, 0)), ""))</f>
        <v>1</v>
      </c>
      <c r="K21" s="17">
        <f>IFERROR(INDEX('Model output'!J:J, MATCH(A21, 'Model output'!Z:Z, 0)), "")</f>
        <v>0</v>
      </c>
      <c r="L21" s="18" t="str" cm="1">
        <f t="array" ref="L21">ReplaceTo(ReplaceAnd(SUBSTITUTE(SUBSTITUTE(_xlfn.TEXTJOIN("; ", TRUE, _xlfn._xlws.FILTER('Model output'!K:K, 'Model output'!Z:Z=A21)), " ", ""), ",", ";")))</f>
        <v/>
      </c>
      <c r="M21" t="str" cm="1">
        <f t="array" ref="M21">IF(LEFT(IF(RIGHT(SUBSTITUTE(FilterWithUnits(L21)&amp; ";" &amp;FilterStringsWithNumericAnd(L21) &amp; ";" &amp; FilterStringsWithX(L21), ";;", ";"),1)=";",LEFT(SUBSTITUTE(FilterWithUnits(L21)&amp; ";" &amp;FilterStringsWithNumericAnd(L21) &amp; ";" &amp; FilterStringsWithX(L21), ";;", ";"),LEN(SUBSTITUTE(FilterWithUnits(L21)&amp; ";" &amp;FilterStringsWithNumericAnd(L21) &amp; ";" &amp; FilterStringsWithX(L21), ";;", ";"))-1),SUBSTITUTE(FilterWithUnits(L21)&amp; ";" &amp;FilterStringsWithNumericAnd(L21) &amp; ";" &amp; FilterStringsWithX(L21), ";;", ";")),1)=";",RIGHT(IF(RIGHT(SUBSTITUTE(FilterWithUnits(L21)&amp; ";" &amp;FilterStringsWithNumericAnd(L21) &amp; ";" &amp; FilterStringsWithX(L21), ";;", ";"),1)=";",LEFT(SUBSTITUTE(FilterWithUnits(L21)&amp; ";" &amp;FilterStringsWithNumericAnd(L21) &amp; ";" &amp; FilterStringsWithX(L21), ";;", ";"),LEN(SUBSTITUTE(FilterWithUnits(L21)&amp; ";" &amp;FilterStringsWithNumericAnd(L21) &amp; ";" &amp; FilterStringsWithX(L21), ";;", ";"))-1),SUBSTITUTE(FilterWithUnits(L21)&amp; ";" &amp;FilterStringsWithNumericAnd(L21) &amp; ";" &amp; FilterStringsWithX(L21), ";;", ";")),LEN(IF(RIGHT(SUBSTITUTE(FilterWithUnits(L21)&amp; ";" &amp;FilterStringsWithNumericAnd(L21) &amp; ";" &amp; FilterStringsWithX(L21), ";;", ";"),1)=";",LEFT(SUBSTITUTE(FilterWithUnits(L21)&amp; ";" &amp;FilterStringsWithNumericAnd(L21) &amp; ";" &amp; FilterStringsWithX(L21), ";;", ";"),LEN(SUBSTITUTE(FilterWithUnits(L21)&amp; ";" &amp;FilterStringsWithNumericAnd(L21) &amp; ";" &amp; FilterStringsWithX(L21), ";;", ";"))-1),SUBSTITUTE(FilterWithUnits(L21)&amp; ";" &amp;FilterStringsWithNumericAnd(L21) &amp; ";" &amp; FilterStringsWithX(L21), ";;", ";")))-1),IF(RIGHT(SUBSTITUTE(FilterWithUnits(L21)&amp; ";" &amp;FilterStringsWithNumericAnd(L21) &amp; ";" &amp; FilterStringsWithX(L21), ";;", ";"),1)=";",LEFT(SUBSTITUTE(FilterWithUnits(L21)&amp; ";" &amp;FilterStringsWithNumericAnd(L21) &amp; ";" &amp; FilterStringsWithX(L21), ";;", ";"),LEN(SUBSTITUTE(FilterWithUnits(L21)&amp; ";" &amp;FilterStringsWithNumericAnd(L21) &amp; ";" &amp; FilterStringsWithX(L21), ";;", ";"))-1),SUBSTITUTE(FilterWithUnits(L21)&amp; ";" &amp;FilterStringsWithNumericAnd(L21) &amp; ";" &amp; FilterStringsWithX(L21), ";;", ";")))</f>
        <v/>
      </c>
      <c r="N21" t="str" cm="1">
        <f t="array" ref="N21">IF(MaxSize((SplitDimensions(M21)))=0, "", MaxSize((SplitDimensions(M21))))</f>
        <v/>
      </c>
      <c r="O21" t="str" cm="1">
        <f t="array" ref="O21">IF(ISERROR(INDEX(_xlfn._xlws.FILTER('Model output'!L:L, ('Model output'!Z:Z=A21)*('Model output'!L:L&lt;&gt;"")), 1)), " ", LOWER(INDEX(_xlfn._xlws.FILTER('Model output'!L:L, ('Model output'!Z:Z=A21)*('Model output'!L:L&lt;&gt;"")), 1)))</f>
        <v>papillary</v>
      </c>
      <c r="P21" t="str" cm="1">
        <f t="array" ref="P21">IF(ISERROR(INDEX(_xlfn._xlws.FILTER('Model output'!M:M, ('Model output'!Z:Z=A21)*('Model output'!M:M&lt;&gt;"")), 1)), " ", LOWER(INDEX(_xlfn._xlws.FILTER('Model output'!M:M, ('Model output'!Z:Z=A21)*('Model output'!M:M&lt;&gt;"")), 1)))</f>
        <v>classic</v>
      </c>
      <c r="Q21" t="str" cm="1">
        <f t="array" ref="Q21">IF(OR(ISNUMBER(SEARCH("ly",SUBSTITUTE(INDEX(_xlfn._xlws.FILTER('Model output'!N:N,('Model output'!Z:Z=A21)*('Model output'!N:N&lt;&gt;"")),1)," ",""),1)), ISNUMBER(SEARCH("pole",SUBSTITUTE(INDEX(_xlfn._xlws.FILTER('Model output'!N:N,('Model output'!Z:Z=A21)*('Model output'!N:N&lt;&gt;"")),1)," ",""),1))),"",SUBSTITUTE(INDEX(_xlfn._xlws.FILTER('Model output'!N:N,('Model output'!Z:Z=A21)*('Model output'!N:N&lt;&gt;"")),1)," ",""))</f>
        <v>2mm</v>
      </c>
      <c r="R21" t="str" cm="1">
        <f t="array" ref="R21">IF(LEFT(IF(RIGHT(SUBSTITUTE(FilterWithUnits(Q21)&amp; ";" &amp;FilterStringsWithNumericAnd(Q21) &amp; ";" &amp; FilterStringsWithX(Q21), ";;", ";"),1)=";",LEFT(SUBSTITUTE(FilterWithUnits(Q21)&amp; ";" &amp;FilterStringsWithNumericAnd(Q21) &amp; ";" &amp; FilterStringsWithX(Q21), ";;", ";"),LEN(SUBSTITUTE(FilterWithUnits(Q21)&amp; ";" &amp;FilterStringsWithNumericAnd(Q21) &amp; ";" &amp; FilterStringsWithX(Q21), ";;", ";"))-1),SUBSTITUTE(FilterWithUnits(Q21)&amp; ";" &amp;FilterStringsWithNumericAnd(Q21) &amp; ";" &amp; FilterStringsWithX(Q21), ";;", ";")),1)=";",RIGHT(IF(RIGHT(SUBSTITUTE(FilterWithUnits(Q21)&amp; ";" &amp;FilterStringsWithNumericAnd(Q21) &amp; ";" &amp; FilterStringsWithX(Q21), ";;", ";"),1)=";",LEFT(SUBSTITUTE(FilterWithUnits(Q21)&amp; ";" &amp;FilterStringsWithNumericAnd(Q21) &amp; ";" &amp; FilterStringsWithX(Q21), ";;", ";"),LEN(SUBSTITUTE(FilterWithUnits(Q21)&amp; ";" &amp;FilterStringsWithNumericAnd(Q21) &amp; ";" &amp; FilterStringsWithX(Q21), ";;", ";"))-1),SUBSTITUTE(FilterWithUnits(Q21)&amp; ";" &amp;FilterStringsWithNumericAnd(Q21) &amp; ";" &amp; FilterStringsWithX(Q21), ";;", ";")),LEN(IF(RIGHT(SUBSTITUTE(FilterWithUnits(Q21)&amp; ";" &amp;FilterStringsWithNumericAnd(Q21) &amp; ";" &amp; FilterStringsWithX(Q21), ";;", ";"),1)=";",LEFT(SUBSTITUTE(FilterWithUnits(Q21)&amp; ";" &amp;FilterStringsWithNumericAnd(Q21) &amp; ";" &amp; FilterStringsWithX(Q21), ";;", ";"),LEN(SUBSTITUTE(FilterWithUnits(Q21)&amp; ";" &amp;FilterStringsWithNumericAnd(Q21) &amp; ";" &amp; FilterStringsWithX(Q21), ";;", ";"))-1),SUBSTITUTE(FilterWithUnits(Q21)&amp; ";" &amp;FilterStringsWithNumericAnd(Q21) &amp; ";" &amp; FilterStringsWithX(Q21), ";;", ";")))-1),IF(RIGHT(SUBSTITUTE(FilterWithUnits(Q21)&amp; ";" &amp;FilterStringsWithNumericAnd(Q21) &amp; ";" &amp; FilterStringsWithX(Q21), ";;", ";"),1)=";",LEFT(SUBSTITUTE(FilterWithUnits(Q21)&amp; ";" &amp;FilterStringsWithNumericAnd(Q21) &amp; ";" &amp; FilterStringsWithX(Q21), ";;", ";"),LEN(SUBSTITUTE(FilterWithUnits(Q21)&amp; ";" &amp;FilterStringsWithNumericAnd(Q21) &amp; ";" &amp; FilterStringsWithX(Q21), ";;", ";"))-1),SUBSTITUTE(FilterWithUnits(Q21)&amp; ";" &amp;FilterStringsWithNumericAnd(Q21) &amp; ";" &amp; FilterStringsWithX(Q21), ";;", ";")))</f>
        <v>2mm</v>
      </c>
      <c r="S21" cm="1">
        <f t="array" ref="S21">IF(MaxSize((SplitDimensions(R21)))=0, "", MaxSize((SplitDimensions(R21))))</f>
        <v>0.2</v>
      </c>
      <c r="T21" s="17" t="str" cm="1">
        <f t="array" ref="T21">IF(ISERROR(INDEX(_xlfn._xlws.FILTER('Model output'!P:P,('Model output'!Z:Z=A21)*('Model output'!P:P&lt;&gt;"")),1)),"negative",IF(OR(ISNUMBER(SEARCH("foc",INDEX(_xlfn._xlws.FILTER('Model output'!P:P,('Model output'!Z:Z=A21)*('Model output'!P:P&lt;&gt;"")),1),1)),ISNUMBER(SEARCH("extensive",INDEX(_xlfn._xlws.FILTER('Model output'!P:P,('Model output'!Z:Z=A21)*('Model output'!P:P&lt;&gt;"")),1),1)),ISNUMBER(SEARCH("present",INDEX(_xlfn._xlws.FILTER('Model output'!P:P,('Model output'!Z:Z=A21)*('Model output'!P:P&lt;&gt;"")),1),1)),ISNUMBER(SEARCH("yes",INDEX(_xlfn._xlws.FILTER('Model output'!P:P,('Model output'!Z:Z=A21)*('Model output'!P:P&lt;&gt;"")),1),1))),"positive","negative"))</f>
        <v>negative</v>
      </c>
      <c r="V21" t="str" cm="1">
        <f t="array" ref="V21">IF(ISNUMBER(SEARCH("4",INDEX(_xlfn._xlws.FILTER('Model output'!P:P,('Model output'!Z:Z=A21)*('Model output'!P:P&lt;&gt;"")),1),1)),INDEX(_xlfn._xlws.FILTER('Model output'!P:P,('Model output'!Z:Z=A21)*('Model output'!P:P&lt;&gt;"")),1),"") &amp; _xlfn.TEXTJOIN("",TRUE,_xlfn._xlws.FILTER('Model output'!Q:Q,'Model output'!Z:Z=A21))</f>
        <v/>
      </c>
      <c r="W21" t="str">
        <f t="shared" si="2"/>
        <v>no</v>
      </c>
      <c r="X21" t="str" cm="1">
        <f t="array" ref="X21">IF(OR(ISNUMBER(SEARCH("focal",_xlfn.TEXTJOIN("; ",TRUE,_xlfn._xlws.FILTER('Model output'!R:R,'Model output'!Z:Z=A21)),1)),ISNUMBER(SEARCH("present",_xlfn.TEXTJOIN("; ",TRUE,_xlfn._xlws.FILTER('Model output'!R:R,'Model output'!Z:Z=A21)),1))),"positive",IF(_xlfn.TEXTJOIN("; ",TRUE,_xlfn._xlws.FILTER('Model output'!R:R,'Model output'!Z:Z=A21))="","negative",IF(OR(ISNUMBER(SEARCH("no",_xlfn.TEXTJOIN("; ",TRUE,_xlfn._xlws.FILTER('Model output'!R:R,'Model output'!Z:Z=A21)),1)),ISNUMBER(SEARCH("absent",_xlfn.TEXTJOIN("; ",TRUE,_xlfn._xlws.FILTER('Model output'!R:R,'Model output'!Z:Z=A21)),1))),"negative","positive")))</f>
        <v>negative</v>
      </c>
      <c r="Y21" s="17" t="str">
        <f t="shared" si="3"/>
        <v>negative</v>
      </c>
      <c r="AC21" s="17" t="str">
        <f t="shared" si="4"/>
        <v>negative</v>
      </c>
      <c r="AD21" t="str" cm="1">
        <f t="array" ref="AD21">_xlfn.TEXTJOIN("; ",TRUE,_xlfn._xlws.FILTER('Model output'!S:S,'Model output'!Z:Z=A21))</f>
        <v>Not identified</v>
      </c>
      <c r="AE21" s="17" t="str" cm="1">
        <f t="array" ref="AE21">IF(OR(ISNUMBER(SEARCH("uninvolved",_xlfn.TEXTJOIN("; ",TRUE,_xlfn._xlws.FILTER('Model output'!V:V,'Model output'!Z:Z=A21)),1)),ISNUMBER(SEARCH("clear",_xlfn.TEXTJOIN("; ",TRUE,_xlfn._xlws.FILTER('Model output'!V:V,'Model output'!Z:Z=A21)),1))*ISNUMBER(SEARCH("not mentioned",_xlfn.TEXTJOIN("; ",TRUE,_xlfn._xlws.FILTER('Model output'!V:V,'Model output'!Z:Z=A21)),1))),"negative",IF(ISNUMBER(SEARCH("cannot be assessed",_xlfn.TEXTJOIN("; ",TRUE,_xlfn._xlws.FILTER('Model output'!V:V,'Model output'!Z:Z=A21)),1)),"unknown","negative"))</f>
        <v>negative</v>
      </c>
      <c r="AG21" s="43" t="str">
        <f>IF(OR(ISNUMBER(SEARCH("non-invasive follicular",O21,1)), ISNUMBER(SEARCH("papillary-like nuclear features",P21,1)), ISNUMBER(SEARCH("non-invasive follicular",P21,1)),ISNUMBER(SEARCH("papillary-like nuclear features",P21,1))),"NIFTP", IF(OR(I21="positive",AC21="positive",AND(OR(ISNUMBER(SEARCH("follicular", O21)),ISNUMBER(SEARCH("FTC", O21))),W21="extensive"),AND(G21="positive",ISNUMBER(N21),N21&gt;3),AI21=1),"high",IF(OR(ISNUMBER(SEARCH("positive",Y21,1)),ISNUMBER(SEARCH("tall",P21,1)),ISNUMBER(SEARCH("hobnail",P21,1)),ISNUMBER(SEARCH("cribriform",P21,1)),ISNUMBER(SEARCH("diffuse",P21,1)),ISNUMBER(SEARCH("columnar",P21,1)),ISNUMBER(SEARCH("solid",P21,1)),ISNUMBER(SEARCH("tall",O21,1)),ISNUMBER(SEARCH("hobnail",O21,1)),ISNUMBER(SEARCH("cribriform",O21,1)),ISNUMBER(SEARCH("diffuse",O21,1)),ISNUMBER(SEARCH("columnar",O21,1)),ISNUMBER(SEARCH("solid",O21,1)),AND(OR(ISNUMBER(SEARCH("papillary carcinoma",O21,1)),ISNUMBER(SEARCH("papillary microcarcinoma",O21,1))),T21="positive"),,AND(AND(ISNUMBER(K21),K21&gt;=5),N21=""),AND(AND(ISNUMBER(K21),K21&gt;=5),AND(ISNUMBER(N21),N21&gt;=1)),H21="lateral"),"intermediate","low")))</f>
        <v>low</v>
      </c>
      <c r="AH21" s="44" t="str">
        <f t="shared" si="11"/>
        <v>1a</v>
      </c>
      <c r="AI21" s="56">
        <f t="shared" si="5"/>
        <v>0</v>
      </c>
      <c r="AJ21" s="56">
        <f t="shared" si="6"/>
        <v>0</v>
      </c>
      <c r="AK21" s="57" t="str">
        <f t="shared" si="7"/>
        <v>I</v>
      </c>
      <c r="AL21" s="45" t="s">
        <v>169</v>
      </c>
      <c r="AM21" s="46" t="s">
        <v>198</v>
      </c>
      <c r="AN21" s="46">
        <v>0</v>
      </c>
      <c r="AO21" s="46">
        <v>0</v>
      </c>
      <c r="AP21" s="46" t="s">
        <v>31</v>
      </c>
      <c r="AQ21" s="10">
        <f>IF(AL21=AG21,1,0)</f>
        <v>1</v>
      </c>
      <c r="AR21" s="27">
        <f>IF(AM21=AH21,1,0)</f>
        <v>1</v>
      </c>
      <c r="AS21" s="27">
        <f t="shared" si="8"/>
        <v>1</v>
      </c>
      <c r="AT21" s="27">
        <f t="shared" si="9"/>
        <v>1</v>
      </c>
      <c r="AU21" s="29">
        <f t="shared" si="9"/>
        <v>1</v>
      </c>
    </row>
    <row r="22" spans="1:47">
      <c r="A22" s="13">
        <v>20</v>
      </c>
      <c r="B22" s="16">
        <f>_xlfn.MAXIFS('Model output'!B:B,'Model output'!Z:Z,'Classification result'!$A22)</f>
        <v>45373</v>
      </c>
      <c r="C22" s="17">
        <f>_xlfn.MAXIFS('Model output'!C:C,'Model output'!Z:Z,'Classification result'!$A22)</f>
        <v>61</v>
      </c>
      <c r="D22" s="17" t="str" cm="1">
        <f t="array" ref="D22">LEFT(IF(ISERROR(RIGHT(IF(INDEX(_xlfn._xlws.FILTER('Model output'!D:D,('Model output'!Z:Z=A22)),1)&lt;&gt;"",INDEX(_xlfn._xlws.FILTER('Model output'!D:D,('Model output'!Z:Z=A22)),1),""),LEN(IF(INDEX(_xlfn._xlws.FILTER('Model output'!D:D,('Model output'!Z:Z=A22)),1)&lt;&gt;"",INDEX(_xlfn._xlws.FILTER('Model output'!D:D,('Model output'!Z:Z=A22)),1),""))-FIND("T",IF(INDEX(_xlfn._xlws.FILTER('Model output'!D:D,('Model output'!Z:Z=A22)),1)&lt;&gt;"",INDEX(_xlfn._xlws.FILTER('Model output'!D:D,('Model output'!Z:Z=A22)),1),""),1))),"",(RIGHT(IF(INDEX(_xlfn._xlws.FILTER('Model output'!D:D,('Model output'!Z:Z=A22)),1)&lt;&gt;"",INDEX(_xlfn._xlws.FILTER('Model output'!D:D,('Model output'!Z:Z=A22)),1),""),LEN(IF(INDEX(_xlfn._xlws.FILTER('Model output'!D:D,('Model output'!Z:Z=A22)),1)&lt;&gt;"",INDEX(_xlfn._xlws.FILTER('Model output'!D:D,('Model output'!Z:Z=A22)),1),""))-FIND("T",IF(INDEX(_xlfn._xlws.FILTER('Model output'!D:D,('Model output'!Z:Z=A22)),1)&lt;&gt;"",INDEX(_xlfn._xlws.FILTER('Model output'!D:D,('Model output'!Z:Z=A22)),1)))))),2)</f>
        <v>1b</v>
      </c>
      <c r="E22" s="17" t="str" cm="1">
        <f t="array" ref="E22">IF(ISNUMBER(SEARCH("N",IF(ISNUMBER(SEARCH("present",IF(INDEX(_xlfn._xlws.FILTER('Model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output'!Z:Z=A22)),1))),1)),RIGHT(IF(ISNUMBER(SEARCH("present",IF(INDEX(_xlfn._xlws.FILTER('Model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output'!Z:Z=A22)),1))),LEN(IF(ISNUMBER(SEARCH("present",IF(INDEX(_xlfn._xlws.FILTER('Model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output'!Z:Z=A22)),1))))-FIND("N",IF(ISNUMBER(SEARCH("present",IF(INDEX(_xlfn._xlws.FILTER('Model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output'!Z:Z=A22)),1))),1)), "")</f>
        <v>1b</v>
      </c>
      <c r="F22" s="17" cm="1">
        <f t="array" ref="F22">IF(AND(SUBSTITUTE(_xlfn.TEXTJOIN("/", TRUE, _xlfn._xlws.FILTER('Model output'!F:F, 'Model output'!Z:Z=A22)),"M", "")="", I22="negative"),0,IF(I22="positive",1,0))</f>
        <v>0</v>
      </c>
      <c r="G22" t="str">
        <f t="shared" si="0"/>
        <v>positive</v>
      </c>
      <c r="H22" t="str" cm="1">
        <f t="array" ref="H22">IF(AND(K22&gt;0, _xlfn.TEXTJOIN("; ", TRUE, _xlfn._xlws.FILTER('Model output'!G:G, 'Model output'!Z:Z=A22)) &lt;&gt;"", OR(AND(ISNUMBER(SEARCH("level", _xlfn.TEXTJOIN("; ", TRUE, _xlfn._xlws.FILTER('Model output'!G:G, 'Model output'!Z:Z=A22)),1)),OR(ISNUMBER(SEARCH(" II", _xlfn.TEXTJOIN("; ", TRUE, _xlfn._xlws.FILTER('Model output'!G:G, 'Model output'!Z:Z=A22)),1)),ISNUMBER(SEARCH("2", _xlfn.TEXTJOIN("; ", TRUE, _xlfn._xlws.FILTER('Model output'!G:G, 'Model output'!Z:Z=A22)),1)),ISNUMBER(SEARCH("two", _xlfn.TEXTJOIN("; ", TRUE, _xlfn._xlws.FILTER('Model output'!G:G, 'Model output'!Z:Z=A22)),1)),ISNUMBER(SEARCH("III", _xlfn.TEXTJOIN("; ", TRUE, _xlfn._xlws.FILTER('Model output'!G:G, 'Model output'!Z:Z=A22)),1)),ISNUMBER(SEARCH("3", _xlfn.TEXTJOIN("; ", TRUE, _xlfn._xlws.FILTER('Model output'!G:G, 'Model output'!Z:Z=A22)),1)),ISNUMBER(SEARCH("three", _xlfn.TEXTJOIN("; ", TRUE, _xlfn._xlws.FILTER('Model output'!G:G, 'Model output'!Z:Z=A22)),1)),ISNUMBER(SEARCH("IV", _xlfn.TEXTJOIN("; ", TRUE, _xlfn._xlws.FILTER('Model output'!G:G, 'Model output'!Z:Z=A22)),1)),ISNUMBER(SEARCH("4", _xlfn.TEXTJOIN("; ", TRUE, _xlfn._xlws.FILTER('Model output'!G:G, 'Model output'!Z:Z=A22)),1)),ISNUMBER(SEARCH("five", _xlfn.TEXTJOIN("; ", TRUE, _xlfn._xlws.FILTER('Model output'!G:G, 'Model output'!Z:Z=A22)),1)),ISNUMBER(SEARCH("V ", _xlfn.TEXTJOIN("; ", TRUE, _xlfn._xlws.FILTER('Model output'!G:G, 'Model output'!Z:Z=A22)),1)),ISNUMBER(SEARCH("5", _xlfn.TEXTJOIN("; ", TRUE, _xlfn._xlws.FILTER('Model output'!G:G, 'Model output'!Z:Z=A22)),1)),ISNUMBER(SEARCH("five", _xlfn.TEXTJOIN("; ", TRUE, _xlfn._xlws.FILTER('Model output'!G:G, 'Model output'!Z:Z=A22)),1)),ISNUMBER(SEARCH(" lateral", _xlfn.TEXTJOIN("; ", TRUE, _xlfn._xlws.FILTER('Model output'!G:G, 'Model output'!Z:Z=A22)),1)))),ISNUMBER(SEARCH("cervical", _xlfn.TEXTJOIN("; ", TRUE, _xlfn._xlws.FILTER('Model output'!G:G, 'Model output'!Z:Z=A22)),1)),ISNUMBER(SEARCH("jugular", _xlfn.TEXTJOIN("; ", TRUE, _xlfn._xlws.FILTER('Model output'!G:G, 'Model output'!Z:Z=A22)),1)),ISNUMBER(SEARCH("left neck", _xlfn.TEXTJOIN("; ", TRUE, _xlfn._xlws.FILTER('Model output'!G:G, 'Model output'!Z:Z=A22)),1)),ISNUMBER(SEARCH("left anterior neck", _xlfn.TEXTJOIN("; ", TRUE, _xlfn._xlws.FILTER('Model output'!G:G, 'Model output'!Z:Z=A22)),1)),ISNUMBER(SEARCH("left posterior neck", _xlfn.TEXTJOIN("; ", TRUE, _xlfn._xlws.FILTER('Model output'!G:G, 'Model output'!Z:Z=A22)),1)),ISNUMBER(SEARCH("right neck", _xlfn.TEXTJOIN("; ", TRUE, _xlfn._xlws.FILTER('Model output'!G:G, 'Model output'!Z:Z=A22)),1)),ISNUMBER(SEARCH("right anterior neck", _xlfn.TEXTJOIN("; ", TRUE, _xlfn._xlws.FILTER('Model output'!G:G, 'Model output'!Z:Z=A22)),1)),ISNUMBER(SEARCH("right posterior neck", _xlfn.TEXTJOIN("; ", TRUE, _xlfn._xlws.FILTER('Model output'!G:G, 'Model output'!Z:Z=A22)),1)))),"lateral",IF(AND(K22=0, _xlfn.TEXTJOIN("; ", TRUE, _xlfn._xlws.FILTER('Model output'!G:G, 'Model output'!Z:Z=A22))=""),"", "central"))</f>
        <v>central</v>
      </c>
      <c r="I22" s="17" t="str" cm="1">
        <f t="array" ref="I22">IF(OR(ISNUMBER(SEARCH("lymph",_xlfn.TEXTJOIN("; ", TRUE, _xlfn._xlws.FILTER('Model output'!H:H, 'Model output'!Z:Z=A22)),1)), ISNUMBER(SEARCH("Not mentioned",_xlfn.TEXTJOIN("; ", TRUE, _xlfn._xlws.FILTER('Model output'!H:H, 'Model output'!Z:Z=A22)),1)),ISNUMBER(SEARCH("subcutaneous soft tissues",_xlfn.TEXTJOIN("; ", TRUE, _xlfn._xlws.FILTER('Model output'!H:H, 'Model output'!Z:Z=A22)),1)),ISNUMBER(SEARCH("larynx",_xlfn.TEXTJOIN("; ", TRUE, _xlfn._xlws.FILTER('Model output'!H:H, 'Model output'!Z:Z=A22)),1)),ISNUMBER(SEARCH("trachea",_xlfn.TEXTJOIN("; ", TRUE, _xlfn._xlws.FILTER('Model output'!H:H, 'Model output'!Z:Z=A22)),1)),ISNUMBER(SEARCH("esophagus",_xlfn.TEXTJOIN("; ", TRUE, _xlfn._xlws.FILTER('Model output'!H:H, 'Model output'!Z:Z=A22)),1)),ISNUMBER(SEARCH("recurrent laryngeal nerve",_xlfn.TEXTJOIN("; ", TRUE, _xlfn._xlws.FILTER('Model output'!H:H, 'Model output'!Z:Z=A22)),1)),ISNUMBER(SEARCH("RLN",_xlfn.TEXTJOIN("; ", TRUE, _xlfn._xlws.FILTER('Model output'!H:H, 'Model output'!Z:Z=A22)),1)),_xlfn.TEXTJOIN("; ", TRUE, _xlfn._xlws.FILTER('Model output'!H:H, 'Model output'!Z:Z=A22))=""),"negative","positive")</f>
        <v>negative</v>
      </c>
      <c r="J22" s="17">
        <f>IF(IFERROR(INDEX('Model output'!I:I, MATCH(A22, 'Model output'!Z:Z, 0)), "") &lt; K22, "", IFERROR(INDEX('Model output'!I:I, MATCH(A22, 'Model output'!Z:Z, 0)), ""))</f>
        <v>4</v>
      </c>
      <c r="K22" s="17">
        <f>IFERROR(INDEX('Model output'!J:J, MATCH(A22, 'Model output'!Z:Z, 0)), "")</f>
        <v>3</v>
      </c>
      <c r="L22" s="18" t="str" cm="1">
        <f t="array" ref="L22">ReplaceTo(ReplaceAnd(SUBSTITUTE(SUBSTITUTE(_xlfn.TEXTJOIN("; ", TRUE, _xlfn._xlws.FILTER('Model output'!K:K, 'Model output'!Z:Z=A22)), " ", ""), ",", ";")))</f>
        <v/>
      </c>
      <c r="M22" t="str" cm="1">
        <f t="array" ref="M22">IF(LEFT(IF(RIGHT(SUBSTITUTE(FilterWithUnits(L22)&amp; ";" &amp;FilterStringsWithNumericAnd(L22) &amp; ";" &amp; FilterStringsWithX(L22), ";;", ";"),1)=";",LEFT(SUBSTITUTE(FilterWithUnits(L22)&amp; ";" &amp;FilterStringsWithNumericAnd(L22) &amp; ";" &amp; FilterStringsWithX(L22), ";;", ";"),LEN(SUBSTITUTE(FilterWithUnits(L22)&amp; ";" &amp;FilterStringsWithNumericAnd(L22) &amp; ";" &amp; FilterStringsWithX(L22), ";;", ";"))-1),SUBSTITUTE(FilterWithUnits(L22)&amp; ";" &amp;FilterStringsWithNumericAnd(L22) &amp; ";" &amp; FilterStringsWithX(L22), ";;", ";")),1)=";",RIGHT(IF(RIGHT(SUBSTITUTE(FilterWithUnits(L22)&amp; ";" &amp;FilterStringsWithNumericAnd(L22) &amp; ";" &amp; FilterStringsWithX(L22), ";;", ";"),1)=";",LEFT(SUBSTITUTE(FilterWithUnits(L22)&amp; ";" &amp;FilterStringsWithNumericAnd(L22) &amp; ";" &amp; FilterStringsWithX(L22), ";;", ";"),LEN(SUBSTITUTE(FilterWithUnits(L22)&amp; ";" &amp;FilterStringsWithNumericAnd(L22) &amp; ";" &amp; FilterStringsWithX(L22), ";;", ";"))-1),SUBSTITUTE(FilterWithUnits(L22)&amp; ";" &amp;FilterStringsWithNumericAnd(L22) &amp; ";" &amp; FilterStringsWithX(L22), ";;", ";")),LEN(IF(RIGHT(SUBSTITUTE(FilterWithUnits(L22)&amp; ";" &amp;FilterStringsWithNumericAnd(L22) &amp; ";" &amp; FilterStringsWithX(L22), ";;", ";"),1)=";",LEFT(SUBSTITUTE(FilterWithUnits(L22)&amp; ";" &amp;FilterStringsWithNumericAnd(L22) &amp; ";" &amp; FilterStringsWithX(L22), ";;", ";"),LEN(SUBSTITUTE(FilterWithUnits(L22)&amp; ";" &amp;FilterStringsWithNumericAnd(L22) &amp; ";" &amp; FilterStringsWithX(L22), ";;", ";"))-1),SUBSTITUTE(FilterWithUnits(L22)&amp; ";" &amp;FilterStringsWithNumericAnd(L22) &amp; ";" &amp; FilterStringsWithX(L22), ";;", ";")))-1),IF(RIGHT(SUBSTITUTE(FilterWithUnits(L22)&amp; ";" &amp;FilterStringsWithNumericAnd(L22) &amp; ";" &amp; FilterStringsWithX(L22), ";;", ";"),1)=";",LEFT(SUBSTITUTE(FilterWithUnits(L22)&amp; ";" &amp;FilterStringsWithNumericAnd(L22) &amp; ";" &amp; FilterStringsWithX(L22), ";;", ";"),LEN(SUBSTITUTE(FilterWithUnits(L22)&amp; ";" &amp;FilterStringsWithNumericAnd(L22) &amp; ";" &amp; FilterStringsWithX(L22), ";;", ";"))-1),SUBSTITUTE(FilterWithUnits(L22)&amp; ";" &amp;FilterStringsWithNumericAnd(L22) &amp; ";" &amp; FilterStringsWithX(L22), ";;", ";")))</f>
        <v/>
      </c>
      <c r="N22" t="str" cm="1">
        <f t="array" ref="N22">IF(MaxSize((SplitDimensions(M22)))=0, "", MaxSize((SplitDimensions(M22))))</f>
        <v/>
      </c>
      <c r="O22" t="str" cm="1">
        <f t="array" ref="O22">IF(ISERROR(INDEX(_xlfn._xlws.FILTER('Model output'!L:L, ('Model output'!Z:Z=A22)*('Model output'!L:L&lt;&gt;"")), 1)), " ", LOWER(INDEX(_xlfn._xlws.FILTER('Model output'!L:L, ('Model output'!Z:Z=A22)*('Model output'!L:L&lt;&gt;"")), 1)))</f>
        <v>papillary</v>
      </c>
      <c r="P22" t="str" cm="1">
        <f t="array" ref="P22">IF(ISERROR(INDEX(_xlfn._xlws.FILTER('Model output'!M:M, ('Model output'!Z:Z=A22)*('Model output'!M:M&lt;&gt;"")), 1)), " ", LOWER(INDEX(_xlfn._xlws.FILTER('Model output'!M:M, ('Model output'!Z:Z=A22)*('Model output'!M:M&lt;&gt;"")), 1)))</f>
        <v xml:space="preserve"> </v>
      </c>
      <c r="Q22" t="str" cm="1">
        <f t="array" ref="Q22">IF(OR(ISNUMBER(SEARCH("ly",SUBSTITUTE(INDEX(_xlfn._xlws.FILTER('Model output'!N:N,('Model output'!Z:Z=A22)*('Model output'!N:N&lt;&gt;"")),1)," ",""),1)), ISNUMBER(SEARCH("pole",SUBSTITUTE(INDEX(_xlfn._xlws.FILTER('Model output'!N:N,('Model output'!Z:Z=A22)*('Model output'!N:N&lt;&gt;"")),1)," ",""),1))),"",SUBSTITUTE(INDEX(_xlfn._xlws.FILTER('Model output'!N:N,('Model output'!Z:Z=A22)*('Model output'!N:N&lt;&gt;"")),1)," ",""))</f>
        <v>1.5cm</v>
      </c>
      <c r="R22" t="str" cm="1">
        <f t="array" ref="R22">IF(LEFT(IF(RIGHT(SUBSTITUTE(FilterWithUnits(Q22)&amp; ";" &amp;FilterStringsWithNumericAnd(Q22) &amp; ";" &amp; FilterStringsWithX(Q22), ";;", ";"),1)=";",LEFT(SUBSTITUTE(FilterWithUnits(Q22)&amp; ";" &amp;FilterStringsWithNumericAnd(Q22) &amp; ";" &amp; FilterStringsWithX(Q22), ";;", ";"),LEN(SUBSTITUTE(FilterWithUnits(Q22)&amp; ";" &amp;FilterStringsWithNumericAnd(Q22) &amp; ";" &amp; FilterStringsWithX(Q22), ";;", ";"))-1),SUBSTITUTE(FilterWithUnits(Q22)&amp; ";" &amp;FilterStringsWithNumericAnd(Q22) &amp; ";" &amp; FilterStringsWithX(Q22), ";;", ";")),1)=";",RIGHT(IF(RIGHT(SUBSTITUTE(FilterWithUnits(Q22)&amp; ";" &amp;FilterStringsWithNumericAnd(Q22) &amp; ";" &amp; FilterStringsWithX(Q22), ";;", ";"),1)=";",LEFT(SUBSTITUTE(FilterWithUnits(Q22)&amp; ";" &amp;FilterStringsWithNumericAnd(Q22) &amp; ";" &amp; FilterStringsWithX(Q22), ";;", ";"),LEN(SUBSTITUTE(FilterWithUnits(Q22)&amp; ";" &amp;FilterStringsWithNumericAnd(Q22) &amp; ";" &amp; FilterStringsWithX(Q22), ";;", ";"))-1),SUBSTITUTE(FilterWithUnits(Q22)&amp; ";" &amp;FilterStringsWithNumericAnd(Q22) &amp; ";" &amp; FilterStringsWithX(Q22), ";;", ";")),LEN(IF(RIGHT(SUBSTITUTE(FilterWithUnits(Q22)&amp; ";" &amp;FilterStringsWithNumericAnd(Q22) &amp; ";" &amp; FilterStringsWithX(Q22), ";;", ";"),1)=";",LEFT(SUBSTITUTE(FilterWithUnits(Q22)&amp; ";" &amp;FilterStringsWithNumericAnd(Q22) &amp; ";" &amp; FilterStringsWithX(Q22), ";;", ";"),LEN(SUBSTITUTE(FilterWithUnits(Q22)&amp; ";" &amp;FilterStringsWithNumericAnd(Q22) &amp; ";" &amp; FilterStringsWithX(Q22), ";;", ";"))-1),SUBSTITUTE(FilterWithUnits(Q22)&amp; ";" &amp;FilterStringsWithNumericAnd(Q22) &amp; ";" &amp; FilterStringsWithX(Q22), ";;", ";")))-1),IF(RIGHT(SUBSTITUTE(FilterWithUnits(Q22)&amp; ";" &amp;FilterStringsWithNumericAnd(Q22) &amp; ";" &amp; FilterStringsWithX(Q22), ";;", ";"),1)=";",LEFT(SUBSTITUTE(FilterWithUnits(Q22)&amp; ";" &amp;FilterStringsWithNumericAnd(Q22) &amp; ";" &amp; FilterStringsWithX(Q22), ";;", ";"),LEN(SUBSTITUTE(FilterWithUnits(Q22)&amp; ";" &amp;FilterStringsWithNumericAnd(Q22) &amp; ";" &amp; FilterStringsWithX(Q22), ";;", ";"))-1),SUBSTITUTE(FilterWithUnits(Q22)&amp; ";" &amp;FilterStringsWithNumericAnd(Q22) &amp; ";" &amp; FilterStringsWithX(Q22), ";;", ";")))</f>
        <v>1.5cm</v>
      </c>
      <c r="S22" cm="1">
        <f t="array" ref="S22">IF(MaxSize((SplitDimensions(R22)))=0, "", MaxSize((SplitDimensions(R22))))</f>
        <v>1.5</v>
      </c>
      <c r="T22" s="17" t="str" cm="1">
        <f t="array" ref="T22">IF(ISERROR(INDEX(_xlfn._xlws.FILTER('Model output'!P:P,('Model output'!Z:Z=A22)*('Model output'!P:P&lt;&gt;"")),1)),"negative",IF(OR(ISNUMBER(SEARCH("foc",INDEX(_xlfn._xlws.FILTER('Model output'!P:P,('Model output'!Z:Z=A22)*('Model output'!P:P&lt;&gt;"")),1),1)),ISNUMBER(SEARCH("extensive",INDEX(_xlfn._xlws.FILTER('Model output'!P:P,('Model output'!Z:Z=A22)*('Model output'!P:P&lt;&gt;"")),1),1)),ISNUMBER(SEARCH("present",INDEX(_xlfn._xlws.FILTER('Model output'!P:P,('Model output'!Z:Z=A22)*('Model output'!P:P&lt;&gt;"")),1),1)),ISNUMBER(SEARCH("yes",INDEX(_xlfn._xlws.FILTER('Model output'!P:P,('Model output'!Z:Z=A22)*('Model output'!P:P&lt;&gt;"")),1),1))),"positive","negative"))</f>
        <v>positive</v>
      </c>
      <c r="V22" t="str" cm="1">
        <f t="array" ref="V22">IF(ISNUMBER(SEARCH("4",INDEX(_xlfn._xlws.FILTER('Model output'!P:P,('Model output'!Z:Z=A22)*('Model output'!P:P&lt;&gt;"")),1),1)),INDEX(_xlfn._xlws.FILTER('Model output'!P:P,('Model output'!Z:Z=A22)*('Model output'!P:P&lt;&gt;"")),1),"") &amp; _xlfn.TEXTJOIN("",TRUE,_xlfn._xlws.FILTER('Model output'!Q:Q,'Model output'!Z:Z=A22))</f>
        <v/>
      </c>
      <c r="W22" t="str">
        <f t="shared" si="2"/>
        <v>minimal</v>
      </c>
      <c r="X22" t="str" cm="1">
        <f t="array" ref="X22">IF(OR(ISNUMBER(SEARCH("focal",_xlfn.TEXTJOIN("; ",TRUE,_xlfn._xlws.FILTER('Model output'!R:R,'Model output'!Z:Z=A22)),1)),ISNUMBER(SEARCH("present",_xlfn.TEXTJOIN("; ",TRUE,_xlfn._xlws.FILTER('Model output'!R:R,'Model output'!Z:Z=A22)),1))),"positive",IF(_xlfn.TEXTJOIN("; ",TRUE,_xlfn._xlws.FILTER('Model output'!R:R,'Model output'!Z:Z=A22))="","negative",IF(OR(ISNUMBER(SEARCH("no",_xlfn.TEXTJOIN("; ",TRUE,_xlfn._xlws.FILTER('Model output'!R:R,'Model output'!Z:Z=A22)),1)),ISNUMBER(SEARCH("absent",_xlfn.TEXTJOIN("; ",TRUE,_xlfn._xlws.FILTER('Model output'!R:R,'Model output'!Z:Z=A22)),1))),"negative","positive")))</f>
        <v>positive</v>
      </c>
      <c r="Y22" s="17" t="str">
        <f t="shared" si="3"/>
        <v>positive</v>
      </c>
      <c r="AC22" s="17" t="str">
        <f t="shared" si="4"/>
        <v>negative</v>
      </c>
      <c r="AD22" t="str" cm="1">
        <f t="array" ref="AD22">_xlfn.TEXTJOIN("; ",TRUE,_xlfn._xlws.FILTER('Model output'!S:S,'Model output'!Z:Z=A22))</f>
        <v>Present</v>
      </c>
      <c r="AE22" s="17" t="str" cm="1">
        <f t="array" ref="AE22">IF(OR(ISNUMBER(SEARCH("uninvolved",_xlfn.TEXTJOIN("; ",TRUE,_xlfn._xlws.FILTER('Model output'!V:V,'Model output'!Z:Z=A22)),1)),ISNUMBER(SEARCH("clear",_xlfn.TEXTJOIN("; ",TRUE,_xlfn._xlws.FILTER('Model output'!V:V,'Model output'!Z:Z=A22)),1))*ISNUMBER(SEARCH("not mentioned",_xlfn.TEXTJOIN("; ",TRUE,_xlfn._xlws.FILTER('Model output'!V:V,'Model output'!Z:Z=A22)),1))),"negative",IF(ISNUMBER(SEARCH("cannot be assessed",_xlfn.TEXTJOIN("; ",TRUE,_xlfn._xlws.FILTER('Model output'!V:V,'Model output'!Z:Z=A22)),1)),"unknown","negative"))</f>
        <v>negative</v>
      </c>
      <c r="AG22" s="43" t="str">
        <f>IF(OR(ISNUMBER(SEARCH("non-invasive follicular",O22,1)), ISNUMBER(SEARCH("papillary-like nuclear features",P22,1)), ISNUMBER(SEARCH("non-invasive follicular",P22,1)),ISNUMBER(SEARCH("papillary-like nuclear features",P22,1))),"NIFTP", IF(OR(I22="positive",AC22="positive",AND(OR(ISNUMBER(SEARCH("follicular", O22)),ISNUMBER(SEARCH("FTC", O22))),W22="extensive"),AND(G22="positive",ISNUMBER(N22),N22&gt;3),AI22=1),"high",IF(OR(ISNUMBER(SEARCH("positive",Y22,1)),ISNUMBER(SEARCH("tall",P22,1)),ISNUMBER(SEARCH("hobnail",P22,1)),ISNUMBER(SEARCH("cribriform",P22,1)),ISNUMBER(SEARCH("diffuse",P22,1)),ISNUMBER(SEARCH("columnar",P22,1)),ISNUMBER(SEARCH("solid",P22,1)),ISNUMBER(SEARCH("tall",O22,1)),ISNUMBER(SEARCH("hobnail",O22,1)),ISNUMBER(SEARCH("cribriform",O22,1)),ISNUMBER(SEARCH("diffuse",O22,1)),ISNUMBER(SEARCH("columnar",O22,1)),ISNUMBER(SEARCH("solid",O22,1)),AND(OR(ISNUMBER(SEARCH("papillary carcinoma",O22,1)),ISNUMBER(SEARCH("papillary microcarcinoma",O22,1))),T22="positive"),,AND(AND(ISNUMBER(K22),K22&gt;=5),N22=""),AND(AND(ISNUMBER(K22),K22&gt;=5),AND(ISNUMBER(N22),N22&gt;=1)),H22="lateral"),"intermediate","low")))</f>
        <v>intermediate</v>
      </c>
      <c r="AH22" s="44" t="str">
        <f t="shared" ref="AH22:AH31" si="12">IF(OR(ISNUMBER(SEARCH("non-invasive follicular",O22)),ISNUMBER(SEARCH("papillary-like nuclear features",O22)),ISNUMBER(SEARCH("non-invasive follicular",P22)),ISNUMBER(SEARCH("papillary-like nuclear features",P22))),"NIFTP", IF(OR(D22="4b",AND(AC22="positive",OR(ISNUMBER(SEARCH("prevertebral",AD22)),ISNUMBER(SEARCH("fascia",AD22)),ISNUMBER(SEARCH("carotid artery",AD22)),ISNUMBER(SEARCH("mediastinal",AD22))))),"4b",IF(OR(D22="4a",AND(AC22="positive",OR(ISNUMBER(SEARCH("soft tissue",AD22)),ISNUMBER(SEARCH("larynx",AD22)),ISNUMBER(SEARCH("trachea",AD22)),ISNUMBER(SEARCH("esophagus",AD22)),ISNUMBER(SEARCH("recurrent laryngeal nerve",AD22)),ISNUMBER(SEARCH("RLN",AD22))))),"4a", IF(OR(D22="3b", AC22="positive",ISNUMBER(SEARCH("strap",AD22)),ISNUMBER(SEARCH("adipose tissue",AD22)),ISNUMBER(SEARCH("sternothyroid",AD22)),ISNUMBER(SEARCH("sternohyoid",AD22)),ISNUMBER(SEARCH("thyrohyoid",AD22)),ISNUMBER(SEARCH("omohyoid",AD22))),"3b",IF(OR(D22="3a", AND(S22&lt;&gt;"",S22&gt;4)),"3a",IF(AND(S22&lt;&gt;"", S22&lt;=4,S22&gt;2),"2",IF(AND(S22&lt;&gt;"",S22&lt;=2,S22&gt;1),"1b",IF(AND(S22&lt;&gt;"",S22&lt;=1),"1a","1a"))))))))</f>
        <v>1b</v>
      </c>
      <c r="AI22" s="56" t="str">
        <f t="shared" si="5"/>
        <v>1a</v>
      </c>
      <c r="AJ22" s="56">
        <f t="shared" si="6"/>
        <v>0</v>
      </c>
      <c r="AK22" s="57" t="str">
        <f t="shared" si="7"/>
        <v>II</v>
      </c>
      <c r="AL22" s="45" t="s">
        <v>167</v>
      </c>
      <c r="AM22" s="46" t="s">
        <v>196</v>
      </c>
      <c r="AN22" s="46" t="s">
        <v>198</v>
      </c>
      <c r="AO22" s="46">
        <v>0</v>
      </c>
      <c r="AP22" s="46" t="s">
        <v>43</v>
      </c>
      <c r="AQ22" s="10">
        <f>IF(AL22=AG22,1,0)</f>
        <v>1</v>
      </c>
      <c r="AR22" s="27">
        <f>IF(AM22=AH22,1,0)</f>
        <v>1</v>
      </c>
      <c r="AS22" s="27">
        <f t="shared" si="8"/>
        <v>1</v>
      </c>
      <c r="AT22" s="27">
        <f t="shared" si="9"/>
        <v>1</v>
      </c>
      <c r="AU22" s="29">
        <f t="shared" si="9"/>
        <v>1</v>
      </c>
    </row>
    <row r="23" spans="1:47">
      <c r="A23" s="13">
        <v>21</v>
      </c>
      <c r="B23" s="16">
        <f>_xlfn.MAXIFS('Model output'!B:B,'Model output'!Z:Z,'Classification result'!$A23)</f>
        <v>45296</v>
      </c>
      <c r="C23" s="17">
        <f>_xlfn.MAXIFS('Model output'!C:C,'Model output'!Z:Z,'Classification result'!$A23)</f>
        <v>51</v>
      </c>
      <c r="D23" s="17" t="str" cm="1">
        <f t="array" ref="D23">LEFT(IF(ISERROR(RIGHT(IF(INDEX(_xlfn._xlws.FILTER('Model output'!D:D,('Model output'!Z:Z=A23)),1)&lt;&gt;"",INDEX(_xlfn._xlws.FILTER('Model output'!D:D,('Model output'!Z:Z=A23)),1),""),LEN(IF(INDEX(_xlfn._xlws.FILTER('Model output'!D:D,('Model output'!Z:Z=A23)),1)&lt;&gt;"",INDEX(_xlfn._xlws.FILTER('Model output'!D:D,('Model output'!Z:Z=A23)),1),""))-FIND("T",IF(INDEX(_xlfn._xlws.FILTER('Model output'!D:D,('Model output'!Z:Z=A23)),1)&lt;&gt;"",INDEX(_xlfn._xlws.FILTER('Model output'!D:D,('Model output'!Z:Z=A23)),1),""),1))),"",(RIGHT(IF(INDEX(_xlfn._xlws.FILTER('Model output'!D:D,('Model output'!Z:Z=A23)),1)&lt;&gt;"",INDEX(_xlfn._xlws.FILTER('Model output'!D:D,('Model output'!Z:Z=A23)),1),""),LEN(IF(INDEX(_xlfn._xlws.FILTER('Model output'!D:D,('Model output'!Z:Z=A23)),1)&lt;&gt;"",INDEX(_xlfn._xlws.FILTER('Model output'!D:D,('Model output'!Z:Z=A23)),1),""))-FIND("T",IF(INDEX(_xlfn._xlws.FILTER('Model output'!D:D,('Model output'!Z:Z=A23)),1)&lt;&gt;"",INDEX(_xlfn._xlws.FILTER('Model output'!D:D,('Model output'!Z:Z=A23)),1)))))),2)</f>
        <v>2</v>
      </c>
      <c r="E23" s="17" t="str" cm="1">
        <f t="array" ref="E23">IF(ISNUMBER(SEARCH("N",IF(ISNUMBER(SEARCH("present",IF(INDEX(_xlfn._xlws.FILTER('Model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output'!Z:Z=A23)),1))),1)),RIGHT(IF(ISNUMBER(SEARCH("present",IF(INDEX(_xlfn._xlws.FILTER('Model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output'!Z:Z=A23)),1))),LEN(IF(ISNUMBER(SEARCH("present",IF(INDEX(_xlfn._xlws.FILTER('Model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output'!Z:Z=A23)),1))))-FIND("N",IF(ISNUMBER(SEARCH("present",IF(INDEX(_xlfn._xlws.FILTER('Model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output'!Z:Z=A23)),1))),1)), "")</f>
        <v>1b</v>
      </c>
      <c r="F23" s="17" cm="1">
        <f t="array" ref="F23">IF(AND(SUBSTITUTE(_xlfn.TEXTJOIN("/", TRUE, _xlfn._xlws.FILTER('Model output'!F:F, 'Model output'!Z:Z=A23)),"M", "")="", I23="negative"),0,IF(I23="positive",1,0))</f>
        <v>0</v>
      </c>
      <c r="G23" t="str">
        <f t="shared" si="0"/>
        <v>positive</v>
      </c>
      <c r="H23" t="str" cm="1">
        <f t="array" ref="H23">IF(AND(K23&gt;0, _xlfn.TEXTJOIN("; ", TRUE, _xlfn._xlws.FILTER('Model output'!G:G, 'Model output'!Z:Z=A23)) &lt;&gt;"", OR(AND(ISNUMBER(SEARCH("level", _xlfn.TEXTJOIN("; ", TRUE, _xlfn._xlws.FILTER('Model output'!G:G, 'Model output'!Z:Z=A23)),1)),OR(ISNUMBER(SEARCH(" II", _xlfn.TEXTJOIN("; ", TRUE, _xlfn._xlws.FILTER('Model output'!G:G, 'Model output'!Z:Z=A23)),1)),ISNUMBER(SEARCH("2", _xlfn.TEXTJOIN("; ", TRUE, _xlfn._xlws.FILTER('Model output'!G:G, 'Model output'!Z:Z=A23)),1)),ISNUMBER(SEARCH("two", _xlfn.TEXTJOIN("; ", TRUE, _xlfn._xlws.FILTER('Model output'!G:G, 'Model output'!Z:Z=A23)),1)),ISNUMBER(SEARCH("III", _xlfn.TEXTJOIN("; ", TRUE, _xlfn._xlws.FILTER('Model output'!G:G, 'Model output'!Z:Z=A23)),1)),ISNUMBER(SEARCH("3", _xlfn.TEXTJOIN("; ", TRUE, _xlfn._xlws.FILTER('Model output'!G:G, 'Model output'!Z:Z=A23)),1)),ISNUMBER(SEARCH("three", _xlfn.TEXTJOIN("; ", TRUE, _xlfn._xlws.FILTER('Model output'!G:G, 'Model output'!Z:Z=A23)),1)),ISNUMBER(SEARCH("IV", _xlfn.TEXTJOIN("; ", TRUE, _xlfn._xlws.FILTER('Model output'!G:G, 'Model output'!Z:Z=A23)),1)),ISNUMBER(SEARCH("4", _xlfn.TEXTJOIN("; ", TRUE, _xlfn._xlws.FILTER('Model output'!G:G, 'Model output'!Z:Z=A23)),1)),ISNUMBER(SEARCH("five", _xlfn.TEXTJOIN("; ", TRUE, _xlfn._xlws.FILTER('Model output'!G:G, 'Model output'!Z:Z=A23)),1)),ISNUMBER(SEARCH("V ", _xlfn.TEXTJOIN("; ", TRUE, _xlfn._xlws.FILTER('Model output'!G:G, 'Model output'!Z:Z=A23)),1)),ISNUMBER(SEARCH("5", _xlfn.TEXTJOIN("; ", TRUE, _xlfn._xlws.FILTER('Model output'!G:G, 'Model output'!Z:Z=A23)),1)),ISNUMBER(SEARCH("five", _xlfn.TEXTJOIN("; ", TRUE, _xlfn._xlws.FILTER('Model output'!G:G, 'Model output'!Z:Z=A23)),1)),ISNUMBER(SEARCH(" lateral", _xlfn.TEXTJOIN("; ", TRUE, _xlfn._xlws.FILTER('Model output'!G:G, 'Model output'!Z:Z=A23)),1)))),ISNUMBER(SEARCH("cervical", _xlfn.TEXTJOIN("; ", TRUE, _xlfn._xlws.FILTER('Model output'!G:G, 'Model output'!Z:Z=A23)),1)),ISNUMBER(SEARCH("jugular", _xlfn.TEXTJOIN("; ", TRUE, _xlfn._xlws.FILTER('Model output'!G:G, 'Model output'!Z:Z=A23)),1)),ISNUMBER(SEARCH("left neck", _xlfn.TEXTJOIN("; ", TRUE, _xlfn._xlws.FILTER('Model output'!G:G, 'Model output'!Z:Z=A23)),1)),ISNUMBER(SEARCH("left anterior neck", _xlfn.TEXTJOIN("; ", TRUE, _xlfn._xlws.FILTER('Model output'!G:G, 'Model output'!Z:Z=A23)),1)),ISNUMBER(SEARCH("left posterior neck", _xlfn.TEXTJOIN("; ", TRUE, _xlfn._xlws.FILTER('Model output'!G:G, 'Model output'!Z:Z=A23)),1)),ISNUMBER(SEARCH("right neck", _xlfn.TEXTJOIN("; ", TRUE, _xlfn._xlws.FILTER('Model output'!G:G, 'Model output'!Z:Z=A23)),1)),ISNUMBER(SEARCH("right anterior neck", _xlfn.TEXTJOIN("; ", TRUE, _xlfn._xlws.FILTER('Model output'!G:G, 'Model output'!Z:Z=A23)),1)),ISNUMBER(SEARCH("right posterior neck", _xlfn.TEXTJOIN("; ", TRUE, _xlfn._xlws.FILTER('Model output'!G:G, 'Model output'!Z:Z=A23)),1)))),"lateral",IF(AND(K23=0, _xlfn.TEXTJOIN("; ", TRUE, _xlfn._xlws.FILTER('Model output'!G:G, 'Model output'!Z:Z=A23))=""),"", "central"))</f>
        <v>central</v>
      </c>
      <c r="I23" s="17" t="str" cm="1">
        <f t="array" ref="I23">IF(OR(ISNUMBER(SEARCH("lymph",_xlfn.TEXTJOIN("; ", TRUE, _xlfn._xlws.FILTER('Model output'!H:H, 'Model output'!Z:Z=A23)),1)), ISNUMBER(SEARCH("Not mentioned",_xlfn.TEXTJOIN("; ", TRUE, _xlfn._xlws.FILTER('Model output'!H:H, 'Model output'!Z:Z=A23)),1)),ISNUMBER(SEARCH("subcutaneous soft tissues",_xlfn.TEXTJOIN("; ", TRUE, _xlfn._xlws.FILTER('Model output'!H:H, 'Model output'!Z:Z=A23)),1)),ISNUMBER(SEARCH("larynx",_xlfn.TEXTJOIN("; ", TRUE, _xlfn._xlws.FILTER('Model output'!H:H, 'Model output'!Z:Z=A23)),1)),ISNUMBER(SEARCH("trachea",_xlfn.TEXTJOIN("; ", TRUE, _xlfn._xlws.FILTER('Model output'!H:H, 'Model output'!Z:Z=A23)),1)),ISNUMBER(SEARCH("esophagus",_xlfn.TEXTJOIN("; ", TRUE, _xlfn._xlws.FILTER('Model output'!H:H, 'Model output'!Z:Z=A23)),1)),ISNUMBER(SEARCH("recurrent laryngeal nerve",_xlfn.TEXTJOIN("; ", TRUE, _xlfn._xlws.FILTER('Model output'!H:H, 'Model output'!Z:Z=A23)),1)),ISNUMBER(SEARCH("RLN",_xlfn.TEXTJOIN("; ", TRUE, _xlfn._xlws.FILTER('Model output'!H:H, 'Model output'!Z:Z=A23)),1)),_xlfn.TEXTJOIN("; ", TRUE, _xlfn._xlws.FILTER('Model output'!H:H, 'Model output'!Z:Z=A23))=""),"negative","positive")</f>
        <v>negative</v>
      </c>
      <c r="J23" s="17">
        <f>IF(IFERROR(INDEX('Model output'!I:I, MATCH(A23, 'Model output'!Z:Z, 0)), "") &lt; K23, "", IFERROR(INDEX('Model output'!I:I, MATCH(A23, 'Model output'!Z:Z, 0)), ""))</f>
        <v>7</v>
      </c>
      <c r="K23" s="17">
        <f>IFERROR(INDEX('Model output'!J:J, MATCH(A23, 'Model output'!Z:Z, 0)), "")</f>
        <v>4</v>
      </c>
      <c r="L23" s="18" t="str" cm="1">
        <f t="array" ref="L23">ReplaceTo(ReplaceAnd(SUBSTITUTE(SUBSTITUTE(_xlfn.TEXTJOIN("; ", TRUE, _xlfn._xlws.FILTER('Model output'!K:K, 'Model output'!Z:Z=A23)), " ", ""), ",", ";")))</f>
        <v/>
      </c>
      <c r="M23" t="str" cm="1">
        <f t="array" ref="M23">IF(LEFT(IF(RIGHT(SUBSTITUTE(FilterWithUnits(L23)&amp; ";" &amp;FilterStringsWithNumericAnd(L23) &amp; ";" &amp; FilterStringsWithX(L23), ";;", ";"),1)=";",LEFT(SUBSTITUTE(FilterWithUnits(L23)&amp; ";" &amp;FilterStringsWithNumericAnd(L23) &amp; ";" &amp; FilterStringsWithX(L23), ";;", ";"),LEN(SUBSTITUTE(FilterWithUnits(L23)&amp; ";" &amp;FilterStringsWithNumericAnd(L23) &amp; ";" &amp; FilterStringsWithX(L23), ";;", ";"))-1),SUBSTITUTE(FilterWithUnits(L23)&amp; ";" &amp;FilterStringsWithNumericAnd(L23) &amp; ";" &amp; FilterStringsWithX(L23), ";;", ";")),1)=";",RIGHT(IF(RIGHT(SUBSTITUTE(FilterWithUnits(L23)&amp; ";" &amp;FilterStringsWithNumericAnd(L23) &amp; ";" &amp; FilterStringsWithX(L23), ";;", ";"),1)=";",LEFT(SUBSTITUTE(FilterWithUnits(L23)&amp; ";" &amp;FilterStringsWithNumericAnd(L23) &amp; ";" &amp; FilterStringsWithX(L23), ";;", ";"),LEN(SUBSTITUTE(FilterWithUnits(L23)&amp; ";" &amp;FilterStringsWithNumericAnd(L23) &amp; ";" &amp; FilterStringsWithX(L23), ";;", ";"))-1),SUBSTITUTE(FilterWithUnits(L23)&amp; ";" &amp;FilterStringsWithNumericAnd(L23) &amp; ";" &amp; FilterStringsWithX(L23), ";;", ";")),LEN(IF(RIGHT(SUBSTITUTE(FilterWithUnits(L23)&amp; ";" &amp;FilterStringsWithNumericAnd(L23) &amp; ";" &amp; FilterStringsWithX(L23), ";;", ";"),1)=";",LEFT(SUBSTITUTE(FilterWithUnits(L23)&amp; ";" &amp;FilterStringsWithNumericAnd(L23) &amp; ";" &amp; FilterStringsWithX(L23), ";;", ";"),LEN(SUBSTITUTE(FilterWithUnits(L23)&amp; ";" &amp;FilterStringsWithNumericAnd(L23) &amp; ";" &amp; FilterStringsWithX(L23), ";;", ";"))-1),SUBSTITUTE(FilterWithUnits(L23)&amp; ";" &amp;FilterStringsWithNumericAnd(L23) &amp; ";" &amp; FilterStringsWithX(L23), ";;", ";")))-1),IF(RIGHT(SUBSTITUTE(FilterWithUnits(L23)&amp; ";" &amp;FilterStringsWithNumericAnd(L23) &amp; ";" &amp; FilterStringsWithX(L23), ";;", ";"),1)=";",LEFT(SUBSTITUTE(FilterWithUnits(L23)&amp; ";" &amp;FilterStringsWithNumericAnd(L23) &amp; ";" &amp; FilterStringsWithX(L23), ";;", ";"),LEN(SUBSTITUTE(FilterWithUnits(L23)&amp; ";" &amp;FilterStringsWithNumericAnd(L23) &amp; ";" &amp; FilterStringsWithX(L23), ";;", ";"))-1),SUBSTITUTE(FilterWithUnits(L23)&amp; ";" &amp;FilterStringsWithNumericAnd(L23) &amp; ";" &amp; FilterStringsWithX(L23), ";;", ";")))</f>
        <v/>
      </c>
      <c r="N23" t="str" cm="1">
        <f t="array" ref="N23">IF(MaxSize((SplitDimensions(M23)))=0, "", MaxSize((SplitDimensions(M23))))</f>
        <v/>
      </c>
      <c r="O23" t="str" cm="1">
        <f t="array" ref="O23">IF(ISERROR(INDEX(_xlfn._xlws.FILTER('Model output'!L:L, ('Model output'!Z:Z=A23)*('Model output'!L:L&lt;&gt;"")), 1)), " ", LOWER(INDEX(_xlfn._xlws.FILTER('Model output'!L:L, ('Model output'!Z:Z=A23)*('Model output'!L:L&lt;&gt;"")), 1)))</f>
        <v>papillary</v>
      </c>
      <c r="P23" t="str" cm="1">
        <f t="array" ref="P23">IF(ISERROR(INDEX(_xlfn._xlws.FILTER('Model output'!M:M, ('Model output'!Z:Z=A23)*('Model output'!M:M&lt;&gt;"")), 1)), " ", LOWER(INDEX(_xlfn._xlws.FILTER('Model output'!M:M, ('Model output'!Z:Z=A23)*('Model output'!M:M&lt;&gt;"")), 1)))</f>
        <v>classic</v>
      </c>
      <c r="Q23" t="str" cm="1">
        <f t="array" ref="Q23">IF(OR(ISNUMBER(SEARCH("ly",SUBSTITUTE(INDEX(_xlfn._xlws.FILTER('Model output'!N:N,('Model output'!Z:Z=A23)*('Model output'!N:N&lt;&gt;"")),1)," ",""),1)), ISNUMBER(SEARCH("pole",SUBSTITUTE(INDEX(_xlfn._xlws.FILTER('Model output'!N:N,('Model output'!Z:Z=A23)*('Model output'!N:N&lt;&gt;"")),1)," ",""),1))),"",SUBSTITUTE(INDEX(_xlfn._xlws.FILTER('Model output'!N:N,('Model output'!Z:Z=A23)*('Model output'!N:N&lt;&gt;"")),1)," ",""))</f>
        <v>1.8cm</v>
      </c>
      <c r="R23" t="str" cm="1">
        <f t="array" ref="R23">IF(LEFT(IF(RIGHT(SUBSTITUTE(FilterWithUnits(Q23)&amp; ";" &amp;FilterStringsWithNumericAnd(Q23) &amp; ";" &amp; FilterStringsWithX(Q23), ";;", ";"),1)=";",LEFT(SUBSTITUTE(FilterWithUnits(Q23)&amp; ";" &amp;FilterStringsWithNumericAnd(Q23) &amp; ";" &amp; FilterStringsWithX(Q23), ";;", ";"),LEN(SUBSTITUTE(FilterWithUnits(Q23)&amp; ";" &amp;FilterStringsWithNumericAnd(Q23) &amp; ";" &amp; FilterStringsWithX(Q23), ";;", ";"))-1),SUBSTITUTE(FilterWithUnits(Q23)&amp; ";" &amp;FilterStringsWithNumericAnd(Q23) &amp; ";" &amp; FilterStringsWithX(Q23), ";;", ";")),1)=";",RIGHT(IF(RIGHT(SUBSTITUTE(FilterWithUnits(Q23)&amp; ";" &amp;FilterStringsWithNumericAnd(Q23) &amp; ";" &amp; FilterStringsWithX(Q23), ";;", ";"),1)=";",LEFT(SUBSTITUTE(FilterWithUnits(Q23)&amp; ";" &amp;FilterStringsWithNumericAnd(Q23) &amp; ";" &amp; FilterStringsWithX(Q23), ";;", ";"),LEN(SUBSTITUTE(FilterWithUnits(Q23)&amp; ";" &amp;FilterStringsWithNumericAnd(Q23) &amp; ";" &amp; FilterStringsWithX(Q23), ";;", ";"))-1),SUBSTITUTE(FilterWithUnits(Q23)&amp; ";" &amp;FilterStringsWithNumericAnd(Q23) &amp; ";" &amp; FilterStringsWithX(Q23), ";;", ";")),LEN(IF(RIGHT(SUBSTITUTE(FilterWithUnits(Q23)&amp; ";" &amp;FilterStringsWithNumericAnd(Q23) &amp; ";" &amp; FilterStringsWithX(Q23), ";;", ";"),1)=";",LEFT(SUBSTITUTE(FilterWithUnits(Q23)&amp; ";" &amp;FilterStringsWithNumericAnd(Q23) &amp; ";" &amp; FilterStringsWithX(Q23), ";;", ";"),LEN(SUBSTITUTE(FilterWithUnits(Q23)&amp; ";" &amp;FilterStringsWithNumericAnd(Q23) &amp; ";" &amp; FilterStringsWithX(Q23), ";;", ";"))-1),SUBSTITUTE(FilterWithUnits(Q23)&amp; ";" &amp;FilterStringsWithNumericAnd(Q23) &amp; ";" &amp; FilterStringsWithX(Q23), ";;", ";")))-1),IF(RIGHT(SUBSTITUTE(FilterWithUnits(Q23)&amp; ";" &amp;FilterStringsWithNumericAnd(Q23) &amp; ";" &amp; FilterStringsWithX(Q23), ";;", ";"),1)=";",LEFT(SUBSTITUTE(FilterWithUnits(Q23)&amp; ";" &amp;FilterStringsWithNumericAnd(Q23) &amp; ";" &amp; FilterStringsWithX(Q23), ";;", ";"),LEN(SUBSTITUTE(FilterWithUnits(Q23)&amp; ";" &amp;FilterStringsWithNumericAnd(Q23) &amp; ";" &amp; FilterStringsWithX(Q23), ";;", ";"))-1),SUBSTITUTE(FilterWithUnits(Q23)&amp; ";" &amp;FilterStringsWithNumericAnd(Q23) &amp; ";" &amp; FilterStringsWithX(Q23), ";;", ";")))</f>
        <v>1.8cm</v>
      </c>
      <c r="S23" cm="1">
        <f t="array" ref="S23">IF(MaxSize((SplitDimensions(R23)))=0, "", MaxSize((SplitDimensions(R23))))</f>
        <v>1.8</v>
      </c>
      <c r="T23" s="17" t="str" cm="1">
        <f t="array" ref="T23">IF(ISERROR(INDEX(_xlfn._xlws.FILTER('Model output'!P:P,('Model output'!Z:Z=A23)*('Model output'!P:P&lt;&gt;"")),1)),"negative",IF(OR(ISNUMBER(SEARCH("foc",INDEX(_xlfn._xlws.FILTER('Model output'!P:P,('Model output'!Z:Z=A23)*('Model output'!P:P&lt;&gt;"")),1),1)),ISNUMBER(SEARCH("extensive",INDEX(_xlfn._xlws.FILTER('Model output'!P:P,('Model output'!Z:Z=A23)*('Model output'!P:P&lt;&gt;"")),1),1)),ISNUMBER(SEARCH("present",INDEX(_xlfn._xlws.FILTER('Model output'!P:P,('Model output'!Z:Z=A23)*('Model output'!P:P&lt;&gt;"")),1),1)),ISNUMBER(SEARCH("yes",INDEX(_xlfn._xlws.FILTER('Model output'!P:P,('Model output'!Z:Z=A23)*('Model output'!P:P&lt;&gt;"")),1),1))),"positive","negative"))</f>
        <v>positive</v>
      </c>
      <c r="V23" t="str" cm="1">
        <f t="array" ref="V23">IF(ISNUMBER(SEARCH("4",INDEX(_xlfn._xlws.FILTER('Model output'!P:P,('Model output'!Z:Z=A23)*('Model output'!P:P&lt;&gt;"")),1),1)),INDEX(_xlfn._xlws.FILTER('Model output'!P:P,('Model output'!Z:Z=A23)*('Model output'!P:P&lt;&gt;"")),1),"") &amp; _xlfn.TEXTJOIN("",TRUE,_xlfn._xlws.FILTER('Model output'!Q:Q,'Model output'!Z:Z=A23))</f>
        <v/>
      </c>
      <c r="W23" t="str">
        <f t="shared" si="2"/>
        <v>minimal</v>
      </c>
      <c r="X23" t="str" cm="1">
        <f t="array" ref="X23">IF(OR(ISNUMBER(SEARCH("focal",_xlfn.TEXTJOIN("; ",TRUE,_xlfn._xlws.FILTER('Model output'!R:R,'Model output'!Z:Z=A23)),1)),ISNUMBER(SEARCH("present",_xlfn.TEXTJOIN("; ",TRUE,_xlfn._xlws.FILTER('Model output'!R:R,'Model output'!Z:Z=A23)),1))),"positive",IF(_xlfn.TEXTJOIN("; ",TRUE,_xlfn._xlws.FILTER('Model output'!R:R,'Model output'!Z:Z=A23))="","negative",IF(OR(ISNUMBER(SEARCH("no",_xlfn.TEXTJOIN("; ",TRUE,_xlfn._xlws.FILTER('Model output'!R:R,'Model output'!Z:Z=A23)),1)),ISNUMBER(SEARCH("absent",_xlfn.TEXTJOIN("; ",TRUE,_xlfn._xlws.FILTER('Model output'!R:R,'Model output'!Z:Z=A23)),1))),"negative","positive")))</f>
        <v>positive</v>
      </c>
      <c r="Y23" s="17" t="str">
        <f t="shared" si="3"/>
        <v>positive</v>
      </c>
      <c r="AC23" s="17" t="str">
        <f t="shared" si="4"/>
        <v>negative</v>
      </c>
      <c r="AD23" t="str" cm="1">
        <f t="array" ref="AD23">_xlfn.TEXTJOIN("; ",TRUE,_xlfn._xlws.FILTER('Model output'!S:S,'Model output'!Z:Z=A23))</f>
        <v>Present</v>
      </c>
      <c r="AE23" s="17" t="str" cm="1">
        <f t="array" ref="AE23">IF(OR(ISNUMBER(SEARCH("uninvolved",_xlfn.TEXTJOIN("; ",TRUE,_xlfn._xlws.FILTER('Model output'!V:V,'Model output'!Z:Z=A23)),1)),ISNUMBER(SEARCH("clear",_xlfn.TEXTJOIN("; ",TRUE,_xlfn._xlws.FILTER('Model output'!V:V,'Model output'!Z:Z=A23)),1))*ISNUMBER(SEARCH("not mentioned",_xlfn.TEXTJOIN("; ",TRUE,_xlfn._xlws.FILTER('Model output'!V:V,'Model output'!Z:Z=A23)),1))),"negative",IF(ISNUMBER(SEARCH("cannot be assessed",_xlfn.TEXTJOIN("; ",TRUE,_xlfn._xlws.FILTER('Model output'!V:V,'Model output'!Z:Z=A23)),1)),"unknown","negative"))</f>
        <v>negative</v>
      </c>
      <c r="AG23" s="43" t="str">
        <f>IF(OR(ISNUMBER(SEARCH("non-invasive follicular",O23,1)), ISNUMBER(SEARCH("papillary-like nuclear features",P23,1)), ISNUMBER(SEARCH("non-invasive follicular",P23,1)),ISNUMBER(SEARCH("papillary-like nuclear features",P23,1))),"NIFTP", IF(OR(I23="positive",AC23="positive",AND(OR(ISNUMBER(SEARCH("follicular", O23)),ISNUMBER(SEARCH("FTC", O23))),W23="extensive"),AND(G23="positive",ISNUMBER(N23),N23&gt;3),AI23=1),"high",IF(OR(ISNUMBER(SEARCH("positive",Y23,1)),ISNUMBER(SEARCH("tall",P23,1)),ISNUMBER(SEARCH("hobnail",P23,1)),ISNUMBER(SEARCH("cribriform",P23,1)),ISNUMBER(SEARCH("diffuse",P23,1)),ISNUMBER(SEARCH("columnar",P23,1)),ISNUMBER(SEARCH("solid",P23,1)),ISNUMBER(SEARCH("tall",O23,1)),ISNUMBER(SEARCH("hobnail",O23,1)),ISNUMBER(SEARCH("cribriform",O23,1)),ISNUMBER(SEARCH("diffuse",O23,1)),ISNUMBER(SEARCH("columnar",O23,1)),ISNUMBER(SEARCH("solid",O23,1)),AND(OR(ISNUMBER(SEARCH("papillary carcinoma",O23,1)),ISNUMBER(SEARCH("papillary microcarcinoma",O23,1))),T23="positive"),,AND(AND(ISNUMBER(K23),K23&gt;=5),N23=""),AND(AND(ISNUMBER(K23),K23&gt;=5),AND(ISNUMBER(N23),N23&gt;=1)),H23="lateral"),"intermediate","low")))</f>
        <v>intermediate</v>
      </c>
      <c r="AH23" s="44" t="str">
        <f t="shared" si="12"/>
        <v>1b</v>
      </c>
      <c r="AI23" s="56" t="str">
        <f t="shared" si="5"/>
        <v>1a</v>
      </c>
      <c r="AJ23" s="56">
        <f t="shared" si="6"/>
        <v>0</v>
      </c>
      <c r="AK23" s="57" t="str">
        <f t="shared" si="7"/>
        <v>I</v>
      </c>
      <c r="AL23" s="45" t="s">
        <v>167</v>
      </c>
      <c r="AM23" s="46" t="s">
        <v>196</v>
      </c>
      <c r="AN23" s="46" t="s">
        <v>198</v>
      </c>
      <c r="AO23" s="46">
        <v>0</v>
      </c>
      <c r="AP23" s="46" t="s">
        <v>31</v>
      </c>
      <c r="AQ23" s="10">
        <f>IF(AL23=AG23,1,0)</f>
        <v>1</v>
      </c>
      <c r="AR23" s="27">
        <f>IF(AM23=AH23,1,0)</f>
        <v>1</v>
      </c>
      <c r="AS23" s="27">
        <f t="shared" si="8"/>
        <v>1</v>
      </c>
      <c r="AT23" s="27">
        <f t="shared" si="9"/>
        <v>1</v>
      </c>
      <c r="AU23" s="29">
        <f t="shared" si="9"/>
        <v>1</v>
      </c>
    </row>
    <row r="24" spans="1:47">
      <c r="A24" s="13">
        <v>22</v>
      </c>
      <c r="B24" s="16">
        <f>_xlfn.MAXIFS('Model output'!B:B,'Model output'!Z:Z,'Classification result'!$A24)</f>
        <v>45299</v>
      </c>
      <c r="C24" s="17">
        <f>_xlfn.MAXIFS('Model output'!C:C,'Model output'!Z:Z,'Classification result'!$A24)</f>
        <v>50</v>
      </c>
      <c r="D24" s="17" t="str" cm="1">
        <f t="array" ref="D24">LEFT(IF(ISERROR(RIGHT(IF(INDEX(_xlfn._xlws.FILTER('Model output'!D:D,('Model output'!Z:Z=A24)),1)&lt;&gt;"",INDEX(_xlfn._xlws.FILTER('Model output'!D:D,('Model output'!Z:Z=A24)),1),""),LEN(IF(INDEX(_xlfn._xlws.FILTER('Model output'!D:D,('Model output'!Z:Z=A24)),1)&lt;&gt;"",INDEX(_xlfn._xlws.FILTER('Model output'!D:D,('Model output'!Z:Z=A24)),1),""))-FIND("T",IF(INDEX(_xlfn._xlws.FILTER('Model output'!D:D,('Model output'!Z:Z=A24)),1)&lt;&gt;"",INDEX(_xlfn._xlws.FILTER('Model output'!D:D,('Model output'!Z:Z=A24)),1),""),1))),"",(RIGHT(IF(INDEX(_xlfn._xlws.FILTER('Model output'!D:D,('Model output'!Z:Z=A24)),1)&lt;&gt;"",INDEX(_xlfn._xlws.FILTER('Model output'!D:D,('Model output'!Z:Z=A24)),1),""),LEN(IF(INDEX(_xlfn._xlws.FILTER('Model output'!D:D,('Model output'!Z:Z=A24)),1)&lt;&gt;"",INDEX(_xlfn._xlws.FILTER('Model output'!D:D,('Model output'!Z:Z=A24)),1),""))-FIND("T",IF(INDEX(_xlfn._xlws.FILTER('Model output'!D:D,('Model output'!Z:Z=A24)),1)&lt;&gt;"",INDEX(_xlfn._xlws.FILTER('Model output'!D:D,('Model output'!Z:Z=A24)),1)))))),2)</f>
        <v>1a</v>
      </c>
      <c r="E24" s="17" t="str" cm="1">
        <f t="array" ref="E24">IF(ISNUMBER(SEARCH("N",IF(ISNUMBER(SEARCH("present",IF(INDEX(_xlfn._xlws.FILTER('Model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output'!Z:Z=A24)),1))),1)),RIGHT(IF(ISNUMBER(SEARCH("present",IF(INDEX(_xlfn._xlws.FILTER('Model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output'!Z:Z=A24)),1))),LEN(IF(ISNUMBER(SEARCH("present",IF(INDEX(_xlfn._xlws.FILTER('Model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output'!Z:Z=A24)),1))))-FIND("N",IF(ISNUMBER(SEARCH("present",IF(INDEX(_xlfn._xlws.FILTER('Model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output'!Z:Z=A24)),1))),1)), "")</f>
        <v>X</v>
      </c>
      <c r="F24" s="17" cm="1">
        <f t="array" ref="F24">IF(AND(SUBSTITUTE(_xlfn.TEXTJOIN("/", TRUE, _xlfn._xlws.FILTER('Model output'!F:F, 'Model output'!Z:Z=A24)),"M", "")="", I24="negative"),0,IF(I24="positive",1,0))</f>
        <v>0</v>
      </c>
      <c r="G24" t="str">
        <f t="shared" si="0"/>
        <v/>
      </c>
      <c r="H24" t="str" cm="1">
        <f t="array" ref="H24">IF(AND(K24&gt;0, _xlfn.TEXTJOIN("; ", TRUE, _xlfn._xlws.FILTER('Model output'!G:G, 'Model output'!Z:Z=A24)) &lt;&gt;"", OR(AND(ISNUMBER(SEARCH("level", _xlfn.TEXTJOIN("; ", TRUE, _xlfn._xlws.FILTER('Model output'!G:G, 'Model output'!Z:Z=A24)),1)),OR(ISNUMBER(SEARCH(" II", _xlfn.TEXTJOIN("; ", TRUE, _xlfn._xlws.FILTER('Model output'!G:G, 'Model output'!Z:Z=A24)),1)),ISNUMBER(SEARCH("2", _xlfn.TEXTJOIN("; ", TRUE, _xlfn._xlws.FILTER('Model output'!G:G, 'Model output'!Z:Z=A24)),1)),ISNUMBER(SEARCH("two", _xlfn.TEXTJOIN("; ", TRUE, _xlfn._xlws.FILTER('Model output'!G:G, 'Model output'!Z:Z=A24)),1)),ISNUMBER(SEARCH("III", _xlfn.TEXTJOIN("; ", TRUE, _xlfn._xlws.FILTER('Model output'!G:G, 'Model output'!Z:Z=A24)),1)),ISNUMBER(SEARCH("3", _xlfn.TEXTJOIN("; ", TRUE, _xlfn._xlws.FILTER('Model output'!G:G, 'Model output'!Z:Z=A24)),1)),ISNUMBER(SEARCH("three", _xlfn.TEXTJOIN("; ", TRUE, _xlfn._xlws.FILTER('Model output'!G:G, 'Model output'!Z:Z=A24)),1)),ISNUMBER(SEARCH("IV", _xlfn.TEXTJOIN("; ", TRUE, _xlfn._xlws.FILTER('Model output'!G:G, 'Model output'!Z:Z=A24)),1)),ISNUMBER(SEARCH("4", _xlfn.TEXTJOIN("; ", TRUE, _xlfn._xlws.FILTER('Model output'!G:G, 'Model output'!Z:Z=A24)),1)),ISNUMBER(SEARCH("five", _xlfn.TEXTJOIN("; ", TRUE, _xlfn._xlws.FILTER('Model output'!G:G, 'Model output'!Z:Z=A24)),1)),ISNUMBER(SEARCH("V ", _xlfn.TEXTJOIN("; ", TRUE, _xlfn._xlws.FILTER('Model output'!G:G, 'Model output'!Z:Z=A24)),1)),ISNUMBER(SEARCH("5", _xlfn.TEXTJOIN("; ", TRUE, _xlfn._xlws.FILTER('Model output'!G:G, 'Model output'!Z:Z=A24)),1)),ISNUMBER(SEARCH("five", _xlfn.TEXTJOIN("; ", TRUE, _xlfn._xlws.FILTER('Model output'!G:G, 'Model output'!Z:Z=A24)),1)),ISNUMBER(SEARCH(" lateral", _xlfn.TEXTJOIN("; ", TRUE, _xlfn._xlws.FILTER('Model output'!G:G, 'Model output'!Z:Z=A24)),1)))),ISNUMBER(SEARCH("cervical", _xlfn.TEXTJOIN("; ", TRUE, _xlfn._xlws.FILTER('Model output'!G:G, 'Model output'!Z:Z=A24)),1)),ISNUMBER(SEARCH("jugular", _xlfn.TEXTJOIN("; ", TRUE, _xlfn._xlws.FILTER('Model output'!G:G, 'Model output'!Z:Z=A24)),1)),ISNUMBER(SEARCH("left neck", _xlfn.TEXTJOIN("; ", TRUE, _xlfn._xlws.FILTER('Model output'!G:G, 'Model output'!Z:Z=A24)),1)),ISNUMBER(SEARCH("left anterior neck", _xlfn.TEXTJOIN("; ", TRUE, _xlfn._xlws.FILTER('Model output'!G:G, 'Model output'!Z:Z=A24)),1)),ISNUMBER(SEARCH("left posterior neck", _xlfn.TEXTJOIN("; ", TRUE, _xlfn._xlws.FILTER('Model output'!G:G, 'Model output'!Z:Z=A24)),1)),ISNUMBER(SEARCH("right neck", _xlfn.TEXTJOIN("; ", TRUE, _xlfn._xlws.FILTER('Model output'!G:G, 'Model output'!Z:Z=A24)),1)),ISNUMBER(SEARCH("right anterior neck", _xlfn.TEXTJOIN("; ", TRUE, _xlfn._xlws.FILTER('Model output'!G:G, 'Model output'!Z:Z=A24)),1)),ISNUMBER(SEARCH("right posterior neck", _xlfn.TEXTJOIN("; ", TRUE, _xlfn._xlws.FILTER('Model output'!G:G, 'Model output'!Z:Z=A24)),1)))),"lateral",IF(AND(K24=0, _xlfn.TEXTJOIN("; ", TRUE, _xlfn._xlws.FILTER('Model output'!G:G, 'Model output'!Z:Z=A24))=""),"", "central"))</f>
        <v/>
      </c>
      <c r="I24" s="17" t="str" cm="1">
        <f t="array" ref="I24">IF(OR(ISNUMBER(SEARCH("lymph",_xlfn.TEXTJOIN("; ", TRUE, _xlfn._xlws.FILTER('Model output'!H:H, 'Model output'!Z:Z=A24)),1)), ISNUMBER(SEARCH("Not mentioned",_xlfn.TEXTJOIN("; ", TRUE, _xlfn._xlws.FILTER('Model output'!H:H, 'Model output'!Z:Z=A24)),1)),ISNUMBER(SEARCH("subcutaneous soft tissues",_xlfn.TEXTJOIN("; ", TRUE, _xlfn._xlws.FILTER('Model output'!H:H, 'Model output'!Z:Z=A24)),1)),ISNUMBER(SEARCH("larynx",_xlfn.TEXTJOIN("; ", TRUE, _xlfn._xlws.FILTER('Model output'!H:H, 'Model output'!Z:Z=A24)),1)),ISNUMBER(SEARCH("trachea",_xlfn.TEXTJOIN("; ", TRUE, _xlfn._xlws.FILTER('Model output'!H:H, 'Model output'!Z:Z=A24)),1)),ISNUMBER(SEARCH("esophagus",_xlfn.TEXTJOIN("; ", TRUE, _xlfn._xlws.FILTER('Model output'!H:H, 'Model output'!Z:Z=A24)),1)),ISNUMBER(SEARCH("recurrent laryngeal nerve",_xlfn.TEXTJOIN("; ", TRUE, _xlfn._xlws.FILTER('Model output'!H:H, 'Model output'!Z:Z=A24)),1)),ISNUMBER(SEARCH("RLN",_xlfn.TEXTJOIN("; ", TRUE, _xlfn._xlws.FILTER('Model output'!H:H, 'Model output'!Z:Z=A24)),1)),_xlfn.TEXTJOIN("; ", TRUE, _xlfn._xlws.FILTER('Model output'!H:H, 'Model output'!Z:Z=A24))=""),"negative","positive")</f>
        <v>negative</v>
      </c>
      <c r="J24" s="17">
        <f>IF(IFERROR(INDEX('Model output'!I:I, MATCH(A24, 'Model output'!Z:Z, 0)), "") &lt; K24, "", IFERROR(INDEX('Model output'!I:I, MATCH(A24, 'Model output'!Z:Z, 0)), ""))</f>
        <v>1</v>
      </c>
      <c r="K24" s="17">
        <f>IFERROR(INDEX('Model output'!J:J, MATCH(A24, 'Model output'!Z:Z, 0)), "")</f>
        <v>0</v>
      </c>
      <c r="L24" s="18" t="str" cm="1">
        <f t="array" ref="L24">ReplaceTo(ReplaceAnd(SUBSTITUTE(SUBSTITUTE(_xlfn.TEXTJOIN("; ", TRUE, _xlfn._xlws.FILTER('Model output'!K:K, 'Model output'!Z:Z=A24)), " ", ""), ",", ";")))</f>
        <v/>
      </c>
      <c r="M24" t="str" cm="1">
        <f t="array" ref="M24">IF(LEFT(IF(RIGHT(SUBSTITUTE(FilterWithUnits(L24)&amp; ";" &amp;FilterStringsWithNumericAnd(L24) &amp; ";" &amp; FilterStringsWithX(L24), ";;", ";"),1)=";",LEFT(SUBSTITUTE(FilterWithUnits(L24)&amp; ";" &amp;FilterStringsWithNumericAnd(L24) &amp; ";" &amp; FilterStringsWithX(L24), ";;", ";"),LEN(SUBSTITUTE(FilterWithUnits(L24)&amp; ";" &amp;FilterStringsWithNumericAnd(L24) &amp; ";" &amp; FilterStringsWithX(L24), ";;", ";"))-1),SUBSTITUTE(FilterWithUnits(L24)&amp; ";" &amp;FilterStringsWithNumericAnd(L24) &amp; ";" &amp; FilterStringsWithX(L24), ";;", ";")),1)=";",RIGHT(IF(RIGHT(SUBSTITUTE(FilterWithUnits(L24)&amp; ";" &amp;FilterStringsWithNumericAnd(L24) &amp; ";" &amp; FilterStringsWithX(L24), ";;", ";"),1)=";",LEFT(SUBSTITUTE(FilterWithUnits(L24)&amp; ";" &amp;FilterStringsWithNumericAnd(L24) &amp; ";" &amp; FilterStringsWithX(L24), ";;", ";"),LEN(SUBSTITUTE(FilterWithUnits(L24)&amp; ";" &amp;FilterStringsWithNumericAnd(L24) &amp; ";" &amp; FilterStringsWithX(L24), ";;", ";"))-1),SUBSTITUTE(FilterWithUnits(L24)&amp; ";" &amp;FilterStringsWithNumericAnd(L24) &amp; ";" &amp; FilterStringsWithX(L24), ";;", ";")),LEN(IF(RIGHT(SUBSTITUTE(FilterWithUnits(L24)&amp; ";" &amp;FilterStringsWithNumericAnd(L24) &amp; ";" &amp; FilterStringsWithX(L24), ";;", ";"),1)=";",LEFT(SUBSTITUTE(FilterWithUnits(L24)&amp; ";" &amp;FilterStringsWithNumericAnd(L24) &amp; ";" &amp; FilterStringsWithX(L24), ";;", ";"),LEN(SUBSTITUTE(FilterWithUnits(L24)&amp; ";" &amp;FilterStringsWithNumericAnd(L24) &amp; ";" &amp; FilterStringsWithX(L24), ";;", ";"))-1),SUBSTITUTE(FilterWithUnits(L24)&amp; ";" &amp;FilterStringsWithNumericAnd(L24) &amp; ";" &amp; FilterStringsWithX(L24), ";;", ";")))-1),IF(RIGHT(SUBSTITUTE(FilterWithUnits(L24)&amp; ";" &amp;FilterStringsWithNumericAnd(L24) &amp; ";" &amp; FilterStringsWithX(L24), ";;", ";"),1)=";",LEFT(SUBSTITUTE(FilterWithUnits(L24)&amp; ";" &amp;FilterStringsWithNumericAnd(L24) &amp; ";" &amp; FilterStringsWithX(L24), ";;", ";"),LEN(SUBSTITUTE(FilterWithUnits(L24)&amp; ";" &amp;FilterStringsWithNumericAnd(L24) &amp; ";" &amp; FilterStringsWithX(L24), ";;", ";"))-1),SUBSTITUTE(FilterWithUnits(L24)&amp; ";" &amp;FilterStringsWithNumericAnd(L24) &amp; ";" &amp; FilterStringsWithX(L24), ";;", ";")))</f>
        <v/>
      </c>
      <c r="N24" t="str" cm="1">
        <f t="array" ref="N24">IF(MaxSize((SplitDimensions(M24)))=0, "", MaxSize((SplitDimensions(M24))))</f>
        <v/>
      </c>
      <c r="O24" t="str" cm="1">
        <f t="array" ref="O24">IF(ISERROR(INDEX(_xlfn._xlws.FILTER('Model output'!L:L, ('Model output'!Z:Z=A24)*('Model output'!L:L&lt;&gt;"")), 1)), " ", LOWER(INDEX(_xlfn._xlws.FILTER('Model output'!L:L, ('Model output'!Z:Z=A24)*('Model output'!L:L&lt;&gt;"")), 1)))</f>
        <v>papillary</v>
      </c>
      <c r="P24" t="str" cm="1">
        <f t="array" ref="P24">IF(ISERROR(INDEX(_xlfn._xlws.FILTER('Model output'!M:M, ('Model output'!Z:Z=A24)*('Model output'!M:M&lt;&gt;"")), 1)), " ", LOWER(INDEX(_xlfn._xlws.FILTER('Model output'!M:M, ('Model output'!Z:Z=A24)*('Model output'!M:M&lt;&gt;"")), 1)))</f>
        <v>classic</v>
      </c>
      <c r="Q24" t="str" cm="1">
        <f t="array" ref="Q24">IF(OR(ISNUMBER(SEARCH("ly",SUBSTITUTE(INDEX(_xlfn._xlws.FILTER('Model output'!N:N,('Model output'!Z:Z=A24)*('Model output'!N:N&lt;&gt;"")),1)," ",""),1)), ISNUMBER(SEARCH("pole",SUBSTITUTE(INDEX(_xlfn._xlws.FILTER('Model output'!N:N,('Model output'!Z:Z=A24)*('Model output'!N:N&lt;&gt;"")),1)," ",""),1))),"",SUBSTITUTE(INDEX(_xlfn._xlws.FILTER('Model output'!N:N,('Model output'!Z:Z=A24)*('Model output'!N:N&lt;&gt;"")),1)," ",""))</f>
        <v>10mm</v>
      </c>
      <c r="R24" t="str" cm="1">
        <f t="array" ref="R24">IF(LEFT(IF(RIGHT(SUBSTITUTE(FilterWithUnits(Q24)&amp; ";" &amp;FilterStringsWithNumericAnd(Q24) &amp; ";" &amp; FilterStringsWithX(Q24), ";;", ";"),1)=";",LEFT(SUBSTITUTE(FilterWithUnits(Q24)&amp; ";" &amp;FilterStringsWithNumericAnd(Q24) &amp; ";" &amp; FilterStringsWithX(Q24), ";;", ";"),LEN(SUBSTITUTE(FilterWithUnits(Q24)&amp; ";" &amp;FilterStringsWithNumericAnd(Q24) &amp; ";" &amp; FilterStringsWithX(Q24), ";;", ";"))-1),SUBSTITUTE(FilterWithUnits(Q24)&amp; ";" &amp;FilterStringsWithNumericAnd(Q24) &amp; ";" &amp; FilterStringsWithX(Q24), ";;", ";")),1)=";",RIGHT(IF(RIGHT(SUBSTITUTE(FilterWithUnits(Q24)&amp; ";" &amp;FilterStringsWithNumericAnd(Q24) &amp; ";" &amp; FilterStringsWithX(Q24), ";;", ";"),1)=";",LEFT(SUBSTITUTE(FilterWithUnits(Q24)&amp; ";" &amp;FilterStringsWithNumericAnd(Q24) &amp; ";" &amp; FilterStringsWithX(Q24), ";;", ";"),LEN(SUBSTITUTE(FilterWithUnits(Q24)&amp; ";" &amp;FilterStringsWithNumericAnd(Q24) &amp; ";" &amp; FilterStringsWithX(Q24), ";;", ";"))-1),SUBSTITUTE(FilterWithUnits(Q24)&amp; ";" &amp;FilterStringsWithNumericAnd(Q24) &amp; ";" &amp; FilterStringsWithX(Q24), ";;", ";")),LEN(IF(RIGHT(SUBSTITUTE(FilterWithUnits(Q24)&amp; ";" &amp;FilterStringsWithNumericAnd(Q24) &amp; ";" &amp; FilterStringsWithX(Q24), ";;", ";"),1)=";",LEFT(SUBSTITUTE(FilterWithUnits(Q24)&amp; ";" &amp;FilterStringsWithNumericAnd(Q24) &amp; ";" &amp; FilterStringsWithX(Q24), ";;", ";"),LEN(SUBSTITUTE(FilterWithUnits(Q24)&amp; ";" &amp;FilterStringsWithNumericAnd(Q24) &amp; ";" &amp; FilterStringsWithX(Q24), ";;", ";"))-1),SUBSTITUTE(FilterWithUnits(Q24)&amp; ";" &amp;FilterStringsWithNumericAnd(Q24) &amp; ";" &amp; FilterStringsWithX(Q24), ";;", ";")))-1),IF(RIGHT(SUBSTITUTE(FilterWithUnits(Q24)&amp; ";" &amp;FilterStringsWithNumericAnd(Q24) &amp; ";" &amp; FilterStringsWithX(Q24), ";;", ";"),1)=";",LEFT(SUBSTITUTE(FilterWithUnits(Q24)&amp; ";" &amp;FilterStringsWithNumericAnd(Q24) &amp; ";" &amp; FilterStringsWithX(Q24), ";;", ";"),LEN(SUBSTITUTE(FilterWithUnits(Q24)&amp; ";" &amp;FilterStringsWithNumericAnd(Q24) &amp; ";" &amp; FilterStringsWithX(Q24), ";;", ";"))-1),SUBSTITUTE(FilterWithUnits(Q24)&amp; ";" &amp;FilterStringsWithNumericAnd(Q24) &amp; ";" &amp; FilterStringsWithX(Q24), ";;", ";")))</f>
        <v>10mm</v>
      </c>
      <c r="S24" cm="1">
        <f t="array" ref="S24">IF(MaxSize((SplitDimensions(R24)))=0, "", MaxSize((SplitDimensions(R24))))</f>
        <v>1</v>
      </c>
      <c r="T24" s="17" t="str" cm="1">
        <f t="array" ref="T24">IF(ISERROR(INDEX(_xlfn._xlws.FILTER('Model output'!P:P,('Model output'!Z:Z=A24)*('Model output'!P:P&lt;&gt;"")),1)),"negative",IF(OR(ISNUMBER(SEARCH("foc",INDEX(_xlfn._xlws.FILTER('Model output'!P:P,('Model output'!Z:Z=A24)*('Model output'!P:P&lt;&gt;"")),1),1)),ISNUMBER(SEARCH("extensive",INDEX(_xlfn._xlws.FILTER('Model output'!P:P,('Model output'!Z:Z=A24)*('Model output'!P:P&lt;&gt;"")),1),1)),ISNUMBER(SEARCH("present",INDEX(_xlfn._xlws.FILTER('Model output'!P:P,('Model output'!Z:Z=A24)*('Model output'!P:P&lt;&gt;"")),1),1)),ISNUMBER(SEARCH("yes",INDEX(_xlfn._xlws.FILTER('Model output'!P:P,('Model output'!Z:Z=A24)*('Model output'!P:P&lt;&gt;"")),1),1))),"positive","negative"))</f>
        <v>negative</v>
      </c>
      <c r="V24" t="str" cm="1">
        <f t="array" ref="V24">IF(ISNUMBER(SEARCH("4",INDEX(_xlfn._xlws.FILTER('Model output'!P:P,('Model output'!Z:Z=A24)*('Model output'!P:P&lt;&gt;"")),1),1)),INDEX(_xlfn._xlws.FILTER('Model output'!P:P,('Model output'!Z:Z=A24)*('Model output'!P:P&lt;&gt;"")),1),"") &amp; _xlfn.TEXTJOIN("",TRUE,_xlfn._xlws.FILTER('Model output'!Q:Q,'Model output'!Z:Z=A24))</f>
        <v/>
      </c>
      <c r="W24" t="str">
        <f t="shared" si="2"/>
        <v>no</v>
      </c>
      <c r="X24" t="str" cm="1">
        <f t="array" ref="X24">IF(OR(ISNUMBER(SEARCH("focal",_xlfn.TEXTJOIN("; ",TRUE,_xlfn._xlws.FILTER('Model output'!R:R,'Model output'!Z:Z=A24)),1)),ISNUMBER(SEARCH("present",_xlfn.TEXTJOIN("; ",TRUE,_xlfn._xlws.FILTER('Model output'!R:R,'Model output'!Z:Z=A24)),1))),"positive",IF(_xlfn.TEXTJOIN("; ",TRUE,_xlfn._xlws.FILTER('Model output'!R:R,'Model output'!Z:Z=A24))="","negative",IF(OR(ISNUMBER(SEARCH("no",_xlfn.TEXTJOIN("; ",TRUE,_xlfn._xlws.FILTER('Model output'!R:R,'Model output'!Z:Z=A24)),1)),ISNUMBER(SEARCH("absent",_xlfn.TEXTJOIN("; ",TRUE,_xlfn._xlws.FILTER('Model output'!R:R,'Model output'!Z:Z=A24)),1))),"negative","positive")))</f>
        <v>negative</v>
      </c>
      <c r="Y24" s="17" t="str">
        <f t="shared" si="3"/>
        <v>negative</v>
      </c>
      <c r="AC24" s="17" t="str">
        <f t="shared" si="4"/>
        <v>negative</v>
      </c>
      <c r="AD24" t="str" cm="1">
        <f t="array" ref="AD24">_xlfn.TEXTJOIN("; ",TRUE,_xlfn._xlws.FILTER('Model output'!S:S,'Model output'!Z:Z=A24))</f>
        <v/>
      </c>
      <c r="AE24" s="17" t="str" cm="1">
        <f t="array" ref="AE24">IF(OR(ISNUMBER(SEARCH("uninvolved",_xlfn.TEXTJOIN("; ",TRUE,_xlfn._xlws.FILTER('Model output'!V:V,'Model output'!Z:Z=A24)),1)),ISNUMBER(SEARCH("clear",_xlfn.TEXTJOIN("; ",TRUE,_xlfn._xlws.FILTER('Model output'!V:V,'Model output'!Z:Z=A24)),1))*ISNUMBER(SEARCH("not mentioned",_xlfn.TEXTJOIN("; ",TRUE,_xlfn._xlws.FILTER('Model output'!V:V,'Model output'!Z:Z=A24)),1))),"negative",IF(ISNUMBER(SEARCH("cannot be assessed",_xlfn.TEXTJOIN("; ",TRUE,_xlfn._xlws.FILTER('Model output'!V:V,'Model output'!Z:Z=A24)),1)),"unknown","negative"))</f>
        <v>negative</v>
      </c>
      <c r="AG24" s="43" t="str">
        <f>IF(OR(ISNUMBER(SEARCH("non-invasive follicular",O24,1)), ISNUMBER(SEARCH("papillary-like nuclear features",P24,1)), ISNUMBER(SEARCH("non-invasive follicular",P24,1)),ISNUMBER(SEARCH("papillary-like nuclear features",P24,1))),"NIFTP", IF(OR(I24="positive",AC24="positive",AND(OR(ISNUMBER(SEARCH("follicular", O24)),ISNUMBER(SEARCH("FTC", O24))),W24="extensive"),AND(G24="positive",ISNUMBER(N24),N24&gt;3),AI24=1),"high",IF(OR(ISNUMBER(SEARCH("positive",Y24,1)),ISNUMBER(SEARCH("tall",P24,1)),ISNUMBER(SEARCH("hobnail",P24,1)),ISNUMBER(SEARCH("cribriform",P24,1)),ISNUMBER(SEARCH("diffuse",P24,1)),ISNUMBER(SEARCH("columnar",P24,1)),ISNUMBER(SEARCH("solid",P24,1)),ISNUMBER(SEARCH("tall",O24,1)),ISNUMBER(SEARCH("hobnail",O24,1)),ISNUMBER(SEARCH("cribriform",O24,1)),ISNUMBER(SEARCH("diffuse",O24,1)),ISNUMBER(SEARCH("columnar",O24,1)),ISNUMBER(SEARCH("solid",O24,1)),AND(OR(ISNUMBER(SEARCH("papillary carcinoma",O24,1)),ISNUMBER(SEARCH("papillary microcarcinoma",O24,1))),T24="positive"),,AND(AND(ISNUMBER(K24),K24&gt;=5),N24=""),AND(AND(ISNUMBER(K24),K24&gt;=5),AND(ISNUMBER(N24),N24&gt;=1)),H24="lateral"),"intermediate","low")))</f>
        <v>low</v>
      </c>
      <c r="AH24" s="44" t="str">
        <f t="shared" si="12"/>
        <v>1a</v>
      </c>
      <c r="AI24" s="56">
        <f t="shared" si="5"/>
        <v>0</v>
      </c>
      <c r="AJ24" s="56">
        <f t="shared" si="6"/>
        <v>0</v>
      </c>
      <c r="AK24" s="57" t="str">
        <f t="shared" si="7"/>
        <v>I</v>
      </c>
      <c r="AL24" s="45" t="s">
        <v>169</v>
      </c>
      <c r="AM24" s="46" t="s">
        <v>198</v>
      </c>
      <c r="AN24" s="46">
        <v>0</v>
      </c>
      <c r="AO24" s="46">
        <v>0</v>
      </c>
      <c r="AP24" s="46" t="s">
        <v>31</v>
      </c>
      <c r="AQ24" s="10">
        <f>IF(AL24=AG24,1,0)</f>
        <v>1</v>
      </c>
      <c r="AR24" s="27">
        <f>IF(AM24=AH24,1,0)</f>
        <v>1</v>
      </c>
      <c r="AS24" s="27">
        <f t="shared" si="8"/>
        <v>1</v>
      </c>
      <c r="AT24" s="27">
        <f t="shared" si="9"/>
        <v>1</v>
      </c>
      <c r="AU24" s="29">
        <f t="shared" si="9"/>
        <v>1</v>
      </c>
    </row>
    <row r="25" spans="1:47">
      <c r="A25" s="13">
        <v>23</v>
      </c>
      <c r="B25" s="16">
        <f>_xlfn.MAXIFS('Model output'!B:B,'Model output'!Z:Z,'Classification result'!$A25)</f>
        <v>45296</v>
      </c>
      <c r="C25" s="17">
        <f>_xlfn.MAXIFS('Model output'!C:C,'Model output'!Z:Z,'Classification result'!$A25)</f>
        <v>61</v>
      </c>
      <c r="D25" s="17" t="str" cm="1">
        <f t="array" ref="D25">LEFT(IF(ISERROR(RIGHT(IF(INDEX(_xlfn._xlws.FILTER('Model output'!D:D,('Model output'!Z:Z=A25)),1)&lt;&gt;"",INDEX(_xlfn._xlws.FILTER('Model output'!D:D,('Model output'!Z:Z=A25)),1),""),LEN(IF(INDEX(_xlfn._xlws.FILTER('Model output'!D:D,('Model output'!Z:Z=A25)),1)&lt;&gt;"",INDEX(_xlfn._xlws.FILTER('Model output'!D:D,('Model output'!Z:Z=A25)),1),""))-FIND("T",IF(INDEX(_xlfn._xlws.FILTER('Model output'!D:D,('Model output'!Z:Z=A25)),1)&lt;&gt;"",INDEX(_xlfn._xlws.FILTER('Model output'!D:D,('Model output'!Z:Z=A25)),1),""),1))),"",(RIGHT(IF(INDEX(_xlfn._xlws.FILTER('Model output'!D:D,('Model output'!Z:Z=A25)),1)&lt;&gt;"",INDEX(_xlfn._xlws.FILTER('Model output'!D:D,('Model output'!Z:Z=A25)),1),""),LEN(IF(INDEX(_xlfn._xlws.FILTER('Model output'!D:D,('Model output'!Z:Z=A25)),1)&lt;&gt;"",INDEX(_xlfn._xlws.FILTER('Model output'!D:D,('Model output'!Z:Z=A25)),1),""))-FIND("T",IF(INDEX(_xlfn._xlws.FILTER('Model output'!D:D,('Model output'!Z:Z=A25)),1)&lt;&gt;"",INDEX(_xlfn._xlws.FILTER('Model output'!D:D,('Model output'!Z:Z=A25)),1)))))),2)</f>
        <v/>
      </c>
      <c r="E25" s="17" t="str" cm="1">
        <f t="array" ref="E25">IF(ISNUMBER(SEARCH("N",IF(ISNUMBER(SEARCH("present",IF(INDEX(_xlfn._xlws.FILTER('Model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output'!Z:Z=A25)),1))),1)),RIGHT(IF(ISNUMBER(SEARCH("present",IF(INDEX(_xlfn._xlws.FILTER('Model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output'!Z:Z=A25)),1))),LEN(IF(ISNUMBER(SEARCH("present",IF(INDEX(_xlfn._xlws.FILTER('Model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output'!Z:Z=A25)),1))))-FIND("N",IF(ISNUMBER(SEARCH("present",IF(INDEX(_xlfn._xlws.FILTER('Model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output'!Z:Z=A25)),1))),1)), "")</f>
        <v/>
      </c>
      <c r="F25" s="17" cm="1">
        <f t="array" ref="F25">IF(AND(SUBSTITUTE(_xlfn.TEXTJOIN("/", TRUE, _xlfn._xlws.FILTER('Model output'!F:F, 'Model output'!Z:Z=A25)),"M", "")="", I25="negative"),0,IF(I25="positive",1,0))</f>
        <v>0</v>
      </c>
      <c r="G25" t="str">
        <f t="shared" si="0"/>
        <v/>
      </c>
      <c r="H25" t="str" cm="1">
        <f t="array" ref="H25">IF(AND(K25&gt;0, _xlfn.TEXTJOIN("; ", TRUE, _xlfn._xlws.FILTER('Model output'!G:G, 'Model output'!Z:Z=A25)) &lt;&gt;"", OR(AND(ISNUMBER(SEARCH("level", _xlfn.TEXTJOIN("; ", TRUE, _xlfn._xlws.FILTER('Model output'!G:G, 'Model output'!Z:Z=A25)),1)),OR(ISNUMBER(SEARCH(" II", _xlfn.TEXTJOIN("; ", TRUE, _xlfn._xlws.FILTER('Model output'!G:G, 'Model output'!Z:Z=A25)),1)),ISNUMBER(SEARCH("2", _xlfn.TEXTJOIN("; ", TRUE, _xlfn._xlws.FILTER('Model output'!G:G, 'Model output'!Z:Z=A25)),1)),ISNUMBER(SEARCH("two", _xlfn.TEXTJOIN("; ", TRUE, _xlfn._xlws.FILTER('Model output'!G:G, 'Model output'!Z:Z=A25)),1)),ISNUMBER(SEARCH("III", _xlfn.TEXTJOIN("; ", TRUE, _xlfn._xlws.FILTER('Model output'!G:G, 'Model output'!Z:Z=A25)),1)),ISNUMBER(SEARCH("3", _xlfn.TEXTJOIN("; ", TRUE, _xlfn._xlws.FILTER('Model output'!G:G, 'Model output'!Z:Z=A25)),1)),ISNUMBER(SEARCH("three", _xlfn.TEXTJOIN("; ", TRUE, _xlfn._xlws.FILTER('Model output'!G:G, 'Model output'!Z:Z=A25)),1)),ISNUMBER(SEARCH("IV", _xlfn.TEXTJOIN("; ", TRUE, _xlfn._xlws.FILTER('Model output'!G:G, 'Model output'!Z:Z=A25)),1)),ISNUMBER(SEARCH("4", _xlfn.TEXTJOIN("; ", TRUE, _xlfn._xlws.FILTER('Model output'!G:G, 'Model output'!Z:Z=A25)),1)),ISNUMBER(SEARCH("five", _xlfn.TEXTJOIN("; ", TRUE, _xlfn._xlws.FILTER('Model output'!G:G, 'Model output'!Z:Z=A25)),1)),ISNUMBER(SEARCH("V ", _xlfn.TEXTJOIN("; ", TRUE, _xlfn._xlws.FILTER('Model output'!G:G, 'Model output'!Z:Z=A25)),1)),ISNUMBER(SEARCH("5", _xlfn.TEXTJOIN("; ", TRUE, _xlfn._xlws.FILTER('Model output'!G:G, 'Model output'!Z:Z=A25)),1)),ISNUMBER(SEARCH("five", _xlfn.TEXTJOIN("; ", TRUE, _xlfn._xlws.FILTER('Model output'!G:G, 'Model output'!Z:Z=A25)),1)),ISNUMBER(SEARCH(" lateral", _xlfn.TEXTJOIN("; ", TRUE, _xlfn._xlws.FILTER('Model output'!G:G, 'Model output'!Z:Z=A25)),1)))),ISNUMBER(SEARCH("cervical", _xlfn.TEXTJOIN("; ", TRUE, _xlfn._xlws.FILTER('Model output'!G:G, 'Model output'!Z:Z=A25)),1)),ISNUMBER(SEARCH("jugular", _xlfn.TEXTJOIN("; ", TRUE, _xlfn._xlws.FILTER('Model output'!G:G, 'Model output'!Z:Z=A25)),1)),ISNUMBER(SEARCH("left neck", _xlfn.TEXTJOIN("; ", TRUE, _xlfn._xlws.FILTER('Model output'!G:G, 'Model output'!Z:Z=A25)),1)),ISNUMBER(SEARCH("left anterior neck", _xlfn.TEXTJOIN("; ", TRUE, _xlfn._xlws.FILTER('Model output'!G:G, 'Model output'!Z:Z=A25)),1)),ISNUMBER(SEARCH("left posterior neck", _xlfn.TEXTJOIN("; ", TRUE, _xlfn._xlws.FILTER('Model output'!G:G, 'Model output'!Z:Z=A25)),1)),ISNUMBER(SEARCH("right neck", _xlfn.TEXTJOIN("; ", TRUE, _xlfn._xlws.FILTER('Model output'!G:G, 'Model output'!Z:Z=A25)),1)),ISNUMBER(SEARCH("right anterior neck", _xlfn.TEXTJOIN("; ", TRUE, _xlfn._xlws.FILTER('Model output'!G:G, 'Model output'!Z:Z=A25)),1)),ISNUMBER(SEARCH("right posterior neck", _xlfn.TEXTJOIN("; ", TRUE, _xlfn._xlws.FILTER('Model output'!G:G, 'Model output'!Z:Z=A25)),1)))),"lateral",IF(AND(K25=0, _xlfn.TEXTJOIN("; ", TRUE, _xlfn._xlws.FILTER('Model output'!G:G, 'Model output'!Z:Z=A25))=""),"", "central"))</f>
        <v/>
      </c>
      <c r="I25" s="17" t="str" cm="1">
        <f t="array" ref="I25">IF(OR(ISNUMBER(SEARCH("lymph",_xlfn.TEXTJOIN("; ", TRUE, _xlfn._xlws.FILTER('Model output'!H:H, 'Model output'!Z:Z=A25)),1)), ISNUMBER(SEARCH("Not mentioned",_xlfn.TEXTJOIN("; ", TRUE, _xlfn._xlws.FILTER('Model output'!H:H, 'Model output'!Z:Z=A25)),1)),ISNUMBER(SEARCH("subcutaneous soft tissues",_xlfn.TEXTJOIN("; ", TRUE, _xlfn._xlws.FILTER('Model output'!H:H, 'Model output'!Z:Z=A25)),1)),ISNUMBER(SEARCH("larynx",_xlfn.TEXTJOIN("; ", TRUE, _xlfn._xlws.FILTER('Model output'!H:H, 'Model output'!Z:Z=A25)),1)),ISNUMBER(SEARCH("trachea",_xlfn.TEXTJOIN("; ", TRUE, _xlfn._xlws.FILTER('Model output'!H:H, 'Model output'!Z:Z=A25)),1)),ISNUMBER(SEARCH("esophagus",_xlfn.TEXTJOIN("; ", TRUE, _xlfn._xlws.FILTER('Model output'!H:H, 'Model output'!Z:Z=A25)),1)),ISNUMBER(SEARCH("recurrent laryngeal nerve",_xlfn.TEXTJOIN("; ", TRUE, _xlfn._xlws.FILTER('Model output'!H:H, 'Model output'!Z:Z=A25)),1)),ISNUMBER(SEARCH("RLN",_xlfn.TEXTJOIN("; ", TRUE, _xlfn._xlws.FILTER('Model output'!H:H, 'Model output'!Z:Z=A25)),1)),_xlfn.TEXTJOIN("; ", TRUE, _xlfn._xlws.FILTER('Model output'!H:H, 'Model output'!Z:Z=A25))=""),"negative","positive")</f>
        <v>negative</v>
      </c>
      <c r="J25" s="17">
        <f>IF(IFERROR(INDEX('Model output'!I:I, MATCH(A25, 'Model output'!Z:Z, 0)), "") &lt; K25, "", IFERROR(INDEX('Model output'!I:I, MATCH(A25, 'Model output'!Z:Z, 0)), ""))</f>
        <v>1</v>
      </c>
      <c r="K25" s="17">
        <f>IFERROR(INDEX('Model output'!J:J, MATCH(A25, 'Model output'!Z:Z, 0)), "")</f>
        <v>0</v>
      </c>
      <c r="L25" s="18" t="str" cm="1">
        <f t="array" ref="L25">ReplaceTo(ReplaceAnd(SUBSTITUTE(SUBSTITUTE(_xlfn.TEXTJOIN("; ", TRUE, _xlfn._xlws.FILTER('Model output'!K:K, 'Model output'!Z:Z=A25)), " ", ""), ",", ";")))</f>
        <v/>
      </c>
      <c r="M25" t="str" cm="1">
        <f t="array" ref="M25">IF(LEFT(IF(RIGHT(SUBSTITUTE(FilterWithUnits(L25)&amp; ";" &amp;FilterStringsWithNumericAnd(L25) &amp; ";" &amp; FilterStringsWithX(L25), ";;", ";"),1)=";",LEFT(SUBSTITUTE(FilterWithUnits(L25)&amp; ";" &amp;FilterStringsWithNumericAnd(L25) &amp; ";" &amp; FilterStringsWithX(L25), ";;", ";"),LEN(SUBSTITUTE(FilterWithUnits(L25)&amp; ";" &amp;FilterStringsWithNumericAnd(L25) &amp; ";" &amp; FilterStringsWithX(L25), ";;", ";"))-1),SUBSTITUTE(FilterWithUnits(L25)&amp; ";" &amp;FilterStringsWithNumericAnd(L25) &amp; ";" &amp; FilterStringsWithX(L25), ";;", ";")),1)=";",RIGHT(IF(RIGHT(SUBSTITUTE(FilterWithUnits(L25)&amp; ";" &amp;FilterStringsWithNumericAnd(L25) &amp; ";" &amp; FilterStringsWithX(L25), ";;", ";"),1)=";",LEFT(SUBSTITUTE(FilterWithUnits(L25)&amp; ";" &amp;FilterStringsWithNumericAnd(L25) &amp; ";" &amp; FilterStringsWithX(L25), ";;", ";"),LEN(SUBSTITUTE(FilterWithUnits(L25)&amp; ";" &amp;FilterStringsWithNumericAnd(L25) &amp; ";" &amp; FilterStringsWithX(L25), ";;", ";"))-1),SUBSTITUTE(FilterWithUnits(L25)&amp; ";" &amp;FilterStringsWithNumericAnd(L25) &amp; ";" &amp; FilterStringsWithX(L25), ";;", ";")),LEN(IF(RIGHT(SUBSTITUTE(FilterWithUnits(L25)&amp; ";" &amp;FilterStringsWithNumericAnd(L25) &amp; ";" &amp; FilterStringsWithX(L25), ";;", ";"),1)=";",LEFT(SUBSTITUTE(FilterWithUnits(L25)&amp; ";" &amp;FilterStringsWithNumericAnd(L25) &amp; ";" &amp; FilterStringsWithX(L25), ";;", ";"),LEN(SUBSTITUTE(FilterWithUnits(L25)&amp; ";" &amp;FilterStringsWithNumericAnd(L25) &amp; ";" &amp; FilterStringsWithX(L25), ";;", ";"))-1),SUBSTITUTE(FilterWithUnits(L25)&amp; ";" &amp;FilterStringsWithNumericAnd(L25) &amp; ";" &amp; FilterStringsWithX(L25), ";;", ";")))-1),IF(RIGHT(SUBSTITUTE(FilterWithUnits(L25)&amp; ";" &amp;FilterStringsWithNumericAnd(L25) &amp; ";" &amp; FilterStringsWithX(L25), ";;", ";"),1)=";",LEFT(SUBSTITUTE(FilterWithUnits(L25)&amp; ";" &amp;FilterStringsWithNumericAnd(L25) &amp; ";" &amp; FilterStringsWithX(L25), ";;", ";"),LEN(SUBSTITUTE(FilterWithUnits(L25)&amp; ";" &amp;FilterStringsWithNumericAnd(L25) &amp; ";" &amp; FilterStringsWithX(L25), ";;", ";"))-1),SUBSTITUTE(FilterWithUnits(L25)&amp; ";" &amp;FilterStringsWithNumericAnd(L25) &amp; ";" &amp; FilterStringsWithX(L25), ";;", ";")))</f>
        <v/>
      </c>
      <c r="N25" t="str" cm="1">
        <f t="array" ref="N25">IF(MaxSize((SplitDimensions(M25)))=0, "", MaxSize((SplitDimensions(M25))))</f>
        <v/>
      </c>
      <c r="O25" t="str" cm="1">
        <f t="array" ref="O25">IF(ISERROR(INDEX(_xlfn._xlws.FILTER('Model output'!L:L, ('Model output'!Z:Z=A25)*('Model output'!L:L&lt;&gt;"")), 1)), " ", LOWER(INDEX(_xlfn._xlws.FILTER('Model output'!L:L, ('Model output'!Z:Z=A25)*('Model output'!L:L&lt;&gt;"")), 1)))</f>
        <v>papillary</v>
      </c>
      <c r="P25" t="str" cm="1">
        <f t="array" ref="P25">IF(ISERROR(INDEX(_xlfn._xlws.FILTER('Model output'!M:M, ('Model output'!Z:Z=A25)*('Model output'!M:M&lt;&gt;"")), 1)), " ", LOWER(INDEX(_xlfn._xlws.FILTER('Model output'!M:M, ('Model output'!Z:Z=A25)*('Model output'!M:M&lt;&gt;"")), 1)))</f>
        <v>infiltrative follicular</v>
      </c>
      <c r="Q25" t="str" cm="1">
        <f t="array" ref="Q25">IF(OR(ISNUMBER(SEARCH("ly",SUBSTITUTE(INDEX(_xlfn._xlws.FILTER('Model output'!N:N,('Model output'!Z:Z=A25)*('Model output'!N:N&lt;&gt;"")),1)," ",""),1)), ISNUMBER(SEARCH("pole",SUBSTITUTE(INDEX(_xlfn._xlws.FILTER('Model output'!N:N,('Model output'!Z:Z=A25)*('Model output'!N:N&lt;&gt;"")),1)," ",""),1))),"",SUBSTITUTE(INDEX(_xlfn._xlws.FILTER('Model output'!N:N,('Model output'!Z:Z=A25)*('Model output'!N:N&lt;&gt;"")),1)," ",""))</f>
        <v>1.2cm</v>
      </c>
      <c r="R25" t="str" cm="1">
        <f t="array" ref="R25">IF(LEFT(IF(RIGHT(SUBSTITUTE(FilterWithUnits(Q25)&amp; ";" &amp;FilterStringsWithNumericAnd(Q25) &amp; ";" &amp; FilterStringsWithX(Q25), ";;", ";"),1)=";",LEFT(SUBSTITUTE(FilterWithUnits(Q25)&amp; ";" &amp;FilterStringsWithNumericAnd(Q25) &amp; ";" &amp; FilterStringsWithX(Q25), ";;", ";"),LEN(SUBSTITUTE(FilterWithUnits(Q25)&amp; ";" &amp;FilterStringsWithNumericAnd(Q25) &amp; ";" &amp; FilterStringsWithX(Q25), ";;", ";"))-1),SUBSTITUTE(FilterWithUnits(Q25)&amp; ";" &amp;FilterStringsWithNumericAnd(Q25) &amp; ";" &amp; FilterStringsWithX(Q25), ";;", ";")),1)=";",RIGHT(IF(RIGHT(SUBSTITUTE(FilterWithUnits(Q25)&amp; ";" &amp;FilterStringsWithNumericAnd(Q25) &amp; ";" &amp; FilterStringsWithX(Q25), ";;", ";"),1)=";",LEFT(SUBSTITUTE(FilterWithUnits(Q25)&amp; ";" &amp;FilterStringsWithNumericAnd(Q25) &amp; ";" &amp; FilterStringsWithX(Q25), ";;", ";"),LEN(SUBSTITUTE(FilterWithUnits(Q25)&amp; ";" &amp;FilterStringsWithNumericAnd(Q25) &amp; ";" &amp; FilterStringsWithX(Q25), ";;", ";"))-1),SUBSTITUTE(FilterWithUnits(Q25)&amp; ";" &amp;FilterStringsWithNumericAnd(Q25) &amp; ";" &amp; FilterStringsWithX(Q25), ";;", ";")),LEN(IF(RIGHT(SUBSTITUTE(FilterWithUnits(Q25)&amp; ";" &amp;FilterStringsWithNumericAnd(Q25) &amp; ";" &amp; FilterStringsWithX(Q25), ";;", ";"),1)=";",LEFT(SUBSTITUTE(FilterWithUnits(Q25)&amp; ";" &amp;FilterStringsWithNumericAnd(Q25) &amp; ";" &amp; FilterStringsWithX(Q25), ";;", ";"),LEN(SUBSTITUTE(FilterWithUnits(Q25)&amp; ";" &amp;FilterStringsWithNumericAnd(Q25) &amp; ";" &amp; FilterStringsWithX(Q25), ";;", ";"))-1),SUBSTITUTE(FilterWithUnits(Q25)&amp; ";" &amp;FilterStringsWithNumericAnd(Q25) &amp; ";" &amp; FilterStringsWithX(Q25), ";;", ";")))-1),IF(RIGHT(SUBSTITUTE(FilterWithUnits(Q25)&amp; ";" &amp;FilterStringsWithNumericAnd(Q25) &amp; ";" &amp; FilterStringsWithX(Q25), ";;", ";"),1)=";",LEFT(SUBSTITUTE(FilterWithUnits(Q25)&amp; ";" &amp;FilterStringsWithNumericAnd(Q25) &amp; ";" &amp; FilterStringsWithX(Q25), ";;", ";"),LEN(SUBSTITUTE(FilterWithUnits(Q25)&amp; ";" &amp;FilterStringsWithNumericAnd(Q25) &amp; ";" &amp; FilterStringsWithX(Q25), ";;", ";"))-1),SUBSTITUTE(FilterWithUnits(Q25)&amp; ";" &amp;FilterStringsWithNumericAnd(Q25) &amp; ";" &amp; FilterStringsWithX(Q25), ";;", ";")))</f>
        <v>1.2cm</v>
      </c>
      <c r="S25" cm="1">
        <f t="array" ref="S25">IF(MaxSize((SplitDimensions(R25)))=0, "", MaxSize((SplitDimensions(R25))))</f>
        <v>1.2</v>
      </c>
      <c r="T25" s="17" t="str" cm="1">
        <f t="array" ref="T25">IF(ISERROR(INDEX(_xlfn._xlws.FILTER('Model output'!P:P,('Model output'!Z:Z=A25)*('Model output'!P:P&lt;&gt;"")),1)),"negative",IF(OR(ISNUMBER(SEARCH("foc",INDEX(_xlfn._xlws.FILTER('Model output'!P:P,('Model output'!Z:Z=A25)*('Model output'!P:P&lt;&gt;"")),1),1)),ISNUMBER(SEARCH("extensive",INDEX(_xlfn._xlws.FILTER('Model output'!P:P,('Model output'!Z:Z=A25)*('Model output'!P:P&lt;&gt;"")),1),1)),ISNUMBER(SEARCH("present",INDEX(_xlfn._xlws.FILTER('Model output'!P:P,('Model output'!Z:Z=A25)*('Model output'!P:P&lt;&gt;"")),1),1)),ISNUMBER(SEARCH("yes",INDEX(_xlfn._xlws.FILTER('Model output'!P:P,('Model output'!Z:Z=A25)*('Model output'!P:P&lt;&gt;"")),1),1))),"positive","negative"))</f>
        <v>negative</v>
      </c>
      <c r="V25" t="str" cm="1">
        <f t="array" ref="V25">IF(ISNUMBER(SEARCH("4",INDEX(_xlfn._xlws.FILTER('Model output'!P:P,('Model output'!Z:Z=A25)*('Model output'!P:P&lt;&gt;"")),1),1)),INDEX(_xlfn._xlws.FILTER('Model output'!P:P,('Model output'!Z:Z=A25)*('Model output'!P:P&lt;&gt;"")),1),"") &amp; _xlfn.TEXTJOIN("",TRUE,_xlfn._xlws.FILTER('Model output'!Q:Q,'Model output'!Z:Z=A25))</f>
        <v/>
      </c>
      <c r="W25" t="str">
        <f t="shared" si="2"/>
        <v>no</v>
      </c>
      <c r="X25" t="str" cm="1">
        <f t="array" ref="X25">IF(OR(ISNUMBER(SEARCH("focal",_xlfn.TEXTJOIN("; ",TRUE,_xlfn._xlws.FILTER('Model output'!R:R,'Model output'!Z:Z=A25)),1)),ISNUMBER(SEARCH("present",_xlfn.TEXTJOIN("; ",TRUE,_xlfn._xlws.FILTER('Model output'!R:R,'Model output'!Z:Z=A25)),1))),"positive",IF(_xlfn.TEXTJOIN("; ",TRUE,_xlfn._xlws.FILTER('Model output'!R:R,'Model output'!Z:Z=A25))="","negative",IF(OR(ISNUMBER(SEARCH("no",_xlfn.TEXTJOIN("; ",TRUE,_xlfn._xlws.FILTER('Model output'!R:R,'Model output'!Z:Z=A25)),1)),ISNUMBER(SEARCH("absent",_xlfn.TEXTJOIN("; ",TRUE,_xlfn._xlws.FILTER('Model output'!R:R,'Model output'!Z:Z=A25)),1))),"negative","positive")))</f>
        <v>negative</v>
      </c>
      <c r="Y25" s="17" t="str">
        <f t="shared" si="3"/>
        <v>positive</v>
      </c>
      <c r="AC25" s="17" t="str">
        <f t="shared" si="4"/>
        <v>negative</v>
      </c>
      <c r="AD25" t="str" cm="1">
        <f t="array" ref="AD25">_xlfn.TEXTJOIN("; ",TRUE,_xlfn._xlws.FILTER('Model output'!S:S,'Model output'!Z:Z=A25))</f>
        <v>Present</v>
      </c>
      <c r="AE25" s="17" t="str" cm="1">
        <f t="array" ref="AE25">IF(OR(ISNUMBER(SEARCH("uninvolved",_xlfn.TEXTJOIN("; ",TRUE,_xlfn._xlws.FILTER('Model output'!V:V,'Model output'!Z:Z=A25)),1)),ISNUMBER(SEARCH("clear",_xlfn.TEXTJOIN("; ",TRUE,_xlfn._xlws.FILTER('Model output'!V:V,'Model output'!Z:Z=A25)),1))*ISNUMBER(SEARCH("not mentioned",_xlfn.TEXTJOIN("; ",TRUE,_xlfn._xlws.FILTER('Model output'!V:V,'Model output'!Z:Z=A25)),1))),"negative",IF(ISNUMBER(SEARCH("cannot be assessed",_xlfn.TEXTJOIN("; ",TRUE,_xlfn._xlws.FILTER('Model output'!V:V,'Model output'!Z:Z=A25)),1)),"unknown","negative"))</f>
        <v>negative</v>
      </c>
      <c r="AG25" s="43" t="str">
        <f>IF(OR(ISNUMBER(SEARCH("non-invasive follicular",O25,1)), ISNUMBER(SEARCH("papillary-like nuclear features",P25,1)), ISNUMBER(SEARCH("non-invasive follicular",P25,1)),ISNUMBER(SEARCH("papillary-like nuclear features",P25,1))),"NIFTP", IF(OR(I25="positive",AC25="positive",AND(OR(ISNUMBER(SEARCH("follicular", O25)),ISNUMBER(SEARCH("FTC", O25))),W25="extensive"),AND(G25="positive",ISNUMBER(N25),N25&gt;3),AI25=1),"high",IF(OR(ISNUMBER(SEARCH("positive",Y25,1)),ISNUMBER(SEARCH("tall",P25,1)),ISNUMBER(SEARCH("hobnail",P25,1)),ISNUMBER(SEARCH("cribriform",P25,1)),ISNUMBER(SEARCH("diffuse",P25,1)),ISNUMBER(SEARCH("columnar",P25,1)),ISNUMBER(SEARCH("solid",P25,1)),ISNUMBER(SEARCH("tall",O25,1)),ISNUMBER(SEARCH("hobnail",O25,1)),ISNUMBER(SEARCH("cribriform",O25,1)),ISNUMBER(SEARCH("diffuse",O25,1)),ISNUMBER(SEARCH("columnar",O25,1)),ISNUMBER(SEARCH("solid",O25,1)),AND(OR(ISNUMBER(SEARCH("papillary carcinoma",O25,1)),ISNUMBER(SEARCH("papillary microcarcinoma",O25,1))),T25="positive"),,AND(AND(ISNUMBER(K25),K25&gt;=5),N25=""),AND(AND(ISNUMBER(K25),K25&gt;=5),AND(ISNUMBER(N25),N25&gt;=1)),H25="lateral"),"intermediate","low")))</f>
        <v>intermediate</v>
      </c>
      <c r="AH25" s="44" t="str">
        <f t="shared" si="12"/>
        <v>1b</v>
      </c>
      <c r="AI25" s="56">
        <f t="shared" si="5"/>
        <v>0</v>
      </c>
      <c r="AJ25" s="56">
        <f t="shared" si="6"/>
        <v>0</v>
      </c>
      <c r="AK25" s="57" t="str">
        <f t="shared" si="7"/>
        <v>I</v>
      </c>
      <c r="AL25" s="45" t="s">
        <v>167</v>
      </c>
      <c r="AM25" s="46" t="s">
        <v>196</v>
      </c>
      <c r="AN25" s="46">
        <v>0</v>
      </c>
      <c r="AO25" s="46">
        <v>0</v>
      </c>
      <c r="AP25" s="46" t="s">
        <v>31</v>
      </c>
      <c r="AQ25" s="10">
        <f>IF(AL25=AG25,1,0)</f>
        <v>1</v>
      </c>
      <c r="AR25" s="27">
        <f>IF(AM25=AH25,1,0)</f>
        <v>1</v>
      </c>
      <c r="AS25" s="27">
        <f t="shared" si="8"/>
        <v>1</v>
      </c>
      <c r="AT25" s="27">
        <f t="shared" si="9"/>
        <v>1</v>
      </c>
      <c r="AU25" s="29">
        <f t="shared" si="9"/>
        <v>1</v>
      </c>
    </row>
    <row r="26" spans="1:47">
      <c r="A26" s="13">
        <v>24</v>
      </c>
      <c r="B26" s="16">
        <f>_xlfn.MAXIFS('Model output'!B:B,'Model output'!Z:Z,'Classification result'!$A26)</f>
        <v>45301</v>
      </c>
      <c r="C26" s="17">
        <f>_xlfn.MAXIFS('Model output'!C:C,'Model output'!Z:Z,'Classification result'!$A26)</f>
        <v>55</v>
      </c>
      <c r="D26" s="17" t="str" cm="1">
        <f t="array" ref="D26">LEFT(IF(ISERROR(RIGHT(IF(INDEX(_xlfn._xlws.FILTER('Model output'!D:D,('Model output'!Z:Z=A26)),1)&lt;&gt;"",INDEX(_xlfn._xlws.FILTER('Model output'!D:D,('Model output'!Z:Z=A26)),1),""),LEN(IF(INDEX(_xlfn._xlws.FILTER('Model output'!D:D,('Model output'!Z:Z=A26)),1)&lt;&gt;"",INDEX(_xlfn._xlws.FILTER('Model output'!D:D,('Model output'!Z:Z=A26)),1),""))-FIND("T",IF(INDEX(_xlfn._xlws.FILTER('Model output'!D:D,('Model output'!Z:Z=A26)),1)&lt;&gt;"",INDEX(_xlfn._xlws.FILTER('Model output'!D:D,('Model output'!Z:Z=A26)),1),""),1))),"",(RIGHT(IF(INDEX(_xlfn._xlws.FILTER('Model output'!D:D,('Model output'!Z:Z=A26)),1)&lt;&gt;"",INDEX(_xlfn._xlws.FILTER('Model output'!D:D,('Model output'!Z:Z=A26)),1),""),LEN(IF(INDEX(_xlfn._xlws.FILTER('Model output'!D:D,('Model output'!Z:Z=A26)),1)&lt;&gt;"",INDEX(_xlfn._xlws.FILTER('Model output'!D:D,('Model output'!Z:Z=A26)),1),""))-FIND("T",IF(INDEX(_xlfn._xlws.FILTER('Model output'!D:D,('Model output'!Z:Z=A26)),1)&lt;&gt;"",INDEX(_xlfn._xlws.FILTER('Model output'!D:D,('Model output'!Z:Z=A26)),1)))))),2)</f>
        <v>4a</v>
      </c>
      <c r="E26" s="17" t="str" cm="1">
        <f t="array" ref="E26">IF(ISNUMBER(SEARCH("N",IF(ISNUMBER(SEARCH("present",IF(INDEX(_xlfn._xlws.FILTER('Model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output'!Z:Z=A26)),1))),1)),RIGHT(IF(ISNUMBER(SEARCH("present",IF(INDEX(_xlfn._xlws.FILTER('Model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output'!Z:Z=A26)),1))),LEN(IF(ISNUMBER(SEARCH("present",IF(INDEX(_xlfn._xlws.FILTER('Model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output'!Z:Z=A26)),1))))-FIND("N",IF(ISNUMBER(SEARCH("present",IF(INDEX(_xlfn._xlws.FILTER('Model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output'!Z:Z=A26)),1))),1)), "")</f>
        <v>1</v>
      </c>
      <c r="F26" s="17" cm="1">
        <f t="array" ref="F26">IF(AND(SUBSTITUTE(_xlfn.TEXTJOIN("/", TRUE, _xlfn._xlws.FILTER('Model output'!F:F, 'Model output'!Z:Z=A26)),"M", "")="", I26="negative"),0,IF(I26="positive",1,0))</f>
        <v>0</v>
      </c>
      <c r="G26" t="str">
        <f t="shared" si="0"/>
        <v>positive</v>
      </c>
      <c r="H26" t="str" cm="1">
        <f t="array" ref="H26">IF(AND(K26&gt;0, _xlfn.TEXTJOIN("; ", TRUE, _xlfn._xlws.FILTER('Model output'!G:G, 'Model output'!Z:Z=A26)) &lt;&gt;"", OR(AND(ISNUMBER(SEARCH("level", _xlfn.TEXTJOIN("; ", TRUE, _xlfn._xlws.FILTER('Model output'!G:G, 'Model output'!Z:Z=A26)),1)),OR(ISNUMBER(SEARCH(" II", _xlfn.TEXTJOIN("; ", TRUE, _xlfn._xlws.FILTER('Model output'!G:G, 'Model output'!Z:Z=A26)),1)),ISNUMBER(SEARCH("2", _xlfn.TEXTJOIN("; ", TRUE, _xlfn._xlws.FILTER('Model output'!G:G, 'Model output'!Z:Z=A26)),1)),ISNUMBER(SEARCH("two", _xlfn.TEXTJOIN("; ", TRUE, _xlfn._xlws.FILTER('Model output'!G:G, 'Model output'!Z:Z=A26)),1)),ISNUMBER(SEARCH("III", _xlfn.TEXTJOIN("; ", TRUE, _xlfn._xlws.FILTER('Model output'!G:G, 'Model output'!Z:Z=A26)),1)),ISNUMBER(SEARCH("3", _xlfn.TEXTJOIN("; ", TRUE, _xlfn._xlws.FILTER('Model output'!G:G, 'Model output'!Z:Z=A26)),1)),ISNUMBER(SEARCH("three", _xlfn.TEXTJOIN("; ", TRUE, _xlfn._xlws.FILTER('Model output'!G:G, 'Model output'!Z:Z=A26)),1)),ISNUMBER(SEARCH("IV", _xlfn.TEXTJOIN("; ", TRUE, _xlfn._xlws.FILTER('Model output'!G:G, 'Model output'!Z:Z=A26)),1)),ISNUMBER(SEARCH("4", _xlfn.TEXTJOIN("; ", TRUE, _xlfn._xlws.FILTER('Model output'!G:G, 'Model output'!Z:Z=A26)),1)),ISNUMBER(SEARCH("five", _xlfn.TEXTJOIN("; ", TRUE, _xlfn._xlws.FILTER('Model output'!G:G, 'Model output'!Z:Z=A26)),1)),ISNUMBER(SEARCH("V ", _xlfn.TEXTJOIN("; ", TRUE, _xlfn._xlws.FILTER('Model output'!G:G, 'Model output'!Z:Z=A26)),1)),ISNUMBER(SEARCH("5", _xlfn.TEXTJOIN("; ", TRUE, _xlfn._xlws.FILTER('Model output'!G:G, 'Model output'!Z:Z=A26)),1)),ISNUMBER(SEARCH("five", _xlfn.TEXTJOIN("; ", TRUE, _xlfn._xlws.FILTER('Model output'!G:G, 'Model output'!Z:Z=A26)),1)),ISNUMBER(SEARCH(" lateral", _xlfn.TEXTJOIN("; ", TRUE, _xlfn._xlws.FILTER('Model output'!G:G, 'Model output'!Z:Z=A26)),1)))),ISNUMBER(SEARCH("cervical", _xlfn.TEXTJOIN("; ", TRUE, _xlfn._xlws.FILTER('Model output'!G:G, 'Model output'!Z:Z=A26)),1)),ISNUMBER(SEARCH("jugular", _xlfn.TEXTJOIN("; ", TRUE, _xlfn._xlws.FILTER('Model output'!G:G, 'Model output'!Z:Z=A26)),1)),ISNUMBER(SEARCH("left neck", _xlfn.TEXTJOIN("; ", TRUE, _xlfn._xlws.FILTER('Model output'!G:G, 'Model output'!Z:Z=A26)),1)),ISNUMBER(SEARCH("left anterior neck", _xlfn.TEXTJOIN("; ", TRUE, _xlfn._xlws.FILTER('Model output'!G:G, 'Model output'!Z:Z=A26)),1)),ISNUMBER(SEARCH("left posterior neck", _xlfn.TEXTJOIN("; ", TRUE, _xlfn._xlws.FILTER('Model output'!G:G, 'Model output'!Z:Z=A26)),1)),ISNUMBER(SEARCH("right neck", _xlfn.TEXTJOIN("; ", TRUE, _xlfn._xlws.FILTER('Model output'!G:G, 'Model output'!Z:Z=A26)),1)),ISNUMBER(SEARCH("right anterior neck", _xlfn.TEXTJOIN("; ", TRUE, _xlfn._xlws.FILTER('Model output'!G:G, 'Model output'!Z:Z=A26)),1)),ISNUMBER(SEARCH("right posterior neck", _xlfn.TEXTJOIN("; ", TRUE, _xlfn._xlws.FILTER('Model output'!G:G, 'Model output'!Z:Z=A26)),1)))),"lateral",IF(AND(K26=0, _xlfn.TEXTJOIN("; ", TRUE, _xlfn._xlws.FILTER('Model output'!G:G, 'Model output'!Z:Z=A26))=""),"", "central"))</f>
        <v>lateral</v>
      </c>
      <c r="I26" s="17" t="str" cm="1">
        <f t="array" ref="I26">IF(OR(ISNUMBER(SEARCH("lymph",_xlfn.TEXTJOIN("; ", TRUE, _xlfn._xlws.FILTER('Model output'!H:H, 'Model output'!Z:Z=A26)),1)), ISNUMBER(SEARCH("Not mentioned",_xlfn.TEXTJOIN("; ", TRUE, _xlfn._xlws.FILTER('Model output'!H:H, 'Model output'!Z:Z=A26)),1)),ISNUMBER(SEARCH("subcutaneous soft tissues",_xlfn.TEXTJOIN("; ", TRUE, _xlfn._xlws.FILTER('Model output'!H:H, 'Model output'!Z:Z=A26)),1)),ISNUMBER(SEARCH("larynx",_xlfn.TEXTJOIN("; ", TRUE, _xlfn._xlws.FILTER('Model output'!H:H, 'Model output'!Z:Z=A26)),1)),ISNUMBER(SEARCH("trachea",_xlfn.TEXTJOIN("; ", TRUE, _xlfn._xlws.FILTER('Model output'!H:H, 'Model output'!Z:Z=A26)),1)),ISNUMBER(SEARCH("esophagus",_xlfn.TEXTJOIN("; ", TRUE, _xlfn._xlws.FILTER('Model output'!H:H, 'Model output'!Z:Z=A26)),1)),ISNUMBER(SEARCH("recurrent laryngeal nerve",_xlfn.TEXTJOIN("; ", TRUE, _xlfn._xlws.FILTER('Model output'!H:H, 'Model output'!Z:Z=A26)),1)),ISNUMBER(SEARCH("RLN",_xlfn.TEXTJOIN("; ", TRUE, _xlfn._xlws.FILTER('Model output'!H:H, 'Model output'!Z:Z=A26)),1)),_xlfn.TEXTJOIN("; ", TRUE, _xlfn._xlws.FILTER('Model output'!H:H, 'Model output'!Z:Z=A26))=""),"negative","positive")</f>
        <v>negative</v>
      </c>
      <c r="J26" s="17">
        <f>IF(IFERROR(INDEX('Model output'!I:I, MATCH(A26, 'Model output'!Z:Z, 0)), "") &lt; K26, "", IFERROR(INDEX('Model output'!I:I, MATCH(A26, 'Model output'!Z:Z, 0)), ""))</f>
        <v>17</v>
      </c>
      <c r="K26" s="17">
        <f>IFERROR(INDEX('Model output'!J:J, MATCH(A26, 'Model output'!Z:Z, 0)), "")</f>
        <v>9</v>
      </c>
      <c r="L26" s="18" t="str" cm="1">
        <f t="array" ref="L26">ReplaceTo(ReplaceAnd(SUBSTITUTE(SUBSTITUTE(_xlfn.TEXTJOIN("; ", TRUE, _xlfn._xlws.FILTER('Model output'!K:K, 'Model output'!Z:Z=A26)), " ", ""), ",", ";")))</f>
        <v>9mm</v>
      </c>
      <c r="M26" t="str" cm="1">
        <f t="array" ref="M26">IF(LEFT(IF(RIGHT(SUBSTITUTE(FilterWithUnits(L26)&amp; ";" &amp;FilterStringsWithNumericAnd(L26) &amp; ";" &amp; FilterStringsWithX(L26), ";;", ";"),1)=";",LEFT(SUBSTITUTE(FilterWithUnits(L26)&amp; ";" &amp;FilterStringsWithNumericAnd(L26) &amp; ";" &amp; FilterStringsWithX(L26), ";;", ";"),LEN(SUBSTITUTE(FilterWithUnits(L26)&amp; ";" &amp;FilterStringsWithNumericAnd(L26) &amp; ";" &amp; FilterStringsWithX(L26), ";;", ";"))-1),SUBSTITUTE(FilterWithUnits(L26)&amp; ";" &amp;FilterStringsWithNumericAnd(L26) &amp; ";" &amp; FilterStringsWithX(L26), ";;", ";")),1)=";",RIGHT(IF(RIGHT(SUBSTITUTE(FilterWithUnits(L26)&amp; ";" &amp;FilterStringsWithNumericAnd(L26) &amp; ";" &amp; FilterStringsWithX(L26), ";;", ";"),1)=";",LEFT(SUBSTITUTE(FilterWithUnits(L26)&amp; ";" &amp;FilterStringsWithNumericAnd(L26) &amp; ";" &amp; FilterStringsWithX(L26), ";;", ";"),LEN(SUBSTITUTE(FilterWithUnits(L26)&amp; ";" &amp;FilterStringsWithNumericAnd(L26) &amp; ";" &amp; FilterStringsWithX(L26), ";;", ";"))-1),SUBSTITUTE(FilterWithUnits(L26)&amp; ";" &amp;FilterStringsWithNumericAnd(L26) &amp; ";" &amp; FilterStringsWithX(L26), ";;", ";")),LEN(IF(RIGHT(SUBSTITUTE(FilterWithUnits(L26)&amp; ";" &amp;FilterStringsWithNumericAnd(L26) &amp; ";" &amp; FilterStringsWithX(L26), ";;", ";"),1)=";",LEFT(SUBSTITUTE(FilterWithUnits(L26)&amp; ";" &amp;FilterStringsWithNumericAnd(L26) &amp; ";" &amp; FilterStringsWithX(L26), ";;", ";"),LEN(SUBSTITUTE(FilterWithUnits(L26)&amp; ";" &amp;FilterStringsWithNumericAnd(L26) &amp; ";" &amp; FilterStringsWithX(L26), ";;", ";"))-1),SUBSTITUTE(FilterWithUnits(L26)&amp; ";" &amp;FilterStringsWithNumericAnd(L26) &amp; ";" &amp; FilterStringsWithX(L26), ";;", ";")))-1),IF(RIGHT(SUBSTITUTE(FilterWithUnits(L26)&amp; ";" &amp;FilterStringsWithNumericAnd(L26) &amp; ";" &amp; FilterStringsWithX(L26), ";;", ";"),1)=";",LEFT(SUBSTITUTE(FilterWithUnits(L26)&amp; ";" &amp;FilterStringsWithNumericAnd(L26) &amp; ";" &amp; FilterStringsWithX(L26), ";;", ";"),LEN(SUBSTITUTE(FilterWithUnits(L26)&amp; ";" &amp;FilterStringsWithNumericAnd(L26) &amp; ";" &amp; FilterStringsWithX(L26), ";;", ";"))-1),SUBSTITUTE(FilterWithUnits(L26)&amp; ";" &amp;FilterStringsWithNumericAnd(L26) &amp; ";" &amp; FilterStringsWithX(L26), ";;", ";")))</f>
        <v>9mm</v>
      </c>
      <c r="N26" cm="1">
        <f t="array" ref="N26">IF(MaxSize((SplitDimensions(M26)))=0, "", MaxSize((SplitDimensions(M26))))</f>
        <v>0.9</v>
      </c>
      <c r="O26" t="str" cm="1">
        <f t="array" ref="O26">IF(ISERROR(INDEX(_xlfn._xlws.FILTER('Model output'!L:L, ('Model output'!Z:Z=A26)*('Model output'!L:L&lt;&gt;"")), 1)), " ", LOWER(INDEX(_xlfn._xlws.FILTER('Model output'!L:L, ('Model output'!Z:Z=A26)*('Model output'!L:L&lt;&gt;"")), 1)))</f>
        <v>papillary</v>
      </c>
      <c r="P26" t="str" cm="1">
        <f t="array" ref="P26">IF(ISERROR(INDEX(_xlfn._xlws.FILTER('Model output'!M:M, ('Model output'!Z:Z=A26)*('Model output'!M:M&lt;&gt;"")), 1)), " ", LOWER(INDEX(_xlfn._xlws.FILTER('Model output'!M:M, ('Model output'!Z:Z=A26)*('Model output'!M:M&lt;&gt;"")), 1)))</f>
        <v>classic</v>
      </c>
      <c r="Q26" t="str" cm="1">
        <f t="array" ref="Q26">IF(OR(ISNUMBER(SEARCH("ly",SUBSTITUTE(INDEX(_xlfn._xlws.FILTER('Model output'!N:N,('Model output'!Z:Z=A26)*('Model output'!N:N&lt;&gt;"")),1)," ",""),1)), ISNUMBER(SEARCH("pole",SUBSTITUTE(INDEX(_xlfn._xlws.FILTER('Model output'!N:N,('Model output'!Z:Z=A26)*('Model output'!N:N&lt;&gt;"")),1)," ",""),1))),"",SUBSTITUTE(INDEX(_xlfn._xlws.FILTER('Model output'!N:N,('Model output'!Z:Z=A26)*('Model output'!N:N&lt;&gt;"")),1)," ",""))</f>
        <v>5cm</v>
      </c>
      <c r="R26" t="str" cm="1">
        <f t="array" ref="R26">IF(LEFT(IF(RIGHT(SUBSTITUTE(FilterWithUnits(Q26)&amp; ";" &amp;FilterStringsWithNumericAnd(Q26) &amp; ";" &amp; FilterStringsWithX(Q26), ";;", ";"),1)=";",LEFT(SUBSTITUTE(FilterWithUnits(Q26)&amp; ";" &amp;FilterStringsWithNumericAnd(Q26) &amp; ";" &amp; FilterStringsWithX(Q26), ";;", ";"),LEN(SUBSTITUTE(FilterWithUnits(Q26)&amp; ";" &amp;FilterStringsWithNumericAnd(Q26) &amp; ";" &amp; FilterStringsWithX(Q26), ";;", ";"))-1),SUBSTITUTE(FilterWithUnits(Q26)&amp; ";" &amp;FilterStringsWithNumericAnd(Q26) &amp; ";" &amp; FilterStringsWithX(Q26), ";;", ";")),1)=";",RIGHT(IF(RIGHT(SUBSTITUTE(FilterWithUnits(Q26)&amp; ";" &amp;FilterStringsWithNumericAnd(Q26) &amp; ";" &amp; FilterStringsWithX(Q26), ";;", ";"),1)=";",LEFT(SUBSTITUTE(FilterWithUnits(Q26)&amp; ";" &amp;FilterStringsWithNumericAnd(Q26) &amp; ";" &amp; FilterStringsWithX(Q26), ";;", ";"),LEN(SUBSTITUTE(FilterWithUnits(Q26)&amp; ";" &amp;FilterStringsWithNumericAnd(Q26) &amp; ";" &amp; FilterStringsWithX(Q26), ";;", ";"))-1),SUBSTITUTE(FilterWithUnits(Q26)&amp; ";" &amp;FilterStringsWithNumericAnd(Q26) &amp; ";" &amp; FilterStringsWithX(Q26), ";;", ";")),LEN(IF(RIGHT(SUBSTITUTE(FilterWithUnits(Q26)&amp; ";" &amp;FilterStringsWithNumericAnd(Q26) &amp; ";" &amp; FilterStringsWithX(Q26), ";;", ";"),1)=";",LEFT(SUBSTITUTE(FilterWithUnits(Q26)&amp; ";" &amp;FilterStringsWithNumericAnd(Q26) &amp; ";" &amp; FilterStringsWithX(Q26), ";;", ";"),LEN(SUBSTITUTE(FilterWithUnits(Q26)&amp; ";" &amp;FilterStringsWithNumericAnd(Q26) &amp; ";" &amp; FilterStringsWithX(Q26), ";;", ";"))-1),SUBSTITUTE(FilterWithUnits(Q26)&amp; ";" &amp;FilterStringsWithNumericAnd(Q26) &amp; ";" &amp; FilterStringsWithX(Q26), ";;", ";")))-1),IF(RIGHT(SUBSTITUTE(FilterWithUnits(Q26)&amp; ";" &amp;FilterStringsWithNumericAnd(Q26) &amp; ";" &amp; FilterStringsWithX(Q26), ";;", ";"),1)=";",LEFT(SUBSTITUTE(FilterWithUnits(Q26)&amp; ";" &amp;FilterStringsWithNumericAnd(Q26) &amp; ";" &amp; FilterStringsWithX(Q26), ";;", ";"),LEN(SUBSTITUTE(FilterWithUnits(Q26)&amp; ";" &amp;FilterStringsWithNumericAnd(Q26) &amp; ";" &amp; FilterStringsWithX(Q26), ";;", ";"))-1),SUBSTITUTE(FilterWithUnits(Q26)&amp; ";" &amp;FilterStringsWithNumericAnd(Q26) &amp; ";" &amp; FilterStringsWithX(Q26), ";;", ";")))</f>
        <v>5cm</v>
      </c>
      <c r="S26" cm="1">
        <f t="array" ref="S26">IF(MaxSize((SplitDimensions(R26)))=0, "", MaxSize((SplitDimensions(R26))))</f>
        <v>5</v>
      </c>
      <c r="T26" s="17" t="str" cm="1">
        <f t="array" ref="T26">IF(ISERROR(INDEX(_xlfn._xlws.FILTER('Model output'!P:P,('Model output'!Z:Z=A26)*('Model output'!P:P&lt;&gt;"")),1)),"negative",IF(OR(ISNUMBER(SEARCH("foc",INDEX(_xlfn._xlws.FILTER('Model output'!P:P,('Model output'!Z:Z=A26)*('Model output'!P:P&lt;&gt;"")),1),1)),ISNUMBER(SEARCH("extensive",INDEX(_xlfn._xlws.FILTER('Model output'!P:P,('Model output'!Z:Z=A26)*('Model output'!P:P&lt;&gt;"")),1),1)),ISNUMBER(SEARCH("present",INDEX(_xlfn._xlws.FILTER('Model output'!P:P,('Model output'!Z:Z=A26)*('Model output'!P:P&lt;&gt;"")),1),1)),ISNUMBER(SEARCH("yes",INDEX(_xlfn._xlws.FILTER('Model output'!P:P,('Model output'!Z:Z=A26)*('Model output'!P:P&lt;&gt;"")),1),1))),"positive","negative"))</f>
        <v>negative</v>
      </c>
      <c r="V26" t="str" cm="1">
        <f t="array" ref="V26">IF(ISNUMBER(SEARCH("4",INDEX(_xlfn._xlws.FILTER('Model output'!P:P,('Model output'!Z:Z=A26)*('Model output'!P:P&lt;&gt;"")),1),1)),INDEX(_xlfn._xlws.FILTER('Model output'!P:P,('Model output'!Z:Z=A26)*('Model output'!P:P&lt;&gt;"")),1),"") &amp; _xlfn.TEXTJOIN("",TRUE,_xlfn._xlws.FILTER('Model output'!Q:Q,'Model output'!Z:Z=A26))</f>
        <v/>
      </c>
      <c r="W26" t="str">
        <f t="shared" si="2"/>
        <v>no</v>
      </c>
      <c r="X26" t="str" cm="1">
        <f t="array" ref="X26">IF(OR(ISNUMBER(SEARCH("focal",_xlfn.TEXTJOIN("; ",TRUE,_xlfn._xlws.FILTER('Model output'!R:R,'Model output'!Z:Z=A26)),1)),ISNUMBER(SEARCH("present",_xlfn.TEXTJOIN("; ",TRUE,_xlfn._xlws.FILTER('Model output'!R:R,'Model output'!Z:Z=A26)),1))),"positive",IF(_xlfn.TEXTJOIN("; ",TRUE,_xlfn._xlws.FILTER('Model output'!R:R,'Model output'!Z:Z=A26))="","negative",IF(OR(ISNUMBER(SEARCH("no",_xlfn.TEXTJOIN("; ",TRUE,_xlfn._xlws.FILTER('Model output'!R:R,'Model output'!Z:Z=A26)),1)),ISNUMBER(SEARCH("absent",_xlfn.TEXTJOIN("; ",TRUE,_xlfn._xlws.FILTER('Model output'!R:R,'Model output'!Z:Z=A26)),1))),"negative","positive")))</f>
        <v>positive</v>
      </c>
      <c r="Y26" s="17" t="str">
        <f t="shared" si="3"/>
        <v>positive</v>
      </c>
      <c r="AC26" s="17" t="str">
        <f t="shared" si="4"/>
        <v>negative</v>
      </c>
      <c r="AD26" t="str" cm="1">
        <f t="array" ref="AD26">_xlfn.TEXTJOIN("; ",TRUE,_xlfn._xlws.FILTER('Model output'!S:S,'Model output'!Z:Z=A26))</f>
        <v>Present (minimal); Present</v>
      </c>
      <c r="AE26" s="17" t="str" cm="1">
        <f t="array" ref="AE26">IF(OR(ISNUMBER(SEARCH("uninvolved",_xlfn.TEXTJOIN("; ",TRUE,_xlfn._xlws.FILTER('Model output'!V:V,'Model output'!Z:Z=A26)),1)),ISNUMBER(SEARCH("clear",_xlfn.TEXTJOIN("; ",TRUE,_xlfn._xlws.FILTER('Model output'!V:V,'Model output'!Z:Z=A26)),1))*ISNUMBER(SEARCH("not mentioned",_xlfn.TEXTJOIN("; ",TRUE,_xlfn._xlws.FILTER('Model output'!V:V,'Model output'!Z:Z=A26)),1))),"negative",IF(ISNUMBER(SEARCH("cannot be assessed",_xlfn.TEXTJOIN("; ",TRUE,_xlfn._xlws.FILTER('Model output'!V:V,'Model output'!Z:Z=A26)),1)),"unknown","negative"))</f>
        <v>negative</v>
      </c>
      <c r="AG26" s="43" t="str">
        <f>IF(OR(ISNUMBER(SEARCH("non-invasive follicular",O26,1)), ISNUMBER(SEARCH("papillary-like nuclear features",P26,1)), ISNUMBER(SEARCH("non-invasive follicular",P26,1)),ISNUMBER(SEARCH("papillary-like nuclear features",P26,1))),"NIFTP", IF(OR(I26="positive",AC26="positive",AND(OR(ISNUMBER(SEARCH("follicular", O26)),ISNUMBER(SEARCH("FTC", O26))),W26="extensive"),AND(G26="positive",ISNUMBER(N26),N26&gt;3),AI26=1),"high",IF(OR(ISNUMBER(SEARCH("positive",Y26,1)),ISNUMBER(SEARCH("tall",P26,1)),ISNUMBER(SEARCH("hobnail",P26,1)),ISNUMBER(SEARCH("cribriform",P26,1)),ISNUMBER(SEARCH("diffuse",P26,1)),ISNUMBER(SEARCH("columnar",P26,1)),ISNUMBER(SEARCH("solid",P26,1)),ISNUMBER(SEARCH("tall",O26,1)),ISNUMBER(SEARCH("hobnail",O26,1)),ISNUMBER(SEARCH("cribriform",O26,1)),ISNUMBER(SEARCH("diffuse",O26,1)),ISNUMBER(SEARCH("columnar",O26,1)),ISNUMBER(SEARCH("solid",O26,1)),AND(OR(ISNUMBER(SEARCH("papillary carcinoma",O26,1)),ISNUMBER(SEARCH("papillary microcarcinoma",O26,1))),T26="positive"),,AND(AND(ISNUMBER(K26),K26&gt;=5),N26=""),AND(AND(ISNUMBER(K26),K26&gt;=5),AND(ISNUMBER(N26),N26&gt;=1)),H26="lateral"),"intermediate","low")))</f>
        <v>intermediate</v>
      </c>
      <c r="AH26" s="44" t="str">
        <f t="shared" si="12"/>
        <v>4a</v>
      </c>
      <c r="AI26" s="56" t="str">
        <f t="shared" si="5"/>
        <v>1b</v>
      </c>
      <c r="AJ26" s="56">
        <f t="shared" si="6"/>
        <v>0</v>
      </c>
      <c r="AK26" s="57" t="str">
        <f t="shared" si="7"/>
        <v>III</v>
      </c>
      <c r="AL26" s="45" t="s">
        <v>168</v>
      </c>
      <c r="AM26" s="46" t="s">
        <v>201</v>
      </c>
      <c r="AN26" s="46" t="s">
        <v>196</v>
      </c>
      <c r="AO26" s="46">
        <v>0</v>
      </c>
      <c r="AP26" s="46" t="s">
        <v>67</v>
      </c>
      <c r="AQ26" s="10">
        <f>IF(AL26=AG26,1,0)</f>
        <v>0</v>
      </c>
      <c r="AR26" s="27">
        <f>IF(AM26=AH26,1,0)</f>
        <v>1</v>
      </c>
      <c r="AS26" s="27">
        <f t="shared" si="8"/>
        <v>1</v>
      </c>
      <c r="AT26" s="27">
        <f t="shared" si="9"/>
        <v>1</v>
      </c>
      <c r="AU26" s="29">
        <f t="shared" si="9"/>
        <v>1</v>
      </c>
    </row>
    <row r="27" spans="1:47">
      <c r="A27" s="13">
        <v>25</v>
      </c>
      <c r="B27" s="16">
        <f>_xlfn.MAXIFS('Model output'!B:B,'Model output'!Z:Z,'Classification result'!$A27)</f>
        <v>45310</v>
      </c>
      <c r="C27" s="17">
        <f>_xlfn.MAXIFS('Model output'!C:C,'Model output'!Z:Z,'Classification result'!$A27)</f>
        <v>42</v>
      </c>
      <c r="D27" s="17" t="str" cm="1">
        <f t="array" ref="D27">LEFT(IF(ISERROR(RIGHT(IF(INDEX(_xlfn._xlws.FILTER('Model output'!D:D,('Model output'!Z:Z=A27)),1)&lt;&gt;"",INDEX(_xlfn._xlws.FILTER('Model output'!D:D,('Model output'!Z:Z=A27)),1),""),LEN(IF(INDEX(_xlfn._xlws.FILTER('Model output'!D:D,('Model output'!Z:Z=A27)),1)&lt;&gt;"",INDEX(_xlfn._xlws.FILTER('Model output'!D:D,('Model output'!Z:Z=A27)),1),""))-FIND("T",IF(INDEX(_xlfn._xlws.FILTER('Model output'!D:D,('Model output'!Z:Z=A27)),1)&lt;&gt;"",INDEX(_xlfn._xlws.FILTER('Model output'!D:D,('Model output'!Z:Z=A27)),1),""),1))),"",(RIGHT(IF(INDEX(_xlfn._xlws.FILTER('Model output'!D:D,('Model output'!Z:Z=A27)),1)&lt;&gt;"",INDEX(_xlfn._xlws.FILTER('Model output'!D:D,('Model output'!Z:Z=A27)),1),""),LEN(IF(INDEX(_xlfn._xlws.FILTER('Model output'!D:D,('Model output'!Z:Z=A27)),1)&lt;&gt;"",INDEX(_xlfn._xlws.FILTER('Model output'!D:D,('Model output'!Z:Z=A27)),1),""))-FIND("T",IF(INDEX(_xlfn._xlws.FILTER('Model output'!D:D,('Model output'!Z:Z=A27)),1)&lt;&gt;"",INDEX(_xlfn._xlws.FILTER('Model output'!D:D,('Model output'!Z:Z=A27)),1)))))),2)</f>
        <v>1b</v>
      </c>
      <c r="E27" s="17" t="str" cm="1">
        <f t="array" ref="E27">IF(ISNUMBER(SEARCH("N",IF(ISNUMBER(SEARCH("present",IF(INDEX(_xlfn._xlws.FILTER('Model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output'!Z:Z=A27)),1))),1)),RIGHT(IF(ISNUMBER(SEARCH("present",IF(INDEX(_xlfn._xlws.FILTER('Model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output'!Z:Z=A27)),1))),LEN(IF(ISNUMBER(SEARCH("present",IF(INDEX(_xlfn._xlws.FILTER('Model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output'!Z:Z=A27)),1))))-FIND("N",IF(ISNUMBER(SEARCH("present",IF(INDEX(_xlfn._xlws.FILTER('Model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output'!Z:Z=A27)),1))),1)), "")</f>
        <v/>
      </c>
      <c r="F27" s="17" cm="1">
        <f t="array" ref="F27">IF(AND(SUBSTITUTE(_xlfn.TEXTJOIN("/", TRUE, _xlfn._xlws.FILTER('Model output'!F:F, 'Model output'!Z:Z=A27)),"M", "")="", I27="negative"),0,IF(I27="positive",1,0))</f>
        <v>0</v>
      </c>
      <c r="G27" t="str">
        <f t="shared" si="0"/>
        <v/>
      </c>
      <c r="H27" t="str" cm="1">
        <f t="array" ref="H27">IF(AND(K27&gt;0, _xlfn.TEXTJOIN("; ", TRUE, _xlfn._xlws.FILTER('Model output'!G:G, 'Model output'!Z:Z=A27)) &lt;&gt;"", OR(AND(ISNUMBER(SEARCH("level", _xlfn.TEXTJOIN("; ", TRUE, _xlfn._xlws.FILTER('Model output'!G:G, 'Model output'!Z:Z=A27)),1)),OR(ISNUMBER(SEARCH(" II", _xlfn.TEXTJOIN("; ", TRUE, _xlfn._xlws.FILTER('Model output'!G:G, 'Model output'!Z:Z=A27)),1)),ISNUMBER(SEARCH("2", _xlfn.TEXTJOIN("; ", TRUE, _xlfn._xlws.FILTER('Model output'!G:G, 'Model output'!Z:Z=A27)),1)),ISNUMBER(SEARCH("two", _xlfn.TEXTJOIN("; ", TRUE, _xlfn._xlws.FILTER('Model output'!G:G, 'Model output'!Z:Z=A27)),1)),ISNUMBER(SEARCH("III", _xlfn.TEXTJOIN("; ", TRUE, _xlfn._xlws.FILTER('Model output'!G:G, 'Model output'!Z:Z=A27)),1)),ISNUMBER(SEARCH("3", _xlfn.TEXTJOIN("; ", TRUE, _xlfn._xlws.FILTER('Model output'!G:G, 'Model output'!Z:Z=A27)),1)),ISNUMBER(SEARCH("three", _xlfn.TEXTJOIN("; ", TRUE, _xlfn._xlws.FILTER('Model output'!G:G, 'Model output'!Z:Z=A27)),1)),ISNUMBER(SEARCH("IV", _xlfn.TEXTJOIN("; ", TRUE, _xlfn._xlws.FILTER('Model output'!G:G, 'Model output'!Z:Z=A27)),1)),ISNUMBER(SEARCH("4", _xlfn.TEXTJOIN("; ", TRUE, _xlfn._xlws.FILTER('Model output'!G:G, 'Model output'!Z:Z=A27)),1)),ISNUMBER(SEARCH("five", _xlfn.TEXTJOIN("; ", TRUE, _xlfn._xlws.FILTER('Model output'!G:G, 'Model output'!Z:Z=A27)),1)),ISNUMBER(SEARCH("V ", _xlfn.TEXTJOIN("; ", TRUE, _xlfn._xlws.FILTER('Model output'!G:G, 'Model output'!Z:Z=A27)),1)),ISNUMBER(SEARCH("5", _xlfn.TEXTJOIN("; ", TRUE, _xlfn._xlws.FILTER('Model output'!G:G, 'Model output'!Z:Z=A27)),1)),ISNUMBER(SEARCH("five", _xlfn.TEXTJOIN("; ", TRUE, _xlfn._xlws.FILTER('Model output'!G:G, 'Model output'!Z:Z=A27)),1)),ISNUMBER(SEARCH(" lateral", _xlfn.TEXTJOIN("; ", TRUE, _xlfn._xlws.FILTER('Model output'!G:G, 'Model output'!Z:Z=A27)),1)))),ISNUMBER(SEARCH("cervical", _xlfn.TEXTJOIN("; ", TRUE, _xlfn._xlws.FILTER('Model output'!G:G, 'Model output'!Z:Z=A27)),1)),ISNUMBER(SEARCH("jugular", _xlfn.TEXTJOIN("; ", TRUE, _xlfn._xlws.FILTER('Model output'!G:G, 'Model output'!Z:Z=A27)),1)),ISNUMBER(SEARCH("left neck", _xlfn.TEXTJOIN("; ", TRUE, _xlfn._xlws.FILTER('Model output'!G:G, 'Model output'!Z:Z=A27)),1)),ISNUMBER(SEARCH("left anterior neck", _xlfn.TEXTJOIN("; ", TRUE, _xlfn._xlws.FILTER('Model output'!G:G, 'Model output'!Z:Z=A27)),1)),ISNUMBER(SEARCH("left posterior neck", _xlfn.TEXTJOIN("; ", TRUE, _xlfn._xlws.FILTER('Model output'!G:G, 'Model output'!Z:Z=A27)),1)),ISNUMBER(SEARCH("right neck", _xlfn.TEXTJOIN("; ", TRUE, _xlfn._xlws.FILTER('Model output'!G:G, 'Model output'!Z:Z=A27)),1)),ISNUMBER(SEARCH("right anterior neck", _xlfn.TEXTJOIN("; ", TRUE, _xlfn._xlws.FILTER('Model output'!G:G, 'Model output'!Z:Z=A27)),1)),ISNUMBER(SEARCH("right posterior neck", _xlfn.TEXTJOIN("; ", TRUE, _xlfn._xlws.FILTER('Model output'!G:G, 'Model output'!Z:Z=A27)),1)))),"lateral",IF(AND(K27=0, _xlfn.TEXTJOIN("; ", TRUE, _xlfn._xlws.FILTER('Model output'!G:G, 'Model output'!Z:Z=A27))=""),"", "central"))</f>
        <v/>
      </c>
      <c r="I27" s="17" t="str" cm="1">
        <f t="array" ref="I27">IF(OR(ISNUMBER(SEARCH("lymph",_xlfn.TEXTJOIN("; ", TRUE, _xlfn._xlws.FILTER('Model output'!H:H, 'Model output'!Z:Z=A27)),1)), ISNUMBER(SEARCH("Not mentioned",_xlfn.TEXTJOIN("; ", TRUE, _xlfn._xlws.FILTER('Model output'!H:H, 'Model output'!Z:Z=A27)),1)),ISNUMBER(SEARCH("subcutaneous soft tissues",_xlfn.TEXTJOIN("; ", TRUE, _xlfn._xlws.FILTER('Model output'!H:H, 'Model output'!Z:Z=A27)),1)),ISNUMBER(SEARCH("larynx",_xlfn.TEXTJOIN("; ", TRUE, _xlfn._xlws.FILTER('Model output'!H:H, 'Model output'!Z:Z=A27)),1)),ISNUMBER(SEARCH("trachea",_xlfn.TEXTJOIN("; ", TRUE, _xlfn._xlws.FILTER('Model output'!H:H, 'Model output'!Z:Z=A27)),1)),ISNUMBER(SEARCH("esophagus",_xlfn.TEXTJOIN("; ", TRUE, _xlfn._xlws.FILTER('Model output'!H:H, 'Model output'!Z:Z=A27)),1)),ISNUMBER(SEARCH("recurrent laryngeal nerve",_xlfn.TEXTJOIN("; ", TRUE, _xlfn._xlws.FILTER('Model output'!H:H, 'Model output'!Z:Z=A27)),1)),ISNUMBER(SEARCH("RLN",_xlfn.TEXTJOIN("; ", TRUE, _xlfn._xlws.FILTER('Model output'!H:H, 'Model output'!Z:Z=A27)),1)),_xlfn.TEXTJOIN("; ", TRUE, _xlfn._xlws.FILTER('Model output'!H:H, 'Model output'!Z:Z=A27))=""),"negative","positive")</f>
        <v>negative</v>
      </c>
      <c r="J27" s="17">
        <f>IF(IFERROR(INDEX('Model output'!I:I, MATCH(A27, 'Model output'!Z:Z, 0)), "") &lt; K27, "", IFERROR(INDEX('Model output'!I:I, MATCH(A27, 'Model output'!Z:Z, 0)), ""))</f>
        <v>0</v>
      </c>
      <c r="K27" s="17">
        <f>IFERROR(INDEX('Model output'!J:J, MATCH(A27, 'Model output'!Z:Z, 0)), "")</f>
        <v>0</v>
      </c>
      <c r="L27" s="18" t="str" cm="1">
        <f t="array" ref="L27">ReplaceTo(ReplaceAnd(SUBSTITUTE(SUBSTITUTE(_xlfn.TEXTJOIN("; ", TRUE, _xlfn._xlws.FILTER('Model output'!K:K, 'Model output'!Z:Z=A27)), " ", ""), ",", ";")))</f>
        <v/>
      </c>
      <c r="M27" t="str" cm="1">
        <f t="array" ref="M27">IF(LEFT(IF(RIGHT(SUBSTITUTE(FilterWithUnits(L27)&amp; ";" &amp;FilterStringsWithNumericAnd(L27) &amp; ";" &amp; FilterStringsWithX(L27), ";;", ";"),1)=";",LEFT(SUBSTITUTE(FilterWithUnits(L27)&amp; ";" &amp;FilterStringsWithNumericAnd(L27) &amp; ";" &amp; FilterStringsWithX(L27), ";;", ";"),LEN(SUBSTITUTE(FilterWithUnits(L27)&amp; ";" &amp;FilterStringsWithNumericAnd(L27) &amp; ";" &amp; FilterStringsWithX(L27), ";;", ";"))-1),SUBSTITUTE(FilterWithUnits(L27)&amp; ";" &amp;FilterStringsWithNumericAnd(L27) &amp; ";" &amp; FilterStringsWithX(L27), ";;", ";")),1)=";",RIGHT(IF(RIGHT(SUBSTITUTE(FilterWithUnits(L27)&amp; ";" &amp;FilterStringsWithNumericAnd(L27) &amp; ";" &amp; FilterStringsWithX(L27), ";;", ";"),1)=";",LEFT(SUBSTITUTE(FilterWithUnits(L27)&amp; ";" &amp;FilterStringsWithNumericAnd(L27) &amp; ";" &amp; FilterStringsWithX(L27), ";;", ";"),LEN(SUBSTITUTE(FilterWithUnits(L27)&amp; ";" &amp;FilterStringsWithNumericAnd(L27) &amp; ";" &amp; FilterStringsWithX(L27), ";;", ";"))-1),SUBSTITUTE(FilterWithUnits(L27)&amp; ";" &amp;FilterStringsWithNumericAnd(L27) &amp; ";" &amp; FilterStringsWithX(L27), ";;", ";")),LEN(IF(RIGHT(SUBSTITUTE(FilterWithUnits(L27)&amp; ";" &amp;FilterStringsWithNumericAnd(L27) &amp; ";" &amp; FilterStringsWithX(L27), ";;", ";"),1)=";",LEFT(SUBSTITUTE(FilterWithUnits(L27)&amp; ";" &amp;FilterStringsWithNumericAnd(L27) &amp; ";" &amp; FilterStringsWithX(L27), ";;", ";"),LEN(SUBSTITUTE(FilterWithUnits(L27)&amp; ";" &amp;FilterStringsWithNumericAnd(L27) &amp; ";" &amp; FilterStringsWithX(L27), ";;", ";"))-1),SUBSTITUTE(FilterWithUnits(L27)&amp; ";" &amp;FilterStringsWithNumericAnd(L27) &amp; ";" &amp; FilterStringsWithX(L27), ";;", ";")))-1),IF(RIGHT(SUBSTITUTE(FilterWithUnits(L27)&amp; ";" &amp;FilterStringsWithNumericAnd(L27) &amp; ";" &amp; FilterStringsWithX(L27), ";;", ";"),1)=";",LEFT(SUBSTITUTE(FilterWithUnits(L27)&amp; ";" &amp;FilterStringsWithNumericAnd(L27) &amp; ";" &amp; FilterStringsWithX(L27), ";;", ";"),LEN(SUBSTITUTE(FilterWithUnits(L27)&amp; ";" &amp;FilterStringsWithNumericAnd(L27) &amp; ";" &amp; FilterStringsWithX(L27), ";;", ";"))-1),SUBSTITUTE(FilterWithUnits(L27)&amp; ";" &amp;FilterStringsWithNumericAnd(L27) &amp; ";" &amp; FilterStringsWithX(L27), ";;", ";")))</f>
        <v/>
      </c>
      <c r="N27" t="str" cm="1">
        <f t="array" ref="N27">IF(MaxSize((SplitDimensions(M27)))=0, "", MaxSize((SplitDimensions(M27))))</f>
        <v/>
      </c>
      <c r="O27" t="str" cm="1">
        <f t="array" ref="O27">IF(ISERROR(INDEX(_xlfn._xlws.FILTER('Model output'!L:L, ('Model output'!Z:Z=A27)*('Model output'!L:L&lt;&gt;"")), 1)), " ", LOWER(INDEX(_xlfn._xlws.FILTER('Model output'!L:L, ('Model output'!Z:Z=A27)*('Model output'!L:L&lt;&gt;"")), 1)))</f>
        <v>papillary</v>
      </c>
      <c r="P27" t="str" cm="1">
        <f t="array" ref="P27">IF(ISERROR(INDEX(_xlfn._xlws.FILTER('Model output'!M:M, ('Model output'!Z:Z=A27)*('Model output'!M:M&lt;&gt;"")), 1)), " ", LOWER(INDEX(_xlfn._xlws.FILTER('Model output'!M:M, ('Model output'!Z:Z=A27)*('Model output'!M:M&lt;&gt;"")), 1)))</f>
        <v>classic</v>
      </c>
      <c r="Q27" t="str" cm="1">
        <f t="array" ref="Q27">IF(OR(ISNUMBER(SEARCH("ly",SUBSTITUTE(INDEX(_xlfn._xlws.FILTER('Model output'!N:N,('Model output'!Z:Z=A27)*('Model output'!N:N&lt;&gt;"")),1)," ",""),1)), ISNUMBER(SEARCH("pole",SUBSTITUTE(INDEX(_xlfn._xlws.FILTER('Model output'!N:N,('Model output'!Z:Z=A27)*('Model output'!N:N&lt;&gt;"")),1)," ",""),1))),"",SUBSTITUTE(INDEX(_xlfn._xlws.FILTER('Model output'!N:N,('Model output'!Z:Z=A27)*('Model output'!N:N&lt;&gt;"")),1)," ",""))</f>
        <v>11mm</v>
      </c>
      <c r="R27" t="str" cm="1">
        <f t="array" ref="R27">IF(LEFT(IF(RIGHT(SUBSTITUTE(FilterWithUnits(Q27)&amp; ";" &amp;FilterStringsWithNumericAnd(Q27) &amp; ";" &amp; FilterStringsWithX(Q27), ";;", ";"),1)=";",LEFT(SUBSTITUTE(FilterWithUnits(Q27)&amp; ";" &amp;FilterStringsWithNumericAnd(Q27) &amp; ";" &amp; FilterStringsWithX(Q27), ";;", ";"),LEN(SUBSTITUTE(FilterWithUnits(Q27)&amp; ";" &amp;FilterStringsWithNumericAnd(Q27) &amp; ";" &amp; FilterStringsWithX(Q27), ";;", ";"))-1),SUBSTITUTE(FilterWithUnits(Q27)&amp; ";" &amp;FilterStringsWithNumericAnd(Q27) &amp; ";" &amp; FilterStringsWithX(Q27), ";;", ";")),1)=";",RIGHT(IF(RIGHT(SUBSTITUTE(FilterWithUnits(Q27)&amp; ";" &amp;FilterStringsWithNumericAnd(Q27) &amp; ";" &amp; FilterStringsWithX(Q27), ";;", ";"),1)=";",LEFT(SUBSTITUTE(FilterWithUnits(Q27)&amp; ";" &amp;FilterStringsWithNumericAnd(Q27) &amp; ";" &amp; FilterStringsWithX(Q27), ";;", ";"),LEN(SUBSTITUTE(FilterWithUnits(Q27)&amp; ";" &amp;FilterStringsWithNumericAnd(Q27) &amp; ";" &amp; FilterStringsWithX(Q27), ";;", ";"))-1),SUBSTITUTE(FilterWithUnits(Q27)&amp; ";" &amp;FilterStringsWithNumericAnd(Q27) &amp; ";" &amp; FilterStringsWithX(Q27), ";;", ";")),LEN(IF(RIGHT(SUBSTITUTE(FilterWithUnits(Q27)&amp; ";" &amp;FilterStringsWithNumericAnd(Q27) &amp; ";" &amp; FilterStringsWithX(Q27), ";;", ";"),1)=";",LEFT(SUBSTITUTE(FilterWithUnits(Q27)&amp; ";" &amp;FilterStringsWithNumericAnd(Q27) &amp; ";" &amp; FilterStringsWithX(Q27), ";;", ";"),LEN(SUBSTITUTE(FilterWithUnits(Q27)&amp; ";" &amp;FilterStringsWithNumericAnd(Q27) &amp; ";" &amp; FilterStringsWithX(Q27), ";;", ";"))-1),SUBSTITUTE(FilterWithUnits(Q27)&amp; ";" &amp;FilterStringsWithNumericAnd(Q27) &amp; ";" &amp; FilterStringsWithX(Q27), ";;", ";")))-1),IF(RIGHT(SUBSTITUTE(FilterWithUnits(Q27)&amp; ";" &amp;FilterStringsWithNumericAnd(Q27) &amp; ";" &amp; FilterStringsWithX(Q27), ";;", ";"),1)=";",LEFT(SUBSTITUTE(FilterWithUnits(Q27)&amp; ";" &amp;FilterStringsWithNumericAnd(Q27) &amp; ";" &amp; FilterStringsWithX(Q27), ";;", ";"),LEN(SUBSTITUTE(FilterWithUnits(Q27)&amp; ";" &amp;FilterStringsWithNumericAnd(Q27) &amp; ";" &amp; FilterStringsWithX(Q27), ";;", ";"))-1),SUBSTITUTE(FilterWithUnits(Q27)&amp; ";" &amp;FilterStringsWithNumericAnd(Q27) &amp; ";" &amp; FilterStringsWithX(Q27), ";;", ";")))</f>
        <v>11mm</v>
      </c>
      <c r="S27" cm="1">
        <f t="array" ref="S27">IF(MaxSize((SplitDimensions(R27)))=0, "", MaxSize((SplitDimensions(R27))))</f>
        <v>1.1000000000000001</v>
      </c>
      <c r="T27" s="17" t="str" cm="1">
        <f t="array" ref="T27">IF(ISERROR(INDEX(_xlfn._xlws.FILTER('Model output'!P:P,('Model output'!Z:Z=A27)*('Model output'!P:P&lt;&gt;"")),1)),"negative",IF(OR(ISNUMBER(SEARCH("foc",INDEX(_xlfn._xlws.FILTER('Model output'!P:P,('Model output'!Z:Z=A27)*('Model output'!P:P&lt;&gt;"")),1),1)),ISNUMBER(SEARCH("extensive",INDEX(_xlfn._xlws.FILTER('Model output'!P:P,('Model output'!Z:Z=A27)*('Model output'!P:P&lt;&gt;"")),1),1)),ISNUMBER(SEARCH("present",INDEX(_xlfn._xlws.FILTER('Model output'!P:P,('Model output'!Z:Z=A27)*('Model output'!P:P&lt;&gt;"")),1),1)),ISNUMBER(SEARCH("yes",INDEX(_xlfn._xlws.FILTER('Model output'!P:P,('Model output'!Z:Z=A27)*('Model output'!P:P&lt;&gt;"")),1),1))),"positive","negative"))</f>
        <v>negative</v>
      </c>
      <c r="V27" t="str" cm="1">
        <f t="array" ref="V27">IF(ISNUMBER(SEARCH("4",INDEX(_xlfn._xlws.FILTER('Model output'!P:P,('Model output'!Z:Z=A27)*('Model output'!P:P&lt;&gt;"")),1),1)),INDEX(_xlfn._xlws.FILTER('Model output'!P:P,('Model output'!Z:Z=A27)*('Model output'!P:P&lt;&gt;"")),1),"") &amp; _xlfn.TEXTJOIN("",TRUE,_xlfn._xlws.FILTER('Model output'!Q:Q,'Model output'!Z:Z=A27))</f>
        <v/>
      </c>
      <c r="W27" t="str">
        <f t="shared" si="2"/>
        <v>no</v>
      </c>
      <c r="X27" t="str" cm="1">
        <f t="array" ref="X27">IF(OR(ISNUMBER(SEARCH("focal",_xlfn.TEXTJOIN("; ",TRUE,_xlfn._xlws.FILTER('Model output'!R:R,'Model output'!Z:Z=A27)),1)),ISNUMBER(SEARCH("present",_xlfn.TEXTJOIN("; ",TRUE,_xlfn._xlws.FILTER('Model output'!R:R,'Model output'!Z:Z=A27)),1))),"positive",IF(_xlfn.TEXTJOIN("; ",TRUE,_xlfn._xlws.FILTER('Model output'!R:R,'Model output'!Z:Z=A27))="","negative",IF(OR(ISNUMBER(SEARCH("no",_xlfn.TEXTJOIN("; ",TRUE,_xlfn._xlws.FILTER('Model output'!R:R,'Model output'!Z:Z=A27)),1)),ISNUMBER(SEARCH("absent",_xlfn.TEXTJOIN("; ",TRUE,_xlfn._xlws.FILTER('Model output'!R:R,'Model output'!Z:Z=A27)),1))),"negative","positive")))</f>
        <v>negative</v>
      </c>
      <c r="Y27" s="17" t="str">
        <f t="shared" si="3"/>
        <v>negative</v>
      </c>
      <c r="AC27" s="17" t="str">
        <f t="shared" si="4"/>
        <v>negative</v>
      </c>
      <c r="AD27" t="str" cm="1">
        <f t="array" ref="AD27">_xlfn.TEXTJOIN("; ",TRUE,_xlfn._xlws.FILTER('Model output'!S:S,'Model output'!Z:Z=A27))</f>
        <v>Absent</v>
      </c>
      <c r="AE27" s="17" t="str" cm="1">
        <f t="array" ref="AE27">IF(OR(ISNUMBER(SEARCH("uninvolved",_xlfn.TEXTJOIN("; ",TRUE,_xlfn._xlws.FILTER('Model output'!V:V,'Model output'!Z:Z=A27)),1)),ISNUMBER(SEARCH("clear",_xlfn.TEXTJOIN("; ",TRUE,_xlfn._xlws.FILTER('Model output'!V:V,'Model output'!Z:Z=A27)),1))*ISNUMBER(SEARCH("not mentioned",_xlfn.TEXTJOIN("; ",TRUE,_xlfn._xlws.FILTER('Model output'!V:V,'Model output'!Z:Z=A27)),1))),"negative",IF(ISNUMBER(SEARCH("cannot be assessed",_xlfn.TEXTJOIN("; ",TRUE,_xlfn._xlws.FILTER('Model output'!V:V,'Model output'!Z:Z=A27)),1)),"unknown","negative"))</f>
        <v>negative</v>
      </c>
      <c r="AG27" s="43" t="str">
        <f>IF(OR(ISNUMBER(SEARCH("non-invasive follicular",O27,1)), ISNUMBER(SEARCH("papillary-like nuclear features",P27,1)), ISNUMBER(SEARCH("non-invasive follicular",P27,1)),ISNUMBER(SEARCH("papillary-like nuclear features",P27,1))),"NIFTP", IF(OR(I27="positive",AC27="positive",AND(OR(ISNUMBER(SEARCH("follicular", O27)),ISNUMBER(SEARCH("FTC", O27))),W27="extensive"),AND(G27="positive",ISNUMBER(N27),N27&gt;3),AI27=1),"high",IF(OR(ISNUMBER(SEARCH("positive",Y27,1)),ISNUMBER(SEARCH("tall",P27,1)),ISNUMBER(SEARCH("hobnail",P27,1)),ISNUMBER(SEARCH("cribriform",P27,1)),ISNUMBER(SEARCH("diffuse",P27,1)),ISNUMBER(SEARCH("columnar",P27,1)),ISNUMBER(SEARCH("solid",P27,1)),ISNUMBER(SEARCH("tall",O27,1)),ISNUMBER(SEARCH("hobnail",O27,1)),ISNUMBER(SEARCH("cribriform",O27,1)),ISNUMBER(SEARCH("diffuse",O27,1)),ISNUMBER(SEARCH("columnar",O27,1)),ISNUMBER(SEARCH("solid",O27,1)),AND(OR(ISNUMBER(SEARCH("papillary carcinoma",O27,1)),ISNUMBER(SEARCH("papillary microcarcinoma",O27,1))),T27="positive"),,AND(AND(ISNUMBER(K27),K27&gt;=5),N27=""),AND(AND(ISNUMBER(K27),K27&gt;=5),AND(ISNUMBER(N27),N27&gt;=1)),H27="lateral"),"intermediate","low")))</f>
        <v>low</v>
      </c>
      <c r="AH27" s="44" t="str">
        <f t="shared" si="12"/>
        <v>1b</v>
      </c>
      <c r="AI27" s="56" t="str">
        <f t="shared" si="5"/>
        <v>x</v>
      </c>
      <c r="AJ27" s="56">
        <f t="shared" si="6"/>
        <v>0</v>
      </c>
      <c r="AK27" s="57" t="str">
        <f t="shared" si="7"/>
        <v>I</v>
      </c>
      <c r="AL27" s="45" t="s">
        <v>169</v>
      </c>
      <c r="AM27" s="46" t="s">
        <v>196</v>
      </c>
      <c r="AN27" s="46" t="s">
        <v>197</v>
      </c>
      <c r="AO27" s="46">
        <v>0</v>
      </c>
      <c r="AP27" s="46" t="s">
        <v>31</v>
      </c>
      <c r="AQ27" s="10">
        <f>IF(AL27=AG27,1,0)</f>
        <v>1</v>
      </c>
      <c r="AR27" s="27">
        <f>IF(AM27=AH27,1,0)</f>
        <v>1</v>
      </c>
      <c r="AS27" s="27">
        <f t="shared" si="8"/>
        <v>1</v>
      </c>
      <c r="AT27" s="27">
        <f t="shared" si="9"/>
        <v>1</v>
      </c>
      <c r="AU27" s="29">
        <f t="shared" si="9"/>
        <v>1</v>
      </c>
    </row>
    <row r="28" spans="1:47">
      <c r="A28" s="13">
        <v>26</v>
      </c>
      <c r="B28" s="16">
        <f>_xlfn.MAXIFS('Model output'!B:B,'Model output'!Z:Z,'Classification result'!$A28)</f>
        <v>45464</v>
      </c>
      <c r="C28" s="17">
        <f>_xlfn.MAXIFS('Model output'!C:C,'Model output'!Z:Z,'Classification result'!$A28)</f>
        <v>73</v>
      </c>
      <c r="D28" s="17" t="str" cm="1">
        <f t="array" ref="D28">LEFT(IF(ISERROR(RIGHT(IF(INDEX(_xlfn._xlws.FILTER('Model output'!D:D,('Model output'!Z:Z=A28)),1)&lt;&gt;"",INDEX(_xlfn._xlws.FILTER('Model output'!D:D,('Model output'!Z:Z=A28)),1),""),LEN(IF(INDEX(_xlfn._xlws.FILTER('Model output'!D:D,('Model output'!Z:Z=A28)),1)&lt;&gt;"",INDEX(_xlfn._xlws.FILTER('Model output'!D:D,('Model output'!Z:Z=A28)),1),""))-FIND("T",IF(INDEX(_xlfn._xlws.FILTER('Model output'!D:D,('Model output'!Z:Z=A28)),1)&lt;&gt;"",INDEX(_xlfn._xlws.FILTER('Model output'!D:D,('Model output'!Z:Z=A28)),1),""),1))),"",(RIGHT(IF(INDEX(_xlfn._xlws.FILTER('Model output'!D:D,('Model output'!Z:Z=A28)),1)&lt;&gt;"",INDEX(_xlfn._xlws.FILTER('Model output'!D:D,('Model output'!Z:Z=A28)),1),""),LEN(IF(INDEX(_xlfn._xlws.FILTER('Model output'!D:D,('Model output'!Z:Z=A28)),1)&lt;&gt;"",INDEX(_xlfn._xlws.FILTER('Model output'!D:D,('Model output'!Z:Z=A28)),1),""))-FIND("T",IF(INDEX(_xlfn._xlws.FILTER('Model output'!D:D,('Model output'!Z:Z=A28)),1)&lt;&gt;"",INDEX(_xlfn._xlws.FILTER('Model output'!D:D,('Model output'!Z:Z=A28)),1)))))),2)</f>
        <v>2</v>
      </c>
      <c r="E28" s="17" t="str" cm="1">
        <f t="array" ref="E28">IF(ISNUMBER(SEARCH("N",IF(ISNUMBER(SEARCH("present",IF(INDEX(_xlfn._xlws.FILTER('Model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output'!Z:Z=A28)),1))),1)),RIGHT(IF(ISNUMBER(SEARCH("present",IF(INDEX(_xlfn._xlws.FILTER('Model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output'!Z:Z=A28)),1))),LEN(IF(ISNUMBER(SEARCH("present",IF(INDEX(_xlfn._xlws.FILTER('Model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output'!Z:Z=A28)),1))))-FIND("N",IF(ISNUMBER(SEARCH("present",IF(INDEX(_xlfn._xlws.FILTER('Model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output'!Z:Z=A28)),1))),1)), "")</f>
        <v/>
      </c>
      <c r="F28" s="17" cm="1">
        <f t="array" ref="F28">IF(AND(SUBSTITUTE(_xlfn.TEXTJOIN("/", TRUE, _xlfn._xlws.FILTER('Model output'!F:F, 'Model output'!Z:Z=A28)),"M", "")="", I28="negative"),0,IF(I28="positive",1,0))</f>
        <v>0</v>
      </c>
      <c r="G28" t="str">
        <f t="shared" si="0"/>
        <v>positive</v>
      </c>
      <c r="H28" t="str" cm="1">
        <f t="array" ref="H28">IF(AND(K28&gt;0, _xlfn.TEXTJOIN("; ", TRUE, _xlfn._xlws.FILTER('Model output'!G:G, 'Model output'!Z:Z=A28)) &lt;&gt;"", OR(AND(ISNUMBER(SEARCH("level", _xlfn.TEXTJOIN("; ", TRUE, _xlfn._xlws.FILTER('Model output'!G:G, 'Model output'!Z:Z=A28)),1)),OR(ISNUMBER(SEARCH(" II", _xlfn.TEXTJOIN("; ", TRUE, _xlfn._xlws.FILTER('Model output'!G:G, 'Model output'!Z:Z=A28)),1)),ISNUMBER(SEARCH("2", _xlfn.TEXTJOIN("; ", TRUE, _xlfn._xlws.FILTER('Model output'!G:G, 'Model output'!Z:Z=A28)),1)),ISNUMBER(SEARCH("two", _xlfn.TEXTJOIN("; ", TRUE, _xlfn._xlws.FILTER('Model output'!G:G, 'Model output'!Z:Z=A28)),1)),ISNUMBER(SEARCH("III", _xlfn.TEXTJOIN("; ", TRUE, _xlfn._xlws.FILTER('Model output'!G:G, 'Model output'!Z:Z=A28)),1)),ISNUMBER(SEARCH("3", _xlfn.TEXTJOIN("; ", TRUE, _xlfn._xlws.FILTER('Model output'!G:G, 'Model output'!Z:Z=A28)),1)),ISNUMBER(SEARCH("three", _xlfn.TEXTJOIN("; ", TRUE, _xlfn._xlws.FILTER('Model output'!G:G, 'Model output'!Z:Z=A28)),1)),ISNUMBER(SEARCH("IV", _xlfn.TEXTJOIN("; ", TRUE, _xlfn._xlws.FILTER('Model output'!G:G, 'Model output'!Z:Z=A28)),1)),ISNUMBER(SEARCH("4", _xlfn.TEXTJOIN("; ", TRUE, _xlfn._xlws.FILTER('Model output'!G:G, 'Model output'!Z:Z=A28)),1)),ISNUMBER(SEARCH("five", _xlfn.TEXTJOIN("; ", TRUE, _xlfn._xlws.FILTER('Model output'!G:G, 'Model output'!Z:Z=A28)),1)),ISNUMBER(SEARCH("V ", _xlfn.TEXTJOIN("; ", TRUE, _xlfn._xlws.FILTER('Model output'!G:G, 'Model output'!Z:Z=A28)),1)),ISNUMBER(SEARCH("5", _xlfn.TEXTJOIN("; ", TRUE, _xlfn._xlws.FILTER('Model output'!G:G, 'Model output'!Z:Z=A28)),1)),ISNUMBER(SEARCH("five", _xlfn.TEXTJOIN("; ", TRUE, _xlfn._xlws.FILTER('Model output'!G:G, 'Model output'!Z:Z=A28)),1)),ISNUMBER(SEARCH(" lateral", _xlfn.TEXTJOIN("; ", TRUE, _xlfn._xlws.FILTER('Model output'!G:G, 'Model output'!Z:Z=A28)),1)))),ISNUMBER(SEARCH("cervical", _xlfn.TEXTJOIN("; ", TRUE, _xlfn._xlws.FILTER('Model output'!G:G, 'Model output'!Z:Z=A28)),1)),ISNUMBER(SEARCH("jugular", _xlfn.TEXTJOIN("; ", TRUE, _xlfn._xlws.FILTER('Model output'!G:G, 'Model output'!Z:Z=A28)),1)),ISNUMBER(SEARCH("left neck", _xlfn.TEXTJOIN("; ", TRUE, _xlfn._xlws.FILTER('Model output'!G:G, 'Model output'!Z:Z=A28)),1)),ISNUMBER(SEARCH("left anterior neck", _xlfn.TEXTJOIN("; ", TRUE, _xlfn._xlws.FILTER('Model output'!G:G, 'Model output'!Z:Z=A28)),1)),ISNUMBER(SEARCH("left posterior neck", _xlfn.TEXTJOIN("; ", TRUE, _xlfn._xlws.FILTER('Model output'!G:G, 'Model output'!Z:Z=A28)),1)),ISNUMBER(SEARCH("right neck", _xlfn.TEXTJOIN("; ", TRUE, _xlfn._xlws.FILTER('Model output'!G:G, 'Model output'!Z:Z=A28)),1)),ISNUMBER(SEARCH("right anterior neck", _xlfn.TEXTJOIN("; ", TRUE, _xlfn._xlws.FILTER('Model output'!G:G, 'Model output'!Z:Z=A28)),1)),ISNUMBER(SEARCH("right posterior neck", _xlfn.TEXTJOIN("; ", TRUE, _xlfn._xlws.FILTER('Model output'!G:G, 'Model output'!Z:Z=A28)),1)))),"lateral",IF(AND(K28=0, _xlfn.TEXTJOIN("; ", TRUE, _xlfn._xlws.FILTER('Model output'!G:G, 'Model output'!Z:Z=A28))=""),"", "central"))</f>
        <v>central</v>
      </c>
      <c r="I28" s="17" t="str" cm="1">
        <f t="array" ref="I28">IF(OR(ISNUMBER(SEARCH("lymph",_xlfn.TEXTJOIN("; ", TRUE, _xlfn._xlws.FILTER('Model output'!H:H, 'Model output'!Z:Z=A28)),1)), ISNUMBER(SEARCH("Not mentioned",_xlfn.TEXTJOIN("; ", TRUE, _xlfn._xlws.FILTER('Model output'!H:H, 'Model output'!Z:Z=A28)),1)),ISNUMBER(SEARCH("subcutaneous soft tissues",_xlfn.TEXTJOIN("; ", TRUE, _xlfn._xlws.FILTER('Model output'!H:H, 'Model output'!Z:Z=A28)),1)),ISNUMBER(SEARCH("larynx",_xlfn.TEXTJOIN("; ", TRUE, _xlfn._xlws.FILTER('Model output'!H:H, 'Model output'!Z:Z=A28)),1)),ISNUMBER(SEARCH("trachea",_xlfn.TEXTJOIN("; ", TRUE, _xlfn._xlws.FILTER('Model output'!H:H, 'Model output'!Z:Z=A28)),1)),ISNUMBER(SEARCH("esophagus",_xlfn.TEXTJOIN("; ", TRUE, _xlfn._xlws.FILTER('Model output'!H:H, 'Model output'!Z:Z=A28)),1)),ISNUMBER(SEARCH("recurrent laryngeal nerve",_xlfn.TEXTJOIN("; ", TRUE, _xlfn._xlws.FILTER('Model output'!H:H, 'Model output'!Z:Z=A28)),1)),ISNUMBER(SEARCH("RLN",_xlfn.TEXTJOIN("; ", TRUE, _xlfn._xlws.FILTER('Model output'!H:H, 'Model output'!Z:Z=A28)),1)),_xlfn.TEXTJOIN("; ", TRUE, _xlfn._xlws.FILTER('Model output'!H:H, 'Model output'!Z:Z=A28))=""),"negative","positive")</f>
        <v>negative</v>
      </c>
      <c r="J28" s="17">
        <f>IF(IFERROR(INDEX('Model output'!I:I, MATCH(A28, 'Model output'!Z:Z, 0)), "") &lt; K28, "", IFERROR(INDEX('Model output'!I:I, MATCH(A28, 'Model output'!Z:Z, 0)), ""))</f>
        <v>1</v>
      </c>
      <c r="K28" s="17">
        <f>IFERROR(INDEX('Model output'!J:J, MATCH(A28, 'Model output'!Z:Z, 0)), "")</f>
        <v>0</v>
      </c>
      <c r="L28" s="18" t="str" cm="1">
        <f t="array" ref="L28">ReplaceTo(ReplaceAnd(SUBSTITUTE(SUBSTITUTE(_xlfn.TEXTJOIN("; ", TRUE, _xlfn._xlws.FILTER('Model output'!K:K, 'Model output'!Z:Z=A28)), " ", ""), ",", ";")))</f>
        <v/>
      </c>
      <c r="M28" t="str" cm="1">
        <f t="array" ref="M28">IF(LEFT(IF(RIGHT(SUBSTITUTE(FilterWithUnits(L28)&amp; ";" &amp;FilterStringsWithNumericAnd(L28) &amp; ";" &amp; FilterStringsWithX(L28), ";;", ";"),1)=";",LEFT(SUBSTITUTE(FilterWithUnits(L28)&amp; ";" &amp;FilterStringsWithNumericAnd(L28) &amp; ";" &amp; FilterStringsWithX(L28), ";;", ";"),LEN(SUBSTITUTE(FilterWithUnits(L28)&amp; ";" &amp;FilterStringsWithNumericAnd(L28) &amp; ";" &amp; FilterStringsWithX(L28), ";;", ";"))-1),SUBSTITUTE(FilterWithUnits(L28)&amp; ";" &amp;FilterStringsWithNumericAnd(L28) &amp; ";" &amp; FilterStringsWithX(L28), ";;", ";")),1)=";",RIGHT(IF(RIGHT(SUBSTITUTE(FilterWithUnits(L28)&amp; ";" &amp;FilterStringsWithNumericAnd(L28) &amp; ";" &amp; FilterStringsWithX(L28), ";;", ";"),1)=";",LEFT(SUBSTITUTE(FilterWithUnits(L28)&amp; ";" &amp;FilterStringsWithNumericAnd(L28) &amp; ";" &amp; FilterStringsWithX(L28), ";;", ";"),LEN(SUBSTITUTE(FilterWithUnits(L28)&amp; ";" &amp;FilterStringsWithNumericAnd(L28) &amp; ";" &amp; FilterStringsWithX(L28), ";;", ";"))-1),SUBSTITUTE(FilterWithUnits(L28)&amp; ";" &amp;FilterStringsWithNumericAnd(L28) &amp; ";" &amp; FilterStringsWithX(L28), ";;", ";")),LEN(IF(RIGHT(SUBSTITUTE(FilterWithUnits(L28)&amp; ";" &amp;FilterStringsWithNumericAnd(L28) &amp; ";" &amp; FilterStringsWithX(L28), ";;", ";"),1)=";",LEFT(SUBSTITUTE(FilterWithUnits(L28)&amp; ";" &amp;FilterStringsWithNumericAnd(L28) &amp; ";" &amp; FilterStringsWithX(L28), ";;", ";"),LEN(SUBSTITUTE(FilterWithUnits(L28)&amp; ";" &amp;FilterStringsWithNumericAnd(L28) &amp; ";" &amp; FilterStringsWithX(L28), ";;", ";"))-1),SUBSTITUTE(FilterWithUnits(L28)&amp; ";" &amp;FilterStringsWithNumericAnd(L28) &amp; ";" &amp; FilterStringsWithX(L28), ";;", ";")))-1),IF(RIGHT(SUBSTITUTE(FilterWithUnits(L28)&amp; ";" &amp;FilterStringsWithNumericAnd(L28) &amp; ";" &amp; FilterStringsWithX(L28), ";;", ";"),1)=";",LEFT(SUBSTITUTE(FilterWithUnits(L28)&amp; ";" &amp;FilterStringsWithNumericAnd(L28) &amp; ";" &amp; FilterStringsWithX(L28), ";;", ";"),LEN(SUBSTITUTE(FilterWithUnits(L28)&amp; ";" &amp;FilterStringsWithNumericAnd(L28) &amp; ";" &amp; FilterStringsWithX(L28), ";;", ";"))-1),SUBSTITUTE(FilterWithUnits(L28)&amp; ";" &amp;FilterStringsWithNumericAnd(L28) &amp; ";" &amp; FilterStringsWithX(L28), ";;", ";")))</f>
        <v/>
      </c>
      <c r="N28" t="str" cm="1">
        <f t="array" ref="N28">IF(MaxSize((SplitDimensions(M28)))=0, "", MaxSize((SplitDimensions(M28))))</f>
        <v/>
      </c>
      <c r="O28" t="str" cm="1">
        <f t="array" ref="O28">IF(ISERROR(INDEX(_xlfn._xlws.FILTER('Model output'!L:L, ('Model output'!Z:Z=A28)*('Model output'!L:L&lt;&gt;"")), 1)), " ", LOWER(INDEX(_xlfn._xlws.FILTER('Model output'!L:L, ('Model output'!Z:Z=A28)*('Model output'!L:L&lt;&gt;"")), 1)))</f>
        <v>papillary</v>
      </c>
      <c r="P28" t="str" cm="1">
        <f t="array" ref="P28">IF(ISERROR(INDEX(_xlfn._xlws.FILTER('Model output'!M:M, ('Model output'!Z:Z=A28)*('Model output'!M:M&lt;&gt;"")), 1)), " ", LOWER(INDEX(_xlfn._xlws.FILTER('Model output'!M:M, ('Model output'!Z:Z=A28)*('Model output'!M:M&lt;&gt;"")), 1)))</f>
        <v>classic</v>
      </c>
      <c r="Q28" t="str" cm="1">
        <f t="array" ref="Q28">IF(OR(ISNUMBER(SEARCH("ly",SUBSTITUTE(INDEX(_xlfn._xlws.FILTER('Model output'!N:N,('Model output'!Z:Z=A28)*('Model output'!N:N&lt;&gt;"")),1)," ",""),1)), ISNUMBER(SEARCH("pole",SUBSTITUTE(INDEX(_xlfn._xlws.FILTER('Model output'!N:N,('Model output'!Z:Z=A28)*('Model output'!N:N&lt;&gt;"")),1)," ",""),1))),"",SUBSTITUTE(INDEX(_xlfn._xlws.FILTER('Model output'!N:N,('Model output'!Z:Z=A28)*('Model output'!N:N&lt;&gt;"")),1)," ",""))</f>
        <v>1.1cm</v>
      </c>
      <c r="R28" t="str" cm="1">
        <f t="array" ref="R28">IF(LEFT(IF(RIGHT(SUBSTITUTE(FilterWithUnits(Q28)&amp; ";" &amp;FilterStringsWithNumericAnd(Q28) &amp; ";" &amp; FilterStringsWithX(Q28), ";;", ";"),1)=";",LEFT(SUBSTITUTE(FilterWithUnits(Q28)&amp; ";" &amp;FilterStringsWithNumericAnd(Q28) &amp; ";" &amp; FilterStringsWithX(Q28), ";;", ";"),LEN(SUBSTITUTE(FilterWithUnits(Q28)&amp; ";" &amp;FilterStringsWithNumericAnd(Q28) &amp; ";" &amp; FilterStringsWithX(Q28), ";;", ";"))-1),SUBSTITUTE(FilterWithUnits(Q28)&amp; ";" &amp;FilterStringsWithNumericAnd(Q28) &amp; ";" &amp; FilterStringsWithX(Q28), ";;", ";")),1)=";",RIGHT(IF(RIGHT(SUBSTITUTE(FilterWithUnits(Q28)&amp; ";" &amp;FilterStringsWithNumericAnd(Q28) &amp; ";" &amp; FilterStringsWithX(Q28), ";;", ";"),1)=";",LEFT(SUBSTITUTE(FilterWithUnits(Q28)&amp; ";" &amp;FilterStringsWithNumericAnd(Q28) &amp; ";" &amp; FilterStringsWithX(Q28), ";;", ";"),LEN(SUBSTITUTE(FilterWithUnits(Q28)&amp; ";" &amp;FilterStringsWithNumericAnd(Q28) &amp; ";" &amp; FilterStringsWithX(Q28), ";;", ";"))-1),SUBSTITUTE(FilterWithUnits(Q28)&amp; ";" &amp;FilterStringsWithNumericAnd(Q28) &amp; ";" &amp; FilterStringsWithX(Q28), ";;", ";")),LEN(IF(RIGHT(SUBSTITUTE(FilterWithUnits(Q28)&amp; ";" &amp;FilterStringsWithNumericAnd(Q28) &amp; ";" &amp; FilterStringsWithX(Q28), ";;", ";"),1)=";",LEFT(SUBSTITUTE(FilterWithUnits(Q28)&amp; ";" &amp;FilterStringsWithNumericAnd(Q28) &amp; ";" &amp; FilterStringsWithX(Q28), ";;", ";"),LEN(SUBSTITUTE(FilterWithUnits(Q28)&amp; ";" &amp;FilterStringsWithNumericAnd(Q28) &amp; ";" &amp; FilterStringsWithX(Q28), ";;", ";"))-1),SUBSTITUTE(FilterWithUnits(Q28)&amp; ";" &amp;FilterStringsWithNumericAnd(Q28) &amp; ";" &amp; FilterStringsWithX(Q28), ";;", ";")))-1),IF(RIGHT(SUBSTITUTE(FilterWithUnits(Q28)&amp; ";" &amp;FilterStringsWithNumericAnd(Q28) &amp; ";" &amp; FilterStringsWithX(Q28), ";;", ";"),1)=";",LEFT(SUBSTITUTE(FilterWithUnits(Q28)&amp; ";" &amp;FilterStringsWithNumericAnd(Q28) &amp; ";" &amp; FilterStringsWithX(Q28), ";;", ";"),LEN(SUBSTITUTE(FilterWithUnits(Q28)&amp; ";" &amp;FilterStringsWithNumericAnd(Q28) &amp; ";" &amp; FilterStringsWithX(Q28), ";;", ";"))-1),SUBSTITUTE(FilterWithUnits(Q28)&amp; ";" &amp;FilterStringsWithNumericAnd(Q28) &amp; ";" &amp; FilterStringsWithX(Q28), ";;", ";")))</f>
        <v>1.1cm</v>
      </c>
      <c r="S28" cm="1">
        <f t="array" ref="S28">IF(MaxSize((SplitDimensions(R28)))=0, "", MaxSize((SplitDimensions(R28))))</f>
        <v>1.1000000000000001</v>
      </c>
      <c r="T28" s="17" t="str" cm="1">
        <f t="array" ref="T28">IF(ISERROR(INDEX(_xlfn._xlws.FILTER('Model output'!P:P,('Model output'!Z:Z=A28)*('Model output'!P:P&lt;&gt;"")),1)),"negative",IF(OR(ISNUMBER(SEARCH("foc",INDEX(_xlfn._xlws.FILTER('Model output'!P:P,('Model output'!Z:Z=A28)*('Model output'!P:P&lt;&gt;"")),1),1)),ISNUMBER(SEARCH("extensive",INDEX(_xlfn._xlws.FILTER('Model output'!P:P,('Model output'!Z:Z=A28)*('Model output'!P:P&lt;&gt;"")),1),1)),ISNUMBER(SEARCH("present",INDEX(_xlfn._xlws.FILTER('Model output'!P:P,('Model output'!Z:Z=A28)*('Model output'!P:P&lt;&gt;"")),1),1)),ISNUMBER(SEARCH("yes",INDEX(_xlfn._xlws.FILTER('Model output'!P:P,('Model output'!Z:Z=A28)*('Model output'!P:P&lt;&gt;"")),1),1))),"positive","negative"))</f>
        <v>negative</v>
      </c>
      <c r="V28" t="str" cm="1">
        <f t="array" ref="V28">IF(ISNUMBER(SEARCH("4",INDEX(_xlfn._xlws.FILTER('Model output'!P:P,('Model output'!Z:Z=A28)*('Model output'!P:P&lt;&gt;"")),1),1)),INDEX(_xlfn._xlws.FILTER('Model output'!P:P,('Model output'!Z:Z=A28)*('Model output'!P:P&lt;&gt;"")),1),"") &amp; _xlfn.TEXTJOIN("",TRUE,_xlfn._xlws.FILTER('Model output'!Q:Q,'Model output'!Z:Z=A28))</f>
        <v/>
      </c>
      <c r="W28" t="str">
        <f t="shared" si="2"/>
        <v>no</v>
      </c>
      <c r="X28" t="str" cm="1">
        <f t="array" ref="X28">IF(OR(ISNUMBER(SEARCH("focal",_xlfn.TEXTJOIN("; ",TRUE,_xlfn._xlws.FILTER('Model output'!R:R,'Model output'!Z:Z=A28)),1)),ISNUMBER(SEARCH("present",_xlfn.TEXTJOIN("; ",TRUE,_xlfn._xlws.FILTER('Model output'!R:R,'Model output'!Z:Z=A28)),1))),"positive",IF(_xlfn.TEXTJOIN("; ",TRUE,_xlfn._xlws.FILTER('Model output'!R:R,'Model output'!Z:Z=A28))="","negative",IF(OR(ISNUMBER(SEARCH("no",_xlfn.TEXTJOIN("; ",TRUE,_xlfn._xlws.FILTER('Model output'!R:R,'Model output'!Z:Z=A28)),1)),ISNUMBER(SEARCH("absent",_xlfn.TEXTJOIN("; ",TRUE,_xlfn._xlws.FILTER('Model output'!R:R,'Model output'!Z:Z=A28)),1))),"negative","positive")))</f>
        <v>positive</v>
      </c>
      <c r="Y28" s="17" t="str">
        <f t="shared" si="3"/>
        <v>positive</v>
      </c>
      <c r="AC28" s="17" t="str">
        <f t="shared" si="4"/>
        <v>negative</v>
      </c>
      <c r="AD28" t="str" cm="1">
        <f t="array" ref="AD28">_xlfn.TEXTJOIN("; ",TRUE,_xlfn._xlws.FILTER('Model output'!S:S,'Model output'!Z:Z=A28))</f>
        <v>Microscopic extrathyroidal extension to skeletal muscle anterior to the thyroid gland is present; Present</v>
      </c>
      <c r="AE28" s="17" t="str" cm="1">
        <f t="array" ref="AE28">IF(OR(ISNUMBER(SEARCH("uninvolved",_xlfn.TEXTJOIN("; ",TRUE,_xlfn._xlws.FILTER('Model output'!V:V,'Model output'!Z:Z=A28)),1)),ISNUMBER(SEARCH("clear",_xlfn.TEXTJOIN("; ",TRUE,_xlfn._xlws.FILTER('Model output'!V:V,'Model output'!Z:Z=A28)),1))*ISNUMBER(SEARCH("not mentioned",_xlfn.TEXTJOIN("; ",TRUE,_xlfn._xlws.FILTER('Model output'!V:V,'Model output'!Z:Z=A28)),1))),"negative",IF(ISNUMBER(SEARCH("cannot be assessed",_xlfn.TEXTJOIN("; ",TRUE,_xlfn._xlws.FILTER('Model output'!V:V,'Model output'!Z:Z=A28)),1)),"unknown","negative"))</f>
        <v>negative</v>
      </c>
      <c r="AG28" s="43" t="str">
        <f>IF(OR(ISNUMBER(SEARCH("non-invasive follicular",O28,1)), ISNUMBER(SEARCH("papillary-like nuclear features",P28,1)), ISNUMBER(SEARCH("non-invasive follicular",P28,1)),ISNUMBER(SEARCH("papillary-like nuclear features",P28,1))),"NIFTP", IF(OR(I28="positive",AC28="positive",AND(OR(ISNUMBER(SEARCH("follicular", O28)),ISNUMBER(SEARCH("FTC", O28))),W28="extensive"),AND(G28="positive",ISNUMBER(N28),N28&gt;3),AI28=1),"high",IF(OR(ISNUMBER(SEARCH("positive",Y28,1)),ISNUMBER(SEARCH("tall",P28,1)),ISNUMBER(SEARCH("hobnail",P28,1)),ISNUMBER(SEARCH("cribriform",P28,1)),ISNUMBER(SEARCH("diffuse",P28,1)),ISNUMBER(SEARCH("columnar",P28,1)),ISNUMBER(SEARCH("solid",P28,1)),ISNUMBER(SEARCH("tall",O28,1)),ISNUMBER(SEARCH("hobnail",O28,1)),ISNUMBER(SEARCH("cribriform",O28,1)),ISNUMBER(SEARCH("diffuse",O28,1)),ISNUMBER(SEARCH("columnar",O28,1)),ISNUMBER(SEARCH("solid",O28,1)),AND(OR(ISNUMBER(SEARCH("papillary carcinoma",O28,1)),ISNUMBER(SEARCH("papillary microcarcinoma",O28,1))),T28="positive"),,AND(AND(ISNUMBER(K28),K28&gt;=5),N28=""),AND(AND(ISNUMBER(K28),K28&gt;=5),AND(ISNUMBER(N28),N28&gt;=1)),H28="lateral"),"intermediate","low")))</f>
        <v>intermediate</v>
      </c>
      <c r="AH28" s="44" t="str">
        <f t="shared" si="12"/>
        <v>1b</v>
      </c>
      <c r="AI28" s="56">
        <f t="shared" si="5"/>
        <v>0</v>
      </c>
      <c r="AJ28" s="56">
        <f t="shared" si="6"/>
        <v>0</v>
      </c>
      <c r="AK28" s="57" t="str">
        <f t="shared" si="7"/>
        <v>I</v>
      </c>
      <c r="AL28" s="45" t="s">
        <v>168</v>
      </c>
      <c r="AM28" s="46" t="s">
        <v>199</v>
      </c>
      <c r="AN28" s="46" t="s">
        <v>197</v>
      </c>
      <c r="AO28" s="46">
        <v>0</v>
      </c>
      <c r="AP28" s="46" t="s">
        <v>43</v>
      </c>
      <c r="AQ28" s="10">
        <f>IF(AL28=AG28,1,0)</f>
        <v>0</v>
      </c>
      <c r="AR28" s="27">
        <f>IF(AM28=AH28,1,0)</f>
        <v>0</v>
      </c>
      <c r="AS28" s="27">
        <f t="shared" si="8"/>
        <v>1</v>
      </c>
      <c r="AT28" s="27">
        <f t="shared" si="9"/>
        <v>1</v>
      </c>
      <c r="AU28" s="29">
        <f t="shared" si="9"/>
        <v>0</v>
      </c>
    </row>
    <row r="29" spans="1:47">
      <c r="A29" s="13">
        <v>27</v>
      </c>
      <c r="B29" s="16">
        <f>_xlfn.MAXIFS('Model output'!B:B,'Model output'!Z:Z,'Classification result'!$A29)</f>
        <v>45464</v>
      </c>
      <c r="C29" s="17">
        <f>_xlfn.MAXIFS('Model output'!C:C,'Model output'!Z:Z,'Classification result'!$A29)</f>
        <v>39</v>
      </c>
      <c r="D29" s="17" t="str" cm="1">
        <f t="array" ref="D29">LEFT(IF(ISERROR(RIGHT(IF(INDEX(_xlfn._xlws.FILTER('Model output'!D:D,('Model output'!Z:Z=A29)),1)&lt;&gt;"",INDEX(_xlfn._xlws.FILTER('Model output'!D:D,('Model output'!Z:Z=A29)),1),""),LEN(IF(INDEX(_xlfn._xlws.FILTER('Model output'!D:D,('Model output'!Z:Z=A29)),1)&lt;&gt;"",INDEX(_xlfn._xlws.FILTER('Model output'!D:D,('Model output'!Z:Z=A29)),1),""))-FIND("T",IF(INDEX(_xlfn._xlws.FILTER('Model output'!D:D,('Model output'!Z:Z=A29)),1)&lt;&gt;"",INDEX(_xlfn._xlws.FILTER('Model output'!D:D,('Model output'!Z:Z=A29)),1),""),1))),"",(RIGHT(IF(INDEX(_xlfn._xlws.FILTER('Model output'!D:D,('Model output'!Z:Z=A29)),1)&lt;&gt;"",INDEX(_xlfn._xlws.FILTER('Model output'!D:D,('Model output'!Z:Z=A29)),1),""),LEN(IF(INDEX(_xlfn._xlws.FILTER('Model output'!D:D,('Model output'!Z:Z=A29)),1)&lt;&gt;"",INDEX(_xlfn._xlws.FILTER('Model output'!D:D,('Model output'!Z:Z=A29)),1),""))-FIND("T",IF(INDEX(_xlfn._xlws.FILTER('Model output'!D:D,('Model output'!Z:Z=A29)),1)&lt;&gt;"",INDEX(_xlfn._xlws.FILTER('Model output'!D:D,('Model output'!Z:Z=A29)),1)))))),2)</f>
        <v>1a</v>
      </c>
      <c r="E29" s="17" t="str" cm="1">
        <f t="array" ref="E29">IF(ISNUMBER(SEARCH("N",IF(ISNUMBER(SEARCH("present",IF(INDEX(_xlfn._xlws.FILTER('Model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output'!Z:Z=A29)),1))),1)),RIGHT(IF(ISNUMBER(SEARCH("present",IF(INDEX(_xlfn._xlws.FILTER('Model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output'!Z:Z=A29)),1))),LEN(IF(ISNUMBER(SEARCH("present",IF(INDEX(_xlfn._xlws.FILTER('Model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output'!Z:Z=A29)),1))))-FIND("N",IF(ISNUMBER(SEARCH("present",IF(INDEX(_xlfn._xlws.FILTER('Model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output'!Z:Z=A29)),1))),1)), "")</f>
        <v>1</v>
      </c>
      <c r="F29" s="17" cm="1">
        <f t="array" ref="F29">IF(AND(SUBSTITUTE(_xlfn.TEXTJOIN("/", TRUE, _xlfn._xlws.FILTER('Model output'!F:F, 'Model output'!Z:Z=A29)),"M", "")="", I29="negative"),0,IF(I29="positive",1,0))</f>
        <v>0</v>
      </c>
      <c r="G29" t="str">
        <f t="shared" si="0"/>
        <v>positive</v>
      </c>
      <c r="H29" t="str" cm="1">
        <f t="array" ref="H29">IF(AND(K29&gt;0, _xlfn.TEXTJOIN("; ", TRUE, _xlfn._xlws.FILTER('Model output'!G:G, 'Model output'!Z:Z=A29)) &lt;&gt;"", OR(AND(ISNUMBER(SEARCH("level", _xlfn.TEXTJOIN("; ", TRUE, _xlfn._xlws.FILTER('Model output'!G:G, 'Model output'!Z:Z=A29)),1)),OR(ISNUMBER(SEARCH(" II", _xlfn.TEXTJOIN("; ", TRUE, _xlfn._xlws.FILTER('Model output'!G:G, 'Model output'!Z:Z=A29)),1)),ISNUMBER(SEARCH("2", _xlfn.TEXTJOIN("; ", TRUE, _xlfn._xlws.FILTER('Model output'!G:G, 'Model output'!Z:Z=A29)),1)),ISNUMBER(SEARCH("two", _xlfn.TEXTJOIN("; ", TRUE, _xlfn._xlws.FILTER('Model output'!G:G, 'Model output'!Z:Z=A29)),1)),ISNUMBER(SEARCH("III", _xlfn.TEXTJOIN("; ", TRUE, _xlfn._xlws.FILTER('Model output'!G:G, 'Model output'!Z:Z=A29)),1)),ISNUMBER(SEARCH("3", _xlfn.TEXTJOIN("; ", TRUE, _xlfn._xlws.FILTER('Model output'!G:G, 'Model output'!Z:Z=A29)),1)),ISNUMBER(SEARCH("three", _xlfn.TEXTJOIN("; ", TRUE, _xlfn._xlws.FILTER('Model output'!G:G, 'Model output'!Z:Z=A29)),1)),ISNUMBER(SEARCH("IV", _xlfn.TEXTJOIN("; ", TRUE, _xlfn._xlws.FILTER('Model output'!G:G, 'Model output'!Z:Z=A29)),1)),ISNUMBER(SEARCH("4", _xlfn.TEXTJOIN("; ", TRUE, _xlfn._xlws.FILTER('Model output'!G:G, 'Model output'!Z:Z=A29)),1)),ISNUMBER(SEARCH("five", _xlfn.TEXTJOIN("; ", TRUE, _xlfn._xlws.FILTER('Model output'!G:G, 'Model output'!Z:Z=A29)),1)),ISNUMBER(SEARCH("V ", _xlfn.TEXTJOIN("; ", TRUE, _xlfn._xlws.FILTER('Model output'!G:G, 'Model output'!Z:Z=A29)),1)),ISNUMBER(SEARCH("5", _xlfn.TEXTJOIN("; ", TRUE, _xlfn._xlws.FILTER('Model output'!G:G, 'Model output'!Z:Z=A29)),1)),ISNUMBER(SEARCH("five", _xlfn.TEXTJOIN("; ", TRUE, _xlfn._xlws.FILTER('Model output'!G:G, 'Model output'!Z:Z=A29)),1)),ISNUMBER(SEARCH(" lateral", _xlfn.TEXTJOIN("; ", TRUE, _xlfn._xlws.FILTER('Model output'!G:G, 'Model output'!Z:Z=A29)),1)))),ISNUMBER(SEARCH("cervical", _xlfn.TEXTJOIN("; ", TRUE, _xlfn._xlws.FILTER('Model output'!G:G, 'Model output'!Z:Z=A29)),1)),ISNUMBER(SEARCH("jugular", _xlfn.TEXTJOIN("; ", TRUE, _xlfn._xlws.FILTER('Model output'!G:G, 'Model output'!Z:Z=A29)),1)),ISNUMBER(SEARCH("left neck", _xlfn.TEXTJOIN("; ", TRUE, _xlfn._xlws.FILTER('Model output'!G:G, 'Model output'!Z:Z=A29)),1)),ISNUMBER(SEARCH("left anterior neck", _xlfn.TEXTJOIN("; ", TRUE, _xlfn._xlws.FILTER('Model output'!G:G, 'Model output'!Z:Z=A29)),1)),ISNUMBER(SEARCH("left posterior neck", _xlfn.TEXTJOIN("; ", TRUE, _xlfn._xlws.FILTER('Model output'!G:G, 'Model output'!Z:Z=A29)),1)),ISNUMBER(SEARCH("right neck", _xlfn.TEXTJOIN("; ", TRUE, _xlfn._xlws.FILTER('Model output'!G:G, 'Model output'!Z:Z=A29)),1)),ISNUMBER(SEARCH("right anterior neck", _xlfn.TEXTJOIN("; ", TRUE, _xlfn._xlws.FILTER('Model output'!G:G, 'Model output'!Z:Z=A29)),1)),ISNUMBER(SEARCH("right posterior neck", _xlfn.TEXTJOIN("; ", TRUE, _xlfn._xlws.FILTER('Model output'!G:G, 'Model output'!Z:Z=A29)),1)))),"lateral",IF(AND(K29=0, _xlfn.TEXTJOIN("; ", TRUE, _xlfn._xlws.FILTER('Model output'!G:G, 'Model output'!Z:Z=A29))=""),"", "central"))</f>
        <v>central</v>
      </c>
      <c r="I29" s="17" t="str" cm="1">
        <f t="array" ref="I29">IF(OR(ISNUMBER(SEARCH("lymph",_xlfn.TEXTJOIN("; ", TRUE, _xlfn._xlws.FILTER('Model output'!H:H, 'Model output'!Z:Z=A29)),1)), ISNUMBER(SEARCH("Not mentioned",_xlfn.TEXTJOIN("; ", TRUE, _xlfn._xlws.FILTER('Model output'!H:H, 'Model output'!Z:Z=A29)),1)),ISNUMBER(SEARCH("subcutaneous soft tissues",_xlfn.TEXTJOIN("; ", TRUE, _xlfn._xlws.FILTER('Model output'!H:H, 'Model output'!Z:Z=A29)),1)),ISNUMBER(SEARCH("larynx",_xlfn.TEXTJOIN("; ", TRUE, _xlfn._xlws.FILTER('Model output'!H:H, 'Model output'!Z:Z=A29)),1)),ISNUMBER(SEARCH("trachea",_xlfn.TEXTJOIN("; ", TRUE, _xlfn._xlws.FILTER('Model output'!H:H, 'Model output'!Z:Z=A29)),1)),ISNUMBER(SEARCH("esophagus",_xlfn.TEXTJOIN("; ", TRUE, _xlfn._xlws.FILTER('Model output'!H:H, 'Model output'!Z:Z=A29)),1)),ISNUMBER(SEARCH("recurrent laryngeal nerve",_xlfn.TEXTJOIN("; ", TRUE, _xlfn._xlws.FILTER('Model output'!H:H, 'Model output'!Z:Z=A29)),1)),ISNUMBER(SEARCH("RLN",_xlfn.TEXTJOIN("; ", TRUE, _xlfn._xlws.FILTER('Model output'!H:H, 'Model output'!Z:Z=A29)),1)),_xlfn.TEXTJOIN("; ", TRUE, _xlfn._xlws.FILTER('Model output'!H:H, 'Model output'!Z:Z=A29))=""),"negative","positive")</f>
        <v>negative</v>
      </c>
      <c r="J29" s="17">
        <f>IF(IFERROR(INDEX('Model output'!I:I, MATCH(A29, 'Model output'!Z:Z, 0)), "") &lt; K29, "", IFERROR(INDEX('Model output'!I:I, MATCH(A29, 'Model output'!Z:Z, 0)), ""))</f>
        <v>2</v>
      </c>
      <c r="K29" s="17">
        <f>IFERROR(INDEX('Model output'!J:J, MATCH(A29, 'Model output'!Z:Z, 0)), "")</f>
        <v>1</v>
      </c>
      <c r="L29" s="18" t="str" cm="1">
        <f t="array" ref="L29">ReplaceTo(ReplaceAnd(SUBSTITUTE(SUBSTITUTE(_xlfn.TEXTJOIN("; ", TRUE, _xlfn._xlws.FILTER('Model output'!K:K, 'Model output'!Z:Z=A29)), " ", ""), ",", ";")))</f>
        <v>2.2mm</v>
      </c>
      <c r="M29" t="str" cm="1">
        <f t="array" ref="M29">IF(LEFT(IF(RIGHT(SUBSTITUTE(FilterWithUnits(L29)&amp; ";" &amp;FilterStringsWithNumericAnd(L29) &amp; ";" &amp; FilterStringsWithX(L29), ";;", ";"),1)=";",LEFT(SUBSTITUTE(FilterWithUnits(L29)&amp; ";" &amp;FilterStringsWithNumericAnd(L29) &amp; ";" &amp; FilterStringsWithX(L29), ";;", ";"),LEN(SUBSTITUTE(FilterWithUnits(L29)&amp; ";" &amp;FilterStringsWithNumericAnd(L29) &amp; ";" &amp; FilterStringsWithX(L29), ";;", ";"))-1),SUBSTITUTE(FilterWithUnits(L29)&amp; ";" &amp;FilterStringsWithNumericAnd(L29) &amp; ";" &amp; FilterStringsWithX(L29), ";;", ";")),1)=";",RIGHT(IF(RIGHT(SUBSTITUTE(FilterWithUnits(L29)&amp; ";" &amp;FilterStringsWithNumericAnd(L29) &amp; ";" &amp; FilterStringsWithX(L29), ";;", ";"),1)=";",LEFT(SUBSTITUTE(FilterWithUnits(L29)&amp; ";" &amp;FilterStringsWithNumericAnd(L29) &amp; ";" &amp; FilterStringsWithX(L29), ";;", ";"),LEN(SUBSTITUTE(FilterWithUnits(L29)&amp; ";" &amp;FilterStringsWithNumericAnd(L29) &amp; ";" &amp; FilterStringsWithX(L29), ";;", ";"))-1),SUBSTITUTE(FilterWithUnits(L29)&amp; ";" &amp;FilterStringsWithNumericAnd(L29) &amp; ";" &amp; FilterStringsWithX(L29), ";;", ";")),LEN(IF(RIGHT(SUBSTITUTE(FilterWithUnits(L29)&amp; ";" &amp;FilterStringsWithNumericAnd(L29) &amp; ";" &amp; FilterStringsWithX(L29), ";;", ";"),1)=";",LEFT(SUBSTITUTE(FilterWithUnits(L29)&amp; ";" &amp;FilterStringsWithNumericAnd(L29) &amp; ";" &amp; FilterStringsWithX(L29), ";;", ";"),LEN(SUBSTITUTE(FilterWithUnits(L29)&amp; ";" &amp;FilterStringsWithNumericAnd(L29) &amp; ";" &amp; FilterStringsWithX(L29), ";;", ";"))-1),SUBSTITUTE(FilterWithUnits(L29)&amp; ";" &amp;FilterStringsWithNumericAnd(L29) &amp; ";" &amp; FilterStringsWithX(L29), ";;", ";")))-1),IF(RIGHT(SUBSTITUTE(FilterWithUnits(L29)&amp; ";" &amp;FilterStringsWithNumericAnd(L29) &amp; ";" &amp; FilterStringsWithX(L29), ";;", ";"),1)=";",LEFT(SUBSTITUTE(FilterWithUnits(L29)&amp; ";" &amp;FilterStringsWithNumericAnd(L29) &amp; ";" &amp; FilterStringsWithX(L29), ";;", ";"),LEN(SUBSTITUTE(FilterWithUnits(L29)&amp; ";" &amp;FilterStringsWithNumericAnd(L29) &amp; ";" &amp; FilterStringsWithX(L29), ";;", ";"))-1),SUBSTITUTE(FilterWithUnits(L29)&amp; ";" &amp;FilterStringsWithNumericAnd(L29) &amp; ";" &amp; FilterStringsWithX(L29), ";;", ";")))</f>
        <v>2.2mm</v>
      </c>
      <c r="N29" cm="1">
        <f t="array" ref="N29">IF(MaxSize((SplitDimensions(M29)))=0, "", MaxSize((SplitDimensions(M29))))</f>
        <v>0.22000000000000003</v>
      </c>
      <c r="O29" t="str" cm="1">
        <f t="array" ref="O29">IF(ISERROR(INDEX(_xlfn._xlws.FILTER('Model output'!L:L, ('Model output'!Z:Z=A29)*('Model output'!L:L&lt;&gt;"")), 1)), " ", LOWER(INDEX(_xlfn._xlws.FILTER('Model output'!L:L, ('Model output'!Z:Z=A29)*('Model output'!L:L&lt;&gt;"")), 1)))</f>
        <v>papillary</v>
      </c>
      <c r="P29" t="str" cm="1">
        <f t="array" ref="P29">IF(ISERROR(INDEX(_xlfn._xlws.FILTER('Model output'!M:M, ('Model output'!Z:Z=A29)*('Model output'!M:M&lt;&gt;"")), 1)), " ", LOWER(INDEX(_xlfn._xlws.FILTER('Model output'!M:M, ('Model output'!Z:Z=A29)*('Model output'!M:M&lt;&gt;"")), 1)))</f>
        <v xml:space="preserve"> </v>
      </c>
      <c r="Q29" t="str" cm="1">
        <f t="array" ref="Q29">IF(OR(ISNUMBER(SEARCH("ly",SUBSTITUTE(INDEX(_xlfn._xlws.FILTER('Model output'!N:N,('Model output'!Z:Z=A29)*('Model output'!N:N&lt;&gt;"")),1)," ",""),1)), ISNUMBER(SEARCH("pole",SUBSTITUTE(INDEX(_xlfn._xlws.FILTER('Model output'!N:N,('Model output'!Z:Z=A29)*('Model output'!N:N&lt;&gt;"")),1)," ",""),1))),"",SUBSTITUTE(INDEX(_xlfn._xlws.FILTER('Model output'!N:N,('Model output'!Z:Z=A29)*('Model output'!N:N&lt;&gt;"")),1)," ",""))</f>
        <v>22mm</v>
      </c>
      <c r="R29" t="str" cm="1">
        <f t="array" ref="R29">IF(LEFT(IF(RIGHT(SUBSTITUTE(FilterWithUnits(Q29)&amp; ";" &amp;FilterStringsWithNumericAnd(Q29) &amp; ";" &amp; FilterStringsWithX(Q29), ";;", ";"),1)=";",LEFT(SUBSTITUTE(FilterWithUnits(Q29)&amp; ";" &amp;FilterStringsWithNumericAnd(Q29) &amp; ";" &amp; FilterStringsWithX(Q29), ";;", ";"),LEN(SUBSTITUTE(FilterWithUnits(Q29)&amp; ";" &amp;FilterStringsWithNumericAnd(Q29) &amp; ";" &amp; FilterStringsWithX(Q29), ";;", ";"))-1),SUBSTITUTE(FilterWithUnits(Q29)&amp; ";" &amp;FilterStringsWithNumericAnd(Q29) &amp; ";" &amp; FilterStringsWithX(Q29), ";;", ";")),1)=";",RIGHT(IF(RIGHT(SUBSTITUTE(FilterWithUnits(Q29)&amp; ";" &amp;FilterStringsWithNumericAnd(Q29) &amp; ";" &amp; FilterStringsWithX(Q29), ";;", ";"),1)=";",LEFT(SUBSTITUTE(FilterWithUnits(Q29)&amp; ";" &amp;FilterStringsWithNumericAnd(Q29) &amp; ";" &amp; FilterStringsWithX(Q29), ";;", ";"),LEN(SUBSTITUTE(FilterWithUnits(Q29)&amp; ";" &amp;FilterStringsWithNumericAnd(Q29) &amp; ";" &amp; FilterStringsWithX(Q29), ";;", ";"))-1),SUBSTITUTE(FilterWithUnits(Q29)&amp; ";" &amp;FilterStringsWithNumericAnd(Q29) &amp; ";" &amp; FilterStringsWithX(Q29), ";;", ";")),LEN(IF(RIGHT(SUBSTITUTE(FilterWithUnits(Q29)&amp; ";" &amp;FilterStringsWithNumericAnd(Q29) &amp; ";" &amp; FilterStringsWithX(Q29), ";;", ";"),1)=";",LEFT(SUBSTITUTE(FilterWithUnits(Q29)&amp; ";" &amp;FilterStringsWithNumericAnd(Q29) &amp; ";" &amp; FilterStringsWithX(Q29), ";;", ";"),LEN(SUBSTITUTE(FilterWithUnits(Q29)&amp; ";" &amp;FilterStringsWithNumericAnd(Q29) &amp; ";" &amp; FilterStringsWithX(Q29), ";;", ";"))-1),SUBSTITUTE(FilterWithUnits(Q29)&amp; ";" &amp;FilterStringsWithNumericAnd(Q29) &amp; ";" &amp; FilterStringsWithX(Q29), ";;", ";")))-1),IF(RIGHT(SUBSTITUTE(FilterWithUnits(Q29)&amp; ";" &amp;FilterStringsWithNumericAnd(Q29) &amp; ";" &amp; FilterStringsWithX(Q29), ";;", ";"),1)=";",LEFT(SUBSTITUTE(FilterWithUnits(Q29)&amp; ";" &amp;FilterStringsWithNumericAnd(Q29) &amp; ";" &amp; FilterStringsWithX(Q29), ";;", ";"),LEN(SUBSTITUTE(FilterWithUnits(Q29)&amp; ";" &amp;FilterStringsWithNumericAnd(Q29) &amp; ";" &amp; FilterStringsWithX(Q29), ";;", ";"))-1),SUBSTITUTE(FilterWithUnits(Q29)&amp; ";" &amp;FilterStringsWithNumericAnd(Q29) &amp; ";" &amp; FilterStringsWithX(Q29), ";;", ";")))</f>
        <v>22mm</v>
      </c>
      <c r="S29" cm="1">
        <f t="array" ref="S29">IF(MaxSize((SplitDimensions(R29)))=0, "", MaxSize((SplitDimensions(R29))))</f>
        <v>2.2000000000000002</v>
      </c>
      <c r="T29" s="17" t="str" cm="1">
        <f t="array" ref="T29">IF(ISERROR(INDEX(_xlfn._xlws.FILTER('Model output'!P:P,('Model output'!Z:Z=A29)*('Model output'!P:P&lt;&gt;"")),1)),"negative",IF(OR(ISNUMBER(SEARCH("foc",INDEX(_xlfn._xlws.FILTER('Model output'!P:P,('Model output'!Z:Z=A29)*('Model output'!P:P&lt;&gt;"")),1),1)),ISNUMBER(SEARCH("extensive",INDEX(_xlfn._xlws.FILTER('Model output'!P:P,('Model output'!Z:Z=A29)*('Model output'!P:P&lt;&gt;"")),1),1)),ISNUMBER(SEARCH("present",INDEX(_xlfn._xlws.FILTER('Model output'!P:P,('Model output'!Z:Z=A29)*('Model output'!P:P&lt;&gt;"")),1),1)),ISNUMBER(SEARCH("yes",INDEX(_xlfn._xlws.FILTER('Model output'!P:P,('Model output'!Z:Z=A29)*('Model output'!P:P&lt;&gt;"")),1),1))),"positive","negative"))</f>
        <v>negative</v>
      </c>
      <c r="V29" t="str" cm="1">
        <f t="array" ref="V29">IF(ISNUMBER(SEARCH("4",INDEX(_xlfn._xlws.FILTER('Model output'!P:P,('Model output'!Z:Z=A29)*('Model output'!P:P&lt;&gt;"")),1),1)),INDEX(_xlfn._xlws.FILTER('Model output'!P:P,('Model output'!Z:Z=A29)*('Model output'!P:P&lt;&gt;"")),1),"") &amp; _xlfn.TEXTJOIN("",TRUE,_xlfn._xlws.FILTER('Model output'!Q:Q,'Model output'!Z:Z=A29))</f>
        <v/>
      </c>
      <c r="W29" t="str">
        <f t="shared" si="2"/>
        <v>no</v>
      </c>
      <c r="X29" t="str" cm="1">
        <f t="array" ref="X29">IF(OR(ISNUMBER(SEARCH("focal",_xlfn.TEXTJOIN("; ",TRUE,_xlfn._xlws.FILTER('Model output'!R:R,'Model output'!Z:Z=A29)),1)),ISNUMBER(SEARCH("present",_xlfn.TEXTJOIN("; ",TRUE,_xlfn._xlws.FILTER('Model output'!R:R,'Model output'!Z:Z=A29)),1))),"positive",IF(_xlfn.TEXTJOIN("; ",TRUE,_xlfn._xlws.FILTER('Model output'!R:R,'Model output'!Z:Z=A29))="","negative",IF(OR(ISNUMBER(SEARCH("no",_xlfn.TEXTJOIN("; ",TRUE,_xlfn._xlws.FILTER('Model output'!R:R,'Model output'!Z:Z=A29)),1)),ISNUMBER(SEARCH("absent",_xlfn.TEXTJOIN("; ",TRUE,_xlfn._xlws.FILTER('Model output'!R:R,'Model output'!Z:Z=A29)),1))),"negative","positive")))</f>
        <v>negative</v>
      </c>
      <c r="Y29" s="17" t="str">
        <f t="shared" si="3"/>
        <v>negative</v>
      </c>
      <c r="AC29" s="17" t="str">
        <f t="shared" si="4"/>
        <v>negative</v>
      </c>
      <c r="AD29" t="str" cm="1">
        <f t="array" ref="AD29">_xlfn.TEXTJOIN("; ",TRUE,_xlfn._xlws.FILTER('Model output'!S:S,'Model output'!Z:Z=A29))</f>
        <v/>
      </c>
      <c r="AE29" s="17" t="str" cm="1">
        <f t="array" ref="AE29">IF(OR(ISNUMBER(SEARCH("uninvolved",_xlfn.TEXTJOIN("; ",TRUE,_xlfn._xlws.FILTER('Model output'!V:V,'Model output'!Z:Z=A29)),1)),ISNUMBER(SEARCH("clear",_xlfn.TEXTJOIN("; ",TRUE,_xlfn._xlws.FILTER('Model output'!V:V,'Model output'!Z:Z=A29)),1))*ISNUMBER(SEARCH("not mentioned",_xlfn.TEXTJOIN("; ",TRUE,_xlfn._xlws.FILTER('Model output'!V:V,'Model output'!Z:Z=A29)),1))),"negative",IF(ISNUMBER(SEARCH("cannot be assessed",_xlfn.TEXTJOIN("; ",TRUE,_xlfn._xlws.FILTER('Model output'!V:V,'Model output'!Z:Z=A29)),1)),"unknown","negative"))</f>
        <v>negative</v>
      </c>
      <c r="AG29" s="43" t="str">
        <f>IF(OR(ISNUMBER(SEARCH("non-invasive follicular",O29,1)), ISNUMBER(SEARCH("papillary-like nuclear features",P29,1)), ISNUMBER(SEARCH("non-invasive follicular",P29,1)),ISNUMBER(SEARCH("papillary-like nuclear features",P29,1))),"NIFTP", IF(OR(I29="positive",AC29="positive",AND(OR(ISNUMBER(SEARCH("follicular", O29)),ISNUMBER(SEARCH("FTC", O29))),W29="extensive"),AND(G29="positive",ISNUMBER(N29),N29&gt;3),AI29=1),"high",IF(OR(ISNUMBER(SEARCH("positive",Y29,1)),ISNUMBER(SEARCH("tall",P29,1)),ISNUMBER(SEARCH("hobnail",P29,1)),ISNUMBER(SEARCH("cribriform",P29,1)),ISNUMBER(SEARCH("diffuse",P29,1)),ISNUMBER(SEARCH("columnar",P29,1)),ISNUMBER(SEARCH("solid",P29,1)),ISNUMBER(SEARCH("tall",O29,1)),ISNUMBER(SEARCH("hobnail",O29,1)),ISNUMBER(SEARCH("cribriform",O29,1)),ISNUMBER(SEARCH("diffuse",O29,1)),ISNUMBER(SEARCH("columnar",O29,1)),ISNUMBER(SEARCH("solid",O29,1)),AND(OR(ISNUMBER(SEARCH("papillary carcinoma",O29,1)),ISNUMBER(SEARCH("papillary microcarcinoma",O29,1))),T29="positive"),,AND(AND(ISNUMBER(K29),K29&gt;=5),N29=""),AND(AND(ISNUMBER(K29),K29&gt;=5),AND(ISNUMBER(N29),N29&gt;=1)),H29="lateral"),"intermediate","low")))</f>
        <v>low</v>
      </c>
      <c r="AH29" s="44" t="str">
        <f t="shared" si="12"/>
        <v>2</v>
      </c>
      <c r="AI29" s="56" t="str">
        <f t="shared" si="5"/>
        <v>1a</v>
      </c>
      <c r="AJ29" s="56">
        <f t="shared" si="6"/>
        <v>0</v>
      </c>
      <c r="AK29" s="57" t="str">
        <f t="shared" si="7"/>
        <v>I</v>
      </c>
      <c r="AL29" s="45" t="s">
        <v>169</v>
      </c>
      <c r="AM29" s="46" t="s">
        <v>198</v>
      </c>
      <c r="AN29" s="46" t="s">
        <v>198</v>
      </c>
      <c r="AO29" s="46">
        <v>0</v>
      </c>
      <c r="AP29" s="46" t="s">
        <v>31</v>
      </c>
      <c r="AQ29" s="10">
        <f>IF(AL29=AG29,1,0)</f>
        <v>1</v>
      </c>
      <c r="AR29" s="27">
        <f>IF(AM29=AH29,1,0)</f>
        <v>0</v>
      </c>
      <c r="AS29" s="27">
        <f t="shared" si="8"/>
        <v>1</v>
      </c>
      <c r="AT29" s="27">
        <f t="shared" si="9"/>
        <v>1</v>
      </c>
      <c r="AU29" s="29">
        <f t="shared" si="9"/>
        <v>1</v>
      </c>
    </row>
    <row r="30" spans="1:47">
      <c r="A30" s="13">
        <v>28</v>
      </c>
      <c r="B30" s="16">
        <f>_xlfn.MAXIFS('Model output'!B:B,'Model output'!Z:Z,'Classification result'!$A30)</f>
        <v>45464</v>
      </c>
      <c r="C30" s="17">
        <f>_xlfn.MAXIFS('Model output'!C:C,'Model output'!Z:Z,'Classification result'!$A30)</f>
        <v>57</v>
      </c>
      <c r="D30" s="17" t="str" cm="1">
        <f t="array" ref="D30">LEFT(IF(ISERROR(RIGHT(IF(INDEX(_xlfn._xlws.FILTER('Model output'!D:D,('Model output'!Z:Z=A30)),1)&lt;&gt;"",INDEX(_xlfn._xlws.FILTER('Model output'!D:D,('Model output'!Z:Z=A30)),1),""),LEN(IF(INDEX(_xlfn._xlws.FILTER('Model output'!D:D,('Model output'!Z:Z=A30)),1)&lt;&gt;"",INDEX(_xlfn._xlws.FILTER('Model output'!D:D,('Model output'!Z:Z=A30)),1),""))-FIND("T",IF(INDEX(_xlfn._xlws.FILTER('Model output'!D:D,('Model output'!Z:Z=A30)),1)&lt;&gt;"",INDEX(_xlfn._xlws.FILTER('Model output'!D:D,('Model output'!Z:Z=A30)),1),""),1))),"",(RIGHT(IF(INDEX(_xlfn._xlws.FILTER('Model output'!D:D,('Model output'!Z:Z=A30)),1)&lt;&gt;"",INDEX(_xlfn._xlws.FILTER('Model output'!D:D,('Model output'!Z:Z=A30)),1),""),LEN(IF(INDEX(_xlfn._xlws.FILTER('Model output'!D:D,('Model output'!Z:Z=A30)),1)&lt;&gt;"",INDEX(_xlfn._xlws.FILTER('Model output'!D:D,('Model output'!Z:Z=A30)),1),""))-FIND("T",IF(INDEX(_xlfn._xlws.FILTER('Model output'!D:D,('Model output'!Z:Z=A30)),1)&lt;&gt;"",INDEX(_xlfn._xlws.FILTER('Model output'!D:D,('Model output'!Z:Z=A30)),1)))))),2)</f>
        <v>1a</v>
      </c>
      <c r="E30" s="17" t="str" cm="1">
        <f t="array" ref="E30">IF(ISNUMBER(SEARCH("N",IF(ISNUMBER(SEARCH("present",IF(INDEX(_xlfn._xlws.FILTER('Model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output'!Z:Z=A30)),1))),1)),RIGHT(IF(ISNUMBER(SEARCH("present",IF(INDEX(_xlfn._xlws.FILTER('Model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output'!Z:Z=A30)),1))),LEN(IF(ISNUMBER(SEARCH("present",IF(INDEX(_xlfn._xlws.FILTER('Model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output'!Z:Z=A30)),1))))-FIND("N",IF(ISNUMBER(SEARCH("present",IF(INDEX(_xlfn._xlws.FILTER('Model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output'!Z:Z=A30)),1))),1)), "")</f>
        <v>1a</v>
      </c>
      <c r="F30" s="17" cm="1">
        <f t="array" ref="F30">IF(AND(SUBSTITUTE(_xlfn.TEXTJOIN("/", TRUE, _xlfn._xlws.FILTER('Model output'!F:F, 'Model output'!Z:Z=A30)),"M", "")="", I30="negative"),0,IF(I30="positive",1,0))</f>
        <v>0</v>
      </c>
      <c r="G30" t="str">
        <f t="shared" si="0"/>
        <v>positive</v>
      </c>
      <c r="H30" t="str" cm="1">
        <f t="array" ref="H30">IF(AND(K30&gt;0, _xlfn.TEXTJOIN("; ", TRUE, _xlfn._xlws.FILTER('Model output'!G:G, 'Model output'!Z:Z=A30)) &lt;&gt;"", OR(AND(ISNUMBER(SEARCH("level", _xlfn.TEXTJOIN("; ", TRUE, _xlfn._xlws.FILTER('Model output'!G:G, 'Model output'!Z:Z=A30)),1)),OR(ISNUMBER(SEARCH(" II", _xlfn.TEXTJOIN("; ", TRUE, _xlfn._xlws.FILTER('Model output'!G:G, 'Model output'!Z:Z=A30)),1)),ISNUMBER(SEARCH("2", _xlfn.TEXTJOIN("; ", TRUE, _xlfn._xlws.FILTER('Model output'!G:G, 'Model output'!Z:Z=A30)),1)),ISNUMBER(SEARCH("two", _xlfn.TEXTJOIN("; ", TRUE, _xlfn._xlws.FILTER('Model output'!G:G, 'Model output'!Z:Z=A30)),1)),ISNUMBER(SEARCH("III", _xlfn.TEXTJOIN("; ", TRUE, _xlfn._xlws.FILTER('Model output'!G:G, 'Model output'!Z:Z=A30)),1)),ISNUMBER(SEARCH("3", _xlfn.TEXTJOIN("; ", TRUE, _xlfn._xlws.FILTER('Model output'!G:G, 'Model output'!Z:Z=A30)),1)),ISNUMBER(SEARCH("three", _xlfn.TEXTJOIN("; ", TRUE, _xlfn._xlws.FILTER('Model output'!G:G, 'Model output'!Z:Z=A30)),1)),ISNUMBER(SEARCH("IV", _xlfn.TEXTJOIN("; ", TRUE, _xlfn._xlws.FILTER('Model output'!G:G, 'Model output'!Z:Z=A30)),1)),ISNUMBER(SEARCH("4", _xlfn.TEXTJOIN("; ", TRUE, _xlfn._xlws.FILTER('Model output'!G:G, 'Model output'!Z:Z=A30)),1)),ISNUMBER(SEARCH("five", _xlfn.TEXTJOIN("; ", TRUE, _xlfn._xlws.FILTER('Model output'!G:G, 'Model output'!Z:Z=A30)),1)),ISNUMBER(SEARCH("V ", _xlfn.TEXTJOIN("; ", TRUE, _xlfn._xlws.FILTER('Model output'!G:G, 'Model output'!Z:Z=A30)),1)),ISNUMBER(SEARCH("5", _xlfn.TEXTJOIN("; ", TRUE, _xlfn._xlws.FILTER('Model output'!G:G, 'Model output'!Z:Z=A30)),1)),ISNUMBER(SEARCH("five", _xlfn.TEXTJOIN("; ", TRUE, _xlfn._xlws.FILTER('Model output'!G:G, 'Model output'!Z:Z=A30)),1)),ISNUMBER(SEARCH(" lateral", _xlfn.TEXTJOIN("; ", TRUE, _xlfn._xlws.FILTER('Model output'!G:G, 'Model output'!Z:Z=A30)),1)))),ISNUMBER(SEARCH("cervical", _xlfn.TEXTJOIN("; ", TRUE, _xlfn._xlws.FILTER('Model output'!G:G, 'Model output'!Z:Z=A30)),1)),ISNUMBER(SEARCH("jugular", _xlfn.TEXTJOIN("; ", TRUE, _xlfn._xlws.FILTER('Model output'!G:G, 'Model output'!Z:Z=A30)),1)),ISNUMBER(SEARCH("left neck", _xlfn.TEXTJOIN("; ", TRUE, _xlfn._xlws.FILTER('Model output'!G:G, 'Model output'!Z:Z=A30)),1)),ISNUMBER(SEARCH("left anterior neck", _xlfn.TEXTJOIN("; ", TRUE, _xlfn._xlws.FILTER('Model output'!G:G, 'Model output'!Z:Z=A30)),1)),ISNUMBER(SEARCH("left posterior neck", _xlfn.TEXTJOIN("; ", TRUE, _xlfn._xlws.FILTER('Model output'!G:G, 'Model output'!Z:Z=A30)),1)),ISNUMBER(SEARCH("right neck", _xlfn.TEXTJOIN("; ", TRUE, _xlfn._xlws.FILTER('Model output'!G:G, 'Model output'!Z:Z=A30)),1)),ISNUMBER(SEARCH("right anterior neck", _xlfn.TEXTJOIN("; ", TRUE, _xlfn._xlws.FILTER('Model output'!G:G, 'Model output'!Z:Z=A30)),1)),ISNUMBER(SEARCH("right posterior neck", _xlfn.TEXTJOIN("; ", TRUE, _xlfn._xlws.FILTER('Model output'!G:G, 'Model output'!Z:Z=A30)),1)))),"lateral",IF(AND(K30=0, _xlfn.TEXTJOIN("; ", TRUE, _xlfn._xlws.FILTER('Model output'!G:G, 'Model output'!Z:Z=A30))=""),"", "central"))</f>
        <v>central</v>
      </c>
      <c r="I30" s="17" t="str" cm="1">
        <f t="array" ref="I30">IF(OR(ISNUMBER(SEARCH("lymph",_xlfn.TEXTJOIN("; ", TRUE, _xlfn._xlws.FILTER('Model output'!H:H, 'Model output'!Z:Z=A30)),1)), ISNUMBER(SEARCH("Not mentioned",_xlfn.TEXTJOIN("; ", TRUE, _xlfn._xlws.FILTER('Model output'!H:H, 'Model output'!Z:Z=A30)),1)),ISNUMBER(SEARCH("subcutaneous soft tissues",_xlfn.TEXTJOIN("; ", TRUE, _xlfn._xlws.FILTER('Model output'!H:H, 'Model output'!Z:Z=A30)),1)),ISNUMBER(SEARCH("larynx",_xlfn.TEXTJOIN("; ", TRUE, _xlfn._xlws.FILTER('Model output'!H:H, 'Model output'!Z:Z=A30)),1)),ISNUMBER(SEARCH("trachea",_xlfn.TEXTJOIN("; ", TRUE, _xlfn._xlws.FILTER('Model output'!H:H, 'Model output'!Z:Z=A30)),1)),ISNUMBER(SEARCH("esophagus",_xlfn.TEXTJOIN("; ", TRUE, _xlfn._xlws.FILTER('Model output'!H:H, 'Model output'!Z:Z=A30)),1)),ISNUMBER(SEARCH("recurrent laryngeal nerve",_xlfn.TEXTJOIN("; ", TRUE, _xlfn._xlws.FILTER('Model output'!H:H, 'Model output'!Z:Z=A30)),1)),ISNUMBER(SEARCH("RLN",_xlfn.TEXTJOIN("; ", TRUE, _xlfn._xlws.FILTER('Model output'!H:H, 'Model output'!Z:Z=A30)),1)),_xlfn.TEXTJOIN("; ", TRUE, _xlfn._xlws.FILTER('Model output'!H:H, 'Model output'!Z:Z=A30))=""),"negative","positive")</f>
        <v>negative</v>
      </c>
      <c r="J30" s="17">
        <f>IF(IFERROR(INDEX('Model output'!I:I, MATCH(A30, 'Model output'!Z:Z, 0)), "") &lt; K30, "", IFERROR(INDEX('Model output'!I:I, MATCH(A30, 'Model output'!Z:Z, 0)), ""))</f>
        <v>5</v>
      </c>
      <c r="K30" s="17">
        <f>IFERROR(INDEX('Model output'!J:J, MATCH(A30, 'Model output'!Z:Z, 0)), "")</f>
        <v>1</v>
      </c>
      <c r="L30" s="18" t="str" cm="1">
        <f t="array" ref="L30">ReplaceTo(ReplaceAnd(SUBSTITUTE(SUBSTITUTE(_xlfn.TEXTJOIN("; ", TRUE, _xlfn._xlws.FILTER('Model output'!K:K, 'Model output'!Z:Z=A30)), " ", ""), ",", ";")))</f>
        <v>2.5mm</v>
      </c>
      <c r="M30" t="str" cm="1">
        <f t="array" ref="M30">IF(LEFT(IF(RIGHT(SUBSTITUTE(FilterWithUnits(L30)&amp; ";" &amp;FilterStringsWithNumericAnd(L30) &amp; ";" &amp; FilterStringsWithX(L30), ";;", ";"),1)=";",LEFT(SUBSTITUTE(FilterWithUnits(L30)&amp; ";" &amp;FilterStringsWithNumericAnd(L30) &amp; ";" &amp; FilterStringsWithX(L30), ";;", ";"),LEN(SUBSTITUTE(FilterWithUnits(L30)&amp; ";" &amp;FilterStringsWithNumericAnd(L30) &amp; ";" &amp; FilterStringsWithX(L30), ";;", ";"))-1),SUBSTITUTE(FilterWithUnits(L30)&amp; ";" &amp;FilterStringsWithNumericAnd(L30) &amp; ";" &amp; FilterStringsWithX(L30), ";;", ";")),1)=";",RIGHT(IF(RIGHT(SUBSTITUTE(FilterWithUnits(L30)&amp; ";" &amp;FilterStringsWithNumericAnd(L30) &amp; ";" &amp; FilterStringsWithX(L30), ";;", ";"),1)=";",LEFT(SUBSTITUTE(FilterWithUnits(L30)&amp; ";" &amp;FilterStringsWithNumericAnd(L30) &amp; ";" &amp; FilterStringsWithX(L30), ";;", ";"),LEN(SUBSTITUTE(FilterWithUnits(L30)&amp; ";" &amp;FilterStringsWithNumericAnd(L30) &amp; ";" &amp; FilterStringsWithX(L30), ";;", ";"))-1),SUBSTITUTE(FilterWithUnits(L30)&amp; ";" &amp;FilterStringsWithNumericAnd(L30) &amp; ";" &amp; FilterStringsWithX(L30), ";;", ";")),LEN(IF(RIGHT(SUBSTITUTE(FilterWithUnits(L30)&amp; ";" &amp;FilterStringsWithNumericAnd(L30) &amp; ";" &amp; FilterStringsWithX(L30), ";;", ";"),1)=";",LEFT(SUBSTITUTE(FilterWithUnits(L30)&amp; ";" &amp;FilterStringsWithNumericAnd(L30) &amp; ";" &amp; FilterStringsWithX(L30), ";;", ";"),LEN(SUBSTITUTE(FilterWithUnits(L30)&amp; ";" &amp;FilterStringsWithNumericAnd(L30) &amp; ";" &amp; FilterStringsWithX(L30), ";;", ";"))-1),SUBSTITUTE(FilterWithUnits(L30)&amp; ";" &amp;FilterStringsWithNumericAnd(L30) &amp; ";" &amp; FilterStringsWithX(L30), ";;", ";")))-1),IF(RIGHT(SUBSTITUTE(FilterWithUnits(L30)&amp; ";" &amp;FilterStringsWithNumericAnd(L30) &amp; ";" &amp; FilterStringsWithX(L30), ";;", ";"),1)=";",LEFT(SUBSTITUTE(FilterWithUnits(L30)&amp; ";" &amp;FilterStringsWithNumericAnd(L30) &amp; ";" &amp; FilterStringsWithX(L30), ";;", ";"),LEN(SUBSTITUTE(FilterWithUnits(L30)&amp; ";" &amp;FilterStringsWithNumericAnd(L30) &amp; ";" &amp; FilterStringsWithX(L30), ";;", ";"))-1),SUBSTITUTE(FilterWithUnits(L30)&amp; ";" &amp;FilterStringsWithNumericAnd(L30) &amp; ";" &amp; FilterStringsWithX(L30), ";;", ";")))</f>
        <v>2.5mm</v>
      </c>
      <c r="N30" cm="1">
        <f t="array" ref="N30">IF(MaxSize((SplitDimensions(M30)))=0, "", MaxSize((SplitDimensions(M30))))</f>
        <v>0.25</v>
      </c>
      <c r="O30" t="str" cm="1">
        <f t="array" ref="O30">IF(ISERROR(INDEX(_xlfn._xlws.FILTER('Model output'!L:L, ('Model output'!Z:Z=A30)*('Model output'!L:L&lt;&gt;"")), 1)), " ", LOWER(INDEX(_xlfn._xlws.FILTER('Model output'!L:L, ('Model output'!Z:Z=A30)*('Model output'!L:L&lt;&gt;"")), 1)))</f>
        <v>papillary</v>
      </c>
      <c r="P30" t="str" cm="1">
        <f t="array" ref="P30">IF(ISERROR(INDEX(_xlfn._xlws.FILTER('Model output'!M:M, ('Model output'!Z:Z=A30)*('Model output'!M:M&lt;&gt;"")), 1)), " ", LOWER(INDEX(_xlfn._xlws.FILTER('Model output'!M:M, ('Model output'!Z:Z=A30)*('Model output'!M:M&lt;&gt;"")), 1)))</f>
        <v xml:space="preserve"> </v>
      </c>
      <c r="Q30" t="str" cm="1">
        <f t="array" ref="Q30">IF(OR(ISNUMBER(SEARCH("ly",SUBSTITUTE(INDEX(_xlfn._xlws.FILTER('Model output'!N:N,('Model output'!Z:Z=A30)*('Model output'!N:N&lt;&gt;"")),1)," ",""),1)), ISNUMBER(SEARCH("pole",SUBSTITUTE(INDEX(_xlfn._xlws.FILTER('Model output'!N:N,('Model output'!Z:Z=A30)*('Model output'!N:N&lt;&gt;"")),1)," ",""),1))),"",SUBSTITUTE(INDEX(_xlfn._xlws.FILTER('Model output'!N:N,('Model output'!Z:Z=A30)*('Model output'!N:N&lt;&gt;"")),1)," ",""))</f>
        <v>0.5cm</v>
      </c>
      <c r="R30" t="str" cm="1">
        <f t="array" ref="R30">IF(LEFT(IF(RIGHT(SUBSTITUTE(FilterWithUnits(Q30)&amp; ";" &amp;FilterStringsWithNumericAnd(Q30) &amp; ";" &amp; FilterStringsWithX(Q30), ";;", ";"),1)=";",LEFT(SUBSTITUTE(FilterWithUnits(Q30)&amp; ";" &amp;FilterStringsWithNumericAnd(Q30) &amp; ";" &amp; FilterStringsWithX(Q30), ";;", ";"),LEN(SUBSTITUTE(FilterWithUnits(Q30)&amp; ";" &amp;FilterStringsWithNumericAnd(Q30) &amp; ";" &amp; FilterStringsWithX(Q30), ";;", ";"))-1),SUBSTITUTE(FilterWithUnits(Q30)&amp; ";" &amp;FilterStringsWithNumericAnd(Q30) &amp; ";" &amp; FilterStringsWithX(Q30), ";;", ";")),1)=";",RIGHT(IF(RIGHT(SUBSTITUTE(FilterWithUnits(Q30)&amp; ";" &amp;FilterStringsWithNumericAnd(Q30) &amp; ";" &amp; FilterStringsWithX(Q30), ";;", ";"),1)=";",LEFT(SUBSTITUTE(FilterWithUnits(Q30)&amp; ";" &amp;FilterStringsWithNumericAnd(Q30) &amp; ";" &amp; FilterStringsWithX(Q30), ";;", ";"),LEN(SUBSTITUTE(FilterWithUnits(Q30)&amp; ";" &amp;FilterStringsWithNumericAnd(Q30) &amp; ";" &amp; FilterStringsWithX(Q30), ";;", ";"))-1),SUBSTITUTE(FilterWithUnits(Q30)&amp; ";" &amp;FilterStringsWithNumericAnd(Q30) &amp; ";" &amp; FilterStringsWithX(Q30), ";;", ";")),LEN(IF(RIGHT(SUBSTITUTE(FilterWithUnits(Q30)&amp; ";" &amp;FilterStringsWithNumericAnd(Q30) &amp; ";" &amp; FilterStringsWithX(Q30), ";;", ";"),1)=";",LEFT(SUBSTITUTE(FilterWithUnits(Q30)&amp; ";" &amp;FilterStringsWithNumericAnd(Q30) &amp; ";" &amp; FilterStringsWithX(Q30), ";;", ";"),LEN(SUBSTITUTE(FilterWithUnits(Q30)&amp; ";" &amp;FilterStringsWithNumericAnd(Q30) &amp; ";" &amp; FilterStringsWithX(Q30), ";;", ";"))-1),SUBSTITUTE(FilterWithUnits(Q30)&amp; ";" &amp;FilterStringsWithNumericAnd(Q30) &amp; ";" &amp; FilterStringsWithX(Q30), ";;", ";")))-1),IF(RIGHT(SUBSTITUTE(FilterWithUnits(Q30)&amp; ";" &amp;FilterStringsWithNumericAnd(Q30) &amp; ";" &amp; FilterStringsWithX(Q30), ";;", ";"),1)=";",LEFT(SUBSTITUTE(FilterWithUnits(Q30)&amp; ";" &amp;FilterStringsWithNumericAnd(Q30) &amp; ";" &amp; FilterStringsWithX(Q30), ";;", ";"),LEN(SUBSTITUTE(FilterWithUnits(Q30)&amp; ";" &amp;FilterStringsWithNumericAnd(Q30) &amp; ";" &amp; FilterStringsWithX(Q30), ";;", ";"))-1),SUBSTITUTE(FilterWithUnits(Q30)&amp; ";" &amp;FilterStringsWithNumericAnd(Q30) &amp; ";" &amp; FilterStringsWithX(Q30), ";;", ";")))</f>
        <v>0.5cm</v>
      </c>
      <c r="S30" cm="1">
        <f t="array" ref="S30">IF(MaxSize((SplitDimensions(R30)))=0, "", MaxSize((SplitDimensions(R30))))</f>
        <v>0.5</v>
      </c>
      <c r="T30" s="17" t="str" cm="1">
        <f t="array" ref="T30">IF(ISERROR(INDEX(_xlfn._xlws.FILTER('Model output'!P:P,('Model output'!Z:Z=A30)*('Model output'!P:P&lt;&gt;"")),1)),"negative",IF(OR(ISNUMBER(SEARCH("foc",INDEX(_xlfn._xlws.FILTER('Model output'!P:P,('Model output'!Z:Z=A30)*('Model output'!P:P&lt;&gt;"")),1),1)),ISNUMBER(SEARCH("extensive",INDEX(_xlfn._xlws.FILTER('Model output'!P:P,('Model output'!Z:Z=A30)*('Model output'!P:P&lt;&gt;"")),1),1)),ISNUMBER(SEARCH("present",INDEX(_xlfn._xlws.FILTER('Model output'!P:P,('Model output'!Z:Z=A30)*('Model output'!P:P&lt;&gt;"")),1),1)),ISNUMBER(SEARCH("yes",INDEX(_xlfn._xlws.FILTER('Model output'!P:P,('Model output'!Z:Z=A30)*('Model output'!P:P&lt;&gt;"")),1),1))),"positive","negative"))</f>
        <v>negative</v>
      </c>
      <c r="V30" t="str" cm="1">
        <f t="array" ref="V30">IF(ISNUMBER(SEARCH("4",INDEX(_xlfn._xlws.FILTER('Model output'!P:P,('Model output'!Z:Z=A30)*('Model output'!P:P&lt;&gt;"")),1),1)),INDEX(_xlfn._xlws.FILTER('Model output'!P:P,('Model output'!Z:Z=A30)*('Model output'!P:P&lt;&gt;"")),1),"") &amp; _xlfn.TEXTJOIN("",TRUE,_xlfn._xlws.FILTER('Model output'!Q:Q,'Model output'!Z:Z=A30))</f>
        <v/>
      </c>
      <c r="W30" t="str">
        <f t="shared" si="2"/>
        <v>no</v>
      </c>
      <c r="X30" t="str" cm="1">
        <f t="array" ref="X30">IF(OR(ISNUMBER(SEARCH("focal",_xlfn.TEXTJOIN("; ",TRUE,_xlfn._xlws.FILTER('Model output'!R:R,'Model output'!Z:Z=A30)),1)),ISNUMBER(SEARCH("present",_xlfn.TEXTJOIN("; ",TRUE,_xlfn._xlws.FILTER('Model output'!R:R,'Model output'!Z:Z=A30)),1))),"positive",IF(_xlfn.TEXTJOIN("; ",TRUE,_xlfn._xlws.FILTER('Model output'!R:R,'Model output'!Z:Z=A30))="","negative",IF(OR(ISNUMBER(SEARCH("no",_xlfn.TEXTJOIN("; ",TRUE,_xlfn._xlws.FILTER('Model output'!R:R,'Model output'!Z:Z=A30)),1)),ISNUMBER(SEARCH("absent",_xlfn.TEXTJOIN("; ",TRUE,_xlfn._xlws.FILTER('Model output'!R:R,'Model output'!Z:Z=A30)),1))),"negative","positive")))</f>
        <v>negative</v>
      </c>
      <c r="Y30" s="17" t="str">
        <f t="shared" si="3"/>
        <v>negative</v>
      </c>
      <c r="AC30" s="17" t="str">
        <f t="shared" si="4"/>
        <v>negative</v>
      </c>
      <c r="AD30" t="str" cm="1">
        <f t="array" ref="AD30">_xlfn.TEXTJOIN("; ",TRUE,_xlfn._xlws.FILTER('Model output'!S:S,'Model output'!Z:Z=A30))</f>
        <v/>
      </c>
      <c r="AE30" s="17" t="str" cm="1">
        <f t="array" ref="AE30">IF(OR(ISNUMBER(SEARCH("uninvolved",_xlfn.TEXTJOIN("; ",TRUE,_xlfn._xlws.FILTER('Model output'!V:V,'Model output'!Z:Z=A30)),1)),ISNUMBER(SEARCH("clear",_xlfn.TEXTJOIN("; ",TRUE,_xlfn._xlws.FILTER('Model output'!V:V,'Model output'!Z:Z=A30)),1))*ISNUMBER(SEARCH("not mentioned",_xlfn.TEXTJOIN("; ",TRUE,_xlfn._xlws.FILTER('Model output'!V:V,'Model output'!Z:Z=A30)),1))),"negative",IF(ISNUMBER(SEARCH("cannot be assessed",_xlfn.TEXTJOIN("; ",TRUE,_xlfn._xlws.FILTER('Model output'!V:V,'Model output'!Z:Z=A30)),1)),"unknown","negative"))</f>
        <v>negative</v>
      </c>
      <c r="AG30" s="43" t="str">
        <f>IF(OR(ISNUMBER(SEARCH("non-invasive follicular",O30,1)), ISNUMBER(SEARCH("papillary-like nuclear features",P30,1)), ISNUMBER(SEARCH("non-invasive follicular",P30,1)),ISNUMBER(SEARCH("papillary-like nuclear features",P30,1))),"NIFTP", IF(OR(I30="positive",AC30="positive",AND(OR(ISNUMBER(SEARCH("follicular", O30)),ISNUMBER(SEARCH("FTC", O30))),W30="extensive"),AND(G30="positive",ISNUMBER(N30),N30&gt;3),AI30=1),"high",IF(OR(ISNUMBER(SEARCH("positive",Y30,1)),ISNUMBER(SEARCH("tall",P30,1)),ISNUMBER(SEARCH("hobnail",P30,1)),ISNUMBER(SEARCH("cribriform",P30,1)),ISNUMBER(SEARCH("diffuse",P30,1)),ISNUMBER(SEARCH("columnar",P30,1)),ISNUMBER(SEARCH("solid",P30,1)),ISNUMBER(SEARCH("tall",O30,1)),ISNUMBER(SEARCH("hobnail",O30,1)),ISNUMBER(SEARCH("cribriform",O30,1)),ISNUMBER(SEARCH("diffuse",O30,1)),ISNUMBER(SEARCH("columnar",O30,1)),ISNUMBER(SEARCH("solid",O30,1)),AND(OR(ISNUMBER(SEARCH("papillary carcinoma",O30,1)),ISNUMBER(SEARCH("papillary microcarcinoma",O30,1))),T30="positive"),,AND(AND(ISNUMBER(K30),K30&gt;=5),N30=""),AND(AND(ISNUMBER(K30),K30&gt;=5),AND(ISNUMBER(N30),N30&gt;=1)),H30="lateral"),"intermediate","low")))</f>
        <v>low</v>
      </c>
      <c r="AH30" s="44" t="str">
        <f t="shared" si="12"/>
        <v>1a</v>
      </c>
      <c r="AI30" s="56" t="str">
        <f t="shared" si="5"/>
        <v>1a</v>
      </c>
      <c r="AJ30" s="56">
        <f t="shared" si="6"/>
        <v>0</v>
      </c>
      <c r="AK30" s="57" t="str">
        <f t="shared" si="7"/>
        <v>II</v>
      </c>
      <c r="AL30" s="45" t="s">
        <v>169</v>
      </c>
      <c r="AM30" s="46" t="s">
        <v>198</v>
      </c>
      <c r="AN30" s="46" t="s">
        <v>198</v>
      </c>
      <c r="AO30" s="46">
        <v>0</v>
      </c>
      <c r="AP30" s="46" t="s">
        <v>43</v>
      </c>
      <c r="AQ30" s="10">
        <f>IF(AL30=AG30,1,0)</f>
        <v>1</v>
      </c>
      <c r="AR30" s="27">
        <f>IF(AM30=AH30,1,0)</f>
        <v>1</v>
      </c>
      <c r="AS30" s="27">
        <f t="shared" si="8"/>
        <v>1</v>
      </c>
      <c r="AT30" s="27">
        <f t="shared" si="9"/>
        <v>1</v>
      </c>
      <c r="AU30" s="29">
        <f t="shared" si="9"/>
        <v>1</v>
      </c>
    </row>
    <row r="31" spans="1:47">
      <c r="A31" s="13">
        <v>29</v>
      </c>
      <c r="B31" s="16">
        <f>_xlfn.MAXIFS('Model output'!B:B,'Model output'!Z:Z,'Classification result'!$A31)</f>
        <v>45271</v>
      </c>
      <c r="C31" s="17">
        <f>_xlfn.MAXIFS('Model output'!C:C,'Model output'!Z:Z,'Classification result'!$A31)</f>
        <v>63</v>
      </c>
      <c r="D31" s="17" t="str" cm="1">
        <f t="array" ref="D31">LEFT(IF(ISERROR(RIGHT(IF(INDEX(_xlfn._xlws.FILTER('Model output'!D:D,('Model output'!Z:Z=A31)),1)&lt;&gt;"",INDEX(_xlfn._xlws.FILTER('Model output'!D:D,('Model output'!Z:Z=A31)),1),""),LEN(IF(INDEX(_xlfn._xlws.FILTER('Model output'!D:D,('Model output'!Z:Z=A31)),1)&lt;&gt;"",INDEX(_xlfn._xlws.FILTER('Model output'!D:D,('Model output'!Z:Z=A31)),1),""))-FIND("T",IF(INDEX(_xlfn._xlws.FILTER('Model output'!D:D,('Model output'!Z:Z=A31)),1)&lt;&gt;"",INDEX(_xlfn._xlws.FILTER('Model output'!D:D,('Model output'!Z:Z=A31)),1),""),1))),"",(RIGHT(IF(INDEX(_xlfn._xlws.FILTER('Model output'!D:D,('Model output'!Z:Z=A31)),1)&lt;&gt;"",INDEX(_xlfn._xlws.FILTER('Model output'!D:D,('Model output'!Z:Z=A31)),1),""),LEN(IF(INDEX(_xlfn._xlws.FILTER('Model output'!D:D,('Model output'!Z:Z=A31)),1)&lt;&gt;"",INDEX(_xlfn._xlws.FILTER('Model output'!D:D,('Model output'!Z:Z=A31)),1),""))-FIND("T",IF(INDEX(_xlfn._xlws.FILTER('Model output'!D:D,('Model output'!Z:Z=A31)),1)&lt;&gt;"",INDEX(_xlfn._xlws.FILTER('Model output'!D:D,('Model output'!Z:Z=A31)),1)))))),2)</f>
        <v>1a</v>
      </c>
      <c r="E31" s="17" t="str" cm="1">
        <f t="array" ref="E31">IF(ISNUMBER(SEARCH("N",IF(ISNUMBER(SEARCH("present",IF(INDEX(_xlfn._xlws.FILTER('Model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output'!Z:Z=A31)),1))),1)),RIGHT(IF(ISNUMBER(SEARCH("present",IF(INDEX(_xlfn._xlws.FILTER('Model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output'!Z:Z=A31)),1))),LEN(IF(ISNUMBER(SEARCH("present",IF(INDEX(_xlfn._xlws.FILTER('Model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output'!Z:Z=A31)),1))))-FIND("N",IF(ISNUMBER(SEARCH("present",IF(INDEX(_xlfn._xlws.FILTER('Model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output'!Z:Z=A31)),1))),1)), "")</f>
        <v/>
      </c>
      <c r="F31" s="17" cm="1">
        <f t="array" ref="F31">IF(AND(SUBSTITUTE(_xlfn.TEXTJOIN("/", TRUE, _xlfn._xlws.FILTER('Model output'!F:F, 'Model output'!Z:Z=A31)),"M", "")="", I31="negative"),0,IF(I31="positive",1,0))</f>
        <v>0</v>
      </c>
      <c r="G31" t="str">
        <f t="shared" si="0"/>
        <v/>
      </c>
      <c r="H31" t="str" cm="1">
        <f t="array" ref="H31">IF(AND(K31&gt;0, _xlfn.TEXTJOIN("; ", TRUE, _xlfn._xlws.FILTER('Model output'!G:G, 'Model output'!Z:Z=A31)) &lt;&gt;"", OR(AND(ISNUMBER(SEARCH("level", _xlfn.TEXTJOIN("; ", TRUE, _xlfn._xlws.FILTER('Model output'!G:G, 'Model output'!Z:Z=A31)),1)),OR(ISNUMBER(SEARCH(" II", _xlfn.TEXTJOIN("; ", TRUE, _xlfn._xlws.FILTER('Model output'!G:G, 'Model output'!Z:Z=A31)),1)),ISNUMBER(SEARCH("2", _xlfn.TEXTJOIN("; ", TRUE, _xlfn._xlws.FILTER('Model output'!G:G, 'Model output'!Z:Z=A31)),1)),ISNUMBER(SEARCH("two", _xlfn.TEXTJOIN("; ", TRUE, _xlfn._xlws.FILTER('Model output'!G:G, 'Model output'!Z:Z=A31)),1)),ISNUMBER(SEARCH("III", _xlfn.TEXTJOIN("; ", TRUE, _xlfn._xlws.FILTER('Model output'!G:G, 'Model output'!Z:Z=A31)),1)),ISNUMBER(SEARCH("3", _xlfn.TEXTJOIN("; ", TRUE, _xlfn._xlws.FILTER('Model output'!G:G, 'Model output'!Z:Z=A31)),1)),ISNUMBER(SEARCH("three", _xlfn.TEXTJOIN("; ", TRUE, _xlfn._xlws.FILTER('Model output'!G:G, 'Model output'!Z:Z=A31)),1)),ISNUMBER(SEARCH("IV", _xlfn.TEXTJOIN("; ", TRUE, _xlfn._xlws.FILTER('Model output'!G:G, 'Model output'!Z:Z=A31)),1)),ISNUMBER(SEARCH("4", _xlfn.TEXTJOIN("; ", TRUE, _xlfn._xlws.FILTER('Model output'!G:G, 'Model output'!Z:Z=A31)),1)),ISNUMBER(SEARCH("five", _xlfn.TEXTJOIN("; ", TRUE, _xlfn._xlws.FILTER('Model output'!G:G, 'Model output'!Z:Z=A31)),1)),ISNUMBER(SEARCH("V ", _xlfn.TEXTJOIN("; ", TRUE, _xlfn._xlws.FILTER('Model output'!G:G, 'Model output'!Z:Z=A31)),1)),ISNUMBER(SEARCH("5", _xlfn.TEXTJOIN("; ", TRUE, _xlfn._xlws.FILTER('Model output'!G:G, 'Model output'!Z:Z=A31)),1)),ISNUMBER(SEARCH("five", _xlfn.TEXTJOIN("; ", TRUE, _xlfn._xlws.FILTER('Model output'!G:G, 'Model output'!Z:Z=A31)),1)),ISNUMBER(SEARCH(" lateral", _xlfn.TEXTJOIN("; ", TRUE, _xlfn._xlws.FILTER('Model output'!G:G, 'Model output'!Z:Z=A31)),1)))),ISNUMBER(SEARCH("cervical", _xlfn.TEXTJOIN("; ", TRUE, _xlfn._xlws.FILTER('Model output'!G:G, 'Model output'!Z:Z=A31)),1)),ISNUMBER(SEARCH("jugular", _xlfn.TEXTJOIN("; ", TRUE, _xlfn._xlws.FILTER('Model output'!G:G, 'Model output'!Z:Z=A31)),1)),ISNUMBER(SEARCH("left neck", _xlfn.TEXTJOIN("; ", TRUE, _xlfn._xlws.FILTER('Model output'!G:G, 'Model output'!Z:Z=A31)),1)),ISNUMBER(SEARCH("left anterior neck", _xlfn.TEXTJOIN("; ", TRUE, _xlfn._xlws.FILTER('Model output'!G:G, 'Model output'!Z:Z=A31)),1)),ISNUMBER(SEARCH("left posterior neck", _xlfn.TEXTJOIN("; ", TRUE, _xlfn._xlws.FILTER('Model output'!G:G, 'Model output'!Z:Z=A31)),1)),ISNUMBER(SEARCH("right neck", _xlfn.TEXTJOIN("; ", TRUE, _xlfn._xlws.FILTER('Model output'!G:G, 'Model output'!Z:Z=A31)),1)),ISNUMBER(SEARCH("right anterior neck", _xlfn.TEXTJOIN("; ", TRUE, _xlfn._xlws.FILTER('Model output'!G:G, 'Model output'!Z:Z=A31)),1)),ISNUMBER(SEARCH("right posterior neck", _xlfn.TEXTJOIN("; ", TRUE, _xlfn._xlws.FILTER('Model output'!G:G, 'Model output'!Z:Z=A31)),1)))),"lateral",IF(AND(K31=0, _xlfn.TEXTJOIN("; ", TRUE, _xlfn._xlws.FILTER('Model output'!G:G, 'Model output'!Z:Z=A31))=""),"", "central"))</f>
        <v/>
      </c>
      <c r="I31" s="17" t="str" cm="1">
        <f t="array" ref="I31">IF(OR(ISNUMBER(SEARCH("lymph",_xlfn.TEXTJOIN("; ", TRUE, _xlfn._xlws.FILTER('Model output'!H:H, 'Model output'!Z:Z=A31)),1)), ISNUMBER(SEARCH("Not mentioned",_xlfn.TEXTJOIN("; ", TRUE, _xlfn._xlws.FILTER('Model output'!H:H, 'Model output'!Z:Z=A31)),1)),ISNUMBER(SEARCH("subcutaneous soft tissues",_xlfn.TEXTJOIN("; ", TRUE, _xlfn._xlws.FILTER('Model output'!H:H, 'Model output'!Z:Z=A31)),1)),ISNUMBER(SEARCH("larynx",_xlfn.TEXTJOIN("; ", TRUE, _xlfn._xlws.FILTER('Model output'!H:H, 'Model output'!Z:Z=A31)),1)),ISNUMBER(SEARCH("trachea",_xlfn.TEXTJOIN("; ", TRUE, _xlfn._xlws.FILTER('Model output'!H:H, 'Model output'!Z:Z=A31)),1)),ISNUMBER(SEARCH("esophagus",_xlfn.TEXTJOIN("; ", TRUE, _xlfn._xlws.FILTER('Model output'!H:H, 'Model output'!Z:Z=A31)),1)),ISNUMBER(SEARCH("recurrent laryngeal nerve",_xlfn.TEXTJOIN("; ", TRUE, _xlfn._xlws.FILTER('Model output'!H:H, 'Model output'!Z:Z=A31)),1)),ISNUMBER(SEARCH("RLN",_xlfn.TEXTJOIN("; ", TRUE, _xlfn._xlws.FILTER('Model output'!H:H, 'Model output'!Z:Z=A31)),1)),_xlfn.TEXTJOIN("; ", TRUE, _xlfn._xlws.FILTER('Model output'!H:H, 'Model output'!Z:Z=A31))=""),"negative","positive")</f>
        <v>negative</v>
      </c>
      <c r="J31" s="17">
        <f>IF(IFERROR(INDEX('Model output'!I:I, MATCH(A31, 'Model output'!Z:Z, 0)), "") &lt; K31, "", IFERROR(INDEX('Model output'!I:I, MATCH(A31, 'Model output'!Z:Z, 0)), ""))</f>
        <v>0</v>
      </c>
      <c r="K31" s="17">
        <f>IFERROR(INDEX('Model output'!J:J, MATCH(A31, 'Model output'!Z:Z, 0)), "")</f>
        <v>0</v>
      </c>
      <c r="L31" s="18" t="str" cm="1">
        <f t="array" ref="L31">ReplaceTo(ReplaceAnd(SUBSTITUTE(SUBSTITUTE(_xlfn.TEXTJOIN("; ", TRUE, _xlfn._xlws.FILTER('Model output'!K:K, 'Model output'!Z:Z=A31)), " ", ""), ",", ";")))</f>
        <v/>
      </c>
      <c r="M31" t="str" cm="1">
        <f t="array" ref="M31">IF(LEFT(IF(RIGHT(SUBSTITUTE(FilterWithUnits(L31)&amp; ";" &amp;FilterStringsWithNumericAnd(L31) &amp; ";" &amp; FilterStringsWithX(L31), ";;", ";"),1)=";",LEFT(SUBSTITUTE(FilterWithUnits(L31)&amp; ";" &amp;FilterStringsWithNumericAnd(L31) &amp; ";" &amp; FilterStringsWithX(L31), ";;", ";"),LEN(SUBSTITUTE(FilterWithUnits(L31)&amp; ";" &amp;FilterStringsWithNumericAnd(L31) &amp; ";" &amp; FilterStringsWithX(L31), ";;", ";"))-1),SUBSTITUTE(FilterWithUnits(L31)&amp; ";" &amp;FilterStringsWithNumericAnd(L31) &amp; ";" &amp; FilterStringsWithX(L31), ";;", ";")),1)=";",RIGHT(IF(RIGHT(SUBSTITUTE(FilterWithUnits(L31)&amp; ";" &amp;FilterStringsWithNumericAnd(L31) &amp; ";" &amp; FilterStringsWithX(L31), ";;", ";"),1)=";",LEFT(SUBSTITUTE(FilterWithUnits(L31)&amp; ";" &amp;FilterStringsWithNumericAnd(L31) &amp; ";" &amp; FilterStringsWithX(L31), ";;", ";"),LEN(SUBSTITUTE(FilterWithUnits(L31)&amp; ";" &amp;FilterStringsWithNumericAnd(L31) &amp; ";" &amp; FilterStringsWithX(L31), ";;", ";"))-1),SUBSTITUTE(FilterWithUnits(L31)&amp; ";" &amp;FilterStringsWithNumericAnd(L31) &amp; ";" &amp; FilterStringsWithX(L31), ";;", ";")),LEN(IF(RIGHT(SUBSTITUTE(FilterWithUnits(L31)&amp; ";" &amp;FilterStringsWithNumericAnd(L31) &amp; ";" &amp; FilterStringsWithX(L31), ";;", ";"),1)=";",LEFT(SUBSTITUTE(FilterWithUnits(L31)&amp; ";" &amp;FilterStringsWithNumericAnd(L31) &amp; ";" &amp; FilterStringsWithX(L31), ";;", ";"),LEN(SUBSTITUTE(FilterWithUnits(L31)&amp; ";" &amp;FilterStringsWithNumericAnd(L31) &amp; ";" &amp; FilterStringsWithX(L31), ";;", ";"))-1),SUBSTITUTE(FilterWithUnits(L31)&amp; ";" &amp;FilterStringsWithNumericAnd(L31) &amp; ";" &amp; FilterStringsWithX(L31), ";;", ";")))-1),IF(RIGHT(SUBSTITUTE(FilterWithUnits(L31)&amp; ";" &amp;FilterStringsWithNumericAnd(L31) &amp; ";" &amp; FilterStringsWithX(L31), ";;", ";"),1)=";",LEFT(SUBSTITUTE(FilterWithUnits(L31)&amp; ";" &amp;FilterStringsWithNumericAnd(L31) &amp; ";" &amp; FilterStringsWithX(L31), ";;", ";"),LEN(SUBSTITUTE(FilterWithUnits(L31)&amp; ";" &amp;FilterStringsWithNumericAnd(L31) &amp; ";" &amp; FilterStringsWithX(L31), ";;", ";"))-1),SUBSTITUTE(FilterWithUnits(L31)&amp; ";" &amp;FilterStringsWithNumericAnd(L31) &amp; ";" &amp; FilterStringsWithX(L31), ";;", ";")))</f>
        <v/>
      </c>
      <c r="N31" t="str" cm="1">
        <f t="array" ref="N31">IF(MaxSize((SplitDimensions(M31)))=0, "", MaxSize((SplitDimensions(M31))))</f>
        <v/>
      </c>
      <c r="O31" t="str" cm="1">
        <f t="array" ref="O31">IF(ISERROR(INDEX(_xlfn._xlws.FILTER('Model output'!L:L, ('Model output'!Z:Z=A31)*('Model output'!L:L&lt;&gt;"")), 1)), " ", LOWER(INDEX(_xlfn._xlws.FILTER('Model output'!L:L, ('Model output'!Z:Z=A31)*('Model output'!L:L&lt;&gt;"")), 1)))</f>
        <v>papillary</v>
      </c>
      <c r="P31" t="str" cm="1">
        <f t="array" ref="P31">IF(ISERROR(INDEX(_xlfn._xlws.FILTER('Model output'!M:M, ('Model output'!Z:Z=A31)*('Model output'!M:M&lt;&gt;"")), 1)), " ", LOWER(INDEX(_xlfn._xlws.FILTER('Model output'!M:M, ('Model output'!Z:Z=A31)*('Model output'!M:M&lt;&gt;"")), 1)))</f>
        <v>classic</v>
      </c>
      <c r="Q31" t="str" cm="1">
        <f t="array" ref="Q31">IF(OR(ISNUMBER(SEARCH("ly",SUBSTITUTE(INDEX(_xlfn._xlws.FILTER('Model output'!N:N,('Model output'!Z:Z=A31)*('Model output'!N:N&lt;&gt;"")),1)," ",""),1)), ISNUMBER(SEARCH("pole",SUBSTITUTE(INDEX(_xlfn._xlws.FILTER('Model output'!N:N,('Model output'!Z:Z=A31)*('Model output'!N:N&lt;&gt;"")),1)," ",""),1))),"",SUBSTITUTE(INDEX(_xlfn._xlws.FILTER('Model output'!N:N,('Model output'!Z:Z=A31)*('Model output'!N:N&lt;&gt;"")),1)," ",""))</f>
        <v>7mm</v>
      </c>
      <c r="R31" t="str" cm="1">
        <f t="array" ref="R31">IF(LEFT(IF(RIGHT(SUBSTITUTE(FilterWithUnits(Q31)&amp; ";" &amp;FilterStringsWithNumericAnd(Q31) &amp; ";" &amp; FilterStringsWithX(Q31), ";;", ";"),1)=";",LEFT(SUBSTITUTE(FilterWithUnits(Q31)&amp; ";" &amp;FilterStringsWithNumericAnd(Q31) &amp; ";" &amp; FilterStringsWithX(Q31), ";;", ";"),LEN(SUBSTITUTE(FilterWithUnits(Q31)&amp; ";" &amp;FilterStringsWithNumericAnd(Q31) &amp; ";" &amp; FilterStringsWithX(Q31), ";;", ";"))-1),SUBSTITUTE(FilterWithUnits(Q31)&amp; ";" &amp;FilterStringsWithNumericAnd(Q31) &amp; ";" &amp; FilterStringsWithX(Q31), ";;", ";")),1)=";",RIGHT(IF(RIGHT(SUBSTITUTE(FilterWithUnits(Q31)&amp; ";" &amp;FilterStringsWithNumericAnd(Q31) &amp; ";" &amp; FilterStringsWithX(Q31), ";;", ";"),1)=";",LEFT(SUBSTITUTE(FilterWithUnits(Q31)&amp; ";" &amp;FilterStringsWithNumericAnd(Q31) &amp; ";" &amp; FilterStringsWithX(Q31), ";;", ";"),LEN(SUBSTITUTE(FilterWithUnits(Q31)&amp; ";" &amp;FilterStringsWithNumericAnd(Q31) &amp; ";" &amp; FilterStringsWithX(Q31), ";;", ";"))-1),SUBSTITUTE(FilterWithUnits(Q31)&amp; ";" &amp;FilterStringsWithNumericAnd(Q31) &amp; ";" &amp; FilterStringsWithX(Q31), ";;", ";")),LEN(IF(RIGHT(SUBSTITUTE(FilterWithUnits(Q31)&amp; ";" &amp;FilterStringsWithNumericAnd(Q31) &amp; ";" &amp; FilterStringsWithX(Q31), ";;", ";"),1)=";",LEFT(SUBSTITUTE(FilterWithUnits(Q31)&amp; ";" &amp;FilterStringsWithNumericAnd(Q31) &amp; ";" &amp; FilterStringsWithX(Q31), ";;", ";"),LEN(SUBSTITUTE(FilterWithUnits(Q31)&amp; ";" &amp;FilterStringsWithNumericAnd(Q31) &amp; ";" &amp; FilterStringsWithX(Q31), ";;", ";"))-1),SUBSTITUTE(FilterWithUnits(Q31)&amp; ";" &amp;FilterStringsWithNumericAnd(Q31) &amp; ";" &amp; FilterStringsWithX(Q31), ";;", ";")))-1),IF(RIGHT(SUBSTITUTE(FilterWithUnits(Q31)&amp; ";" &amp;FilterStringsWithNumericAnd(Q31) &amp; ";" &amp; FilterStringsWithX(Q31), ";;", ";"),1)=";",LEFT(SUBSTITUTE(FilterWithUnits(Q31)&amp; ";" &amp;FilterStringsWithNumericAnd(Q31) &amp; ";" &amp; FilterStringsWithX(Q31), ";;", ";"),LEN(SUBSTITUTE(FilterWithUnits(Q31)&amp; ";" &amp;FilterStringsWithNumericAnd(Q31) &amp; ";" &amp; FilterStringsWithX(Q31), ";;", ";"))-1),SUBSTITUTE(FilterWithUnits(Q31)&amp; ";" &amp;FilterStringsWithNumericAnd(Q31) &amp; ";" &amp; FilterStringsWithX(Q31), ";;", ";")))</f>
        <v>7mm</v>
      </c>
      <c r="S31" cm="1">
        <f t="array" ref="S31">IF(MaxSize((SplitDimensions(R31)))=0, "", MaxSize((SplitDimensions(R31))))</f>
        <v>0.7</v>
      </c>
      <c r="T31" s="17" t="str" cm="1">
        <f t="array" ref="T31">IF(ISERROR(INDEX(_xlfn._xlws.FILTER('Model output'!P:P,('Model output'!Z:Z=A31)*('Model output'!P:P&lt;&gt;"")),1)),"negative",IF(OR(ISNUMBER(SEARCH("foc",INDEX(_xlfn._xlws.FILTER('Model output'!P:P,('Model output'!Z:Z=A31)*('Model output'!P:P&lt;&gt;"")),1),1)),ISNUMBER(SEARCH("extensive",INDEX(_xlfn._xlws.FILTER('Model output'!P:P,('Model output'!Z:Z=A31)*('Model output'!P:P&lt;&gt;"")),1),1)),ISNUMBER(SEARCH("present",INDEX(_xlfn._xlws.FILTER('Model output'!P:P,('Model output'!Z:Z=A31)*('Model output'!P:P&lt;&gt;"")),1),1)),ISNUMBER(SEARCH("yes",INDEX(_xlfn._xlws.FILTER('Model output'!P:P,('Model output'!Z:Z=A31)*('Model output'!P:P&lt;&gt;"")),1),1))),"positive","negative"))</f>
        <v>negative</v>
      </c>
      <c r="V31" t="str" cm="1">
        <f t="array" ref="V31">IF(ISNUMBER(SEARCH("4",INDEX(_xlfn._xlws.FILTER('Model output'!P:P,('Model output'!Z:Z=A31)*('Model output'!P:P&lt;&gt;"")),1),1)),INDEX(_xlfn._xlws.FILTER('Model output'!P:P,('Model output'!Z:Z=A31)*('Model output'!P:P&lt;&gt;"")),1),"") &amp; _xlfn.TEXTJOIN("",TRUE,_xlfn._xlws.FILTER('Model output'!Q:Q,'Model output'!Z:Z=A31))</f>
        <v/>
      </c>
      <c r="W31" t="str">
        <f t="shared" si="2"/>
        <v>no</v>
      </c>
      <c r="X31" t="str" cm="1">
        <f t="array" ref="X31">IF(OR(ISNUMBER(SEARCH("focal",_xlfn.TEXTJOIN("; ",TRUE,_xlfn._xlws.FILTER('Model output'!R:R,'Model output'!Z:Z=A31)),1)),ISNUMBER(SEARCH("present",_xlfn.TEXTJOIN("; ",TRUE,_xlfn._xlws.FILTER('Model output'!R:R,'Model output'!Z:Z=A31)),1))),"positive",IF(_xlfn.TEXTJOIN("; ",TRUE,_xlfn._xlws.FILTER('Model output'!R:R,'Model output'!Z:Z=A31))="","negative",IF(OR(ISNUMBER(SEARCH("no",_xlfn.TEXTJOIN("; ",TRUE,_xlfn._xlws.FILTER('Model output'!R:R,'Model output'!Z:Z=A31)),1)),ISNUMBER(SEARCH("absent",_xlfn.TEXTJOIN("; ",TRUE,_xlfn._xlws.FILTER('Model output'!R:R,'Model output'!Z:Z=A31)),1))),"negative","positive")))</f>
        <v>negative</v>
      </c>
      <c r="Y31" s="17" t="str">
        <f t="shared" si="3"/>
        <v>negative</v>
      </c>
      <c r="AC31" s="17" t="str">
        <f t="shared" si="4"/>
        <v>negative</v>
      </c>
      <c r="AD31" t="str" cm="1">
        <f t="array" ref="AD31">_xlfn.TEXTJOIN("; ",TRUE,_xlfn._xlws.FILTER('Model output'!S:S,'Model output'!Z:Z=A31))</f>
        <v/>
      </c>
      <c r="AE31" s="17" t="str" cm="1">
        <f t="array" ref="AE31">IF(OR(ISNUMBER(SEARCH("uninvolved",_xlfn.TEXTJOIN("; ",TRUE,_xlfn._xlws.FILTER('Model output'!V:V,'Model output'!Z:Z=A31)),1)),ISNUMBER(SEARCH("clear",_xlfn.TEXTJOIN("; ",TRUE,_xlfn._xlws.FILTER('Model output'!V:V,'Model output'!Z:Z=A31)),1))*ISNUMBER(SEARCH("not mentioned",_xlfn.TEXTJOIN("; ",TRUE,_xlfn._xlws.FILTER('Model output'!V:V,'Model output'!Z:Z=A31)),1))),"negative",IF(ISNUMBER(SEARCH("cannot be assessed",_xlfn.TEXTJOIN("; ",TRUE,_xlfn._xlws.FILTER('Model output'!V:V,'Model output'!Z:Z=A31)),1)),"unknown","negative"))</f>
        <v>negative</v>
      </c>
      <c r="AG31" s="43" t="str">
        <f>IF(OR(ISNUMBER(SEARCH("non-invasive follicular",O31,1)), ISNUMBER(SEARCH("papillary-like nuclear features",P31,1)), ISNUMBER(SEARCH("non-invasive follicular",P31,1)),ISNUMBER(SEARCH("papillary-like nuclear features",P31,1))),"NIFTP", IF(OR(I31="positive",AC31="positive",AND(OR(ISNUMBER(SEARCH("follicular", O31)),ISNUMBER(SEARCH("FTC", O31))),W31="extensive"),AND(G31="positive",ISNUMBER(N31),N31&gt;3),AI31=1),"high",IF(OR(ISNUMBER(SEARCH("positive",Y31,1)),ISNUMBER(SEARCH("tall",P31,1)),ISNUMBER(SEARCH("hobnail",P31,1)),ISNUMBER(SEARCH("cribriform",P31,1)),ISNUMBER(SEARCH("diffuse",P31,1)),ISNUMBER(SEARCH("columnar",P31,1)),ISNUMBER(SEARCH("solid",P31,1)),ISNUMBER(SEARCH("tall",O31,1)),ISNUMBER(SEARCH("hobnail",O31,1)),ISNUMBER(SEARCH("cribriform",O31,1)),ISNUMBER(SEARCH("diffuse",O31,1)),ISNUMBER(SEARCH("columnar",O31,1)),ISNUMBER(SEARCH("solid",O31,1)),AND(OR(ISNUMBER(SEARCH("papillary carcinoma",O31,1)),ISNUMBER(SEARCH("papillary microcarcinoma",O31,1))),T31="positive"),,AND(AND(ISNUMBER(K31),K31&gt;=5),N31=""),AND(AND(ISNUMBER(K31),K31&gt;=5),AND(ISNUMBER(N31),N31&gt;=1)),H31="lateral"),"intermediate","low")))</f>
        <v>low</v>
      </c>
      <c r="AH31" s="44" t="str">
        <f t="shared" si="12"/>
        <v>1a</v>
      </c>
      <c r="AI31" s="56" t="str">
        <f t="shared" si="5"/>
        <v>x</v>
      </c>
      <c r="AJ31" s="56">
        <f t="shared" si="6"/>
        <v>0</v>
      </c>
      <c r="AK31" s="57" t="str">
        <f t="shared" si="7"/>
        <v>I</v>
      </c>
      <c r="AL31" s="45" t="s">
        <v>169</v>
      </c>
      <c r="AM31" s="46" t="s">
        <v>198</v>
      </c>
      <c r="AN31" s="46" t="s">
        <v>197</v>
      </c>
      <c r="AO31" s="46">
        <v>0</v>
      </c>
      <c r="AP31" s="46" t="s">
        <v>31</v>
      </c>
      <c r="AQ31" s="10">
        <f>IF(AL31=AG31,1,0)</f>
        <v>1</v>
      </c>
      <c r="AR31" s="27">
        <f>IF(AM31=AH31,1,0)</f>
        <v>1</v>
      </c>
      <c r="AS31" s="27">
        <f t="shared" si="8"/>
        <v>1</v>
      </c>
      <c r="AT31" s="27">
        <f t="shared" si="9"/>
        <v>1</v>
      </c>
      <c r="AU31" s="29">
        <f t="shared" si="9"/>
        <v>1</v>
      </c>
    </row>
    <row r="32" spans="1:47">
      <c r="A32" s="13">
        <v>30</v>
      </c>
      <c r="B32" s="16">
        <f>_xlfn.MAXIFS('Model output'!B:B,'Model output'!Z:Z,'Classification result'!$A32)</f>
        <v>45287</v>
      </c>
      <c r="C32" s="17">
        <f>_xlfn.MAXIFS('Model output'!C:C,'Model output'!Z:Z,'Classification result'!$A32)</f>
        <v>39</v>
      </c>
      <c r="D32" s="17" t="str" cm="1">
        <f t="array" ref="D32">LEFT(IF(ISERROR(RIGHT(IF(INDEX(_xlfn._xlws.FILTER('Model output'!D:D,('Model output'!Z:Z=A32)),1)&lt;&gt;"",INDEX(_xlfn._xlws.FILTER('Model output'!D:D,('Model output'!Z:Z=A32)),1),""),LEN(IF(INDEX(_xlfn._xlws.FILTER('Model output'!D:D,('Model output'!Z:Z=A32)),1)&lt;&gt;"",INDEX(_xlfn._xlws.FILTER('Model output'!D:D,('Model output'!Z:Z=A32)),1),""))-FIND("T",IF(INDEX(_xlfn._xlws.FILTER('Model output'!D:D,('Model output'!Z:Z=A32)),1)&lt;&gt;"",INDEX(_xlfn._xlws.FILTER('Model output'!D:D,('Model output'!Z:Z=A32)),1),""),1))),"",(RIGHT(IF(INDEX(_xlfn._xlws.FILTER('Model output'!D:D,('Model output'!Z:Z=A32)),1)&lt;&gt;"",INDEX(_xlfn._xlws.FILTER('Model output'!D:D,('Model output'!Z:Z=A32)),1),""),LEN(IF(INDEX(_xlfn._xlws.FILTER('Model output'!D:D,('Model output'!Z:Z=A32)),1)&lt;&gt;"",INDEX(_xlfn._xlws.FILTER('Model output'!D:D,('Model output'!Z:Z=A32)),1),""))-FIND("T",IF(INDEX(_xlfn._xlws.FILTER('Model output'!D:D,('Model output'!Z:Z=A32)),1)&lt;&gt;"",INDEX(_xlfn._xlws.FILTER('Model output'!D:D,('Model output'!Z:Z=A32)),1)))))),2)</f>
        <v>1b</v>
      </c>
      <c r="E32" s="17" t="str" cm="1">
        <f t="array" ref="E32">IF(ISNUMBER(SEARCH("N",IF(ISNUMBER(SEARCH("present",IF(INDEX(_xlfn._xlws.FILTER('Model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output'!Z:Z=A32)),1))),1)),RIGHT(IF(ISNUMBER(SEARCH("present",IF(INDEX(_xlfn._xlws.FILTER('Model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output'!Z:Z=A32)),1))),LEN(IF(ISNUMBER(SEARCH("present",IF(INDEX(_xlfn._xlws.FILTER('Model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output'!Z:Z=A32)),1))))-FIND("N",IF(ISNUMBER(SEARCH("present",IF(INDEX(_xlfn._xlws.FILTER('Model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output'!Z:Z=A32)),1))),1)), "")</f>
        <v>1</v>
      </c>
      <c r="F32" s="17" cm="1">
        <f t="array" ref="F32">IF(AND(SUBSTITUTE(_xlfn.TEXTJOIN("/", TRUE, _xlfn._xlws.FILTER('Model output'!F:F, 'Model output'!Z:Z=A32)),"M", "")="", I32="negative"),0,IF(I32="positive",1,0))</f>
        <v>0</v>
      </c>
      <c r="G32" t="str">
        <f t="shared" si="0"/>
        <v>positive</v>
      </c>
      <c r="H32" t="str" cm="1">
        <f t="array" ref="H32">IF(AND(K32&gt;0, _xlfn.TEXTJOIN("; ", TRUE, _xlfn._xlws.FILTER('Model output'!G:G, 'Model output'!Z:Z=A32)) &lt;&gt;"", OR(AND(ISNUMBER(SEARCH("level", _xlfn.TEXTJOIN("; ", TRUE, _xlfn._xlws.FILTER('Model output'!G:G, 'Model output'!Z:Z=A32)),1)),OR(ISNUMBER(SEARCH(" II", _xlfn.TEXTJOIN("; ", TRUE, _xlfn._xlws.FILTER('Model output'!G:G, 'Model output'!Z:Z=A32)),1)),ISNUMBER(SEARCH("2", _xlfn.TEXTJOIN("; ", TRUE, _xlfn._xlws.FILTER('Model output'!G:G, 'Model output'!Z:Z=A32)),1)),ISNUMBER(SEARCH("two", _xlfn.TEXTJOIN("; ", TRUE, _xlfn._xlws.FILTER('Model output'!G:G, 'Model output'!Z:Z=A32)),1)),ISNUMBER(SEARCH("III", _xlfn.TEXTJOIN("; ", TRUE, _xlfn._xlws.FILTER('Model output'!G:G, 'Model output'!Z:Z=A32)),1)),ISNUMBER(SEARCH("3", _xlfn.TEXTJOIN("; ", TRUE, _xlfn._xlws.FILTER('Model output'!G:G, 'Model output'!Z:Z=A32)),1)),ISNUMBER(SEARCH("three", _xlfn.TEXTJOIN("; ", TRUE, _xlfn._xlws.FILTER('Model output'!G:G, 'Model output'!Z:Z=A32)),1)),ISNUMBER(SEARCH("IV", _xlfn.TEXTJOIN("; ", TRUE, _xlfn._xlws.FILTER('Model output'!G:G, 'Model output'!Z:Z=A32)),1)),ISNUMBER(SEARCH("4", _xlfn.TEXTJOIN("; ", TRUE, _xlfn._xlws.FILTER('Model output'!G:G, 'Model output'!Z:Z=A32)),1)),ISNUMBER(SEARCH("five", _xlfn.TEXTJOIN("; ", TRUE, _xlfn._xlws.FILTER('Model output'!G:G, 'Model output'!Z:Z=A32)),1)),ISNUMBER(SEARCH("V ", _xlfn.TEXTJOIN("; ", TRUE, _xlfn._xlws.FILTER('Model output'!G:G, 'Model output'!Z:Z=A32)),1)),ISNUMBER(SEARCH("5", _xlfn.TEXTJOIN("; ", TRUE, _xlfn._xlws.FILTER('Model output'!G:G, 'Model output'!Z:Z=A32)),1)),ISNUMBER(SEARCH("five", _xlfn.TEXTJOIN("; ", TRUE, _xlfn._xlws.FILTER('Model output'!G:G, 'Model output'!Z:Z=A32)),1)),ISNUMBER(SEARCH(" lateral", _xlfn.TEXTJOIN("; ", TRUE, _xlfn._xlws.FILTER('Model output'!G:G, 'Model output'!Z:Z=A32)),1)))),ISNUMBER(SEARCH("cervical", _xlfn.TEXTJOIN("; ", TRUE, _xlfn._xlws.FILTER('Model output'!G:G, 'Model output'!Z:Z=A32)),1)),ISNUMBER(SEARCH("jugular", _xlfn.TEXTJOIN("; ", TRUE, _xlfn._xlws.FILTER('Model output'!G:G, 'Model output'!Z:Z=A32)),1)),ISNUMBER(SEARCH("left neck", _xlfn.TEXTJOIN("; ", TRUE, _xlfn._xlws.FILTER('Model output'!G:G, 'Model output'!Z:Z=A32)),1)),ISNUMBER(SEARCH("left anterior neck", _xlfn.TEXTJOIN("; ", TRUE, _xlfn._xlws.FILTER('Model output'!G:G, 'Model output'!Z:Z=A32)),1)),ISNUMBER(SEARCH("left posterior neck", _xlfn.TEXTJOIN("; ", TRUE, _xlfn._xlws.FILTER('Model output'!G:G, 'Model output'!Z:Z=A32)),1)),ISNUMBER(SEARCH("right neck", _xlfn.TEXTJOIN("; ", TRUE, _xlfn._xlws.FILTER('Model output'!G:G, 'Model output'!Z:Z=A32)),1)),ISNUMBER(SEARCH("right anterior neck", _xlfn.TEXTJOIN("; ", TRUE, _xlfn._xlws.FILTER('Model output'!G:G, 'Model output'!Z:Z=A32)),1)),ISNUMBER(SEARCH("right posterior neck", _xlfn.TEXTJOIN("; ", TRUE, _xlfn._xlws.FILTER('Model output'!G:G, 'Model output'!Z:Z=A32)),1)))),"lateral",IF(AND(K32=0, _xlfn.TEXTJOIN("; ", TRUE, _xlfn._xlws.FILTER('Model output'!G:G, 'Model output'!Z:Z=A32))=""),"", "central"))</f>
        <v>lateral</v>
      </c>
      <c r="I32" s="17" t="str" cm="1">
        <f t="array" ref="I32">IF(OR(ISNUMBER(SEARCH("lymph",_xlfn.TEXTJOIN("; ", TRUE, _xlfn._xlws.FILTER('Model output'!H:H, 'Model output'!Z:Z=A32)),1)), ISNUMBER(SEARCH("Not mentioned",_xlfn.TEXTJOIN("; ", TRUE, _xlfn._xlws.FILTER('Model output'!H:H, 'Model output'!Z:Z=A32)),1)),ISNUMBER(SEARCH("subcutaneous soft tissues",_xlfn.TEXTJOIN("; ", TRUE, _xlfn._xlws.FILTER('Model output'!H:H, 'Model output'!Z:Z=A32)),1)),ISNUMBER(SEARCH("larynx",_xlfn.TEXTJOIN("; ", TRUE, _xlfn._xlws.FILTER('Model output'!H:H, 'Model output'!Z:Z=A32)),1)),ISNUMBER(SEARCH("trachea",_xlfn.TEXTJOIN("; ", TRUE, _xlfn._xlws.FILTER('Model output'!H:H, 'Model output'!Z:Z=A32)),1)),ISNUMBER(SEARCH("esophagus",_xlfn.TEXTJOIN("; ", TRUE, _xlfn._xlws.FILTER('Model output'!H:H, 'Model output'!Z:Z=A32)),1)),ISNUMBER(SEARCH("recurrent laryngeal nerve",_xlfn.TEXTJOIN("; ", TRUE, _xlfn._xlws.FILTER('Model output'!H:H, 'Model output'!Z:Z=A32)),1)),ISNUMBER(SEARCH("RLN",_xlfn.TEXTJOIN("; ", TRUE, _xlfn._xlws.FILTER('Model output'!H:H, 'Model output'!Z:Z=A32)),1)),_xlfn.TEXTJOIN("; ", TRUE, _xlfn._xlws.FILTER('Model output'!H:H, 'Model output'!Z:Z=A32))=""),"negative","positive")</f>
        <v>negative</v>
      </c>
      <c r="J32" s="17">
        <f>IF(IFERROR(INDEX('Model output'!I:I, MATCH(A32, 'Model output'!Z:Z, 0)), "") &lt; K32, "", IFERROR(INDEX('Model output'!I:I, MATCH(A32, 'Model output'!Z:Z, 0)), ""))</f>
        <v>24</v>
      </c>
      <c r="K32" s="17">
        <f>IFERROR(INDEX('Model output'!J:J, MATCH(A32, 'Model output'!Z:Z, 0)), "")</f>
        <v>3</v>
      </c>
      <c r="L32" s="18" t="str" cm="1">
        <f t="array" ref="L32">ReplaceTo(ReplaceAnd(SUBSTITUTE(SUBSTITUTE(_xlfn.TEXTJOIN("; ", TRUE, _xlfn._xlws.FILTER('Model output'!K:K, 'Model output'!Z:Z=A32)), " ", ""), ",", ";")))</f>
        <v>4.5mm</v>
      </c>
      <c r="M32" t="str" cm="1">
        <f t="array" ref="M32">IF(LEFT(IF(RIGHT(SUBSTITUTE(FilterWithUnits(L32)&amp; ";" &amp;FilterStringsWithNumericAnd(L32) &amp; ";" &amp; FilterStringsWithX(L32), ";;", ";"),1)=";",LEFT(SUBSTITUTE(FilterWithUnits(L32)&amp; ";" &amp;FilterStringsWithNumericAnd(L32) &amp; ";" &amp; FilterStringsWithX(L32), ";;", ";"),LEN(SUBSTITUTE(FilterWithUnits(L32)&amp; ";" &amp;FilterStringsWithNumericAnd(L32) &amp; ";" &amp; FilterStringsWithX(L32), ";;", ";"))-1),SUBSTITUTE(FilterWithUnits(L32)&amp; ";" &amp;FilterStringsWithNumericAnd(L32) &amp; ";" &amp; FilterStringsWithX(L32), ";;", ";")),1)=";",RIGHT(IF(RIGHT(SUBSTITUTE(FilterWithUnits(L32)&amp; ";" &amp;FilterStringsWithNumericAnd(L32) &amp; ";" &amp; FilterStringsWithX(L32), ";;", ";"),1)=";",LEFT(SUBSTITUTE(FilterWithUnits(L32)&amp; ";" &amp;FilterStringsWithNumericAnd(L32) &amp; ";" &amp; FilterStringsWithX(L32), ";;", ";"),LEN(SUBSTITUTE(FilterWithUnits(L32)&amp; ";" &amp;FilterStringsWithNumericAnd(L32) &amp; ";" &amp; FilterStringsWithX(L32), ";;", ";"))-1),SUBSTITUTE(FilterWithUnits(L32)&amp; ";" &amp;FilterStringsWithNumericAnd(L32) &amp; ";" &amp; FilterStringsWithX(L32), ";;", ";")),LEN(IF(RIGHT(SUBSTITUTE(FilterWithUnits(L32)&amp; ";" &amp;FilterStringsWithNumericAnd(L32) &amp; ";" &amp; FilterStringsWithX(L32), ";;", ";"),1)=";",LEFT(SUBSTITUTE(FilterWithUnits(L32)&amp; ";" &amp;FilterStringsWithNumericAnd(L32) &amp; ";" &amp; FilterStringsWithX(L32), ";;", ";"),LEN(SUBSTITUTE(FilterWithUnits(L32)&amp; ";" &amp;FilterStringsWithNumericAnd(L32) &amp; ";" &amp; FilterStringsWithX(L32), ";;", ";"))-1),SUBSTITUTE(FilterWithUnits(L32)&amp; ";" &amp;FilterStringsWithNumericAnd(L32) &amp; ";" &amp; FilterStringsWithX(L32), ";;", ";")))-1),IF(RIGHT(SUBSTITUTE(FilterWithUnits(L32)&amp; ";" &amp;FilterStringsWithNumericAnd(L32) &amp; ";" &amp; FilterStringsWithX(L32), ";;", ";"),1)=";",LEFT(SUBSTITUTE(FilterWithUnits(L32)&amp; ";" &amp;FilterStringsWithNumericAnd(L32) &amp; ";" &amp; FilterStringsWithX(L32), ";;", ";"),LEN(SUBSTITUTE(FilterWithUnits(L32)&amp; ";" &amp;FilterStringsWithNumericAnd(L32) &amp; ";" &amp; FilterStringsWithX(L32), ";;", ";"))-1),SUBSTITUTE(FilterWithUnits(L32)&amp; ";" &amp;FilterStringsWithNumericAnd(L32) &amp; ";" &amp; FilterStringsWithX(L32), ";;", ";")))</f>
        <v>4.5mm</v>
      </c>
      <c r="N32" cm="1">
        <f t="array" ref="N32">IF(MaxSize((SplitDimensions(M32)))=0, "", MaxSize((SplitDimensions(M32))))</f>
        <v>0.45</v>
      </c>
      <c r="O32" t="str" cm="1">
        <f t="array" ref="O32">IF(ISERROR(INDEX(_xlfn._xlws.FILTER('Model output'!L:L, ('Model output'!Z:Z=A32)*('Model output'!L:L&lt;&gt;"")), 1)), " ", LOWER(INDEX(_xlfn._xlws.FILTER('Model output'!L:L, ('Model output'!Z:Z=A32)*('Model output'!L:L&lt;&gt;"")), 1)))</f>
        <v>papillary</v>
      </c>
      <c r="P32" t="str" cm="1">
        <f t="array" ref="P32">IF(ISERROR(INDEX(_xlfn._xlws.FILTER('Model output'!M:M, ('Model output'!Z:Z=A32)*('Model output'!M:M&lt;&gt;"")), 1)), " ", LOWER(INDEX(_xlfn._xlws.FILTER('Model output'!M:M, ('Model output'!Z:Z=A32)*('Model output'!M:M&lt;&gt;"")), 1)))</f>
        <v>infiltrative follicular</v>
      </c>
      <c r="Q32" t="str" cm="1">
        <f t="array" ref="Q32">IF(OR(ISNUMBER(SEARCH("ly",SUBSTITUTE(INDEX(_xlfn._xlws.FILTER('Model output'!N:N,('Model output'!Z:Z=A32)*('Model output'!N:N&lt;&gt;"")),1)," ",""),1)), ISNUMBER(SEARCH("pole",SUBSTITUTE(INDEX(_xlfn._xlws.FILTER('Model output'!N:N,('Model output'!Z:Z=A32)*('Model output'!N:N&lt;&gt;"")),1)," ",""),1))),"",SUBSTITUTE(INDEX(_xlfn._xlws.FILTER('Model output'!N:N,('Model output'!Z:Z=A32)*('Model output'!N:N&lt;&gt;"")),1)," ",""))</f>
        <v>12mm</v>
      </c>
      <c r="R32" t="str" cm="1">
        <f t="array" ref="R32">IF(LEFT(IF(RIGHT(SUBSTITUTE(FilterWithUnits(Q32)&amp; ";" &amp;FilterStringsWithNumericAnd(Q32) &amp; ";" &amp; FilterStringsWithX(Q32), ";;", ";"),1)=";",LEFT(SUBSTITUTE(FilterWithUnits(Q32)&amp; ";" &amp;FilterStringsWithNumericAnd(Q32) &amp; ";" &amp; FilterStringsWithX(Q32), ";;", ";"),LEN(SUBSTITUTE(FilterWithUnits(Q32)&amp; ";" &amp;FilterStringsWithNumericAnd(Q32) &amp; ";" &amp; FilterStringsWithX(Q32), ";;", ";"))-1),SUBSTITUTE(FilterWithUnits(Q32)&amp; ";" &amp;FilterStringsWithNumericAnd(Q32) &amp; ";" &amp; FilterStringsWithX(Q32), ";;", ";")),1)=";",RIGHT(IF(RIGHT(SUBSTITUTE(FilterWithUnits(Q32)&amp; ";" &amp;FilterStringsWithNumericAnd(Q32) &amp; ";" &amp; FilterStringsWithX(Q32), ";;", ";"),1)=";",LEFT(SUBSTITUTE(FilterWithUnits(Q32)&amp; ";" &amp;FilterStringsWithNumericAnd(Q32) &amp; ";" &amp; FilterStringsWithX(Q32), ";;", ";"),LEN(SUBSTITUTE(FilterWithUnits(Q32)&amp; ";" &amp;FilterStringsWithNumericAnd(Q32) &amp; ";" &amp; FilterStringsWithX(Q32), ";;", ";"))-1),SUBSTITUTE(FilterWithUnits(Q32)&amp; ";" &amp;FilterStringsWithNumericAnd(Q32) &amp; ";" &amp; FilterStringsWithX(Q32), ";;", ";")),LEN(IF(RIGHT(SUBSTITUTE(FilterWithUnits(Q32)&amp; ";" &amp;FilterStringsWithNumericAnd(Q32) &amp; ";" &amp; FilterStringsWithX(Q32), ";;", ";"),1)=";",LEFT(SUBSTITUTE(FilterWithUnits(Q32)&amp; ";" &amp;FilterStringsWithNumericAnd(Q32) &amp; ";" &amp; FilterStringsWithX(Q32), ";;", ";"),LEN(SUBSTITUTE(FilterWithUnits(Q32)&amp; ";" &amp;FilterStringsWithNumericAnd(Q32) &amp; ";" &amp; FilterStringsWithX(Q32), ";;", ";"))-1),SUBSTITUTE(FilterWithUnits(Q32)&amp; ";" &amp;FilterStringsWithNumericAnd(Q32) &amp; ";" &amp; FilterStringsWithX(Q32), ";;", ";")))-1),IF(RIGHT(SUBSTITUTE(FilterWithUnits(Q32)&amp; ";" &amp;FilterStringsWithNumericAnd(Q32) &amp; ";" &amp; FilterStringsWithX(Q32), ";;", ";"),1)=";",LEFT(SUBSTITUTE(FilterWithUnits(Q32)&amp; ";" &amp;FilterStringsWithNumericAnd(Q32) &amp; ";" &amp; FilterStringsWithX(Q32), ";;", ";"),LEN(SUBSTITUTE(FilterWithUnits(Q32)&amp; ";" &amp;FilterStringsWithNumericAnd(Q32) &amp; ";" &amp; FilterStringsWithX(Q32), ";;", ";"))-1),SUBSTITUTE(FilterWithUnits(Q32)&amp; ";" &amp;FilterStringsWithNumericAnd(Q32) &amp; ";" &amp; FilterStringsWithX(Q32), ";;", ";")))</f>
        <v>12mm</v>
      </c>
      <c r="S32" cm="1">
        <f t="array" ref="S32">IF(MaxSize((SplitDimensions(R32)))=0, "", MaxSize((SplitDimensions(R32))))</f>
        <v>1.2</v>
      </c>
      <c r="T32" s="17" t="str" cm="1">
        <f t="array" ref="T32">IF(ISERROR(INDEX(_xlfn._xlws.FILTER('Model output'!P:P,('Model output'!Z:Z=A32)*('Model output'!P:P&lt;&gt;"")),1)),"negative",IF(OR(ISNUMBER(SEARCH("foc",INDEX(_xlfn._xlws.FILTER('Model output'!P:P,('Model output'!Z:Z=A32)*('Model output'!P:P&lt;&gt;"")),1),1)),ISNUMBER(SEARCH("extensive",INDEX(_xlfn._xlws.FILTER('Model output'!P:P,('Model output'!Z:Z=A32)*('Model output'!P:P&lt;&gt;"")),1),1)),ISNUMBER(SEARCH("present",INDEX(_xlfn._xlws.FILTER('Model output'!P:P,('Model output'!Z:Z=A32)*('Model output'!P:P&lt;&gt;"")),1),1)),ISNUMBER(SEARCH("yes",INDEX(_xlfn._xlws.FILTER('Model output'!P:P,('Model output'!Z:Z=A32)*('Model output'!P:P&lt;&gt;"")),1),1))),"positive","negative"))</f>
        <v>negative</v>
      </c>
      <c r="V32" t="str" cm="1">
        <f t="array" ref="V32">IF(ISNUMBER(SEARCH("4",INDEX(_xlfn._xlws.FILTER('Model output'!P:P,('Model output'!Z:Z=A32)*('Model output'!P:P&lt;&gt;"")),1),1)),INDEX(_xlfn._xlws.FILTER('Model output'!P:P,('Model output'!Z:Z=A32)*('Model output'!P:P&lt;&gt;"")),1),"") &amp; _xlfn.TEXTJOIN("",TRUE,_xlfn._xlws.FILTER('Model output'!Q:Q,'Model output'!Z:Z=A32))</f>
        <v/>
      </c>
      <c r="W32" t="str">
        <f t="shared" si="2"/>
        <v>no</v>
      </c>
      <c r="X32" t="str" cm="1">
        <f t="array" ref="X32">IF(OR(ISNUMBER(SEARCH("focal",_xlfn.TEXTJOIN("; ",TRUE,_xlfn._xlws.FILTER('Model output'!R:R,'Model output'!Z:Z=A32)),1)),ISNUMBER(SEARCH("present",_xlfn.TEXTJOIN("; ",TRUE,_xlfn._xlws.FILTER('Model output'!R:R,'Model output'!Z:Z=A32)),1))),"positive",IF(_xlfn.TEXTJOIN("; ",TRUE,_xlfn._xlws.FILTER('Model output'!R:R,'Model output'!Z:Z=A32))="","negative",IF(OR(ISNUMBER(SEARCH("no",_xlfn.TEXTJOIN("; ",TRUE,_xlfn._xlws.FILTER('Model output'!R:R,'Model output'!Z:Z=A32)),1)),ISNUMBER(SEARCH("absent",_xlfn.TEXTJOIN("; ",TRUE,_xlfn._xlws.FILTER('Model output'!R:R,'Model output'!Z:Z=A32)),1))),"negative","positive")))</f>
        <v>negative</v>
      </c>
      <c r="Y32" s="17" t="str">
        <f t="shared" si="3"/>
        <v>negative</v>
      </c>
      <c r="AC32" s="17" t="str">
        <f t="shared" si="4"/>
        <v>negative</v>
      </c>
      <c r="AD32" t="str" cm="1">
        <f t="array" ref="AD32">_xlfn.TEXTJOIN("; ",TRUE,_xlfn._xlws.FILTER('Model output'!S:S,'Model output'!Z:Z=A32))</f>
        <v>Not identified</v>
      </c>
      <c r="AE32" s="17" t="str" cm="1">
        <f t="array" ref="AE32">IF(OR(ISNUMBER(SEARCH("uninvolved",_xlfn.TEXTJOIN("; ",TRUE,_xlfn._xlws.FILTER('Model output'!V:V,'Model output'!Z:Z=A32)),1)),ISNUMBER(SEARCH("clear",_xlfn.TEXTJOIN("; ",TRUE,_xlfn._xlws.FILTER('Model output'!V:V,'Model output'!Z:Z=A32)),1))*ISNUMBER(SEARCH("not mentioned",_xlfn.TEXTJOIN("; ",TRUE,_xlfn._xlws.FILTER('Model output'!V:V,'Model output'!Z:Z=A32)),1))),"negative",IF(ISNUMBER(SEARCH("cannot be assessed",_xlfn.TEXTJOIN("; ",TRUE,_xlfn._xlws.FILTER('Model output'!V:V,'Model output'!Z:Z=A32)),1)),"unknown","negative"))</f>
        <v>negative</v>
      </c>
      <c r="AG32" s="43" t="str">
        <f>IF(OR(ISNUMBER(SEARCH("non-invasive follicular",O32,1)), ISNUMBER(SEARCH("papillary-like nuclear features",P32,1)), ISNUMBER(SEARCH("non-invasive follicular",P32,1)),ISNUMBER(SEARCH("papillary-like nuclear features",P32,1))),"NIFTP", IF(OR(I32="positive",AC32="positive",AND(OR(ISNUMBER(SEARCH("follicular", O32)),ISNUMBER(SEARCH("FTC", O32))),W32="extensive"),AND(G32="positive",ISNUMBER(N32),N32&gt;3),AI32=1),"high",IF(OR(ISNUMBER(SEARCH("positive",Y32,1)),ISNUMBER(SEARCH("tall",P32,1)),ISNUMBER(SEARCH("hobnail",P32,1)),ISNUMBER(SEARCH("cribriform",P32,1)),ISNUMBER(SEARCH("diffuse",P32,1)),ISNUMBER(SEARCH("columnar",P32,1)),ISNUMBER(SEARCH("solid",P32,1)),ISNUMBER(SEARCH("tall",O32,1)),ISNUMBER(SEARCH("hobnail",O32,1)),ISNUMBER(SEARCH("cribriform",O32,1)),ISNUMBER(SEARCH("diffuse",O32,1)),ISNUMBER(SEARCH("columnar",O32,1)),ISNUMBER(SEARCH("solid",O32,1)),AND(OR(ISNUMBER(SEARCH("papillary carcinoma",O32,1)),ISNUMBER(SEARCH("papillary microcarcinoma",O32,1))),T32="positive"),,AND(AND(ISNUMBER(K32),K32&gt;=5),N32=""),AND(AND(ISNUMBER(K32),K32&gt;=5),AND(ISNUMBER(N32),N32&gt;=1)),H32="lateral"),"intermediate","low")))</f>
        <v>intermediate</v>
      </c>
      <c r="AH32" s="44" t="str">
        <f t="shared" ref="AH32" si="13">IF(OR(ISNUMBER(SEARCH("non-invasive follicular",O32)),ISNUMBER(SEARCH("papillary-like nuclear features",O32)),ISNUMBER(SEARCH("non-invasive follicular",P32)),ISNUMBER(SEARCH("papillary-like nuclear features",P32))),"NIFTP", IF(OR(D32="4b",AND(AC32="positive",OR(ISNUMBER(SEARCH("prevertebral",AD32)),ISNUMBER(SEARCH("fascia",AD32)),ISNUMBER(SEARCH("carotid artery",AD32)),ISNUMBER(SEARCH("mediastinal",AD32))))),"4b",IF(OR(D32="4a",AND(AC32="positive",OR(ISNUMBER(SEARCH("soft tissue",AD32)),ISNUMBER(SEARCH("larynx",AD32)),ISNUMBER(SEARCH("trachea",AD32)),ISNUMBER(SEARCH("esophagus",AD32)),ISNUMBER(SEARCH("recurrent laryngeal nerve",AD32)),ISNUMBER(SEARCH("RLN",AD32))))),"4a", IF(OR(D32="3b", AC32="positive",ISNUMBER(SEARCH("strap",AD32)),ISNUMBER(SEARCH("adipose tissue",AD32)),ISNUMBER(SEARCH("sternothyroid",AD32)),ISNUMBER(SEARCH("sternohyoid",AD32)),ISNUMBER(SEARCH("thyrohyoid",AD32)),ISNUMBER(SEARCH("omohyoid",AD32))),"3b",IF(OR(D32="3a", AND(S32&lt;&gt;"",S32&gt;4)),"3a",IF(AND(S32&lt;&gt;"", S32&lt;=4,S32&gt;2),"2",IF(AND(S32&lt;&gt;"",S32&lt;=2,S32&gt;1),"1b",IF(AND(S32&lt;&gt;"",S32&lt;=1),"1a","1a"))))))))</f>
        <v>1b</v>
      </c>
      <c r="AI32" s="56" t="str">
        <f t="shared" si="5"/>
        <v>1b</v>
      </c>
      <c r="AJ32" s="56">
        <f t="shared" si="6"/>
        <v>0</v>
      </c>
      <c r="AK32" s="57" t="str">
        <f t="shared" si="7"/>
        <v>I</v>
      </c>
      <c r="AL32" s="45" t="s">
        <v>167</v>
      </c>
      <c r="AM32" s="46" t="s">
        <v>196</v>
      </c>
      <c r="AN32" s="46" t="s">
        <v>196</v>
      </c>
      <c r="AO32" s="46">
        <v>0</v>
      </c>
      <c r="AP32" s="46" t="s">
        <v>31</v>
      </c>
      <c r="AQ32" s="10">
        <f>IF(AL32=AG32,1,0)</f>
        <v>1</v>
      </c>
      <c r="AR32" s="27">
        <f>IF(AM32=AH32,1,0)</f>
        <v>1</v>
      </c>
      <c r="AS32" s="27">
        <f t="shared" si="8"/>
        <v>1</v>
      </c>
      <c r="AT32" s="27">
        <f t="shared" si="9"/>
        <v>1</v>
      </c>
      <c r="AU32" s="29">
        <f t="shared" si="9"/>
        <v>1</v>
      </c>
    </row>
    <row r="33" spans="1:48">
      <c r="A33" s="13">
        <v>31</v>
      </c>
      <c r="B33" s="16">
        <f>_xlfn.MAXIFS('Model output'!B:B,'Model output'!Z:Z,'Classification result'!$A33)</f>
        <v>43304</v>
      </c>
      <c r="C33" s="17">
        <f>_xlfn.MAXIFS('Model output'!C:C,'Model output'!Z:Z,'Classification result'!$A33)</f>
        <v>60</v>
      </c>
      <c r="D33" s="17" t="str" cm="1">
        <f t="array" ref="D33">LEFT(IF(ISERROR(RIGHT(IF(INDEX(_xlfn._xlws.FILTER('Model output'!D:D,('Model output'!Z:Z=A33)),1)&lt;&gt;"",INDEX(_xlfn._xlws.FILTER('Model output'!D:D,('Model output'!Z:Z=A33)),1),""),LEN(IF(INDEX(_xlfn._xlws.FILTER('Model output'!D:D,('Model output'!Z:Z=A33)),1)&lt;&gt;"",INDEX(_xlfn._xlws.FILTER('Model output'!D:D,('Model output'!Z:Z=A33)),1),""))-FIND("T",IF(INDEX(_xlfn._xlws.FILTER('Model output'!D:D,('Model output'!Z:Z=A33)),1)&lt;&gt;"",INDEX(_xlfn._xlws.FILTER('Model output'!D:D,('Model output'!Z:Z=A33)),1),""),1))),"",(RIGHT(IF(INDEX(_xlfn._xlws.FILTER('Model output'!D:D,('Model output'!Z:Z=A33)),1)&lt;&gt;"",INDEX(_xlfn._xlws.FILTER('Model output'!D:D,('Model output'!Z:Z=A33)),1),""),LEN(IF(INDEX(_xlfn._xlws.FILTER('Model output'!D:D,('Model output'!Z:Z=A33)),1)&lt;&gt;"",INDEX(_xlfn._xlws.FILTER('Model output'!D:D,('Model output'!Z:Z=A33)),1),""))-FIND("T",IF(INDEX(_xlfn._xlws.FILTER('Model output'!D:D,('Model output'!Z:Z=A33)),1)&lt;&gt;"",INDEX(_xlfn._xlws.FILTER('Model output'!D:D,('Model output'!Z:Z=A33)),1)))))),2)</f>
        <v>2</v>
      </c>
      <c r="E33" s="17" t="str" cm="1">
        <f t="array" ref="E33">IF(ISNUMBER(SEARCH("N",IF(ISNUMBER(SEARCH("present",IF(INDEX(_xlfn._xlws.FILTER('Model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output'!Z:Z=A33)),1))),1)),RIGHT(IF(ISNUMBER(SEARCH("present",IF(INDEX(_xlfn._xlws.FILTER('Model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output'!Z:Z=A33)),1))),LEN(IF(ISNUMBER(SEARCH("present",IF(INDEX(_xlfn._xlws.FILTER('Model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output'!Z:Z=A33)),1))))-FIND("N",IF(ISNUMBER(SEARCH("present",IF(INDEX(_xlfn._xlws.FILTER('Model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output'!Z:Z=A33)),1))),1)), "")</f>
        <v>1a</v>
      </c>
      <c r="F33" s="17" cm="1">
        <f t="array" ref="F33">IF(AND(SUBSTITUTE(_xlfn.TEXTJOIN("/", TRUE, _xlfn._xlws.FILTER('Model output'!F:F, 'Model output'!Z:Z=A33)),"M", "")="", I33="negative"),0,IF(I33="positive",1,0))</f>
        <v>0</v>
      </c>
      <c r="G33" t="str">
        <f t="shared" si="0"/>
        <v>positive</v>
      </c>
      <c r="H33" t="str" cm="1">
        <f t="array" ref="H33">IF(AND(K33&gt;0, _xlfn.TEXTJOIN("; ", TRUE, _xlfn._xlws.FILTER('Model output'!G:G, 'Model output'!Z:Z=A33)) &lt;&gt;"", OR(AND(ISNUMBER(SEARCH("level", _xlfn.TEXTJOIN("; ", TRUE, _xlfn._xlws.FILTER('Model output'!G:G, 'Model output'!Z:Z=A33)),1)),OR(ISNUMBER(SEARCH(" II", _xlfn.TEXTJOIN("; ", TRUE, _xlfn._xlws.FILTER('Model output'!G:G, 'Model output'!Z:Z=A33)),1)),ISNUMBER(SEARCH("2", _xlfn.TEXTJOIN("; ", TRUE, _xlfn._xlws.FILTER('Model output'!G:G, 'Model output'!Z:Z=A33)),1)),ISNUMBER(SEARCH("two", _xlfn.TEXTJOIN("; ", TRUE, _xlfn._xlws.FILTER('Model output'!G:G, 'Model output'!Z:Z=A33)),1)),ISNUMBER(SEARCH("III", _xlfn.TEXTJOIN("; ", TRUE, _xlfn._xlws.FILTER('Model output'!G:G, 'Model output'!Z:Z=A33)),1)),ISNUMBER(SEARCH("3", _xlfn.TEXTJOIN("; ", TRUE, _xlfn._xlws.FILTER('Model output'!G:G, 'Model output'!Z:Z=A33)),1)),ISNUMBER(SEARCH("three", _xlfn.TEXTJOIN("; ", TRUE, _xlfn._xlws.FILTER('Model output'!G:G, 'Model output'!Z:Z=A33)),1)),ISNUMBER(SEARCH("IV", _xlfn.TEXTJOIN("; ", TRUE, _xlfn._xlws.FILTER('Model output'!G:G, 'Model output'!Z:Z=A33)),1)),ISNUMBER(SEARCH("4", _xlfn.TEXTJOIN("; ", TRUE, _xlfn._xlws.FILTER('Model output'!G:G, 'Model output'!Z:Z=A33)),1)),ISNUMBER(SEARCH("five", _xlfn.TEXTJOIN("; ", TRUE, _xlfn._xlws.FILTER('Model output'!G:G, 'Model output'!Z:Z=A33)),1)),ISNUMBER(SEARCH("V ", _xlfn.TEXTJOIN("; ", TRUE, _xlfn._xlws.FILTER('Model output'!G:G, 'Model output'!Z:Z=A33)),1)),ISNUMBER(SEARCH("5", _xlfn.TEXTJOIN("; ", TRUE, _xlfn._xlws.FILTER('Model output'!G:G, 'Model output'!Z:Z=A33)),1)),ISNUMBER(SEARCH("five", _xlfn.TEXTJOIN("; ", TRUE, _xlfn._xlws.FILTER('Model output'!G:G, 'Model output'!Z:Z=A33)),1)),ISNUMBER(SEARCH(" lateral", _xlfn.TEXTJOIN("; ", TRUE, _xlfn._xlws.FILTER('Model output'!G:G, 'Model output'!Z:Z=A33)),1)))),ISNUMBER(SEARCH("cervical", _xlfn.TEXTJOIN("; ", TRUE, _xlfn._xlws.FILTER('Model output'!G:G, 'Model output'!Z:Z=A33)),1)),ISNUMBER(SEARCH("jugular", _xlfn.TEXTJOIN("; ", TRUE, _xlfn._xlws.FILTER('Model output'!G:G, 'Model output'!Z:Z=A33)),1)),ISNUMBER(SEARCH("left neck", _xlfn.TEXTJOIN("; ", TRUE, _xlfn._xlws.FILTER('Model output'!G:G, 'Model output'!Z:Z=A33)),1)),ISNUMBER(SEARCH("left anterior neck", _xlfn.TEXTJOIN("; ", TRUE, _xlfn._xlws.FILTER('Model output'!G:G, 'Model output'!Z:Z=A33)),1)),ISNUMBER(SEARCH("left posterior neck", _xlfn.TEXTJOIN("; ", TRUE, _xlfn._xlws.FILTER('Model output'!G:G, 'Model output'!Z:Z=A33)),1)),ISNUMBER(SEARCH("right neck", _xlfn.TEXTJOIN("; ", TRUE, _xlfn._xlws.FILTER('Model output'!G:G, 'Model output'!Z:Z=A33)),1)),ISNUMBER(SEARCH("right anterior neck", _xlfn.TEXTJOIN("; ", TRUE, _xlfn._xlws.FILTER('Model output'!G:G, 'Model output'!Z:Z=A33)),1)),ISNUMBER(SEARCH("right posterior neck", _xlfn.TEXTJOIN("; ", TRUE, _xlfn._xlws.FILTER('Model output'!G:G, 'Model output'!Z:Z=A33)),1)))),"lateral",IF(AND(K33=0, _xlfn.TEXTJOIN("; ", TRUE, _xlfn._xlws.FILTER('Model output'!G:G, 'Model output'!Z:Z=A33))=""),"", "central"))</f>
        <v>central</v>
      </c>
      <c r="I33" s="17" t="str" cm="1">
        <f t="array" ref="I33">IF(OR(ISNUMBER(SEARCH("lymph",_xlfn.TEXTJOIN("; ", TRUE, _xlfn._xlws.FILTER('Model output'!H:H, 'Model output'!Z:Z=A33)),1)), ISNUMBER(SEARCH("Not mentioned",_xlfn.TEXTJOIN("; ", TRUE, _xlfn._xlws.FILTER('Model output'!H:H, 'Model output'!Z:Z=A33)),1)),ISNUMBER(SEARCH("subcutaneous soft tissues",_xlfn.TEXTJOIN("; ", TRUE, _xlfn._xlws.FILTER('Model output'!H:H, 'Model output'!Z:Z=A33)),1)),ISNUMBER(SEARCH("larynx",_xlfn.TEXTJOIN("; ", TRUE, _xlfn._xlws.FILTER('Model output'!H:H, 'Model output'!Z:Z=A33)),1)),ISNUMBER(SEARCH("trachea",_xlfn.TEXTJOIN("; ", TRUE, _xlfn._xlws.FILTER('Model output'!H:H, 'Model output'!Z:Z=A33)),1)),ISNUMBER(SEARCH("esophagus",_xlfn.TEXTJOIN("; ", TRUE, _xlfn._xlws.FILTER('Model output'!H:H, 'Model output'!Z:Z=A33)),1)),ISNUMBER(SEARCH("recurrent laryngeal nerve",_xlfn.TEXTJOIN("; ", TRUE, _xlfn._xlws.FILTER('Model output'!H:H, 'Model output'!Z:Z=A33)),1)),ISNUMBER(SEARCH("RLN",_xlfn.TEXTJOIN("; ", TRUE, _xlfn._xlws.FILTER('Model output'!H:H, 'Model output'!Z:Z=A33)),1)),_xlfn.TEXTJOIN("; ", TRUE, _xlfn._xlws.FILTER('Model output'!H:H, 'Model output'!Z:Z=A33))=""),"negative","positive")</f>
        <v>negative</v>
      </c>
      <c r="J33" s="17">
        <f>IF(IFERROR(INDEX('Model output'!I:I, MATCH(A33, 'Model output'!Z:Z, 0)), "") &lt; K33, "", IFERROR(INDEX('Model output'!I:I, MATCH(A33, 'Model output'!Z:Z, 0)), ""))</f>
        <v>1</v>
      </c>
      <c r="K33" s="17">
        <f>IFERROR(INDEX('Model output'!J:J, MATCH(A33, 'Model output'!Z:Z, 0)), "")</f>
        <v>1</v>
      </c>
      <c r="L33" s="18" t="str" cm="1">
        <f t="array" ref="L33">ReplaceTo(ReplaceAnd(SUBSTITUTE(SUBSTITUTE(_xlfn.TEXTJOIN("; ", TRUE, _xlfn._xlws.FILTER('Model output'!K:K, 'Model output'!Z:Z=A33)), " ", ""), ",", ";")))</f>
        <v>4mm</v>
      </c>
      <c r="M33" t="str" cm="1">
        <f t="array" ref="M33">IF(LEFT(IF(RIGHT(SUBSTITUTE(FilterWithUnits(L33)&amp; ";" &amp;FilterStringsWithNumericAnd(L33) &amp; ";" &amp; FilterStringsWithX(L33), ";;", ";"),1)=";",LEFT(SUBSTITUTE(FilterWithUnits(L33)&amp; ";" &amp;FilterStringsWithNumericAnd(L33) &amp; ";" &amp; FilterStringsWithX(L33), ";;", ";"),LEN(SUBSTITUTE(FilterWithUnits(L33)&amp; ";" &amp;FilterStringsWithNumericAnd(L33) &amp; ";" &amp; FilterStringsWithX(L33), ";;", ";"))-1),SUBSTITUTE(FilterWithUnits(L33)&amp; ";" &amp;FilterStringsWithNumericAnd(L33) &amp; ";" &amp; FilterStringsWithX(L33), ";;", ";")),1)=";",RIGHT(IF(RIGHT(SUBSTITUTE(FilterWithUnits(L33)&amp; ";" &amp;FilterStringsWithNumericAnd(L33) &amp; ";" &amp; FilterStringsWithX(L33), ";;", ";"),1)=";",LEFT(SUBSTITUTE(FilterWithUnits(L33)&amp; ";" &amp;FilterStringsWithNumericAnd(L33) &amp; ";" &amp; FilterStringsWithX(L33), ";;", ";"),LEN(SUBSTITUTE(FilterWithUnits(L33)&amp; ";" &amp;FilterStringsWithNumericAnd(L33) &amp; ";" &amp; FilterStringsWithX(L33), ";;", ";"))-1),SUBSTITUTE(FilterWithUnits(L33)&amp; ";" &amp;FilterStringsWithNumericAnd(L33) &amp; ";" &amp; FilterStringsWithX(L33), ";;", ";")),LEN(IF(RIGHT(SUBSTITUTE(FilterWithUnits(L33)&amp; ";" &amp;FilterStringsWithNumericAnd(L33) &amp; ";" &amp; FilterStringsWithX(L33), ";;", ";"),1)=";",LEFT(SUBSTITUTE(FilterWithUnits(L33)&amp; ";" &amp;FilterStringsWithNumericAnd(L33) &amp; ";" &amp; FilterStringsWithX(L33), ";;", ";"),LEN(SUBSTITUTE(FilterWithUnits(L33)&amp; ";" &amp;FilterStringsWithNumericAnd(L33) &amp; ";" &amp; FilterStringsWithX(L33), ";;", ";"))-1),SUBSTITUTE(FilterWithUnits(L33)&amp; ";" &amp;FilterStringsWithNumericAnd(L33) &amp; ";" &amp; FilterStringsWithX(L33), ";;", ";")))-1),IF(RIGHT(SUBSTITUTE(FilterWithUnits(L33)&amp; ";" &amp;FilterStringsWithNumericAnd(L33) &amp; ";" &amp; FilterStringsWithX(L33), ";;", ";"),1)=";",LEFT(SUBSTITUTE(FilterWithUnits(L33)&amp; ";" &amp;FilterStringsWithNumericAnd(L33) &amp; ";" &amp; FilterStringsWithX(L33), ";;", ";"),LEN(SUBSTITUTE(FilterWithUnits(L33)&amp; ";" &amp;FilterStringsWithNumericAnd(L33) &amp; ";" &amp; FilterStringsWithX(L33), ";;", ";"))-1),SUBSTITUTE(FilterWithUnits(L33)&amp; ";" &amp;FilterStringsWithNumericAnd(L33) &amp; ";" &amp; FilterStringsWithX(L33), ";;", ";")))</f>
        <v>4mm</v>
      </c>
      <c r="N33" cm="1">
        <f t="array" ref="N33">IF(MaxSize((SplitDimensions(M33)))=0, "", MaxSize((SplitDimensions(M33))))</f>
        <v>0.4</v>
      </c>
      <c r="O33" t="str" cm="1">
        <f t="array" ref="O33">IF(ISERROR(INDEX(_xlfn._xlws.FILTER('Model output'!L:L, ('Model output'!Z:Z=A33)*('Model output'!L:L&lt;&gt;"")), 1)), " ", LOWER(INDEX(_xlfn._xlws.FILTER('Model output'!L:L, ('Model output'!Z:Z=A33)*('Model output'!L:L&lt;&gt;"")), 1)))</f>
        <v>papillary</v>
      </c>
      <c r="P33" t="str" cm="1">
        <f t="array" ref="P33">IF(ISERROR(INDEX(_xlfn._xlws.FILTER('Model output'!M:M, ('Model output'!Z:Z=A33)*('Model output'!M:M&lt;&gt;"")), 1)), " ", LOWER(INDEX(_xlfn._xlws.FILTER('Model output'!M:M, ('Model output'!Z:Z=A33)*('Model output'!M:M&lt;&gt;"")), 1)))</f>
        <v>infiltrative follicular</v>
      </c>
      <c r="Q33" t="str" cm="1">
        <f t="array" ref="Q33">IF(OR(ISNUMBER(SEARCH("ly",SUBSTITUTE(INDEX(_xlfn._xlws.FILTER('Model output'!N:N,('Model output'!Z:Z=A33)*('Model output'!N:N&lt;&gt;"")),1)," ",""),1)), ISNUMBER(SEARCH("pole",SUBSTITUTE(INDEX(_xlfn._xlws.FILTER('Model output'!N:N,('Model output'!Z:Z=A33)*('Model output'!N:N&lt;&gt;"")),1)," ",""),1))),"",SUBSTITUTE(INDEX(_xlfn._xlws.FILTER('Model output'!N:N,('Model output'!Z:Z=A33)*('Model output'!N:N&lt;&gt;"")),1)," ",""))</f>
        <v>4.5x3x2cm</v>
      </c>
      <c r="R33" t="str" cm="1">
        <f t="array" ref="R33">IF(LEFT(IF(RIGHT(SUBSTITUTE(FilterWithUnits(Q33)&amp; ";" &amp;FilterStringsWithNumericAnd(Q33) &amp; ";" &amp; FilterStringsWithX(Q33), ";;", ";"),1)=";",LEFT(SUBSTITUTE(FilterWithUnits(Q33)&amp; ";" &amp;FilterStringsWithNumericAnd(Q33) &amp; ";" &amp; FilterStringsWithX(Q33), ";;", ";"),LEN(SUBSTITUTE(FilterWithUnits(Q33)&amp; ";" &amp;FilterStringsWithNumericAnd(Q33) &amp; ";" &amp; FilterStringsWithX(Q33), ";;", ";"))-1),SUBSTITUTE(FilterWithUnits(Q33)&amp; ";" &amp;FilterStringsWithNumericAnd(Q33) &amp; ";" &amp; FilterStringsWithX(Q33), ";;", ";")),1)=";",RIGHT(IF(RIGHT(SUBSTITUTE(FilterWithUnits(Q33)&amp; ";" &amp;FilterStringsWithNumericAnd(Q33) &amp; ";" &amp; FilterStringsWithX(Q33), ";;", ";"),1)=";",LEFT(SUBSTITUTE(FilterWithUnits(Q33)&amp; ";" &amp;FilterStringsWithNumericAnd(Q33) &amp; ";" &amp; FilterStringsWithX(Q33), ";;", ";"),LEN(SUBSTITUTE(FilterWithUnits(Q33)&amp; ";" &amp;FilterStringsWithNumericAnd(Q33) &amp; ";" &amp; FilterStringsWithX(Q33), ";;", ";"))-1),SUBSTITUTE(FilterWithUnits(Q33)&amp; ";" &amp;FilterStringsWithNumericAnd(Q33) &amp; ";" &amp; FilterStringsWithX(Q33), ";;", ";")),LEN(IF(RIGHT(SUBSTITUTE(FilterWithUnits(Q33)&amp; ";" &amp;FilterStringsWithNumericAnd(Q33) &amp; ";" &amp; FilterStringsWithX(Q33), ";;", ";"),1)=";",LEFT(SUBSTITUTE(FilterWithUnits(Q33)&amp; ";" &amp;FilterStringsWithNumericAnd(Q33) &amp; ";" &amp; FilterStringsWithX(Q33), ";;", ";"),LEN(SUBSTITUTE(FilterWithUnits(Q33)&amp; ";" &amp;FilterStringsWithNumericAnd(Q33) &amp; ";" &amp; FilterStringsWithX(Q33), ";;", ";"))-1),SUBSTITUTE(FilterWithUnits(Q33)&amp; ";" &amp;FilterStringsWithNumericAnd(Q33) &amp; ";" &amp; FilterStringsWithX(Q33), ";;", ";")))-1),IF(RIGHT(SUBSTITUTE(FilterWithUnits(Q33)&amp; ";" &amp;FilterStringsWithNumericAnd(Q33) &amp; ";" &amp; FilterStringsWithX(Q33), ";;", ";"),1)=";",LEFT(SUBSTITUTE(FilterWithUnits(Q33)&amp; ";" &amp;FilterStringsWithNumericAnd(Q33) &amp; ";" &amp; FilterStringsWithX(Q33), ";;", ";"),LEN(SUBSTITUTE(FilterWithUnits(Q33)&amp; ";" &amp;FilterStringsWithNumericAnd(Q33) &amp; ";" &amp; FilterStringsWithX(Q33), ";;", ";"))-1),SUBSTITUTE(FilterWithUnits(Q33)&amp; ";" &amp;FilterStringsWithNumericAnd(Q33) &amp; ";" &amp; FilterStringsWithX(Q33), ";;", ";")))</f>
        <v>4.5x3x2cm</v>
      </c>
      <c r="S33" cm="1">
        <f t="array" ref="S33">IF(MaxSize((SplitDimensions(R33)))=0, "", MaxSize((SplitDimensions(R33))))</f>
        <v>4.5</v>
      </c>
      <c r="T33" s="17" t="str" cm="1">
        <f t="array" ref="T33">IF(ISERROR(INDEX(_xlfn._xlws.FILTER('Model output'!P:P,('Model output'!Z:Z=A33)*('Model output'!P:P&lt;&gt;"")),1)),"negative",IF(OR(ISNUMBER(SEARCH("foc",INDEX(_xlfn._xlws.FILTER('Model output'!P:P,('Model output'!Z:Z=A33)*('Model output'!P:P&lt;&gt;"")),1),1)),ISNUMBER(SEARCH("extensive",INDEX(_xlfn._xlws.FILTER('Model output'!P:P,('Model output'!Z:Z=A33)*('Model output'!P:P&lt;&gt;"")),1),1)),ISNUMBER(SEARCH("present",INDEX(_xlfn._xlws.FILTER('Model output'!P:P,('Model output'!Z:Z=A33)*('Model output'!P:P&lt;&gt;"")),1),1)),ISNUMBER(SEARCH("yes",INDEX(_xlfn._xlws.FILTER('Model output'!P:P,('Model output'!Z:Z=A33)*('Model output'!P:P&lt;&gt;"")),1),1))),"positive","negative"))</f>
        <v>positive</v>
      </c>
      <c r="V33" t="str" cm="1">
        <f t="array" ref="V33">IF(ISNUMBER(SEARCH("4",INDEX(_xlfn._xlws.FILTER('Model output'!P:P,('Model output'!Z:Z=A33)*('Model output'!P:P&lt;&gt;"")),1),1)),INDEX(_xlfn._xlws.FILTER('Model output'!P:P,('Model output'!Z:Z=A33)*('Model output'!P:P&lt;&gt;"")),1),"") &amp; _xlfn.TEXTJOIN("",TRUE,_xlfn._xlws.FILTER('Model output'!Q:Q,'Model output'!Z:Z=A33))</f>
        <v/>
      </c>
      <c r="W33" t="str">
        <f t="shared" si="2"/>
        <v>minimal</v>
      </c>
      <c r="X33" t="str" cm="1">
        <f t="array" ref="X33">IF(OR(ISNUMBER(SEARCH("focal",_xlfn.TEXTJOIN("; ",TRUE,_xlfn._xlws.FILTER('Model output'!R:R,'Model output'!Z:Z=A33)),1)),ISNUMBER(SEARCH("present",_xlfn.TEXTJOIN("; ",TRUE,_xlfn._xlws.FILTER('Model output'!R:R,'Model output'!Z:Z=A33)),1))),"positive",IF(_xlfn.TEXTJOIN("; ",TRUE,_xlfn._xlws.FILTER('Model output'!R:R,'Model output'!Z:Z=A33))="","negative",IF(OR(ISNUMBER(SEARCH("no",_xlfn.TEXTJOIN("; ",TRUE,_xlfn._xlws.FILTER('Model output'!R:R,'Model output'!Z:Z=A33)),1)),ISNUMBER(SEARCH("absent",_xlfn.TEXTJOIN("; ",TRUE,_xlfn._xlws.FILTER('Model output'!R:R,'Model output'!Z:Z=A33)),1))),"negative","positive")))</f>
        <v>positive</v>
      </c>
      <c r="Y33" s="17" t="str">
        <f t="shared" si="3"/>
        <v>positive</v>
      </c>
      <c r="AC33" s="17" t="str">
        <f t="shared" si="4"/>
        <v>negative</v>
      </c>
      <c r="AD33" t="str" cm="1">
        <f t="array" ref="AD33">_xlfn.TEXTJOIN("; ",TRUE,_xlfn._xlws.FILTER('Model output'!S:S,'Model output'!Z:Z=A33))</f>
        <v>Present; Present</v>
      </c>
      <c r="AE33" s="17" t="str" cm="1">
        <f t="array" ref="AE33">IF(OR(ISNUMBER(SEARCH("uninvolved",_xlfn.TEXTJOIN("; ",TRUE,_xlfn._xlws.FILTER('Model output'!V:V,'Model output'!Z:Z=A33)),1)),ISNUMBER(SEARCH("clear",_xlfn.TEXTJOIN("; ",TRUE,_xlfn._xlws.FILTER('Model output'!V:V,'Model output'!Z:Z=A33)),1))*ISNUMBER(SEARCH("not mentioned",_xlfn.TEXTJOIN("; ",TRUE,_xlfn._xlws.FILTER('Model output'!V:V,'Model output'!Z:Z=A33)),1))),"negative",IF(ISNUMBER(SEARCH("cannot be assessed",_xlfn.TEXTJOIN("; ",TRUE,_xlfn._xlws.FILTER('Model output'!V:V,'Model output'!Z:Z=A33)),1)),"unknown","negative"))</f>
        <v>negative</v>
      </c>
      <c r="AG33" s="43" t="str">
        <f>IF(OR(ISNUMBER(SEARCH("non-invasive follicular",O33,1)), ISNUMBER(SEARCH("papillary-like nuclear features",P33,1)), ISNUMBER(SEARCH("non-invasive follicular",P33,1)),ISNUMBER(SEARCH("papillary-like nuclear features",P33,1))),"NIFTP", IF(OR(I33="positive",AC33="positive",AND(OR(ISNUMBER(SEARCH("follicular", O33)),ISNUMBER(SEARCH("FTC", O33))),W33="extensive"),AND(G33="positive",ISNUMBER(N33),N33&gt;3),AI33=1),"high",IF(OR(ISNUMBER(SEARCH("positive",Y33,1)),ISNUMBER(SEARCH("tall",P33,1)),ISNUMBER(SEARCH("hobnail",P33,1)),ISNUMBER(SEARCH("cribriform",P33,1)),ISNUMBER(SEARCH("diffuse",P33,1)),ISNUMBER(SEARCH("columnar",P33,1)),ISNUMBER(SEARCH("solid",P33,1)),ISNUMBER(SEARCH("tall",O33,1)),ISNUMBER(SEARCH("hobnail",O33,1)),ISNUMBER(SEARCH("cribriform",O33,1)),ISNUMBER(SEARCH("diffuse",O33,1)),ISNUMBER(SEARCH("columnar",O33,1)),ISNUMBER(SEARCH("solid",O33,1)),AND(OR(ISNUMBER(SEARCH("papillary carcinoma",O33,1)),ISNUMBER(SEARCH("papillary microcarcinoma",O33,1))),T33="positive"),,AND(AND(ISNUMBER(K33),K33&gt;=5),N33=""),AND(AND(ISNUMBER(K33),K33&gt;=5),AND(ISNUMBER(N33),N33&gt;=1)),H33="lateral"),"intermediate","low")))</f>
        <v>intermediate</v>
      </c>
      <c r="AH33" s="44" t="str">
        <f>IF(OR(ISNUMBER(SEARCH("non-invasive follicular",O33)),ISNUMBER(SEARCH("papillary-like nuclear features",O33)),ISNUMBER(SEARCH("non-invasive follicular",P33)),ISNUMBER(SEARCH("papillary-like nuclear features",P33))),"NIFTP", IF(OR(D33="4b",AND(AC33="positive",OR(ISNUMBER(SEARCH("prevertebral",AD33)),ISNUMBER(SEARCH("fascia",AD33)),ISNUMBER(SEARCH("carotid artery",AD33)),ISNUMBER(SEARCH("mediastinal",AD33))))),"4b",IF(OR(D33="4a",AND(AC33="positive",OR(ISNUMBER(SEARCH("soft tissue",AD33)),ISNUMBER(SEARCH("larynx",AD33)),ISNUMBER(SEARCH("trachea",AD33)),ISNUMBER(SEARCH("esophagus",AD33)),ISNUMBER(SEARCH("recurrent laryngeal nerve",AD33)),ISNUMBER(SEARCH("RLN",AD33))))),"4a", IF(OR(D33="3b", AC33="positive",ISNUMBER(SEARCH("strap",AD33)),ISNUMBER(SEARCH("adipose tissue",AD33)),ISNUMBER(SEARCH("sternothyroid",AD33)),ISNUMBER(SEARCH("sternohyoid",AD33)),ISNUMBER(SEARCH("thyrohyoid",AD33)),ISNUMBER(SEARCH("omohyoid",AD33))),"3b",IF(OR(D33="3a", AND(S33&lt;&gt;"",S33&gt;4)),"3a",IF(AND(S33&lt;&gt;"", S33&lt;=4,S33&gt;2),"2",IF(AND(S33&lt;&gt;"",S33&lt;=2,S33&gt;1),"1b",IF(AND(S33&lt;&gt;"",S33&lt;=1),"1a","1a"))))))))</f>
        <v>3a</v>
      </c>
      <c r="AI33" s="56" t="str">
        <f t="shared" si="5"/>
        <v>1a</v>
      </c>
      <c r="AJ33" s="56">
        <f t="shared" si="6"/>
        <v>0</v>
      </c>
      <c r="AK33" s="57" t="str">
        <f t="shared" si="7"/>
        <v>II</v>
      </c>
      <c r="AL33" s="45" t="s">
        <v>168</v>
      </c>
      <c r="AM33" s="46" t="s">
        <v>202</v>
      </c>
      <c r="AN33" s="46" t="s">
        <v>198</v>
      </c>
      <c r="AO33" s="46">
        <v>0</v>
      </c>
      <c r="AP33" s="46" t="s">
        <v>344</v>
      </c>
      <c r="AQ33" s="10">
        <f>IF(AL33=AG33,1,0)</f>
        <v>0</v>
      </c>
      <c r="AR33" s="27">
        <f>IF(AM33=AH33,1,0)</f>
        <v>0</v>
      </c>
      <c r="AS33" s="27">
        <f t="shared" si="8"/>
        <v>1</v>
      </c>
      <c r="AT33" s="27">
        <f t="shared" si="9"/>
        <v>1</v>
      </c>
      <c r="AU33" s="29">
        <f t="shared" si="9"/>
        <v>0</v>
      </c>
    </row>
    <row r="34" spans="1:48">
      <c r="A34" s="13">
        <v>32</v>
      </c>
      <c r="B34" s="16">
        <f>_xlfn.MAXIFS('Model output'!B:B,'Model output'!Z:Z,'Classification result'!$A34)</f>
        <v>44630</v>
      </c>
      <c r="C34" s="17">
        <f>_xlfn.MAXIFS('Model output'!C:C,'Model output'!Z:Z,'Classification result'!$A34)</f>
        <v>72</v>
      </c>
      <c r="D34" s="17" t="str" cm="1">
        <f t="array" ref="D34">LEFT(IF(ISERROR(RIGHT(IF(INDEX(_xlfn._xlws.FILTER('Model output'!D:D,('Model output'!Z:Z=A34)),1)&lt;&gt;"",INDEX(_xlfn._xlws.FILTER('Model output'!D:D,('Model output'!Z:Z=A34)),1),""),LEN(IF(INDEX(_xlfn._xlws.FILTER('Model output'!D:D,('Model output'!Z:Z=A34)),1)&lt;&gt;"",INDEX(_xlfn._xlws.FILTER('Model output'!D:D,('Model output'!Z:Z=A34)),1),""))-FIND("T",IF(INDEX(_xlfn._xlws.FILTER('Model output'!D:D,('Model output'!Z:Z=A34)),1)&lt;&gt;"",INDEX(_xlfn._xlws.FILTER('Model output'!D:D,('Model output'!Z:Z=A34)),1),""),1))),"",(RIGHT(IF(INDEX(_xlfn._xlws.FILTER('Model output'!D:D,('Model output'!Z:Z=A34)),1)&lt;&gt;"",INDEX(_xlfn._xlws.FILTER('Model output'!D:D,('Model output'!Z:Z=A34)),1),""),LEN(IF(INDEX(_xlfn._xlws.FILTER('Model output'!D:D,('Model output'!Z:Z=A34)),1)&lt;&gt;"",INDEX(_xlfn._xlws.FILTER('Model output'!D:D,('Model output'!Z:Z=A34)),1),""))-FIND("T",IF(INDEX(_xlfn._xlws.FILTER('Model output'!D:D,('Model output'!Z:Z=A34)),1)&lt;&gt;"",INDEX(_xlfn._xlws.FILTER('Model output'!D:D,('Model output'!Z:Z=A34)),1)))))),2)</f>
        <v>4</v>
      </c>
      <c r="E34" s="17" t="str" cm="1">
        <f t="array" ref="E34">IF(ISNUMBER(SEARCH("N",IF(ISNUMBER(SEARCH("present",IF(INDEX(_xlfn._xlws.FILTER('Model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output'!Z:Z=A34)),1))),1)),RIGHT(IF(ISNUMBER(SEARCH("present",IF(INDEX(_xlfn._xlws.FILTER('Model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output'!Z:Z=A34)),1))),LEN(IF(ISNUMBER(SEARCH("present",IF(INDEX(_xlfn._xlws.FILTER('Model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output'!Z:Z=A34)),1))))-FIND("N",IF(ISNUMBER(SEARCH("present",IF(INDEX(_xlfn._xlws.FILTER('Model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output'!Z:Z=A34)),1))),1)), "")</f>
        <v>X</v>
      </c>
      <c r="F34" s="17" cm="1">
        <f t="array" ref="F34">IF(AND(SUBSTITUTE(_xlfn.TEXTJOIN("/", TRUE, _xlfn._xlws.FILTER('Model output'!F:F, 'Model output'!Z:Z=A34)),"M", "")="", I34="negative"),0,IF(I34="positive",1,0))</f>
        <v>0</v>
      </c>
      <c r="G34" t="str">
        <f t="shared" si="0"/>
        <v>positive</v>
      </c>
      <c r="H34" t="str" cm="1">
        <f t="array" ref="H34">IF(AND(K34&gt;0, _xlfn.TEXTJOIN("; ", TRUE, _xlfn._xlws.FILTER('Model output'!G:G, 'Model output'!Z:Z=A34)) &lt;&gt;"", OR(AND(ISNUMBER(SEARCH("level", _xlfn.TEXTJOIN("; ", TRUE, _xlfn._xlws.FILTER('Model output'!G:G, 'Model output'!Z:Z=A34)),1)),OR(ISNUMBER(SEARCH(" II", _xlfn.TEXTJOIN("; ", TRUE, _xlfn._xlws.FILTER('Model output'!G:G, 'Model output'!Z:Z=A34)),1)),ISNUMBER(SEARCH("2", _xlfn.TEXTJOIN("; ", TRUE, _xlfn._xlws.FILTER('Model output'!G:G, 'Model output'!Z:Z=A34)),1)),ISNUMBER(SEARCH("two", _xlfn.TEXTJOIN("; ", TRUE, _xlfn._xlws.FILTER('Model output'!G:G, 'Model output'!Z:Z=A34)),1)),ISNUMBER(SEARCH("III", _xlfn.TEXTJOIN("; ", TRUE, _xlfn._xlws.FILTER('Model output'!G:G, 'Model output'!Z:Z=A34)),1)),ISNUMBER(SEARCH("3", _xlfn.TEXTJOIN("; ", TRUE, _xlfn._xlws.FILTER('Model output'!G:G, 'Model output'!Z:Z=A34)),1)),ISNUMBER(SEARCH("three", _xlfn.TEXTJOIN("; ", TRUE, _xlfn._xlws.FILTER('Model output'!G:G, 'Model output'!Z:Z=A34)),1)),ISNUMBER(SEARCH("IV", _xlfn.TEXTJOIN("; ", TRUE, _xlfn._xlws.FILTER('Model output'!G:G, 'Model output'!Z:Z=A34)),1)),ISNUMBER(SEARCH("4", _xlfn.TEXTJOIN("; ", TRUE, _xlfn._xlws.FILTER('Model output'!G:G, 'Model output'!Z:Z=A34)),1)),ISNUMBER(SEARCH("five", _xlfn.TEXTJOIN("; ", TRUE, _xlfn._xlws.FILTER('Model output'!G:G, 'Model output'!Z:Z=A34)),1)),ISNUMBER(SEARCH("V ", _xlfn.TEXTJOIN("; ", TRUE, _xlfn._xlws.FILTER('Model output'!G:G, 'Model output'!Z:Z=A34)),1)),ISNUMBER(SEARCH("5", _xlfn.TEXTJOIN("; ", TRUE, _xlfn._xlws.FILTER('Model output'!G:G, 'Model output'!Z:Z=A34)),1)),ISNUMBER(SEARCH("five", _xlfn.TEXTJOIN("; ", TRUE, _xlfn._xlws.FILTER('Model output'!G:G, 'Model output'!Z:Z=A34)),1)),ISNUMBER(SEARCH(" lateral", _xlfn.TEXTJOIN("; ", TRUE, _xlfn._xlws.FILTER('Model output'!G:G, 'Model output'!Z:Z=A34)),1)))),ISNUMBER(SEARCH("cervical", _xlfn.TEXTJOIN("; ", TRUE, _xlfn._xlws.FILTER('Model output'!G:G, 'Model output'!Z:Z=A34)),1)),ISNUMBER(SEARCH("jugular", _xlfn.TEXTJOIN("; ", TRUE, _xlfn._xlws.FILTER('Model output'!G:G, 'Model output'!Z:Z=A34)),1)),ISNUMBER(SEARCH("left neck", _xlfn.TEXTJOIN("; ", TRUE, _xlfn._xlws.FILTER('Model output'!G:G, 'Model output'!Z:Z=A34)),1)),ISNUMBER(SEARCH("left anterior neck", _xlfn.TEXTJOIN("; ", TRUE, _xlfn._xlws.FILTER('Model output'!G:G, 'Model output'!Z:Z=A34)),1)),ISNUMBER(SEARCH("left posterior neck", _xlfn.TEXTJOIN("; ", TRUE, _xlfn._xlws.FILTER('Model output'!G:G, 'Model output'!Z:Z=A34)),1)),ISNUMBER(SEARCH("right neck", _xlfn.TEXTJOIN("; ", TRUE, _xlfn._xlws.FILTER('Model output'!G:G, 'Model output'!Z:Z=A34)),1)),ISNUMBER(SEARCH("right anterior neck", _xlfn.TEXTJOIN("; ", TRUE, _xlfn._xlws.FILTER('Model output'!G:G, 'Model output'!Z:Z=A34)),1)),ISNUMBER(SEARCH("right posterior neck", _xlfn.TEXTJOIN("; ", TRUE, _xlfn._xlws.FILTER('Model output'!G:G, 'Model output'!Z:Z=A34)),1)))),"lateral",IF(AND(K34=0, _xlfn.TEXTJOIN("; ", TRUE, _xlfn._xlws.FILTER('Model output'!G:G, 'Model output'!Z:Z=A34))=""),"", "central"))</f>
        <v>central</v>
      </c>
      <c r="I34" s="17" t="str" cm="1">
        <f t="array" ref="I34">IF(OR(ISNUMBER(SEARCH("lymph",_xlfn.TEXTJOIN("; ", TRUE, _xlfn._xlws.FILTER('Model output'!H:H, 'Model output'!Z:Z=A34)),1)), ISNUMBER(SEARCH("Not mentioned",_xlfn.TEXTJOIN("; ", TRUE, _xlfn._xlws.FILTER('Model output'!H:H, 'Model output'!Z:Z=A34)),1)),ISNUMBER(SEARCH("subcutaneous soft tissues",_xlfn.TEXTJOIN("; ", TRUE, _xlfn._xlws.FILTER('Model output'!H:H, 'Model output'!Z:Z=A34)),1)),ISNUMBER(SEARCH("larynx",_xlfn.TEXTJOIN("; ", TRUE, _xlfn._xlws.FILTER('Model output'!H:H, 'Model output'!Z:Z=A34)),1)),ISNUMBER(SEARCH("trachea",_xlfn.TEXTJOIN("; ", TRUE, _xlfn._xlws.FILTER('Model output'!H:H, 'Model output'!Z:Z=A34)),1)),ISNUMBER(SEARCH("esophagus",_xlfn.TEXTJOIN("; ", TRUE, _xlfn._xlws.FILTER('Model output'!H:H, 'Model output'!Z:Z=A34)),1)),ISNUMBER(SEARCH("recurrent laryngeal nerve",_xlfn.TEXTJOIN("; ", TRUE, _xlfn._xlws.FILTER('Model output'!H:H, 'Model output'!Z:Z=A34)),1)),ISNUMBER(SEARCH("RLN",_xlfn.TEXTJOIN("; ", TRUE, _xlfn._xlws.FILTER('Model output'!H:H, 'Model output'!Z:Z=A34)),1)),_xlfn.TEXTJOIN("; ", TRUE, _xlfn._xlws.FILTER('Model output'!H:H, 'Model output'!Z:Z=A34))=""),"negative","positive")</f>
        <v>negative</v>
      </c>
      <c r="J34" s="17">
        <f>IF(IFERROR(INDEX('Model output'!I:I, MATCH(A34, 'Model output'!Z:Z, 0)), "") &lt; K34, "", IFERROR(INDEX('Model output'!I:I, MATCH(A34, 'Model output'!Z:Z, 0)), ""))</f>
        <v>3</v>
      </c>
      <c r="K34" s="17">
        <f>IFERROR(INDEX('Model output'!J:J, MATCH(A34, 'Model output'!Z:Z, 0)), "")</f>
        <v>1</v>
      </c>
      <c r="L34" s="18" t="str" cm="1">
        <f t="array" ref="L34">ReplaceTo(ReplaceAnd(SUBSTITUTE(SUBSTITUTE(_xlfn.TEXTJOIN("; ", TRUE, _xlfn._xlws.FILTER('Model output'!K:K, 'Model output'!Z:Z=A34)), " ", ""), ",", ";")))</f>
        <v/>
      </c>
      <c r="M34" t="str" cm="1">
        <f t="array" ref="M34">IF(LEFT(IF(RIGHT(SUBSTITUTE(FilterWithUnits(L34)&amp; ";" &amp;FilterStringsWithNumericAnd(L34) &amp; ";" &amp; FilterStringsWithX(L34), ";;", ";"),1)=";",LEFT(SUBSTITUTE(FilterWithUnits(L34)&amp; ";" &amp;FilterStringsWithNumericAnd(L34) &amp; ";" &amp; FilterStringsWithX(L34), ";;", ";"),LEN(SUBSTITUTE(FilterWithUnits(L34)&amp; ";" &amp;FilterStringsWithNumericAnd(L34) &amp; ";" &amp; FilterStringsWithX(L34), ";;", ";"))-1),SUBSTITUTE(FilterWithUnits(L34)&amp; ";" &amp;FilterStringsWithNumericAnd(L34) &amp; ";" &amp; FilterStringsWithX(L34), ";;", ";")),1)=";",RIGHT(IF(RIGHT(SUBSTITUTE(FilterWithUnits(L34)&amp; ";" &amp;FilterStringsWithNumericAnd(L34) &amp; ";" &amp; FilterStringsWithX(L34), ";;", ";"),1)=";",LEFT(SUBSTITUTE(FilterWithUnits(L34)&amp; ";" &amp;FilterStringsWithNumericAnd(L34) &amp; ";" &amp; FilterStringsWithX(L34), ";;", ";"),LEN(SUBSTITUTE(FilterWithUnits(L34)&amp; ";" &amp;FilterStringsWithNumericAnd(L34) &amp; ";" &amp; FilterStringsWithX(L34), ";;", ";"))-1),SUBSTITUTE(FilterWithUnits(L34)&amp; ";" &amp;FilterStringsWithNumericAnd(L34) &amp; ";" &amp; FilterStringsWithX(L34), ";;", ";")),LEN(IF(RIGHT(SUBSTITUTE(FilterWithUnits(L34)&amp; ";" &amp;FilterStringsWithNumericAnd(L34) &amp; ";" &amp; FilterStringsWithX(L34), ";;", ";"),1)=";",LEFT(SUBSTITUTE(FilterWithUnits(L34)&amp; ";" &amp;FilterStringsWithNumericAnd(L34) &amp; ";" &amp; FilterStringsWithX(L34), ";;", ";"),LEN(SUBSTITUTE(FilterWithUnits(L34)&amp; ";" &amp;FilterStringsWithNumericAnd(L34) &amp; ";" &amp; FilterStringsWithX(L34), ";;", ";"))-1),SUBSTITUTE(FilterWithUnits(L34)&amp; ";" &amp;FilterStringsWithNumericAnd(L34) &amp; ";" &amp; FilterStringsWithX(L34), ";;", ";")))-1),IF(RIGHT(SUBSTITUTE(FilterWithUnits(L34)&amp; ";" &amp;FilterStringsWithNumericAnd(L34) &amp; ";" &amp; FilterStringsWithX(L34), ";;", ";"),1)=";",LEFT(SUBSTITUTE(FilterWithUnits(L34)&amp; ";" &amp;FilterStringsWithNumericAnd(L34) &amp; ";" &amp; FilterStringsWithX(L34), ";;", ";"),LEN(SUBSTITUTE(FilterWithUnits(L34)&amp; ";" &amp;FilterStringsWithNumericAnd(L34) &amp; ";" &amp; FilterStringsWithX(L34), ";;", ";"))-1),SUBSTITUTE(FilterWithUnits(L34)&amp; ";" &amp;FilterStringsWithNumericAnd(L34) &amp; ";" &amp; FilterStringsWithX(L34), ";;", ";")))</f>
        <v/>
      </c>
      <c r="N34" t="str" cm="1">
        <f t="array" ref="N34">IF(MaxSize((SplitDimensions(M34)))=0, "", MaxSize((SplitDimensions(M34))))</f>
        <v/>
      </c>
      <c r="O34" t="str" cm="1">
        <f t="array" ref="O34">IF(ISERROR(INDEX(_xlfn._xlws.FILTER('Model output'!L:L, ('Model output'!Z:Z=A34)*('Model output'!L:L&lt;&gt;"")), 1)), " ", LOWER(INDEX(_xlfn._xlws.FILTER('Model output'!L:L, ('Model output'!Z:Z=A34)*('Model output'!L:L&lt;&gt;"")), 1)))</f>
        <v>follicular</v>
      </c>
      <c r="P34" t="str" cm="1">
        <f t="array" ref="P34">IF(ISERROR(INDEX(_xlfn._xlws.FILTER('Model output'!M:M, ('Model output'!Z:Z=A34)*('Model output'!M:M&lt;&gt;"")), 1)), " ", LOWER(INDEX(_xlfn._xlws.FILTER('Model output'!M:M, ('Model output'!Z:Z=A34)*('Model output'!M:M&lt;&gt;"")), 1)))</f>
        <v xml:space="preserve"> </v>
      </c>
      <c r="Q34" t="str" cm="1">
        <f t="array" ref="Q34">IF(OR(ISNUMBER(SEARCH("ly",SUBSTITUTE(INDEX(_xlfn._xlws.FILTER('Model output'!N:N,('Model output'!Z:Z=A34)*('Model output'!N:N&lt;&gt;"")),1)," ",""),1)), ISNUMBER(SEARCH("pole",SUBSTITUTE(INDEX(_xlfn._xlws.FILTER('Model output'!N:N,('Model output'!Z:Z=A34)*('Model output'!N:N&lt;&gt;"")),1)," ",""),1))),"",SUBSTITUTE(INDEX(_xlfn._xlws.FILTER('Model output'!N:N,('Model output'!Z:Z=A34)*('Model output'!N:N&lt;&gt;"")),1)," ",""))</f>
        <v/>
      </c>
      <c r="R34" t="str" cm="1">
        <f t="array" ref="R34">IF(LEFT(IF(RIGHT(SUBSTITUTE(FilterWithUnits(Q34)&amp; ";" &amp;FilterStringsWithNumericAnd(Q34) &amp; ";" &amp; FilterStringsWithX(Q34), ";;", ";"),1)=";",LEFT(SUBSTITUTE(FilterWithUnits(Q34)&amp; ";" &amp;FilterStringsWithNumericAnd(Q34) &amp; ";" &amp; FilterStringsWithX(Q34), ";;", ";"),LEN(SUBSTITUTE(FilterWithUnits(Q34)&amp; ";" &amp;FilterStringsWithNumericAnd(Q34) &amp; ";" &amp; FilterStringsWithX(Q34), ";;", ";"))-1),SUBSTITUTE(FilterWithUnits(Q34)&amp; ";" &amp;FilterStringsWithNumericAnd(Q34) &amp; ";" &amp; FilterStringsWithX(Q34), ";;", ";")),1)=";",RIGHT(IF(RIGHT(SUBSTITUTE(FilterWithUnits(Q34)&amp; ";" &amp;FilterStringsWithNumericAnd(Q34) &amp; ";" &amp; FilterStringsWithX(Q34), ";;", ";"),1)=";",LEFT(SUBSTITUTE(FilterWithUnits(Q34)&amp; ";" &amp;FilterStringsWithNumericAnd(Q34) &amp; ";" &amp; FilterStringsWithX(Q34), ";;", ";"),LEN(SUBSTITUTE(FilterWithUnits(Q34)&amp; ";" &amp;FilterStringsWithNumericAnd(Q34) &amp; ";" &amp; FilterStringsWithX(Q34), ";;", ";"))-1),SUBSTITUTE(FilterWithUnits(Q34)&amp; ";" &amp;FilterStringsWithNumericAnd(Q34) &amp; ";" &amp; FilterStringsWithX(Q34), ";;", ";")),LEN(IF(RIGHT(SUBSTITUTE(FilterWithUnits(Q34)&amp; ";" &amp;FilterStringsWithNumericAnd(Q34) &amp; ";" &amp; FilterStringsWithX(Q34), ";;", ";"),1)=";",LEFT(SUBSTITUTE(FilterWithUnits(Q34)&amp; ";" &amp;FilterStringsWithNumericAnd(Q34) &amp; ";" &amp; FilterStringsWithX(Q34), ";;", ";"),LEN(SUBSTITUTE(FilterWithUnits(Q34)&amp; ";" &amp;FilterStringsWithNumericAnd(Q34) &amp; ";" &amp; FilterStringsWithX(Q34), ";;", ";"))-1),SUBSTITUTE(FilterWithUnits(Q34)&amp; ";" &amp;FilterStringsWithNumericAnd(Q34) &amp; ";" &amp; FilterStringsWithX(Q34), ";;", ";")))-1),IF(RIGHT(SUBSTITUTE(FilterWithUnits(Q34)&amp; ";" &amp;FilterStringsWithNumericAnd(Q34) &amp; ";" &amp; FilterStringsWithX(Q34), ";;", ";"),1)=";",LEFT(SUBSTITUTE(FilterWithUnits(Q34)&amp; ";" &amp;FilterStringsWithNumericAnd(Q34) &amp; ";" &amp; FilterStringsWithX(Q34), ";;", ";"),LEN(SUBSTITUTE(FilterWithUnits(Q34)&amp; ";" &amp;FilterStringsWithNumericAnd(Q34) &amp; ";" &amp; FilterStringsWithX(Q34), ";;", ";"))-1),SUBSTITUTE(FilterWithUnits(Q34)&amp; ";" &amp;FilterStringsWithNumericAnd(Q34) &amp; ";" &amp; FilterStringsWithX(Q34), ";;", ";")))</f>
        <v/>
      </c>
      <c r="S34" t="str" cm="1">
        <f t="array" ref="S34">IF(MaxSize((SplitDimensions(R34)))=0, "", MaxSize((SplitDimensions(R34))))</f>
        <v/>
      </c>
      <c r="T34" s="17" t="str" cm="1">
        <f t="array" ref="T34">IF(ISERROR(INDEX(_xlfn._xlws.FILTER('Model output'!P:P,('Model output'!Z:Z=A34)*('Model output'!P:P&lt;&gt;"")),1)),"negative",IF(OR(ISNUMBER(SEARCH("foc",INDEX(_xlfn._xlws.FILTER('Model output'!P:P,('Model output'!Z:Z=A34)*('Model output'!P:P&lt;&gt;"")),1),1)),ISNUMBER(SEARCH("extensive",INDEX(_xlfn._xlws.FILTER('Model output'!P:P,('Model output'!Z:Z=A34)*('Model output'!P:P&lt;&gt;"")),1),1)),ISNUMBER(SEARCH("present",INDEX(_xlfn._xlws.FILTER('Model output'!P:P,('Model output'!Z:Z=A34)*('Model output'!P:P&lt;&gt;"")),1),1)),ISNUMBER(SEARCH("yes",INDEX(_xlfn._xlws.FILTER('Model output'!P:P,('Model output'!Z:Z=A34)*('Model output'!P:P&lt;&gt;"")),1),1))),"positive","negative"))</f>
        <v>positive</v>
      </c>
      <c r="V34" t="str" cm="1">
        <f t="array" ref="V34">IF(ISNUMBER(SEARCH("4",INDEX(_xlfn._xlws.FILTER('Model output'!P:P,('Model output'!Z:Z=A34)*('Model output'!P:P&lt;&gt;"")),1),1)),INDEX(_xlfn._xlws.FILTER('Model output'!P:P,('Model output'!Z:Z=A34)*('Model output'!P:P&lt;&gt;"")),1),"") &amp; _xlfn.TEXTJOIN("",TRUE,_xlfn._xlws.FILTER('Model output'!Q:Q,'Model output'!Z:Z=A34))</f>
        <v>Extensive (= or &gt; 4 vessels)4 or more</v>
      </c>
      <c r="W34" t="str">
        <f t="shared" si="2"/>
        <v>extensive</v>
      </c>
      <c r="X34" t="str" cm="1">
        <f t="array" ref="X34">IF(OR(ISNUMBER(SEARCH("focal",_xlfn.TEXTJOIN("; ",TRUE,_xlfn._xlws.FILTER('Model output'!R:R,'Model output'!Z:Z=A34)),1)),ISNUMBER(SEARCH("present",_xlfn.TEXTJOIN("; ",TRUE,_xlfn._xlws.FILTER('Model output'!R:R,'Model output'!Z:Z=A34)),1))),"positive",IF(_xlfn.TEXTJOIN("; ",TRUE,_xlfn._xlws.FILTER('Model output'!R:R,'Model output'!Z:Z=A34))="","negative",IF(OR(ISNUMBER(SEARCH("no",_xlfn.TEXTJOIN("; ",TRUE,_xlfn._xlws.FILTER('Model output'!R:R,'Model output'!Z:Z=A34)),1)),ISNUMBER(SEARCH("absent",_xlfn.TEXTJOIN("; ",TRUE,_xlfn._xlws.FILTER('Model output'!R:R,'Model output'!Z:Z=A34)),1))),"negative","positive")))</f>
        <v>positive</v>
      </c>
      <c r="Y34" s="17" t="str">
        <f t="shared" si="3"/>
        <v>positive</v>
      </c>
      <c r="AC34" s="17" t="str">
        <f t="shared" si="4"/>
        <v>negative</v>
      </c>
      <c r="AD34" t="str" cm="1">
        <f t="array" ref="AD34">_xlfn.TEXTJOIN("; ",TRUE,_xlfn._xlws.FILTER('Model output'!S:S,'Model output'!Z:Z=A34))</f>
        <v>Focally into adjacent fibroadipose tissue</v>
      </c>
      <c r="AE34" s="17" t="str" cm="1">
        <f t="array" ref="AE34">IF(OR(ISNUMBER(SEARCH("uninvolved",_xlfn.TEXTJOIN("; ",TRUE,_xlfn._xlws.FILTER('Model output'!V:V,'Model output'!Z:Z=A34)),1)),ISNUMBER(SEARCH("clear",_xlfn.TEXTJOIN("; ",TRUE,_xlfn._xlws.FILTER('Model output'!V:V,'Model output'!Z:Z=A34)),1))*ISNUMBER(SEARCH("not mentioned",_xlfn.TEXTJOIN("; ",TRUE,_xlfn._xlws.FILTER('Model output'!V:V,'Model output'!Z:Z=A34)),1))),"negative",IF(ISNUMBER(SEARCH("cannot be assessed",_xlfn.TEXTJOIN("; ",TRUE,_xlfn._xlws.FILTER('Model output'!V:V,'Model output'!Z:Z=A34)),1)),"unknown","negative"))</f>
        <v>negative</v>
      </c>
      <c r="AG34" s="43" t="str">
        <f>IF(OR(ISNUMBER(SEARCH("non-invasive follicular",O34,1)), ISNUMBER(SEARCH("papillary-like nuclear features",P34,1)), ISNUMBER(SEARCH("non-invasive follicular",P34,1)),ISNUMBER(SEARCH("papillary-like nuclear features",P34,1))),"NIFTP", IF(OR(I34="positive",AC34="positive",AND(OR(ISNUMBER(SEARCH("follicular", O34)),ISNUMBER(SEARCH("FTC", O34))),W34="extensive"),AND(G34="positive",ISNUMBER(N34),N34&gt;3),AI34=1),"high",IF(OR(ISNUMBER(SEARCH("positive",Y34,1)),ISNUMBER(SEARCH("tall",P34,1)),ISNUMBER(SEARCH("hobnail",P34,1)),ISNUMBER(SEARCH("cribriform",P34,1)),ISNUMBER(SEARCH("diffuse",P34,1)),ISNUMBER(SEARCH("columnar",P34,1)),ISNUMBER(SEARCH("solid",P34,1)),ISNUMBER(SEARCH("tall",O34,1)),ISNUMBER(SEARCH("hobnail",O34,1)),ISNUMBER(SEARCH("cribriform",O34,1)),ISNUMBER(SEARCH("diffuse",O34,1)),ISNUMBER(SEARCH("columnar",O34,1)),ISNUMBER(SEARCH("solid",O34,1)),AND(OR(ISNUMBER(SEARCH("papillary carcinoma",O34,1)),ISNUMBER(SEARCH("papillary microcarcinoma",O34,1))),T34="positive"),,AND(AND(ISNUMBER(K34),K34&gt;=5),N34=""),AND(AND(ISNUMBER(K34),K34&gt;=5),AND(ISNUMBER(N34),N34&gt;=1)),H34="lateral"),"intermediate","low")))</f>
        <v>high</v>
      </c>
      <c r="AH34" s="44" t="str">
        <f t="shared" ref="AH34:AH37" si="14">IF(OR(ISNUMBER(SEARCH("non-invasive follicular",O34)),ISNUMBER(SEARCH("papillary-like nuclear features",O34)),ISNUMBER(SEARCH("non-invasive follicular",P34)),ISNUMBER(SEARCH("papillary-like nuclear features",P34))),"NIFTP", IF(OR(D34="4b",AND(AC34="positive",OR(ISNUMBER(SEARCH("prevertebral",AD34)),ISNUMBER(SEARCH("fascia",AD34)),ISNUMBER(SEARCH("carotid artery",AD34)),ISNUMBER(SEARCH("mediastinal",AD34))))),"4b",IF(OR(D34="4a",AND(AC34="positive",OR(ISNUMBER(SEARCH("soft tissue",AD34)),ISNUMBER(SEARCH("larynx",AD34)),ISNUMBER(SEARCH("trachea",AD34)),ISNUMBER(SEARCH("esophagus",AD34)),ISNUMBER(SEARCH("recurrent laryngeal nerve",AD34)),ISNUMBER(SEARCH("RLN",AD34))))),"4a", IF(OR(D34="3b", AC34="positive",ISNUMBER(SEARCH("strap",AD34)),ISNUMBER(SEARCH("adipose tissue",AD34)),ISNUMBER(SEARCH("sternothyroid",AD34)),ISNUMBER(SEARCH("sternohyoid",AD34)),ISNUMBER(SEARCH("thyrohyoid",AD34)),ISNUMBER(SEARCH("omohyoid",AD34))),"3b",IF(OR(D34="3a", AND(S34&lt;&gt;"",S34&gt;4)),"3a",IF(AND(S34&lt;&gt;"", S34&lt;=4,S34&gt;2),"2",IF(AND(S34&lt;&gt;"",S34&lt;=2,S34&gt;1),"1b",IF(AND(S34&lt;&gt;"",S34&lt;=1),"1a","1a"))))))))</f>
        <v>3b</v>
      </c>
      <c r="AI34" s="56" t="str">
        <f t="shared" si="5"/>
        <v>1a</v>
      </c>
      <c r="AJ34" s="56">
        <f t="shared" si="6"/>
        <v>0</v>
      </c>
      <c r="AK34" s="57" t="str">
        <f t="shared" si="7"/>
        <v>II</v>
      </c>
      <c r="AL34" s="45" t="s">
        <v>168</v>
      </c>
      <c r="AM34" s="46" t="s">
        <v>200</v>
      </c>
      <c r="AN34" s="46">
        <v>0</v>
      </c>
      <c r="AO34" s="46">
        <v>0</v>
      </c>
      <c r="AP34" s="46" t="s">
        <v>43</v>
      </c>
      <c r="AQ34" s="10">
        <f>IF(AL34=AG34,1,0)</f>
        <v>1</v>
      </c>
      <c r="AR34" s="27">
        <f>IF(AM34=AH34,1,0)</f>
        <v>0</v>
      </c>
      <c r="AS34" s="27">
        <f t="shared" si="8"/>
        <v>0</v>
      </c>
      <c r="AT34" s="27">
        <f t="shared" si="9"/>
        <v>1</v>
      </c>
      <c r="AU34" s="29">
        <f t="shared" si="9"/>
        <v>1</v>
      </c>
    </row>
    <row r="35" spans="1:48">
      <c r="A35" s="13">
        <v>33</v>
      </c>
      <c r="B35" s="16">
        <f>_xlfn.MAXIFS('Model output'!B:B,'Model output'!Z:Z,'Classification result'!$A35)</f>
        <v>44518</v>
      </c>
      <c r="C35" s="17">
        <f>_xlfn.MAXIFS('Model output'!C:C,'Model output'!Z:Z,'Classification result'!$A35)</f>
        <v>41</v>
      </c>
      <c r="D35" s="17" t="str" cm="1">
        <f t="array" ref="D35">LEFT(IF(ISERROR(RIGHT(IF(INDEX(_xlfn._xlws.FILTER('Model output'!D:D,('Model output'!Z:Z=A35)),1)&lt;&gt;"",INDEX(_xlfn._xlws.FILTER('Model output'!D:D,('Model output'!Z:Z=A35)),1),""),LEN(IF(INDEX(_xlfn._xlws.FILTER('Model output'!D:D,('Model output'!Z:Z=A35)),1)&lt;&gt;"",INDEX(_xlfn._xlws.FILTER('Model output'!D:D,('Model output'!Z:Z=A35)),1),""))-FIND("T",IF(INDEX(_xlfn._xlws.FILTER('Model output'!D:D,('Model output'!Z:Z=A35)),1)&lt;&gt;"",INDEX(_xlfn._xlws.FILTER('Model output'!D:D,('Model output'!Z:Z=A35)),1),""),1))),"",(RIGHT(IF(INDEX(_xlfn._xlws.FILTER('Model output'!D:D,('Model output'!Z:Z=A35)),1)&lt;&gt;"",INDEX(_xlfn._xlws.FILTER('Model output'!D:D,('Model output'!Z:Z=A35)),1),""),LEN(IF(INDEX(_xlfn._xlws.FILTER('Model output'!D:D,('Model output'!Z:Z=A35)),1)&lt;&gt;"",INDEX(_xlfn._xlws.FILTER('Model output'!D:D,('Model output'!Z:Z=A35)),1),""))-FIND("T",IF(INDEX(_xlfn._xlws.FILTER('Model output'!D:D,('Model output'!Z:Z=A35)),1)&lt;&gt;"",INDEX(_xlfn._xlws.FILTER('Model output'!D:D,('Model output'!Z:Z=A35)),1)))))),2)</f>
        <v>1a</v>
      </c>
      <c r="E35" s="17" t="str" cm="1">
        <f t="array" ref="E35">IF(ISNUMBER(SEARCH("N",IF(ISNUMBER(SEARCH("present",IF(INDEX(_xlfn._xlws.FILTER('Model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output'!Z:Z=A35)),1))),1)),RIGHT(IF(ISNUMBER(SEARCH("present",IF(INDEX(_xlfn._xlws.FILTER('Model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output'!Z:Z=A35)),1))),LEN(IF(ISNUMBER(SEARCH("present",IF(INDEX(_xlfn._xlws.FILTER('Model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output'!Z:Z=A35)),1))))-FIND("N",IF(ISNUMBER(SEARCH("present",IF(INDEX(_xlfn._xlws.FILTER('Model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output'!Z:Z=A35)),1))),1)), "")</f>
        <v/>
      </c>
      <c r="F35" s="17" cm="1">
        <f t="array" ref="F35">IF(AND(SUBSTITUTE(_xlfn.TEXTJOIN("/", TRUE, _xlfn._xlws.FILTER('Model output'!F:F, 'Model output'!Z:Z=A35)),"M", "")="", I35="negative"),0,IF(I35="positive",1,0))</f>
        <v>1</v>
      </c>
      <c r="G35" t="str">
        <f t="shared" si="0"/>
        <v/>
      </c>
      <c r="H35" t="str" cm="1">
        <f t="array" ref="H35">IF(AND(K35&gt;0, _xlfn.TEXTJOIN("; ", TRUE, _xlfn._xlws.FILTER('Model output'!G:G, 'Model output'!Z:Z=A35)) &lt;&gt;"", OR(AND(ISNUMBER(SEARCH("level", _xlfn.TEXTJOIN("; ", TRUE, _xlfn._xlws.FILTER('Model output'!G:G, 'Model output'!Z:Z=A35)),1)),OR(ISNUMBER(SEARCH(" II", _xlfn.TEXTJOIN("; ", TRUE, _xlfn._xlws.FILTER('Model output'!G:G, 'Model output'!Z:Z=A35)),1)),ISNUMBER(SEARCH("2", _xlfn.TEXTJOIN("; ", TRUE, _xlfn._xlws.FILTER('Model output'!G:G, 'Model output'!Z:Z=A35)),1)),ISNUMBER(SEARCH("two", _xlfn.TEXTJOIN("; ", TRUE, _xlfn._xlws.FILTER('Model output'!G:G, 'Model output'!Z:Z=A35)),1)),ISNUMBER(SEARCH("III", _xlfn.TEXTJOIN("; ", TRUE, _xlfn._xlws.FILTER('Model output'!G:G, 'Model output'!Z:Z=A35)),1)),ISNUMBER(SEARCH("3", _xlfn.TEXTJOIN("; ", TRUE, _xlfn._xlws.FILTER('Model output'!G:G, 'Model output'!Z:Z=A35)),1)),ISNUMBER(SEARCH("three", _xlfn.TEXTJOIN("; ", TRUE, _xlfn._xlws.FILTER('Model output'!G:G, 'Model output'!Z:Z=A35)),1)),ISNUMBER(SEARCH("IV", _xlfn.TEXTJOIN("; ", TRUE, _xlfn._xlws.FILTER('Model output'!G:G, 'Model output'!Z:Z=A35)),1)),ISNUMBER(SEARCH("4", _xlfn.TEXTJOIN("; ", TRUE, _xlfn._xlws.FILTER('Model output'!G:G, 'Model output'!Z:Z=A35)),1)),ISNUMBER(SEARCH("five", _xlfn.TEXTJOIN("; ", TRUE, _xlfn._xlws.FILTER('Model output'!G:G, 'Model output'!Z:Z=A35)),1)),ISNUMBER(SEARCH("V ", _xlfn.TEXTJOIN("; ", TRUE, _xlfn._xlws.FILTER('Model output'!G:G, 'Model output'!Z:Z=A35)),1)),ISNUMBER(SEARCH("5", _xlfn.TEXTJOIN("; ", TRUE, _xlfn._xlws.FILTER('Model output'!G:G, 'Model output'!Z:Z=A35)),1)),ISNUMBER(SEARCH("five", _xlfn.TEXTJOIN("; ", TRUE, _xlfn._xlws.FILTER('Model output'!G:G, 'Model output'!Z:Z=A35)),1)),ISNUMBER(SEARCH(" lateral", _xlfn.TEXTJOIN("; ", TRUE, _xlfn._xlws.FILTER('Model output'!G:G, 'Model output'!Z:Z=A35)),1)))),ISNUMBER(SEARCH("cervical", _xlfn.TEXTJOIN("; ", TRUE, _xlfn._xlws.FILTER('Model output'!G:G, 'Model output'!Z:Z=A35)),1)),ISNUMBER(SEARCH("jugular", _xlfn.TEXTJOIN("; ", TRUE, _xlfn._xlws.FILTER('Model output'!G:G, 'Model output'!Z:Z=A35)),1)),ISNUMBER(SEARCH("left neck", _xlfn.TEXTJOIN("; ", TRUE, _xlfn._xlws.FILTER('Model output'!G:G, 'Model output'!Z:Z=A35)),1)),ISNUMBER(SEARCH("left anterior neck", _xlfn.TEXTJOIN("; ", TRUE, _xlfn._xlws.FILTER('Model output'!G:G, 'Model output'!Z:Z=A35)),1)),ISNUMBER(SEARCH("left posterior neck", _xlfn.TEXTJOIN("; ", TRUE, _xlfn._xlws.FILTER('Model output'!G:G, 'Model output'!Z:Z=A35)),1)),ISNUMBER(SEARCH("right neck", _xlfn.TEXTJOIN("; ", TRUE, _xlfn._xlws.FILTER('Model output'!G:G, 'Model output'!Z:Z=A35)),1)),ISNUMBER(SEARCH("right anterior neck", _xlfn.TEXTJOIN("; ", TRUE, _xlfn._xlws.FILTER('Model output'!G:G, 'Model output'!Z:Z=A35)),1)),ISNUMBER(SEARCH("right posterior neck", _xlfn.TEXTJOIN("; ", TRUE, _xlfn._xlws.FILTER('Model output'!G:G, 'Model output'!Z:Z=A35)),1)))),"lateral",IF(AND(K35=0, _xlfn.TEXTJOIN("; ", TRUE, _xlfn._xlws.FILTER('Model output'!G:G, 'Model output'!Z:Z=A35))=""),"", "central"))</f>
        <v/>
      </c>
      <c r="I35" s="17" t="str" cm="1">
        <f t="array" ref="I35">IF(OR(ISNUMBER(SEARCH("lymph",_xlfn.TEXTJOIN("; ", TRUE, _xlfn._xlws.FILTER('Model output'!H:H, 'Model output'!Z:Z=A35)),1)), ISNUMBER(SEARCH("Not mentioned",_xlfn.TEXTJOIN("; ", TRUE, _xlfn._xlws.FILTER('Model output'!H:H, 'Model output'!Z:Z=A35)),1)),ISNUMBER(SEARCH("subcutaneous soft tissues",_xlfn.TEXTJOIN("; ", TRUE, _xlfn._xlws.FILTER('Model output'!H:H, 'Model output'!Z:Z=A35)),1)),ISNUMBER(SEARCH("larynx",_xlfn.TEXTJOIN("; ", TRUE, _xlfn._xlws.FILTER('Model output'!H:H, 'Model output'!Z:Z=A35)),1)),ISNUMBER(SEARCH("trachea",_xlfn.TEXTJOIN("; ", TRUE, _xlfn._xlws.FILTER('Model output'!H:H, 'Model output'!Z:Z=A35)),1)),ISNUMBER(SEARCH("esophagus",_xlfn.TEXTJOIN("; ", TRUE, _xlfn._xlws.FILTER('Model output'!H:H, 'Model output'!Z:Z=A35)),1)),ISNUMBER(SEARCH("recurrent laryngeal nerve",_xlfn.TEXTJOIN("; ", TRUE, _xlfn._xlws.FILTER('Model output'!H:H, 'Model output'!Z:Z=A35)),1)),ISNUMBER(SEARCH("RLN",_xlfn.TEXTJOIN("; ", TRUE, _xlfn._xlws.FILTER('Model output'!H:H, 'Model output'!Z:Z=A35)),1)),_xlfn.TEXTJOIN("; ", TRUE, _xlfn._xlws.FILTER('Model output'!H:H, 'Model output'!Z:Z=A35))=""),"negative","positive")</f>
        <v>positive</v>
      </c>
      <c r="J35" s="17">
        <f>IF(IFERROR(INDEX('Model output'!I:I, MATCH(A35, 'Model output'!Z:Z, 0)), "") &lt; K35, "", IFERROR(INDEX('Model output'!I:I, MATCH(A35, 'Model output'!Z:Z, 0)), ""))</f>
        <v>0</v>
      </c>
      <c r="K35" s="17">
        <f>IFERROR(INDEX('Model output'!J:J, MATCH(A35, 'Model output'!Z:Z, 0)), "")</f>
        <v>0</v>
      </c>
      <c r="L35" s="18" t="str" cm="1">
        <f t="array" ref="L35">ReplaceTo(ReplaceAnd(SUBSTITUTE(SUBSTITUTE(_xlfn.TEXTJOIN("; ", TRUE, _xlfn._xlws.FILTER('Model output'!K:K, 'Model output'!Z:Z=A35)), " ", ""), ",", ";")))</f>
        <v/>
      </c>
      <c r="M35" t="str" cm="1">
        <f t="array" ref="M35">IF(LEFT(IF(RIGHT(SUBSTITUTE(FilterWithUnits(L35)&amp; ";" &amp;FilterStringsWithNumericAnd(L35) &amp; ";" &amp; FilterStringsWithX(L35), ";;", ";"),1)=";",LEFT(SUBSTITUTE(FilterWithUnits(L35)&amp; ";" &amp;FilterStringsWithNumericAnd(L35) &amp; ";" &amp; FilterStringsWithX(L35), ";;", ";"),LEN(SUBSTITUTE(FilterWithUnits(L35)&amp; ";" &amp;FilterStringsWithNumericAnd(L35) &amp; ";" &amp; FilterStringsWithX(L35), ";;", ";"))-1),SUBSTITUTE(FilterWithUnits(L35)&amp; ";" &amp;FilterStringsWithNumericAnd(L35) &amp; ";" &amp; FilterStringsWithX(L35), ";;", ";")),1)=";",RIGHT(IF(RIGHT(SUBSTITUTE(FilterWithUnits(L35)&amp; ";" &amp;FilterStringsWithNumericAnd(L35) &amp; ";" &amp; FilterStringsWithX(L35), ";;", ";"),1)=";",LEFT(SUBSTITUTE(FilterWithUnits(L35)&amp; ";" &amp;FilterStringsWithNumericAnd(L35) &amp; ";" &amp; FilterStringsWithX(L35), ";;", ";"),LEN(SUBSTITUTE(FilterWithUnits(L35)&amp; ";" &amp;FilterStringsWithNumericAnd(L35) &amp; ";" &amp; FilterStringsWithX(L35), ";;", ";"))-1),SUBSTITUTE(FilterWithUnits(L35)&amp; ";" &amp;FilterStringsWithNumericAnd(L35) &amp; ";" &amp; FilterStringsWithX(L35), ";;", ";")),LEN(IF(RIGHT(SUBSTITUTE(FilterWithUnits(L35)&amp; ";" &amp;FilterStringsWithNumericAnd(L35) &amp; ";" &amp; FilterStringsWithX(L35), ";;", ";"),1)=";",LEFT(SUBSTITUTE(FilterWithUnits(L35)&amp; ";" &amp;FilterStringsWithNumericAnd(L35) &amp; ";" &amp; FilterStringsWithX(L35), ";;", ";"),LEN(SUBSTITUTE(FilterWithUnits(L35)&amp; ";" &amp;FilterStringsWithNumericAnd(L35) &amp; ";" &amp; FilterStringsWithX(L35), ";;", ";"))-1),SUBSTITUTE(FilterWithUnits(L35)&amp; ";" &amp;FilterStringsWithNumericAnd(L35) &amp; ";" &amp; FilterStringsWithX(L35), ";;", ";")))-1),IF(RIGHT(SUBSTITUTE(FilterWithUnits(L35)&amp; ";" &amp;FilterStringsWithNumericAnd(L35) &amp; ";" &amp; FilterStringsWithX(L35), ";;", ";"),1)=";",LEFT(SUBSTITUTE(FilterWithUnits(L35)&amp; ";" &amp;FilterStringsWithNumericAnd(L35) &amp; ";" &amp; FilterStringsWithX(L35), ";;", ";"),LEN(SUBSTITUTE(FilterWithUnits(L35)&amp; ";" &amp;FilterStringsWithNumericAnd(L35) &amp; ";" &amp; FilterStringsWithX(L35), ";;", ";"))-1),SUBSTITUTE(FilterWithUnits(L35)&amp; ";" &amp;FilterStringsWithNumericAnd(L35) &amp; ";" &amp; FilterStringsWithX(L35), ";;", ";")))</f>
        <v/>
      </c>
      <c r="N35" t="str" cm="1">
        <f t="array" ref="N35">IF(MaxSize((SplitDimensions(M35)))=0, "", MaxSize((SplitDimensions(M35))))</f>
        <v/>
      </c>
      <c r="O35" t="str" cm="1">
        <f t="array" ref="O35">IF(ISERROR(INDEX(_xlfn._xlws.FILTER('Model output'!L:L, ('Model output'!Z:Z=A35)*('Model output'!L:L&lt;&gt;"")), 1)), " ", LOWER(INDEX(_xlfn._xlws.FILTER('Model output'!L:L, ('Model output'!Z:Z=A35)*('Model output'!L:L&lt;&gt;"")), 1)))</f>
        <v>papillary</v>
      </c>
      <c r="P35" t="str" cm="1">
        <f t="array" ref="P35">IF(ISERROR(INDEX(_xlfn._xlws.FILTER('Model output'!M:M, ('Model output'!Z:Z=A35)*('Model output'!M:M&lt;&gt;"")), 1)), " ", LOWER(INDEX(_xlfn._xlws.FILTER('Model output'!M:M, ('Model output'!Z:Z=A35)*('Model output'!M:M&lt;&gt;"")), 1)))</f>
        <v>microcarcinoma</v>
      </c>
      <c r="Q35" t="str" cm="1">
        <f t="array" ref="Q35">IF(OR(ISNUMBER(SEARCH("ly",SUBSTITUTE(INDEX(_xlfn._xlws.FILTER('Model output'!N:N,('Model output'!Z:Z=A35)*('Model output'!N:N&lt;&gt;"")),1)," ",""),1)), ISNUMBER(SEARCH("pole",SUBSTITUTE(INDEX(_xlfn._xlws.FILTER('Model output'!N:N,('Model output'!Z:Z=A35)*('Model output'!N:N&lt;&gt;"")),1)," ",""),1))),"",SUBSTITUTE(INDEX(_xlfn._xlws.FILTER('Model output'!N:N,('Model output'!Z:Z=A35)*('Model output'!N:N&lt;&gt;"")),1)," ",""))</f>
        <v>0.6mm</v>
      </c>
      <c r="R35" t="str" cm="1">
        <f t="array" ref="R35">IF(LEFT(IF(RIGHT(SUBSTITUTE(FilterWithUnits(Q35)&amp; ";" &amp;FilterStringsWithNumericAnd(Q35) &amp; ";" &amp; FilterStringsWithX(Q35), ";;", ";"),1)=";",LEFT(SUBSTITUTE(FilterWithUnits(Q35)&amp; ";" &amp;FilterStringsWithNumericAnd(Q35) &amp; ";" &amp; FilterStringsWithX(Q35), ";;", ";"),LEN(SUBSTITUTE(FilterWithUnits(Q35)&amp; ";" &amp;FilterStringsWithNumericAnd(Q35) &amp; ";" &amp; FilterStringsWithX(Q35), ";;", ";"))-1),SUBSTITUTE(FilterWithUnits(Q35)&amp; ";" &amp;FilterStringsWithNumericAnd(Q35) &amp; ";" &amp; FilterStringsWithX(Q35), ";;", ";")),1)=";",RIGHT(IF(RIGHT(SUBSTITUTE(FilterWithUnits(Q35)&amp; ";" &amp;FilterStringsWithNumericAnd(Q35) &amp; ";" &amp; FilterStringsWithX(Q35), ";;", ";"),1)=";",LEFT(SUBSTITUTE(FilterWithUnits(Q35)&amp; ";" &amp;FilterStringsWithNumericAnd(Q35) &amp; ";" &amp; FilterStringsWithX(Q35), ";;", ";"),LEN(SUBSTITUTE(FilterWithUnits(Q35)&amp; ";" &amp;FilterStringsWithNumericAnd(Q35) &amp; ";" &amp; FilterStringsWithX(Q35), ";;", ";"))-1),SUBSTITUTE(FilterWithUnits(Q35)&amp; ";" &amp;FilterStringsWithNumericAnd(Q35) &amp; ";" &amp; FilterStringsWithX(Q35), ";;", ";")),LEN(IF(RIGHT(SUBSTITUTE(FilterWithUnits(Q35)&amp; ";" &amp;FilterStringsWithNumericAnd(Q35) &amp; ";" &amp; FilterStringsWithX(Q35), ";;", ";"),1)=";",LEFT(SUBSTITUTE(FilterWithUnits(Q35)&amp; ";" &amp;FilterStringsWithNumericAnd(Q35) &amp; ";" &amp; FilterStringsWithX(Q35), ";;", ";"),LEN(SUBSTITUTE(FilterWithUnits(Q35)&amp; ";" &amp;FilterStringsWithNumericAnd(Q35) &amp; ";" &amp; FilterStringsWithX(Q35), ";;", ";"))-1),SUBSTITUTE(FilterWithUnits(Q35)&amp; ";" &amp;FilterStringsWithNumericAnd(Q35) &amp; ";" &amp; FilterStringsWithX(Q35), ";;", ";")))-1),IF(RIGHT(SUBSTITUTE(FilterWithUnits(Q35)&amp; ";" &amp;FilterStringsWithNumericAnd(Q35) &amp; ";" &amp; FilterStringsWithX(Q35), ";;", ";"),1)=";",LEFT(SUBSTITUTE(FilterWithUnits(Q35)&amp; ";" &amp;FilterStringsWithNumericAnd(Q35) &amp; ";" &amp; FilterStringsWithX(Q35), ";;", ";"),LEN(SUBSTITUTE(FilterWithUnits(Q35)&amp; ";" &amp;FilterStringsWithNumericAnd(Q35) &amp; ";" &amp; FilterStringsWithX(Q35), ";;", ";"))-1),SUBSTITUTE(FilterWithUnits(Q35)&amp; ";" &amp;FilterStringsWithNumericAnd(Q35) &amp; ";" &amp; FilterStringsWithX(Q35), ";;", ";")))</f>
        <v>0.6mm</v>
      </c>
      <c r="S35" cm="1">
        <f t="array" ref="S35">IF(MaxSize((SplitDimensions(R35)))=0, "", MaxSize((SplitDimensions(R35))))</f>
        <v>0.06</v>
      </c>
      <c r="T35" s="17" t="str" cm="1">
        <f t="array" ref="T35">IF(ISERROR(INDEX(_xlfn._xlws.FILTER('Model output'!P:P,('Model output'!Z:Z=A35)*('Model output'!P:P&lt;&gt;"")),1)),"negative",IF(OR(ISNUMBER(SEARCH("foc",INDEX(_xlfn._xlws.FILTER('Model output'!P:P,('Model output'!Z:Z=A35)*('Model output'!P:P&lt;&gt;"")),1),1)),ISNUMBER(SEARCH("extensive",INDEX(_xlfn._xlws.FILTER('Model output'!P:P,('Model output'!Z:Z=A35)*('Model output'!P:P&lt;&gt;"")),1),1)),ISNUMBER(SEARCH("present",INDEX(_xlfn._xlws.FILTER('Model output'!P:P,('Model output'!Z:Z=A35)*('Model output'!P:P&lt;&gt;"")),1),1)),ISNUMBER(SEARCH("yes",INDEX(_xlfn._xlws.FILTER('Model output'!P:P,('Model output'!Z:Z=A35)*('Model output'!P:P&lt;&gt;"")),1),1))),"positive","negative"))</f>
        <v>negative</v>
      </c>
      <c r="V35" t="str" cm="1">
        <f t="array" ref="V35">IF(ISNUMBER(SEARCH("4",INDEX(_xlfn._xlws.FILTER('Model output'!P:P,('Model output'!Z:Z=A35)*('Model output'!P:P&lt;&gt;"")),1),1)),INDEX(_xlfn._xlws.FILTER('Model output'!P:P,('Model output'!Z:Z=A35)*('Model output'!P:P&lt;&gt;"")),1),"") &amp; _xlfn.TEXTJOIN("",TRUE,_xlfn._xlws.FILTER('Model output'!Q:Q,'Model output'!Z:Z=A35))</f>
        <v/>
      </c>
      <c r="W35" t="str">
        <f t="shared" si="2"/>
        <v>no</v>
      </c>
      <c r="X35" t="str" cm="1">
        <f t="array" ref="X35">IF(OR(ISNUMBER(SEARCH("focal",_xlfn.TEXTJOIN("; ",TRUE,_xlfn._xlws.FILTER('Model output'!R:R,'Model output'!Z:Z=A35)),1)),ISNUMBER(SEARCH("present",_xlfn.TEXTJOIN("; ",TRUE,_xlfn._xlws.FILTER('Model output'!R:R,'Model output'!Z:Z=A35)),1))),"positive",IF(_xlfn.TEXTJOIN("; ",TRUE,_xlfn._xlws.FILTER('Model output'!R:R,'Model output'!Z:Z=A35))="","negative",IF(OR(ISNUMBER(SEARCH("no",_xlfn.TEXTJOIN("; ",TRUE,_xlfn._xlws.FILTER('Model output'!R:R,'Model output'!Z:Z=A35)),1)),ISNUMBER(SEARCH("absent",_xlfn.TEXTJOIN("; ",TRUE,_xlfn._xlws.FILTER('Model output'!R:R,'Model output'!Z:Z=A35)),1))),"negative","positive")))</f>
        <v>negative</v>
      </c>
      <c r="Y35" s="17" t="str">
        <f t="shared" si="3"/>
        <v>negative</v>
      </c>
      <c r="AC35" s="17" t="str">
        <f t="shared" si="4"/>
        <v>negative</v>
      </c>
      <c r="AD35" t="str" cm="1">
        <f t="array" ref="AD35">_xlfn.TEXTJOIN("; ",TRUE,_xlfn._xlws.FILTER('Model output'!S:S,'Model output'!Z:Z=A35))</f>
        <v/>
      </c>
      <c r="AE35" s="17" t="str" cm="1">
        <f t="array" ref="AE35">IF(OR(ISNUMBER(SEARCH("uninvolved",_xlfn.TEXTJOIN("; ",TRUE,_xlfn._xlws.FILTER('Model output'!V:V,'Model output'!Z:Z=A35)),1)),ISNUMBER(SEARCH("clear",_xlfn.TEXTJOIN("; ",TRUE,_xlfn._xlws.FILTER('Model output'!V:V,'Model output'!Z:Z=A35)),1))*ISNUMBER(SEARCH("not mentioned",_xlfn.TEXTJOIN("; ",TRUE,_xlfn._xlws.FILTER('Model output'!V:V,'Model output'!Z:Z=A35)),1))),"negative",IF(ISNUMBER(SEARCH("cannot be assessed",_xlfn.TEXTJOIN("; ",TRUE,_xlfn._xlws.FILTER('Model output'!V:V,'Model output'!Z:Z=A35)),1)),"unknown","negative"))</f>
        <v>negative</v>
      </c>
      <c r="AG35" s="43" t="str">
        <f>IF(OR(ISNUMBER(SEARCH("non-invasive follicular",O35,1)), ISNUMBER(SEARCH("papillary-like nuclear features",P35,1)), ISNUMBER(SEARCH("non-invasive follicular",P35,1)),ISNUMBER(SEARCH("papillary-like nuclear features",P35,1))),"NIFTP", IF(OR(I35="positive",AC35="positive",AND(OR(ISNUMBER(SEARCH("follicular", O35)),ISNUMBER(SEARCH("FTC", O35))),W35="extensive"),AND(G35="positive",ISNUMBER(N35),N35&gt;3),AI35=1),"high",IF(OR(ISNUMBER(SEARCH("positive",Y35,1)),ISNUMBER(SEARCH("tall",P35,1)),ISNUMBER(SEARCH("hobnail",P35,1)),ISNUMBER(SEARCH("cribriform",P35,1)),ISNUMBER(SEARCH("diffuse",P35,1)),ISNUMBER(SEARCH("columnar",P35,1)),ISNUMBER(SEARCH("solid",P35,1)),ISNUMBER(SEARCH("tall",O35,1)),ISNUMBER(SEARCH("hobnail",O35,1)),ISNUMBER(SEARCH("cribriform",O35,1)),ISNUMBER(SEARCH("diffuse",O35,1)),ISNUMBER(SEARCH("columnar",O35,1)),ISNUMBER(SEARCH("solid",O35,1)),AND(OR(ISNUMBER(SEARCH("papillary carcinoma",O35,1)),ISNUMBER(SEARCH("papillary microcarcinoma",O35,1))),T35="positive"),,AND(AND(ISNUMBER(K35),K35&gt;=5),N35=""),AND(AND(ISNUMBER(K35),K35&gt;=5),AND(ISNUMBER(N35),N35&gt;=1)),H35="lateral"),"intermediate","low")))</f>
        <v>high</v>
      </c>
      <c r="AH35" s="44" t="str">
        <f t="shared" si="14"/>
        <v>1a</v>
      </c>
      <c r="AI35" s="56" t="str">
        <f t="shared" si="5"/>
        <v>x</v>
      </c>
      <c r="AJ35" s="56">
        <f t="shared" si="6"/>
        <v>1</v>
      </c>
      <c r="AK35" s="57" t="str">
        <f t="shared" si="7"/>
        <v>II</v>
      </c>
      <c r="AL35" s="45" t="s">
        <v>168</v>
      </c>
      <c r="AM35" s="46" t="s">
        <v>198</v>
      </c>
      <c r="AN35" s="46" t="s">
        <v>197</v>
      </c>
      <c r="AO35" s="46">
        <v>1</v>
      </c>
      <c r="AP35" s="46" t="s">
        <v>43</v>
      </c>
      <c r="AQ35" s="10">
        <f>IF(AL35=AG35,1,0)</f>
        <v>1</v>
      </c>
      <c r="AR35" s="27">
        <f>IF(AM35=AH35,1,0)</f>
        <v>1</v>
      </c>
      <c r="AS35" s="27">
        <f t="shared" si="8"/>
        <v>1</v>
      </c>
      <c r="AT35" s="27">
        <f t="shared" si="9"/>
        <v>1</v>
      </c>
      <c r="AU35" s="29">
        <f t="shared" si="9"/>
        <v>1</v>
      </c>
    </row>
    <row r="36" spans="1:48">
      <c r="A36" s="13">
        <v>34</v>
      </c>
      <c r="B36" s="16">
        <f>_xlfn.MAXIFS('Model output'!B:B,'Model output'!Z:Z,'Classification result'!$A36)</f>
        <v>44825</v>
      </c>
      <c r="C36" s="17">
        <f>_xlfn.MAXIFS('Model output'!C:C,'Model output'!Z:Z,'Classification result'!$A36)</f>
        <v>63</v>
      </c>
      <c r="D36" s="17" t="str" cm="1">
        <f t="array" ref="D36">LEFT(IF(ISERROR(RIGHT(IF(INDEX(_xlfn._xlws.FILTER('Model output'!D:D,('Model output'!Z:Z=A36)),1)&lt;&gt;"",INDEX(_xlfn._xlws.FILTER('Model output'!D:D,('Model output'!Z:Z=A36)),1),""),LEN(IF(INDEX(_xlfn._xlws.FILTER('Model output'!D:D,('Model output'!Z:Z=A36)),1)&lt;&gt;"",INDEX(_xlfn._xlws.FILTER('Model output'!D:D,('Model output'!Z:Z=A36)),1),""))-FIND("T",IF(INDEX(_xlfn._xlws.FILTER('Model output'!D:D,('Model output'!Z:Z=A36)),1)&lt;&gt;"",INDEX(_xlfn._xlws.FILTER('Model output'!D:D,('Model output'!Z:Z=A36)),1),""),1))),"",(RIGHT(IF(INDEX(_xlfn._xlws.FILTER('Model output'!D:D,('Model output'!Z:Z=A36)),1)&lt;&gt;"",INDEX(_xlfn._xlws.FILTER('Model output'!D:D,('Model output'!Z:Z=A36)),1),""),LEN(IF(INDEX(_xlfn._xlws.FILTER('Model output'!D:D,('Model output'!Z:Z=A36)),1)&lt;&gt;"",INDEX(_xlfn._xlws.FILTER('Model output'!D:D,('Model output'!Z:Z=A36)),1),""))-FIND("T",IF(INDEX(_xlfn._xlws.FILTER('Model output'!D:D,('Model output'!Z:Z=A36)),1)&lt;&gt;"",INDEX(_xlfn._xlws.FILTER('Model output'!D:D,('Model output'!Z:Z=A36)),1)))))),2)</f>
        <v>4a</v>
      </c>
      <c r="E36" s="17" t="str" cm="1">
        <f t="array" ref="E36">IF(ISNUMBER(SEARCH("N",IF(ISNUMBER(SEARCH("present",IF(INDEX(_xlfn._xlws.FILTER('Model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output'!Z:Z=A36)),1))),1)),RIGHT(IF(ISNUMBER(SEARCH("present",IF(INDEX(_xlfn._xlws.FILTER('Model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output'!Z:Z=A36)),1))),LEN(IF(ISNUMBER(SEARCH("present",IF(INDEX(_xlfn._xlws.FILTER('Model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output'!Z:Z=A36)),1))))-FIND("N",IF(ISNUMBER(SEARCH("present",IF(INDEX(_xlfn._xlws.FILTER('Model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output'!Z:Z=A36)),1))),1)), "")</f>
        <v>0</v>
      </c>
      <c r="F36" s="17" cm="1">
        <f t="array" ref="F36">IF(AND(SUBSTITUTE(_xlfn.TEXTJOIN("/", TRUE, _xlfn._xlws.FILTER('Model output'!F:F, 'Model output'!Z:Z=A36)),"M", "")="", I36="negative"),0,IF(I36="positive",1,0))</f>
        <v>0</v>
      </c>
      <c r="G36" t="str">
        <f t="shared" si="0"/>
        <v/>
      </c>
      <c r="H36" t="str" cm="1">
        <f t="array" ref="H36">IF(AND(K36&gt;0, _xlfn.TEXTJOIN("; ", TRUE, _xlfn._xlws.FILTER('Model output'!G:G, 'Model output'!Z:Z=A36)) &lt;&gt;"", OR(AND(ISNUMBER(SEARCH("level", _xlfn.TEXTJOIN("; ", TRUE, _xlfn._xlws.FILTER('Model output'!G:G, 'Model output'!Z:Z=A36)),1)),OR(ISNUMBER(SEARCH(" II", _xlfn.TEXTJOIN("; ", TRUE, _xlfn._xlws.FILTER('Model output'!G:G, 'Model output'!Z:Z=A36)),1)),ISNUMBER(SEARCH("2", _xlfn.TEXTJOIN("; ", TRUE, _xlfn._xlws.FILTER('Model output'!G:G, 'Model output'!Z:Z=A36)),1)),ISNUMBER(SEARCH("two", _xlfn.TEXTJOIN("; ", TRUE, _xlfn._xlws.FILTER('Model output'!G:G, 'Model output'!Z:Z=A36)),1)),ISNUMBER(SEARCH("III", _xlfn.TEXTJOIN("; ", TRUE, _xlfn._xlws.FILTER('Model output'!G:G, 'Model output'!Z:Z=A36)),1)),ISNUMBER(SEARCH("3", _xlfn.TEXTJOIN("; ", TRUE, _xlfn._xlws.FILTER('Model output'!G:G, 'Model output'!Z:Z=A36)),1)),ISNUMBER(SEARCH("three", _xlfn.TEXTJOIN("; ", TRUE, _xlfn._xlws.FILTER('Model output'!G:G, 'Model output'!Z:Z=A36)),1)),ISNUMBER(SEARCH("IV", _xlfn.TEXTJOIN("; ", TRUE, _xlfn._xlws.FILTER('Model output'!G:G, 'Model output'!Z:Z=A36)),1)),ISNUMBER(SEARCH("4", _xlfn.TEXTJOIN("; ", TRUE, _xlfn._xlws.FILTER('Model output'!G:G, 'Model output'!Z:Z=A36)),1)),ISNUMBER(SEARCH("five", _xlfn.TEXTJOIN("; ", TRUE, _xlfn._xlws.FILTER('Model output'!G:G, 'Model output'!Z:Z=A36)),1)),ISNUMBER(SEARCH("V ", _xlfn.TEXTJOIN("; ", TRUE, _xlfn._xlws.FILTER('Model output'!G:G, 'Model output'!Z:Z=A36)),1)),ISNUMBER(SEARCH("5", _xlfn.TEXTJOIN("; ", TRUE, _xlfn._xlws.FILTER('Model output'!G:G, 'Model output'!Z:Z=A36)),1)),ISNUMBER(SEARCH("five", _xlfn.TEXTJOIN("; ", TRUE, _xlfn._xlws.FILTER('Model output'!G:G, 'Model output'!Z:Z=A36)),1)),ISNUMBER(SEARCH(" lateral", _xlfn.TEXTJOIN("; ", TRUE, _xlfn._xlws.FILTER('Model output'!G:G, 'Model output'!Z:Z=A36)),1)))),ISNUMBER(SEARCH("cervical", _xlfn.TEXTJOIN("; ", TRUE, _xlfn._xlws.FILTER('Model output'!G:G, 'Model output'!Z:Z=A36)),1)),ISNUMBER(SEARCH("jugular", _xlfn.TEXTJOIN("; ", TRUE, _xlfn._xlws.FILTER('Model output'!G:G, 'Model output'!Z:Z=A36)),1)),ISNUMBER(SEARCH("left neck", _xlfn.TEXTJOIN("; ", TRUE, _xlfn._xlws.FILTER('Model output'!G:G, 'Model output'!Z:Z=A36)),1)),ISNUMBER(SEARCH("left anterior neck", _xlfn.TEXTJOIN("; ", TRUE, _xlfn._xlws.FILTER('Model output'!G:G, 'Model output'!Z:Z=A36)),1)),ISNUMBER(SEARCH("left posterior neck", _xlfn.TEXTJOIN("; ", TRUE, _xlfn._xlws.FILTER('Model output'!G:G, 'Model output'!Z:Z=A36)),1)),ISNUMBER(SEARCH("right neck", _xlfn.TEXTJOIN("; ", TRUE, _xlfn._xlws.FILTER('Model output'!G:G, 'Model output'!Z:Z=A36)),1)),ISNUMBER(SEARCH("right anterior neck", _xlfn.TEXTJOIN("; ", TRUE, _xlfn._xlws.FILTER('Model output'!G:G, 'Model output'!Z:Z=A36)),1)),ISNUMBER(SEARCH("right posterior neck", _xlfn.TEXTJOIN("; ", TRUE, _xlfn._xlws.FILTER('Model output'!G:G, 'Model output'!Z:Z=A36)),1)))),"lateral",IF(AND(K36=0, _xlfn.TEXTJOIN("; ", TRUE, _xlfn._xlws.FILTER('Model output'!G:G, 'Model output'!Z:Z=A36))=""),"", "central"))</f>
        <v/>
      </c>
      <c r="I36" s="17" t="str" cm="1">
        <f t="array" ref="I36">IF(OR(ISNUMBER(SEARCH("lymph",_xlfn.TEXTJOIN("; ", TRUE, _xlfn._xlws.FILTER('Model output'!H:H, 'Model output'!Z:Z=A36)),1)), ISNUMBER(SEARCH("Not mentioned",_xlfn.TEXTJOIN("; ", TRUE, _xlfn._xlws.FILTER('Model output'!H:H, 'Model output'!Z:Z=A36)),1)),ISNUMBER(SEARCH("subcutaneous soft tissues",_xlfn.TEXTJOIN("; ", TRUE, _xlfn._xlws.FILTER('Model output'!H:H, 'Model output'!Z:Z=A36)),1)),ISNUMBER(SEARCH("larynx",_xlfn.TEXTJOIN("; ", TRUE, _xlfn._xlws.FILTER('Model output'!H:H, 'Model output'!Z:Z=A36)),1)),ISNUMBER(SEARCH("trachea",_xlfn.TEXTJOIN("; ", TRUE, _xlfn._xlws.FILTER('Model output'!H:H, 'Model output'!Z:Z=A36)),1)),ISNUMBER(SEARCH("esophagus",_xlfn.TEXTJOIN("; ", TRUE, _xlfn._xlws.FILTER('Model output'!H:H, 'Model output'!Z:Z=A36)),1)),ISNUMBER(SEARCH("recurrent laryngeal nerve",_xlfn.TEXTJOIN("; ", TRUE, _xlfn._xlws.FILTER('Model output'!H:H, 'Model output'!Z:Z=A36)),1)),ISNUMBER(SEARCH("RLN",_xlfn.TEXTJOIN("; ", TRUE, _xlfn._xlws.FILTER('Model output'!H:H, 'Model output'!Z:Z=A36)),1)),_xlfn.TEXTJOIN("; ", TRUE, _xlfn._xlws.FILTER('Model output'!H:H, 'Model output'!Z:Z=A36))=""),"negative","positive")</f>
        <v>negative</v>
      </c>
      <c r="J36" s="17">
        <f>IF(IFERROR(INDEX('Model output'!I:I, MATCH(A36, 'Model output'!Z:Z, 0)), "") &lt; K36, "", IFERROR(INDEX('Model output'!I:I, MATCH(A36, 'Model output'!Z:Z, 0)), ""))</f>
        <v>1</v>
      </c>
      <c r="K36" s="17">
        <f>IFERROR(INDEX('Model output'!J:J, MATCH(A36, 'Model output'!Z:Z, 0)), "")</f>
        <v>0</v>
      </c>
      <c r="L36" s="18" t="str" cm="1">
        <f t="array" ref="L36">ReplaceTo(ReplaceAnd(SUBSTITUTE(SUBSTITUTE(_xlfn.TEXTJOIN("; ", TRUE, _xlfn._xlws.FILTER('Model output'!K:K, 'Model output'!Z:Z=A36)), " ", ""), ",", ";")))</f>
        <v/>
      </c>
      <c r="M36" t="str" cm="1">
        <f t="array" ref="M36">IF(LEFT(IF(RIGHT(SUBSTITUTE(FilterWithUnits(L36)&amp; ";" &amp;FilterStringsWithNumericAnd(L36) &amp; ";" &amp; FilterStringsWithX(L36), ";;", ";"),1)=";",LEFT(SUBSTITUTE(FilterWithUnits(L36)&amp; ";" &amp;FilterStringsWithNumericAnd(L36) &amp; ";" &amp; FilterStringsWithX(L36), ";;", ";"),LEN(SUBSTITUTE(FilterWithUnits(L36)&amp; ";" &amp;FilterStringsWithNumericAnd(L36) &amp; ";" &amp; FilterStringsWithX(L36), ";;", ";"))-1),SUBSTITUTE(FilterWithUnits(L36)&amp; ";" &amp;FilterStringsWithNumericAnd(L36) &amp; ";" &amp; FilterStringsWithX(L36), ";;", ";")),1)=";",RIGHT(IF(RIGHT(SUBSTITUTE(FilterWithUnits(L36)&amp; ";" &amp;FilterStringsWithNumericAnd(L36) &amp; ";" &amp; FilterStringsWithX(L36), ";;", ";"),1)=";",LEFT(SUBSTITUTE(FilterWithUnits(L36)&amp; ";" &amp;FilterStringsWithNumericAnd(L36) &amp; ";" &amp; FilterStringsWithX(L36), ";;", ";"),LEN(SUBSTITUTE(FilterWithUnits(L36)&amp; ";" &amp;FilterStringsWithNumericAnd(L36) &amp; ";" &amp; FilterStringsWithX(L36), ";;", ";"))-1),SUBSTITUTE(FilterWithUnits(L36)&amp; ";" &amp;FilterStringsWithNumericAnd(L36) &amp; ";" &amp; FilterStringsWithX(L36), ";;", ";")),LEN(IF(RIGHT(SUBSTITUTE(FilterWithUnits(L36)&amp; ";" &amp;FilterStringsWithNumericAnd(L36) &amp; ";" &amp; FilterStringsWithX(L36), ";;", ";"),1)=";",LEFT(SUBSTITUTE(FilterWithUnits(L36)&amp; ";" &amp;FilterStringsWithNumericAnd(L36) &amp; ";" &amp; FilterStringsWithX(L36), ";;", ";"),LEN(SUBSTITUTE(FilterWithUnits(L36)&amp; ";" &amp;FilterStringsWithNumericAnd(L36) &amp; ";" &amp; FilterStringsWithX(L36), ";;", ";"))-1),SUBSTITUTE(FilterWithUnits(L36)&amp; ";" &amp;FilterStringsWithNumericAnd(L36) &amp; ";" &amp; FilterStringsWithX(L36), ";;", ";")))-1),IF(RIGHT(SUBSTITUTE(FilterWithUnits(L36)&amp; ";" &amp;FilterStringsWithNumericAnd(L36) &amp; ";" &amp; FilterStringsWithX(L36), ";;", ";"),1)=";",LEFT(SUBSTITUTE(FilterWithUnits(L36)&amp; ";" &amp;FilterStringsWithNumericAnd(L36) &amp; ";" &amp; FilterStringsWithX(L36), ";;", ";"),LEN(SUBSTITUTE(FilterWithUnits(L36)&amp; ";" &amp;FilterStringsWithNumericAnd(L36) &amp; ";" &amp; FilterStringsWithX(L36), ";;", ";"))-1),SUBSTITUTE(FilterWithUnits(L36)&amp; ";" &amp;FilterStringsWithNumericAnd(L36) &amp; ";" &amp; FilterStringsWithX(L36), ";;", ";")))</f>
        <v/>
      </c>
      <c r="N36" t="str" cm="1">
        <f t="array" ref="N36">IF(MaxSize((SplitDimensions(M36)))=0, "", MaxSize((SplitDimensions(M36))))</f>
        <v/>
      </c>
      <c r="O36" t="str" cm="1">
        <f t="array" ref="O36">IF(ISERROR(INDEX(_xlfn._xlws.FILTER('Model output'!L:L, ('Model output'!Z:Z=A36)*('Model output'!L:L&lt;&gt;"")), 1)), " ", LOWER(INDEX(_xlfn._xlws.FILTER('Model output'!L:L, ('Model output'!Z:Z=A36)*('Model output'!L:L&lt;&gt;"")), 1)))</f>
        <v>papillary</v>
      </c>
      <c r="P36" t="str" cm="1">
        <f t="array" ref="P36">IF(ISERROR(INDEX(_xlfn._xlws.FILTER('Model output'!M:M, ('Model output'!Z:Z=A36)*('Model output'!M:M&lt;&gt;"")), 1)), " ", LOWER(INDEX(_xlfn._xlws.FILTER('Model output'!M:M, ('Model output'!Z:Z=A36)*('Model output'!M:M&lt;&gt;"")), 1)))</f>
        <v>tall cell</v>
      </c>
      <c r="Q36" t="str" cm="1">
        <f t="array" ref="Q36">IF(OR(ISNUMBER(SEARCH("ly",SUBSTITUTE(INDEX(_xlfn._xlws.FILTER('Model output'!N:N,('Model output'!Z:Z=A36)*('Model output'!N:N&lt;&gt;"")),1)," ",""),1)), ISNUMBER(SEARCH("pole",SUBSTITUTE(INDEX(_xlfn._xlws.FILTER('Model output'!N:N,('Model output'!Z:Z=A36)*('Model output'!N:N&lt;&gt;"")),1)," ",""),1))),"",SUBSTITUTE(INDEX(_xlfn._xlws.FILTER('Model output'!N:N,('Model output'!Z:Z=A36)*('Model output'!N:N&lt;&gt;"")),1)," ",""))</f>
        <v>24.5mm</v>
      </c>
      <c r="R36" t="str" cm="1">
        <f t="array" ref="R36">IF(LEFT(IF(RIGHT(SUBSTITUTE(FilterWithUnits(Q36)&amp; ";" &amp;FilterStringsWithNumericAnd(Q36) &amp; ";" &amp; FilterStringsWithX(Q36), ";;", ";"),1)=";",LEFT(SUBSTITUTE(FilterWithUnits(Q36)&amp; ";" &amp;FilterStringsWithNumericAnd(Q36) &amp; ";" &amp; FilterStringsWithX(Q36), ";;", ";"),LEN(SUBSTITUTE(FilterWithUnits(Q36)&amp; ";" &amp;FilterStringsWithNumericAnd(Q36) &amp; ";" &amp; FilterStringsWithX(Q36), ";;", ";"))-1),SUBSTITUTE(FilterWithUnits(Q36)&amp; ";" &amp;FilterStringsWithNumericAnd(Q36) &amp; ";" &amp; FilterStringsWithX(Q36), ";;", ";")),1)=";",RIGHT(IF(RIGHT(SUBSTITUTE(FilterWithUnits(Q36)&amp; ";" &amp;FilterStringsWithNumericAnd(Q36) &amp; ";" &amp; FilterStringsWithX(Q36), ";;", ";"),1)=";",LEFT(SUBSTITUTE(FilterWithUnits(Q36)&amp; ";" &amp;FilterStringsWithNumericAnd(Q36) &amp; ";" &amp; FilterStringsWithX(Q36), ";;", ";"),LEN(SUBSTITUTE(FilterWithUnits(Q36)&amp; ";" &amp;FilterStringsWithNumericAnd(Q36) &amp; ";" &amp; FilterStringsWithX(Q36), ";;", ";"))-1),SUBSTITUTE(FilterWithUnits(Q36)&amp; ";" &amp;FilterStringsWithNumericAnd(Q36) &amp; ";" &amp; FilterStringsWithX(Q36), ";;", ";")),LEN(IF(RIGHT(SUBSTITUTE(FilterWithUnits(Q36)&amp; ";" &amp;FilterStringsWithNumericAnd(Q36) &amp; ";" &amp; FilterStringsWithX(Q36), ";;", ";"),1)=";",LEFT(SUBSTITUTE(FilterWithUnits(Q36)&amp; ";" &amp;FilterStringsWithNumericAnd(Q36) &amp; ";" &amp; FilterStringsWithX(Q36), ";;", ";"),LEN(SUBSTITUTE(FilterWithUnits(Q36)&amp; ";" &amp;FilterStringsWithNumericAnd(Q36) &amp; ";" &amp; FilterStringsWithX(Q36), ";;", ";"))-1),SUBSTITUTE(FilterWithUnits(Q36)&amp; ";" &amp;FilterStringsWithNumericAnd(Q36) &amp; ";" &amp; FilterStringsWithX(Q36), ";;", ";")))-1),IF(RIGHT(SUBSTITUTE(FilterWithUnits(Q36)&amp; ";" &amp;FilterStringsWithNumericAnd(Q36) &amp; ";" &amp; FilterStringsWithX(Q36), ";;", ";"),1)=";",LEFT(SUBSTITUTE(FilterWithUnits(Q36)&amp; ";" &amp;FilterStringsWithNumericAnd(Q36) &amp; ";" &amp; FilterStringsWithX(Q36), ";;", ";"),LEN(SUBSTITUTE(FilterWithUnits(Q36)&amp; ";" &amp;FilterStringsWithNumericAnd(Q36) &amp; ";" &amp; FilterStringsWithX(Q36), ";;", ";"))-1),SUBSTITUTE(FilterWithUnits(Q36)&amp; ";" &amp;FilterStringsWithNumericAnd(Q36) &amp; ";" &amp; FilterStringsWithX(Q36), ";;", ";")))</f>
        <v>24.5mm</v>
      </c>
      <c r="S36" cm="1">
        <f t="array" ref="S36">IF(MaxSize((SplitDimensions(R36)))=0, "", MaxSize((SplitDimensions(R36))))</f>
        <v>2.4500000000000002</v>
      </c>
      <c r="T36" s="17" t="str" cm="1">
        <f t="array" ref="T36">IF(ISERROR(INDEX(_xlfn._xlws.FILTER('Model output'!P:P,('Model output'!Z:Z=A36)*('Model output'!P:P&lt;&gt;"")),1)),"negative",IF(OR(ISNUMBER(SEARCH("foc",INDEX(_xlfn._xlws.FILTER('Model output'!P:P,('Model output'!Z:Z=A36)*('Model output'!P:P&lt;&gt;"")),1),1)),ISNUMBER(SEARCH("extensive",INDEX(_xlfn._xlws.FILTER('Model output'!P:P,('Model output'!Z:Z=A36)*('Model output'!P:P&lt;&gt;"")),1),1)),ISNUMBER(SEARCH("present",INDEX(_xlfn._xlws.FILTER('Model output'!P:P,('Model output'!Z:Z=A36)*('Model output'!P:P&lt;&gt;"")),1),1)),ISNUMBER(SEARCH("yes",INDEX(_xlfn._xlws.FILTER('Model output'!P:P,('Model output'!Z:Z=A36)*('Model output'!P:P&lt;&gt;"")),1),1))),"positive","negative"))</f>
        <v>positive</v>
      </c>
      <c r="V36" t="str" cm="1">
        <f t="array" ref="V36">IF(ISNUMBER(SEARCH("4",INDEX(_xlfn._xlws.FILTER('Model output'!P:P,('Model output'!Z:Z=A36)*('Model output'!P:P&lt;&gt;"")),1),1)),INDEX(_xlfn._xlws.FILTER('Model output'!P:P,('Model output'!Z:Z=A36)*('Model output'!P:P&lt;&gt;"")),1),"") &amp; _xlfn.TEXTJOIN("",TRUE,_xlfn._xlws.FILTER('Model output'!Q:Q,'Model output'!Z:Z=A36))</f>
        <v>Extensive (= or &gt;4 vessels)&gt;4</v>
      </c>
      <c r="W36" t="str">
        <f t="shared" si="2"/>
        <v>extensive</v>
      </c>
      <c r="X36" t="str" cm="1">
        <f t="array" ref="X36">IF(OR(ISNUMBER(SEARCH("focal",_xlfn.TEXTJOIN("; ",TRUE,_xlfn._xlws.FILTER('Model output'!R:R,'Model output'!Z:Z=A36)),1)),ISNUMBER(SEARCH("present",_xlfn.TEXTJOIN("; ",TRUE,_xlfn._xlws.FILTER('Model output'!R:R,'Model output'!Z:Z=A36)),1))),"positive",IF(_xlfn.TEXTJOIN("; ",TRUE,_xlfn._xlws.FILTER('Model output'!R:R,'Model output'!Z:Z=A36))="","negative",IF(OR(ISNUMBER(SEARCH("no",_xlfn.TEXTJOIN("; ",TRUE,_xlfn._xlws.FILTER('Model output'!R:R,'Model output'!Z:Z=A36)),1)),ISNUMBER(SEARCH("absent",_xlfn.TEXTJOIN("; ",TRUE,_xlfn._xlws.FILTER('Model output'!R:R,'Model output'!Z:Z=A36)),1))),"negative","positive")))</f>
        <v>positive</v>
      </c>
      <c r="Y36" s="17" t="str">
        <f t="shared" si="3"/>
        <v>positive</v>
      </c>
      <c r="AC36" s="17" t="str">
        <f t="shared" si="4"/>
        <v>positive</v>
      </c>
      <c r="AD36" t="str" cm="1">
        <f t="array" ref="AD36">_xlfn.TEXTJOIN("; ",TRUE,_xlfn._xlws.FILTER('Model output'!S:S,'Model output'!Z:Z=A36))</f>
        <v>Invading subcutaneous soft tissues, larynx, trachea, esophagus or recurrent laryngeal nerve; larynx and part of carotid sheath</v>
      </c>
      <c r="AE36" s="17" t="str" cm="1">
        <f t="array" ref="AE36">IF(OR(ISNUMBER(SEARCH("uninvolved",_xlfn.TEXTJOIN("; ",TRUE,_xlfn._xlws.FILTER('Model output'!V:V,'Model output'!Z:Z=A36)),1)),ISNUMBER(SEARCH("clear",_xlfn.TEXTJOIN("; ",TRUE,_xlfn._xlws.FILTER('Model output'!V:V,'Model output'!Z:Z=A36)),1))*ISNUMBER(SEARCH("not mentioned",_xlfn.TEXTJOIN("; ",TRUE,_xlfn._xlws.FILTER('Model output'!V:V,'Model output'!Z:Z=A36)),1))),"negative",IF(ISNUMBER(SEARCH("cannot be assessed",_xlfn.TEXTJOIN("; ",TRUE,_xlfn._xlws.FILTER('Model output'!V:V,'Model output'!Z:Z=A36)),1)),"unknown","negative"))</f>
        <v>negative</v>
      </c>
      <c r="AG36" s="43" t="str">
        <f>IF(OR(ISNUMBER(SEARCH("non-invasive follicular",O36,1)), ISNUMBER(SEARCH("papillary-like nuclear features",P36,1)), ISNUMBER(SEARCH("non-invasive follicular",P36,1)),ISNUMBER(SEARCH("papillary-like nuclear features",P36,1))),"NIFTP", IF(OR(I36="positive",AC36="positive",AND(OR(ISNUMBER(SEARCH("follicular", O36)),ISNUMBER(SEARCH("FTC", O36))),W36="extensive"),AND(G36="positive",ISNUMBER(N36),N36&gt;3),AI36=1),"high",IF(OR(ISNUMBER(SEARCH("positive",Y36,1)),ISNUMBER(SEARCH("tall",P36,1)),ISNUMBER(SEARCH("hobnail",P36,1)),ISNUMBER(SEARCH("cribriform",P36,1)),ISNUMBER(SEARCH("diffuse",P36,1)),ISNUMBER(SEARCH("columnar",P36,1)),ISNUMBER(SEARCH("solid",P36,1)),ISNUMBER(SEARCH("tall",O36,1)),ISNUMBER(SEARCH("hobnail",O36,1)),ISNUMBER(SEARCH("cribriform",O36,1)),ISNUMBER(SEARCH("diffuse",O36,1)),ISNUMBER(SEARCH("columnar",O36,1)),ISNUMBER(SEARCH("solid",O36,1)),AND(OR(ISNUMBER(SEARCH("papillary carcinoma",O36,1)),ISNUMBER(SEARCH("papillary microcarcinoma",O36,1))),T36="positive"),,AND(AND(ISNUMBER(K36),K36&gt;=5),N36=""),AND(AND(ISNUMBER(K36),K36&gt;=5),AND(ISNUMBER(N36),N36&gt;=1)),H36="lateral"),"intermediate","low")))</f>
        <v>high</v>
      </c>
      <c r="AH36" s="44" t="str">
        <f t="shared" si="14"/>
        <v>4a</v>
      </c>
      <c r="AI36" s="56">
        <f t="shared" si="5"/>
        <v>0</v>
      </c>
      <c r="AJ36" s="56">
        <f t="shared" si="6"/>
        <v>0</v>
      </c>
      <c r="AK36" s="57" t="str">
        <f t="shared" si="7"/>
        <v>III</v>
      </c>
      <c r="AL36" s="45" t="s">
        <v>168</v>
      </c>
      <c r="AM36" s="46" t="s">
        <v>201</v>
      </c>
      <c r="AN36" s="46">
        <v>0</v>
      </c>
      <c r="AO36" s="46">
        <v>0</v>
      </c>
      <c r="AP36" s="46" t="s">
        <v>67</v>
      </c>
      <c r="AQ36" s="10">
        <f>IF(AL36=AG36,1,0)</f>
        <v>1</v>
      </c>
      <c r="AR36" s="27">
        <f>IF(AM36=AH36,1,0)</f>
        <v>1</v>
      </c>
      <c r="AS36" s="27">
        <f t="shared" si="8"/>
        <v>1</v>
      </c>
      <c r="AT36" s="27">
        <f t="shared" si="9"/>
        <v>1</v>
      </c>
      <c r="AU36" s="29">
        <f t="shared" si="9"/>
        <v>1</v>
      </c>
    </row>
    <row r="37" spans="1:48">
      <c r="A37" s="30">
        <v>35</v>
      </c>
      <c r="B37" s="31">
        <f>_xlfn.MAXIFS('Model output'!B:B,'Model output'!Z:Z,'Classification result'!$A37)</f>
        <v>44419</v>
      </c>
      <c r="C37" s="32">
        <f>_xlfn.MAXIFS('Model output'!C:C,'Model output'!Z:Z,'Classification result'!$A37)</f>
        <v>62</v>
      </c>
      <c r="D37" s="32" t="str" cm="1">
        <f t="array" ref="D37">LEFT(IF(ISERROR(RIGHT(IF(INDEX(_xlfn._xlws.FILTER('Model output'!D:D,('Model output'!Z:Z=A37)),1)&lt;&gt;"",INDEX(_xlfn._xlws.FILTER('Model output'!D:D,('Model output'!Z:Z=A37)),1),""),LEN(IF(INDEX(_xlfn._xlws.FILTER('Model output'!D:D,('Model output'!Z:Z=A37)),1)&lt;&gt;"",INDEX(_xlfn._xlws.FILTER('Model output'!D:D,('Model output'!Z:Z=A37)),1),""))-FIND("T",IF(INDEX(_xlfn._xlws.FILTER('Model output'!D:D,('Model output'!Z:Z=A37)),1)&lt;&gt;"",INDEX(_xlfn._xlws.FILTER('Model output'!D:D,('Model output'!Z:Z=A37)),1),""),1))),"",(RIGHT(IF(INDEX(_xlfn._xlws.FILTER('Model output'!D:D,('Model output'!Z:Z=A37)),1)&lt;&gt;"",INDEX(_xlfn._xlws.FILTER('Model output'!D:D,('Model output'!Z:Z=A37)),1),""),LEN(IF(INDEX(_xlfn._xlws.FILTER('Model output'!D:D,('Model output'!Z:Z=A37)),1)&lt;&gt;"",INDEX(_xlfn._xlws.FILTER('Model output'!D:D,('Model output'!Z:Z=A37)),1),""))-FIND("T",IF(INDEX(_xlfn._xlws.FILTER('Model output'!D:D,('Model output'!Z:Z=A37)),1)&lt;&gt;"",INDEX(_xlfn._xlws.FILTER('Model output'!D:D,('Model output'!Z:Z=A37)),1)))))),2)</f>
        <v>2</v>
      </c>
      <c r="E37" s="32" t="str" cm="1">
        <f t="array" ref="E37">IF(ISNUMBER(SEARCH("N",IF(ISNUMBER(SEARCH("present",IF(INDEX(_xlfn._xlws.FILTER('Model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output'!Z:Z=A37)),1))),1)),RIGHT(IF(ISNUMBER(SEARCH("present",IF(INDEX(_xlfn._xlws.FILTER('Model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output'!Z:Z=A37)),1))),LEN(IF(ISNUMBER(SEARCH("present",IF(INDEX(_xlfn._xlws.FILTER('Model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output'!Z:Z=A37)),1))))-FIND("N",IF(ISNUMBER(SEARCH("present",IF(INDEX(_xlfn._xlws.FILTER('Model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output'!Z:Z=A37)),1))),1)), "")</f>
        <v>1b</v>
      </c>
      <c r="F37" s="32" cm="1">
        <f t="array" ref="F37">IF(AND(SUBSTITUTE(_xlfn.TEXTJOIN("/", TRUE, _xlfn._xlws.FILTER('Model output'!F:F, 'Model output'!Z:Z=A37)),"M", "")="", I37="negative"),0,IF(I37="positive",1,0))</f>
        <v>1</v>
      </c>
      <c r="G37" s="33" t="str">
        <f t="shared" si="0"/>
        <v>positive</v>
      </c>
      <c r="H37" s="33" t="str" cm="1">
        <f t="array" ref="H37">IF(AND(K37&gt;0, _xlfn.TEXTJOIN("; ", TRUE, _xlfn._xlws.FILTER('Model output'!G:G, 'Model output'!Z:Z=A37)) &lt;&gt;"", OR(AND(ISNUMBER(SEARCH("level", _xlfn.TEXTJOIN("; ", TRUE, _xlfn._xlws.FILTER('Model output'!G:G, 'Model output'!Z:Z=A37)),1)),OR(ISNUMBER(SEARCH(" II", _xlfn.TEXTJOIN("; ", TRUE, _xlfn._xlws.FILTER('Model output'!G:G, 'Model output'!Z:Z=A37)),1)),ISNUMBER(SEARCH("2", _xlfn.TEXTJOIN("; ", TRUE, _xlfn._xlws.FILTER('Model output'!G:G, 'Model output'!Z:Z=A37)),1)),ISNUMBER(SEARCH("two", _xlfn.TEXTJOIN("; ", TRUE, _xlfn._xlws.FILTER('Model output'!G:G, 'Model output'!Z:Z=A37)),1)),ISNUMBER(SEARCH("III", _xlfn.TEXTJOIN("; ", TRUE, _xlfn._xlws.FILTER('Model output'!G:G, 'Model output'!Z:Z=A37)),1)),ISNUMBER(SEARCH("3", _xlfn.TEXTJOIN("; ", TRUE, _xlfn._xlws.FILTER('Model output'!G:G, 'Model output'!Z:Z=A37)),1)),ISNUMBER(SEARCH("three", _xlfn.TEXTJOIN("; ", TRUE, _xlfn._xlws.FILTER('Model output'!G:G, 'Model output'!Z:Z=A37)),1)),ISNUMBER(SEARCH("IV", _xlfn.TEXTJOIN("; ", TRUE, _xlfn._xlws.FILTER('Model output'!G:G, 'Model output'!Z:Z=A37)),1)),ISNUMBER(SEARCH("4", _xlfn.TEXTJOIN("; ", TRUE, _xlfn._xlws.FILTER('Model output'!G:G, 'Model output'!Z:Z=A37)),1)),ISNUMBER(SEARCH("five", _xlfn.TEXTJOIN("; ", TRUE, _xlfn._xlws.FILTER('Model output'!G:G, 'Model output'!Z:Z=A37)),1)),ISNUMBER(SEARCH("V ", _xlfn.TEXTJOIN("; ", TRUE, _xlfn._xlws.FILTER('Model output'!G:G, 'Model output'!Z:Z=A37)),1)),ISNUMBER(SEARCH("5", _xlfn.TEXTJOIN("; ", TRUE, _xlfn._xlws.FILTER('Model output'!G:G, 'Model output'!Z:Z=A37)),1)),ISNUMBER(SEARCH("five", _xlfn.TEXTJOIN("; ", TRUE, _xlfn._xlws.FILTER('Model output'!G:G, 'Model output'!Z:Z=A37)),1)),ISNUMBER(SEARCH(" lateral", _xlfn.TEXTJOIN("; ", TRUE, _xlfn._xlws.FILTER('Model output'!G:G, 'Model output'!Z:Z=A37)),1)))),ISNUMBER(SEARCH("cervical", _xlfn.TEXTJOIN("; ", TRUE, _xlfn._xlws.FILTER('Model output'!G:G, 'Model output'!Z:Z=A37)),1)),ISNUMBER(SEARCH("jugular", _xlfn.TEXTJOIN("; ", TRUE, _xlfn._xlws.FILTER('Model output'!G:G, 'Model output'!Z:Z=A37)),1)),ISNUMBER(SEARCH("left neck", _xlfn.TEXTJOIN("; ", TRUE, _xlfn._xlws.FILTER('Model output'!G:G, 'Model output'!Z:Z=A37)),1)),ISNUMBER(SEARCH("left anterior neck", _xlfn.TEXTJOIN("; ", TRUE, _xlfn._xlws.FILTER('Model output'!G:G, 'Model output'!Z:Z=A37)),1)),ISNUMBER(SEARCH("left posterior neck", _xlfn.TEXTJOIN("; ", TRUE, _xlfn._xlws.FILTER('Model output'!G:G, 'Model output'!Z:Z=A37)),1)),ISNUMBER(SEARCH("right neck", _xlfn.TEXTJOIN("; ", TRUE, _xlfn._xlws.FILTER('Model output'!G:G, 'Model output'!Z:Z=A37)),1)),ISNUMBER(SEARCH("right anterior neck", _xlfn.TEXTJOIN("; ", TRUE, _xlfn._xlws.FILTER('Model output'!G:G, 'Model output'!Z:Z=A37)),1)),ISNUMBER(SEARCH("right posterior neck", _xlfn.TEXTJOIN("; ", TRUE, _xlfn._xlws.FILTER('Model output'!G:G, 'Model output'!Z:Z=A37)),1)))),"lateral",IF(AND(K37=0, _xlfn.TEXTJOIN("; ", TRUE, _xlfn._xlws.FILTER('Model output'!G:G, 'Model output'!Z:Z=A37))=""),"", "central"))</f>
        <v>lateral</v>
      </c>
      <c r="I37" s="32" t="str" cm="1">
        <f t="array" ref="I37">IF(OR(ISNUMBER(SEARCH("lymph",_xlfn.TEXTJOIN("; ", TRUE, _xlfn._xlws.FILTER('Model output'!H:H, 'Model output'!Z:Z=A37)),1)), ISNUMBER(SEARCH("Not mentioned",_xlfn.TEXTJOIN("; ", TRUE, _xlfn._xlws.FILTER('Model output'!H:H, 'Model output'!Z:Z=A37)),1)),ISNUMBER(SEARCH("subcutaneous soft tissues",_xlfn.TEXTJOIN("; ", TRUE, _xlfn._xlws.FILTER('Model output'!H:H, 'Model output'!Z:Z=A37)),1)),ISNUMBER(SEARCH("larynx",_xlfn.TEXTJOIN("; ", TRUE, _xlfn._xlws.FILTER('Model output'!H:H, 'Model output'!Z:Z=A37)),1)),ISNUMBER(SEARCH("trachea",_xlfn.TEXTJOIN("; ", TRUE, _xlfn._xlws.FILTER('Model output'!H:H, 'Model output'!Z:Z=A37)),1)),ISNUMBER(SEARCH("esophagus",_xlfn.TEXTJOIN("; ", TRUE, _xlfn._xlws.FILTER('Model output'!H:H, 'Model output'!Z:Z=A37)),1)),ISNUMBER(SEARCH("recurrent laryngeal nerve",_xlfn.TEXTJOIN("; ", TRUE, _xlfn._xlws.FILTER('Model output'!H:H, 'Model output'!Z:Z=A37)),1)),ISNUMBER(SEARCH("RLN",_xlfn.TEXTJOIN("; ", TRUE, _xlfn._xlws.FILTER('Model output'!H:H, 'Model output'!Z:Z=A37)),1)),_xlfn.TEXTJOIN("; ", TRUE, _xlfn._xlws.FILTER('Model output'!H:H, 'Model output'!Z:Z=A37))=""),"negative","positive")</f>
        <v>positive</v>
      </c>
      <c r="J37" s="32">
        <f>IF(IFERROR(INDEX('Model output'!I:I, MATCH(A37, 'Model output'!Z:Z, 0)), "") &lt; K37, "", IFERROR(INDEX('Model output'!I:I, MATCH(A37, 'Model output'!Z:Z, 0)), ""))</f>
        <v>35</v>
      </c>
      <c r="K37" s="32">
        <f>IFERROR(INDEX('Model output'!J:J, MATCH(A37, 'Model output'!Z:Z, 0)), "")</f>
        <v>7</v>
      </c>
      <c r="L37" s="34" t="str" cm="1">
        <f t="array" ref="L37">ReplaceTo(ReplaceAnd(SUBSTITUTE(SUBSTITUTE(_xlfn.TEXTJOIN("; ", TRUE, _xlfn._xlws.FILTER('Model output'!K:K, 'Model output'!Z:Z=A37)), " ", ""), ",", ";")))</f>
        <v/>
      </c>
      <c r="M37" s="33" t="str" cm="1">
        <f t="array" ref="M37">IF(LEFT(IF(RIGHT(SUBSTITUTE(FilterWithUnits(L37)&amp; ";" &amp;FilterStringsWithNumericAnd(L37) &amp; ";" &amp; FilterStringsWithX(L37), ";;", ";"),1)=";",LEFT(SUBSTITUTE(FilterWithUnits(L37)&amp; ";" &amp;FilterStringsWithNumericAnd(L37) &amp; ";" &amp; FilterStringsWithX(L37), ";;", ";"),LEN(SUBSTITUTE(FilterWithUnits(L37)&amp; ";" &amp;FilterStringsWithNumericAnd(L37) &amp; ";" &amp; FilterStringsWithX(L37), ";;", ";"))-1),SUBSTITUTE(FilterWithUnits(L37)&amp; ";" &amp;FilterStringsWithNumericAnd(L37) &amp; ";" &amp; FilterStringsWithX(L37), ";;", ";")),1)=";",RIGHT(IF(RIGHT(SUBSTITUTE(FilterWithUnits(L37)&amp; ";" &amp;FilterStringsWithNumericAnd(L37) &amp; ";" &amp; FilterStringsWithX(L37), ";;", ";"),1)=";",LEFT(SUBSTITUTE(FilterWithUnits(L37)&amp; ";" &amp;FilterStringsWithNumericAnd(L37) &amp; ";" &amp; FilterStringsWithX(L37), ";;", ";"),LEN(SUBSTITUTE(FilterWithUnits(L37)&amp; ";" &amp;FilterStringsWithNumericAnd(L37) &amp; ";" &amp; FilterStringsWithX(L37), ";;", ";"))-1),SUBSTITUTE(FilterWithUnits(L37)&amp; ";" &amp;FilterStringsWithNumericAnd(L37) &amp; ";" &amp; FilterStringsWithX(L37), ";;", ";")),LEN(IF(RIGHT(SUBSTITUTE(FilterWithUnits(L37)&amp; ";" &amp;FilterStringsWithNumericAnd(L37) &amp; ";" &amp; FilterStringsWithX(L37), ";;", ";"),1)=";",LEFT(SUBSTITUTE(FilterWithUnits(L37)&amp; ";" &amp;FilterStringsWithNumericAnd(L37) &amp; ";" &amp; FilterStringsWithX(L37), ";;", ";"),LEN(SUBSTITUTE(FilterWithUnits(L37)&amp; ";" &amp;FilterStringsWithNumericAnd(L37) &amp; ";" &amp; FilterStringsWithX(L37), ";;", ";"))-1),SUBSTITUTE(FilterWithUnits(L37)&amp; ";" &amp;FilterStringsWithNumericAnd(L37) &amp; ";" &amp; FilterStringsWithX(L37), ";;", ";")))-1),IF(RIGHT(SUBSTITUTE(FilterWithUnits(L37)&amp; ";" &amp;FilterStringsWithNumericAnd(L37) &amp; ";" &amp; FilterStringsWithX(L37), ";;", ";"),1)=";",LEFT(SUBSTITUTE(FilterWithUnits(L37)&amp; ";" &amp;FilterStringsWithNumericAnd(L37) &amp; ";" &amp; FilterStringsWithX(L37), ";;", ";"),LEN(SUBSTITUTE(FilterWithUnits(L37)&amp; ";" &amp;FilterStringsWithNumericAnd(L37) &amp; ";" &amp; FilterStringsWithX(L37), ";;", ";"))-1),SUBSTITUTE(FilterWithUnits(L37)&amp; ";" &amp;FilterStringsWithNumericAnd(L37) &amp; ";" &amp; FilterStringsWithX(L37), ";;", ";")))</f>
        <v/>
      </c>
      <c r="N37" s="33" t="str" cm="1">
        <f t="array" ref="N37">IF(MaxSize((SplitDimensions(M37)))=0, "", MaxSize((SplitDimensions(M37))))</f>
        <v/>
      </c>
      <c r="O37" s="33" t="str" cm="1">
        <f t="array" ref="O37">IF(ISERROR(INDEX(_xlfn._xlws.FILTER('Model output'!L:L, ('Model output'!Z:Z=A37)*('Model output'!L:L&lt;&gt;"")), 1)), " ", LOWER(INDEX(_xlfn._xlws.FILTER('Model output'!L:L, ('Model output'!Z:Z=A37)*('Model output'!L:L&lt;&gt;"")), 1)))</f>
        <v>papillary</v>
      </c>
      <c r="P37" s="33" t="str" cm="1">
        <f t="array" ref="P37">IF(ISERROR(INDEX(_xlfn._xlws.FILTER('Model output'!M:M, ('Model output'!Z:Z=A37)*('Model output'!M:M&lt;&gt;"")), 1)), " ", LOWER(INDEX(_xlfn._xlws.FILTER('Model output'!M:M, ('Model output'!Z:Z=A37)*('Model output'!M:M&lt;&gt;"")), 1)))</f>
        <v>tall cell</v>
      </c>
      <c r="Q37" s="33" t="str" cm="1">
        <f t="array" ref="Q37">IF(OR(ISNUMBER(SEARCH("ly",SUBSTITUTE(INDEX(_xlfn._xlws.FILTER('Model output'!N:N,('Model output'!Z:Z=A37)*('Model output'!N:N&lt;&gt;"")),1)," ",""),1)), ISNUMBER(SEARCH("pole",SUBSTITUTE(INDEX(_xlfn._xlws.FILTER('Model output'!N:N,('Model output'!Z:Z=A37)*('Model output'!N:N&lt;&gt;"")),1)," ",""),1))),"",SUBSTITUTE(INDEX(_xlfn._xlws.FILTER('Model output'!N:N,('Model output'!Z:Z=A37)*('Model output'!N:N&lt;&gt;"")),1)," ",""))</f>
        <v>2.5cm</v>
      </c>
      <c r="R37" s="33" t="str" cm="1">
        <f t="array" ref="R37">IF(LEFT(IF(RIGHT(SUBSTITUTE(FilterWithUnits(Q37)&amp; ";" &amp;FilterStringsWithNumericAnd(Q37) &amp; ";" &amp; FilterStringsWithX(Q37), ";;", ";"),1)=";",LEFT(SUBSTITUTE(FilterWithUnits(Q37)&amp; ";" &amp;FilterStringsWithNumericAnd(Q37) &amp; ";" &amp; FilterStringsWithX(Q37), ";;", ";"),LEN(SUBSTITUTE(FilterWithUnits(Q37)&amp; ";" &amp;FilterStringsWithNumericAnd(Q37) &amp; ";" &amp; FilterStringsWithX(Q37), ";;", ";"))-1),SUBSTITUTE(FilterWithUnits(Q37)&amp; ";" &amp;FilterStringsWithNumericAnd(Q37) &amp; ";" &amp; FilterStringsWithX(Q37), ";;", ";")),1)=";",RIGHT(IF(RIGHT(SUBSTITUTE(FilterWithUnits(Q37)&amp; ";" &amp;FilterStringsWithNumericAnd(Q37) &amp; ";" &amp; FilterStringsWithX(Q37), ";;", ";"),1)=";",LEFT(SUBSTITUTE(FilterWithUnits(Q37)&amp; ";" &amp;FilterStringsWithNumericAnd(Q37) &amp; ";" &amp; FilterStringsWithX(Q37), ";;", ";"),LEN(SUBSTITUTE(FilterWithUnits(Q37)&amp; ";" &amp;FilterStringsWithNumericAnd(Q37) &amp; ";" &amp; FilterStringsWithX(Q37), ";;", ";"))-1),SUBSTITUTE(FilterWithUnits(Q37)&amp; ";" &amp;FilterStringsWithNumericAnd(Q37) &amp; ";" &amp; FilterStringsWithX(Q37), ";;", ";")),LEN(IF(RIGHT(SUBSTITUTE(FilterWithUnits(Q37)&amp; ";" &amp;FilterStringsWithNumericAnd(Q37) &amp; ";" &amp; FilterStringsWithX(Q37), ";;", ";"),1)=";",LEFT(SUBSTITUTE(FilterWithUnits(Q37)&amp; ";" &amp;FilterStringsWithNumericAnd(Q37) &amp; ";" &amp; FilterStringsWithX(Q37), ";;", ";"),LEN(SUBSTITUTE(FilterWithUnits(Q37)&amp; ";" &amp;FilterStringsWithNumericAnd(Q37) &amp; ";" &amp; FilterStringsWithX(Q37), ";;", ";"))-1),SUBSTITUTE(FilterWithUnits(Q37)&amp; ";" &amp;FilterStringsWithNumericAnd(Q37) &amp; ";" &amp; FilterStringsWithX(Q37), ";;", ";")))-1),IF(RIGHT(SUBSTITUTE(FilterWithUnits(Q37)&amp; ";" &amp;FilterStringsWithNumericAnd(Q37) &amp; ";" &amp; FilterStringsWithX(Q37), ";;", ";"),1)=";",LEFT(SUBSTITUTE(FilterWithUnits(Q37)&amp; ";" &amp;FilterStringsWithNumericAnd(Q37) &amp; ";" &amp; FilterStringsWithX(Q37), ";;", ";"),LEN(SUBSTITUTE(FilterWithUnits(Q37)&amp; ";" &amp;FilterStringsWithNumericAnd(Q37) &amp; ";" &amp; FilterStringsWithX(Q37), ";;", ";"))-1),SUBSTITUTE(FilterWithUnits(Q37)&amp; ";" &amp;FilterStringsWithNumericAnd(Q37) &amp; ";" &amp; FilterStringsWithX(Q37), ";;", ";")))</f>
        <v>2.5cm</v>
      </c>
      <c r="S37" s="33" cm="1">
        <f t="array" ref="S37">IF(MaxSize((SplitDimensions(R37)))=0, "", MaxSize((SplitDimensions(R37))))</f>
        <v>2.5</v>
      </c>
      <c r="T37" s="32" t="str" cm="1">
        <f t="array" ref="T37">IF(ISERROR(INDEX(_xlfn._xlws.FILTER('Model output'!P:P,('Model output'!Z:Z=A37)*('Model output'!P:P&lt;&gt;"")),1)),"negative",IF(OR(ISNUMBER(SEARCH("foc",INDEX(_xlfn._xlws.FILTER('Model output'!P:P,('Model output'!Z:Z=A37)*('Model output'!P:P&lt;&gt;"")),1),1)),ISNUMBER(SEARCH("extensive",INDEX(_xlfn._xlws.FILTER('Model output'!P:P,('Model output'!Z:Z=A37)*('Model output'!P:P&lt;&gt;"")),1),1)),ISNUMBER(SEARCH("present",INDEX(_xlfn._xlws.FILTER('Model output'!P:P,('Model output'!Z:Z=A37)*('Model output'!P:P&lt;&gt;"")),1),1)),ISNUMBER(SEARCH("yes",INDEX(_xlfn._xlws.FILTER('Model output'!P:P,('Model output'!Z:Z=A37)*('Model output'!P:P&lt;&gt;"")),1),1))),"positive","negative"))</f>
        <v>positive</v>
      </c>
      <c r="U37" s="32"/>
      <c r="V37" s="33" t="str" cm="1">
        <f t="array" ref="V37">IF(ISNUMBER(SEARCH("4",INDEX(_xlfn._xlws.FILTER('Model output'!P:P,('Model output'!Z:Z=A37)*('Model output'!P:P&lt;&gt;"")),1),1)),INDEX(_xlfn._xlws.FILTER('Model output'!P:P,('Model output'!Z:Z=A37)*('Model output'!P:P&lt;&gt;"")),1),"") &amp; _xlfn.TEXTJOIN("",TRUE,_xlfn._xlws.FILTER('Model output'!Q:Q,'Model output'!Z:Z=A37))</f>
        <v/>
      </c>
      <c r="W37" s="33" t="str">
        <f t="shared" si="2"/>
        <v>minimal</v>
      </c>
      <c r="X37" s="33" t="str" cm="1">
        <f t="array" ref="X37">IF(OR(ISNUMBER(SEARCH("focal",_xlfn.TEXTJOIN("; ",TRUE,_xlfn._xlws.FILTER('Model output'!R:R,'Model output'!Z:Z=A37)),1)),ISNUMBER(SEARCH("present",_xlfn.TEXTJOIN("; ",TRUE,_xlfn._xlws.FILTER('Model output'!R:R,'Model output'!Z:Z=A37)),1))),"positive",IF(_xlfn.TEXTJOIN("; ",TRUE,_xlfn._xlws.FILTER('Model output'!R:R,'Model output'!Z:Z=A37))="","negative",IF(OR(ISNUMBER(SEARCH("no",_xlfn.TEXTJOIN("; ",TRUE,_xlfn._xlws.FILTER('Model output'!R:R,'Model output'!Z:Z=A37)),1)),ISNUMBER(SEARCH("absent",_xlfn.TEXTJOIN("; ",TRUE,_xlfn._xlws.FILTER('Model output'!R:R,'Model output'!Z:Z=A37)),1))),"negative","positive")))</f>
        <v>positive</v>
      </c>
      <c r="Y37" s="32" t="str">
        <f t="shared" si="3"/>
        <v>positive</v>
      </c>
      <c r="Z37" s="32"/>
      <c r="AA37" s="32"/>
      <c r="AB37" s="32"/>
      <c r="AC37" s="32" t="str">
        <f t="shared" si="4"/>
        <v>negative</v>
      </c>
      <c r="AD37" s="33" t="str" cm="1">
        <f t="array" ref="AD37">_xlfn.TEXTJOIN("; ",TRUE,_xlfn._xlws.FILTER('Model output'!S:S,'Model output'!Z:Z=A37))</f>
        <v>Present</v>
      </c>
      <c r="AE37" s="32" t="str" cm="1">
        <f t="array" ref="AE37">IF(OR(ISNUMBER(SEARCH("uninvolved",_xlfn.TEXTJOIN("; ",TRUE,_xlfn._xlws.FILTER('Model output'!V:V,'Model output'!Z:Z=A37)),1)),ISNUMBER(SEARCH("clear",_xlfn.TEXTJOIN("; ",TRUE,_xlfn._xlws.FILTER('Model output'!V:V,'Model output'!Z:Z=A37)),1))*ISNUMBER(SEARCH("not mentioned",_xlfn.TEXTJOIN("; ",TRUE,_xlfn._xlws.FILTER('Model output'!V:V,'Model output'!Z:Z=A37)),1))),"negative",IF(ISNUMBER(SEARCH("cannot be assessed",_xlfn.TEXTJOIN("; ",TRUE,_xlfn._xlws.FILTER('Model output'!V:V,'Model output'!Z:Z=A37)),1)),"unknown","negative"))</f>
        <v>negative</v>
      </c>
      <c r="AF37" s="32"/>
      <c r="AG37" s="47" t="str">
        <f>IF(OR(ISNUMBER(SEARCH("non-invasive follicular",O37,1)), ISNUMBER(SEARCH("papillary-like nuclear features",P37,1)), ISNUMBER(SEARCH("non-invasive follicular",P37,1)),ISNUMBER(SEARCH("papillary-like nuclear features",P37,1))),"NIFTP", IF(OR(I37="positive",AC37="positive",AND(OR(ISNUMBER(SEARCH("follicular", O37)),ISNUMBER(SEARCH("FTC", O37))),W37="extensive"),AND(G37="positive",ISNUMBER(N37),N37&gt;3),AI37=1),"high",IF(OR(ISNUMBER(SEARCH("positive",Y37,1)),ISNUMBER(SEARCH("tall",P37,1)),ISNUMBER(SEARCH("hobnail",P37,1)),ISNUMBER(SEARCH("cribriform",P37,1)),ISNUMBER(SEARCH("diffuse",P37,1)),ISNUMBER(SEARCH("columnar",P37,1)),ISNUMBER(SEARCH("solid",P37,1)),ISNUMBER(SEARCH("tall",O37,1)),ISNUMBER(SEARCH("hobnail",O37,1)),ISNUMBER(SEARCH("cribriform",O37,1)),ISNUMBER(SEARCH("diffuse",O37,1)),ISNUMBER(SEARCH("columnar",O37,1)),ISNUMBER(SEARCH("solid",O37,1)),AND(OR(ISNUMBER(SEARCH("papillary carcinoma",O37,1)),ISNUMBER(SEARCH("papillary microcarcinoma",O37,1))),T37="positive"),,AND(AND(ISNUMBER(K37),K37&gt;=5),N37=""),AND(AND(ISNUMBER(K37),K37&gt;=5),AND(ISNUMBER(N37),N37&gt;=1)),H37="lateral"),"intermediate","low")))</f>
        <v>high</v>
      </c>
      <c r="AH37" s="48" t="str">
        <f t="shared" si="14"/>
        <v>2</v>
      </c>
      <c r="AI37" s="48" t="str">
        <f t="shared" si="5"/>
        <v>1b</v>
      </c>
      <c r="AJ37" s="48">
        <f t="shared" si="6"/>
        <v>1</v>
      </c>
      <c r="AK37" s="58" t="str">
        <f t="shared" si="7"/>
        <v>IVB</v>
      </c>
      <c r="AL37" s="49" t="s">
        <v>168</v>
      </c>
      <c r="AM37" s="50" t="s">
        <v>343</v>
      </c>
      <c r="AN37" s="50" t="s">
        <v>196</v>
      </c>
      <c r="AO37" s="50">
        <v>1</v>
      </c>
      <c r="AP37" s="50" t="s">
        <v>345</v>
      </c>
      <c r="AQ37" s="35">
        <f>IF(AL37=AG37,1,0)</f>
        <v>1</v>
      </c>
      <c r="AR37" s="36">
        <f>IF(AM37=AH37,1,0)</f>
        <v>1</v>
      </c>
      <c r="AS37" s="36">
        <f t="shared" si="8"/>
        <v>1</v>
      </c>
      <c r="AT37" s="36">
        <f t="shared" si="9"/>
        <v>1</v>
      </c>
      <c r="AU37" s="37">
        <f t="shared" si="9"/>
        <v>1</v>
      </c>
    </row>
    <row r="38" spans="1:48">
      <c r="A38" s="13"/>
    </row>
    <row r="39" spans="1:48">
      <c r="A39" s="13"/>
      <c r="D39" s="18"/>
      <c r="E39" s="18"/>
      <c r="X39" s="12"/>
      <c r="AQ39" s="11"/>
      <c r="AR39" s="21"/>
      <c r="AS39" s="21"/>
      <c r="AT39" s="21"/>
      <c r="AU39" s="21"/>
      <c r="AV39" s="12"/>
    </row>
    <row r="40" spans="1:48">
      <c r="A40" s="13"/>
      <c r="D40" s="18"/>
      <c r="E40" t="str">
        <f>IF(ISNUMBER(SEARCH("N",E3,1)),FIND("N",E3,1), "")</f>
        <v/>
      </c>
      <c r="AP40" s="12"/>
      <c r="AQ40" s="20"/>
      <c r="AR40" s="20"/>
      <c r="AS40" s="20"/>
      <c r="AT40" s="20"/>
      <c r="AU40" s="20"/>
    </row>
    <row r="41" spans="1:48">
      <c r="A41" s="13"/>
      <c r="D41" s="18"/>
      <c r="E41" t="str">
        <f>IF(ISNUMBER(SEARCH("N",E4,1)),FIND("N",E4,1), "")</f>
        <v/>
      </c>
    </row>
    <row r="42" spans="1:48">
      <c r="A42" s="13"/>
      <c r="D42" s="18"/>
    </row>
    <row r="43" spans="1:48">
      <c r="A43" s="13"/>
      <c r="D43" s="18"/>
    </row>
    <row r="44" spans="1:48">
      <c r="A44" s="13"/>
      <c r="D44" s="18"/>
    </row>
    <row r="45" spans="1:48">
      <c r="A45" s="13"/>
      <c r="D45" s="18"/>
    </row>
    <row r="46" spans="1:48">
      <c r="A46" s="13"/>
      <c r="D46" s="18"/>
    </row>
    <row r="47" spans="1:48">
      <c r="A47" s="13"/>
      <c r="D47" s="18"/>
    </row>
    <row r="48" spans="1:48">
      <c r="A48" s="13"/>
      <c r="D48" s="18"/>
    </row>
    <row r="49" spans="1:4">
      <c r="A49" s="13"/>
      <c r="D49" s="18"/>
    </row>
    <row r="50" spans="1:4">
      <c r="A50" s="13"/>
    </row>
    <row r="51" spans="1:4">
      <c r="A51" s="13"/>
    </row>
    <row r="52" spans="1:4">
      <c r="A52" s="13"/>
    </row>
    <row r="53" spans="1:4">
      <c r="A53" s="13"/>
    </row>
    <row r="54" spans="1:4">
      <c r="A54" s="13"/>
    </row>
    <row r="55" spans="1:4">
      <c r="A55" s="13"/>
    </row>
    <row r="56" spans="1:4">
      <c r="A56" s="13"/>
    </row>
    <row r="57" spans="1:4">
      <c r="A57" s="13"/>
    </row>
    <row r="58" spans="1:4">
      <c r="A58" s="13"/>
    </row>
    <row r="59" spans="1:4">
      <c r="A59" s="13"/>
    </row>
    <row r="60" spans="1:4">
      <c r="A60" s="13"/>
    </row>
    <row r="61" spans="1:4">
      <c r="A61" s="13"/>
    </row>
    <row r="62" spans="1:4">
      <c r="A62" s="13"/>
    </row>
    <row r="63" spans="1:4">
      <c r="A63" s="13"/>
    </row>
    <row r="64" spans="1:4">
      <c r="A64" s="13"/>
    </row>
  </sheetData>
  <mergeCells count="4">
    <mergeCell ref="A1:AE1"/>
    <mergeCell ref="AG1:AK1"/>
    <mergeCell ref="AL1:AP1"/>
    <mergeCell ref="AQ1:AU1"/>
  </mergeCells>
  <conditionalFormatting sqref="AJ1:AJ2">
    <cfRule type="containsText" dxfId="2" priority="8" operator="containsText" text="x">
      <formula>NOT(ISERROR(SEARCH("x",AJ1)))</formula>
    </cfRule>
  </conditionalFormatting>
  <conditionalFormatting sqref="AO1">
    <cfRule type="containsText" dxfId="1" priority="7" operator="containsText" text="x">
      <formula>NOT(ISERROR(SEARCH("x",AO1)))</formula>
    </cfRule>
  </conditionalFormatting>
  <conditionalFormatting sqref="AT1">
    <cfRule type="containsText" dxfId="0" priority="6" operator="containsText" text="x">
      <formula>NOT(ISERROR(SEARCH("x",AT1)))</formula>
    </cfRule>
  </conditionalFormatting>
  <pageMargins left="0.7" right="0.7" top="0.75" bottom="0.75" header="0.3" footer="0.3"/>
  <pageSetup paperSize="9" orientation="portrait" horizontalDpi="0" verticalDpi="0"/>
  <ignoredErrors>
    <ignoredError sqref="AS3:AS37" formula="1"/>
    <ignoredError sqref="AM4:AM37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BC90A-B424-8A4C-A32B-07F03E2F7322}">
  <dimension ref="A1:Z72"/>
  <sheetViews>
    <sheetView zoomScale="70" zoomScaleNormal="70" workbookViewId="0">
      <pane xSplit="1" topLeftCell="B1" activePane="topRight" state="frozen"/>
      <selection activeCell="AG1" sqref="AG1:AK1"/>
      <selection pane="topRight"/>
    </sheetView>
  </sheetViews>
  <sheetFormatPr defaultColWidth="10.6640625" defaultRowHeight="14.25"/>
  <cols>
    <col min="4" max="4" width="16.1328125" bestFit="1" customWidth="1"/>
    <col min="7" max="7" width="26.59765625" customWidth="1"/>
    <col min="11" max="11" width="37.1328125" customWidth="1"/>
    <col min="14" max="14" width="65" customWidth="1"/>
    <col min="16" max="16" width="21.33203125" customWidth="1"/>
    <col min="18" max="18" width="17" customWidth="1"/>
    <col min="19" max="19" width="32.46484375" customWidth="1"/>
    <col min="22" max="22" width="167.73046875" bestFit="1" customWidth="1"/>
    <col min="23" max="25" width="0" hidden="1" customWidth="1"/>
    <col min="26" max="26" width="0" style="15" hidden="1" customWidth="1"/>
  </cols>
  <sheetData>
    <row r="1" spans="1:26">
      <c r="A1" t="s">
        <v>219</v>
      </c>
      <c r="B1" t="s">
        <v>220</v>
      </c>
      <c r="C1" t="s">
        <v>221</v>
      </c>
      <c r="D1" t="s">
        <v>222</v>
      </c>
      <c r="E1" t="s">
        <v>223</v>
      </c>
      <c r="F1" t="s">
        <v>224</v>
      </c>
      <c r="G1" t="s">
        <v>225</v>
      </c>
      <c r="H1" t="s">
        <v>226</v>
      </c>
      <c r="I1" t="s">
        <v>227</v>
      </c>
      <c r="J1" t="s">
        <v>228</v>
      </c>
      <c r="K1" t="s">
        <v>229</v>
      </c>
      <c r="L1" t="s">
        <v>230</v>
      </c>
      <c r="M1" t="s">
        <v>231</v>
      </c>
      <c r="N1" t="s">
        <v>232</v>
      </c>
      <c r="O1" t="s">
        <v>233</v>
      </c>
      <c r="P1" t="s">
        <v>234</v>
      </c>
      <c r="Q1" t="s">
        <v>235</v>
      </c>
      <c r="R1" t="s">
        <v>236</v>
      </c>
      <c r="S1" t="s">
        <v>250</v>
      </c>
      <c r="T1" t="s">
        <v>237</v>
      </c>
      <c r="U1" t="s">
        <v>238</v>
      </c>
      <c r="V1" t="s">
        <v>239</v>
      </c>
      <c r="W1" t="s">
        <v>240</v>
      </c>
      <c r="X1" t="s">
        <v>241</v>
      </c>
      <c r="Z1" s="14" t="s">
        <v>249</v>
      </c>
    </row>
    <row r="2" spans="1:26">
      <c r="A2" t="s">
        <v>30</v>
      </c>
      <c r="B2" s="24">
        <v>45320</v>
      </c>
      <c r="C2">
        <v>67</v>
      </c>
      <c r="D2" t="s">
        <v>156</v>
      </c>
      <c r="L2" t="s">
        <v>212</v>
      </c>
      <c r="M2" t="s">
        <v>33</v>
      </c>
      <c r="N2" t="s">
        <v>205</v>
      </c>
      <c r="W2">
        <v>1</v>
      </c>
      <c r="X2">
        <v>1</v>
      </c>
      <c r="Z2" s="15" cm="1">
        <f t="array" ref="Z2">VALUE(LEFT(A2, MIN(IFERROR(FIND({"o","p"}, A2), LEN(A2)+1))-1))</f>
        <v>1</v>
      </c>
    </row>
    <row r="3" spans="1:26">
      <c r="A3" t="s">
        <v>34</v>
      </c>
      <c r="C3">
        <v>67</v>
      </c>
      <c r="G3" t="s">
        <v>175</v>
      </c>
      <c r="I3">
        <v>1</v>
      </c>
      <c r="J3">
        <v>1</v>
      </c>
      <c r="L3" t="s">
        <v>212</v>
      </c>
      <c r="W3">
        <v>1</v>
      </c>
      <c r="X3">
        <v>2</v>
      </c>
      <c r="Z3" s="15" cm="1">
        <f t="array" ref="Z3">VALUE(LEFT(A3, MIN(IFERROR(FIND({"o","p"}, A3), LEN(A3)+1))-1))</f>
        <v>1</v>
      </c>
    </row>
    <row r="4" spans="1:26">
      <c r="A4" t="s">
        <v>36</v>
      </c>
      <c r="B4" s="24">
        <v>45348</v>
      </c>
      <c r="C4">
        <v>39</v>
      </c>
      <c r="D4" t="s">
        <v>157</v>
      </c>
      <c r="L4" t="s">
        <v>212</v>
      </c>
      <c r="M4" t="s">
        <v>206</v>
      </c>
      <c r="N4" t="s">
        <v>37</v>
      </c>
      <c r="P4" t="s">
        <v>171</v>
      </c>
      <c r="R4" t="s">
        <v>301</v>
      </c>
      <c r="S4" t="s">
        <v>171</v>
      </c>
      <c r="V4" t="s">
        <v>253</v>
      </c>
      <c r="W4">
        <v>2</v>
      </c>
      <c r="X4">
        <v>1</v>
      </c>
      <c r="Z4" s="15" cm="1">
        <f t="array" ref="Z4">VALUE(LEFT(A4, MIN(IFERROR(FIND({"o","p"}, A4), LEN(A4)+1))-1))</f>
        <v>2</v>
      </c>
    </row>
    <row r="5" spans="1:26">
      <c r="A5" t="s">
        <v>38</v>
      </c>
      <c r="C5">
        <v>39</v>
      </c>
      <c r="L5" t="s">
        <v>212</v>
      </c>
      <c r="W5">
        <v>2</v>
      </c>
      <c r="X5">
        <v>2</v>
      </c>
      <c r="Z5" s="15" cm="1">
        <f t="array" ref="Z5">VALUE(LEFT(A5, MIN(IFERROR(FIND({"o","p"}, A5), LEN(A5)+1))-1))</f>
        <v>2</v>
      </c>
    </row>
    <row r="6" spans="1:26">
      <c r="A6" t="s">
        <v>39</v>
      </c>
      <c r="B6" s="24">
        <v>45373</v>
      </c>
      <c r="D6" t="s">
        <v>155</v>
      </c>
      <c r="E6" t="s">
        <v>163</v>
      </c>
      <c r="I6">
        <v>5</v>
      </c>
      <c r="J6">
        <v>1</v>
      </c>
      <c r="K6" t="s">
        <v>40</v>
      </c>
      <c r="L6" t="s">
        <v>32</v>
      </c>
      <c r="M6" t="s">
        <v>33</v>
      </c>
      <c r="N6" t="s">
        <v>278</v>
      </c>
      <c r="O6">
        <v>2</v>
      </c>
      <c r="S6" t="s">
        <v>302</v>
      </c>
      <c r="V6" t="s">
        <v>254</v>
      </c>
      <c r="W6">
        <v>3</v>
      </c>
      <c r="X6">
        <v>1</v>
      </c>
      <c r="Z6" s="15" cm="1">
        <f t="array" ref="Z6">VALUE(LEFT(A6, MIN(IFERROR(FIND({"o","p"}, A6), LEN(A6)+1))-1))</f>
        <v>3</v>
      </c>
    </row>
    <row r="7" spans="1:26">
      <c r="A7" t="s">
        <v>41</v>
      </c>
      <c r="C7">
        <v>52</v>
      </c>
      <c r="I7">
        <v>0</v>
      </c>
      <c r="J7">
        <v>0</v>
      </c>
      <c r="L7" t="s">
        <v>174</v>
      </c>
      <c r="N7" t="s">
        <v>266</v>
      </c>
      <c r="O7">
        <v>1</v>
      </c>
      <c r="W7">
        <v>3</v>
      </c>
      <c r="X7">
        <v>2</v>
      </c>
      <c r="Z7" s="15" cm="1">
        <f t="array" ref="Z7">VALUE(LEFT(A7, MIN(IFERROR(FIND({"o","p"}, A7), LEN(A7)+1))-1))</f>
        <v>3</v>
      </c>
    </row>
    <row r="8" spans="1:26">
      <c r="A8" t="s">
        <v>42</v>
      </c>
      <c r="B8" s="24">
        <v>45412</v>
      </c>
      <c r="D8" t="s">
        <v>154</v>
      </c>
      <c r="E8" t="s">
        <v>163</v>
      </c>
      <c r="I8">
        <v>6</v>
      </c>
      <c r="J8">
        <v>3</v>
      </c>
      <c r="K8" t="s">
        <v>44</v>
      </c>
      <c r="L8" t="s">
        <v>212</v>
      </c>
      <c r="M8" t="s">
        <v>206</v>
      </c>
      <c r="N8" t="s">
        <v>45</v>
      </c>
      <c r="O8">
        <v>1</v>
      </c>
      <c r="R8" t="s">
        <v>173</v>
      </c>
      <c r="S8" t="s">
        <v>255</v>
      </c>
      <c r="V8" t="s">
        <v>267</v>
      </c>
      <c r="W8">
        <v>4</v>
      </c>
      <c r="X8">
        <v>1</v>
      </c>
      <c r="Z8" s="15" cm="1">
        <f t="array" ref="Z8">VALUE(LEFT(A8, MIN(IFERROR(FIND({"o","p"}, A8), LEN(A8)+1))-1))</f>
        <v>4</v>
      </c>
    </row>
    <row r="9" spans="1:26">
      <c r="A9" t="s">
        <v>46</v>
      </c>
      <c r="C9">
        <v>61</v>
      </c>
      <c r="G9" t="s">
        <v>303</v>
      </c>
      <c r="I9" t="s">
        <v>304</v>
      </c>
      <c r="J9">
        <v>1</v>
      </c>
      <c r="L9" t="s">
        <v>212</v>
      </c>
      <c r="N9" t="s">
        <v>305</v>
      </c>
      <c r="O9">
        <v>2</v>
      </c>
      <c r="W9">
        <v>4</v>
      </c>
      <c r="X9">
        <v>2</v>
      </c>
      <c r="Z9" s="15" cm="1">
        <f t="array" ref="Z9">VALUE(LEFT(A9, MIN(IFERROR(FIND({"o","p"}, A9), LEN(A9)+1))-1))</f>
        <v>4</v>
      </c>
    </row>
    <row r="10" spans="1:26">
      <c r="A10" t="s">
        <v>47</v>
      </c>
      <c r="B10" s="24">
        <v>45411</v>
      </c>
      <c r="D10" t="s">
        <v>159</v>
      </c>
      <c r="E10" t="s">
        <v>163</v>
      </c>
      <c r="I10">
        <v>5</v>
      </c>
      <c r="J10">
        <v>1</v>
      </c>
      <c r="K10" t="s">
        <v>48</v>
      </c>
      <c r="L10" t="s">
        <v>212</v>
      </c>
      <c r="M10" t="s">
        <v>208</v>
      </c>
      <c r="N10" t="s">
        <v>209</v>
      </c>
      <c r="O10">
        <v>2</v>
      </c>
      <c r="P10" t="s">
        <v>306</v>
      </c>
      <c r="R10" t="s">
        <v>173</v>
      </c>
      <c r="S10" t="s">
        <v>268</v>
      </c>
      <c r="V10" t="s">
        <v>307</v>
      </c>
      <c r="W10">
        <v>5</v>
      </c>
      <c r="X10">
        <v>1</v>
      </c>
      <c r="Z10" s="15" cm="1">
        <f t="array" ref="Z10">VALUE(LEFT(A10, MIN(IFERROR(FIND({"o","p"}, A10), LEN(A10)+1))-1))</f>
        <v>5</v>
      </c>
    </row>
    <row r="11" spans="1:26">
      <c r="A11" t="s">
        <v>49</v>
      </c>
      <c r="B11" s="24">
        <v>45411</v>
      </c>
      <c r="C11">
        <v>34</v>
      </c>
      <c r="E11" t="s">
        <v>163</v>
      </c>
      <c r="G11" t="s">
        <v>175</v>
      </c>
      <c r="I11">
        <v>2</v>
      </c>
      <c r="J11">
        <v>1</v>
      </c>
      <c r="K11" t="s">
        <v>48</v>
      </c>
      <c r="L11" t="s">
        <v>212</v>
      </c>
      <c r="W11">
        <v>5</v>
      </c>
      <c r="X11">
        <v>1</v>
      </c>
      <c r="Z11" s="15" cm="1">
        <f t="array" ref="Z11">VALUE(LEFT(A11, MIN(IFERROR(FIND({"o","p"}, A11), LEN(A11)+1))-1))</f>
        <v>5</v>
      </c>
    </row>
    <row r="12" spans="1:26">
      <c r="A12" t="s">
        <v>50</v>
      </c>
      <c r="C12">
        <v>34</v>
      </c>
      <c r="G12" t="s">
        <v>175</v>
      </c>
      <c r="I12">
        <v>1</v>
      </c>
      <c r="J12">
        <v>1</v>
      </c>
      <c r="L12" t="s">
        <v>212</v>
      </c>
      <c r="N12" t="s">
        <v>176</v>
      </c>
      <c r="O12">
        <v>1</v>
      </c>
      <c r="R12" t="s">
        <v>173</v>
      </c>
      <c r="S12" t="s">
        <v>173</v>
      </c>
      <c r="W12">
        <v>5</v>
      </c>
      <c r="X12">
        <v>2</v>
      </c>
      <c r="Z12" s="15" cm="1">
        <f t="array" ref="Z12">VALUE(LEFT(A12, MIN(IFERROR(FIND({"o","p"}, A12), LEN(A12)+1))-1))</f>
        <v>5</v>
      </c>
    </row>
    <row r="13" spans="1:26">
      <c r="A13" t="s">
        <v>51</v>
      </c>
      <c r="B13" s="24">
        <v>45387</v>
      </c>
      <c r="C13">
        <v>66</v>
      </c>
      <c r="D13" t="s">
        <v>156</v>
      </c>
      <c r="L13" t="s">
        <v>247</v>
      </c>
      <c r="M13" t="s">
        <v>210</v>
      </c>
      <c r="N13" t="s">
        <v>177</v>
      </c>
      <c r="P13" t="s">
        <v>308</v>
      </c>
      <c r="R13" t="s">
        <v>173</v>
      </c>
      <c r="V13" t="s">
        <v>309</v>
      </c>
      <c r="W13">
        <v>6</v>
      </c>
      <c r="X13">
        <v>1</v>
      </c>
      <c r="Z13" s="15" cm="1">
        <f t="array" ref="Z13">VALUE(LEFT(A13, MIN(IFERROR(FIND({"o","p"}, A13), LEN(A13)+1))-1))</f>
        <v>6</v>
      </c>
    </row>
    <row r="14" spans="1:26">
      <c r="A14" t="s">
        <v>52</v>
      </c>
      <c r="C14">
        <v>66</v>
      </c>
      <c r="I14">
        <v>0</v>
      </c>
      <c r="J14">
        <v>0</v>
      </c>
      <c r="L14" t="s">
        <v>174</v>
      </c>
      <c r="N14" t="s">
        <v>178</v>
      </c>
      <c r="O14">
        <v>1</v>
      </c>
      <c r="W14">
        <v>6</v>
      </c>
      <c r="X14">
        <v>2</v>
      </c>
      <c r="Z14" s="15" cm="1">
        <f t="array" ref="Z14">VALUE(LEFT(A14, MIN(IFERROR(FIND({"o","p"}, A14), LEN(A14)+1))-1))</f>
        <v>6</v>
      </c>
    </row>
    <row r="15" spans="1:26">
      <c r="A15" t="s">
        <v>53</v>
      </c>
      <c r="B15" s="24">
        <v>45429</v>
      </c>
      <c r="C15">
        <v>67</v>
      </c>
      <c r="D15" t="s">
        <v>155</v>
      </c>
      <c r="I15">
        <v>1</v>
      </c>
      <c r="J15">
        <v>0</v>
      </c>
      <c r="L15" t="s">
        <v>212</v>
      </c>
      <c r="M15" t="s">
        <v>33</v>
      </c>
      <c r="N15" t="s">
        <v>269</v>
      </c>
      <c r="O15">
        <v>2</v>
      </c>
      <c r="W15">
        <v>7</v>
      </c>
      <c r="X15">
        <v>1</v>
      </c>
      <c r="Z15" s="15" cm="1">
        <f t="array" ref="Z15">VALUE(LEFT(A15, MIN(IFERROR(FIND({"o","p"}, A15), LEN(A15)+1))-1))</f>
        <v>7</v>
      </c>
    </row>
    <row r="16" spans="1:26">
      <c r="A16" t="s">
        <v>54</v>
      </c>
      <c r="C16">
        <v>67</v>
      </c>
      <c r="N16" t="s">
        <v>270</v>
      </c>
      <c r="W16">
        <v>7</v>
      </c>
      <c r="X16">
        <v>2</v>
      </c>
      <c r="Z16" s="15" cm="1">
        <f t="array" ref="Z16">VALUE(LEFT(A16, MIN(IFERROR(FIND({"o","p"}, A16), LEN(A16)+1))-1))</f>
        <v>7</v>
      </c>
    </row>
    <row r="17" spans="1:26">
      <c r="A17" t="s">
        <v>55</v>
      </c>
      <c r="B17" s="24">
        <v>45443</v>
      </c>
      <c r="C17">
        <v>78</v>
      </c>
      <c r="D17" t="s">
        <v>156</v>
      </c>
      <c r="L17" t="s">
        <v>212</v>
      </c>
      <c r="M17" t="s">
        <v>206</v>
      </c>
      <c r="N17" t="s">
        <v>56</v>
      </c>
      <c r="P17" t="s">
        <v>171</v>
      </c>
      <c r="V17" t="s">
        <v>256</v>
      </c>
      <c r="W17">
        <v>8</v>
      </c>
      <c r="X17">
        <v>1</v>
      </c>
      <c r="Z17" s="15" cm="1">
        <f t="array" ref="Z17">VALUE(LEFT(A17, MIN(IFERROR(FIND({"o","p"}, A17), LEN(A17)+1))-1))</f>
        <v>8</v>
      </c>
    </row>
    <row r="18" spans="1:26">
      <c r="A18" t="s">
        <v>57</v>
      </c>
      <c r="C18">
        <v>78</v>
      </c>
      <c r="N18" t="s">
        <v>97</v>
      </c>
      <c r="O18">
        <v>1</v>
      </c>
      <c r="W18">
        <v>8</v>
      </c>
      <c r="X18">
        <v>2</v>
      </c>
      <c r="Z18" s="15" cm="1">
        <f t="array" ref="Z18">VALUE(LEFT(A18, MIN(IFERROR(FIND({"o","p"}, A18), LEN(A18)+1))-1))</f>
        <v>8</v>
      </c>
    </row>
    <row r="19" spans="1:26">
      <c r="A19" t="s">
        <v>58</v>
      </c>
      <c r="B19" s="24">
        <v>45331</v>
      </c>
      <c r="C19">
        <v>55</v>
      </c>
      <c r="D19" t="s">
        <v>157</v>
      </c>
      <c r="E19" t="s">
        <v>310</v>
      </c>
      <c r="G19" t="s">
        <v>311</v>
      </c>
      <c r="I19">
        <v>8</v>
      </c>
      <c r="J19">
        <v>4</v>
      </c>
      <c r="L19" t="s">
        <v>212</v>
      </c>
      <c r="M19" t="s">
        <v>206</v>
      </c>
      <c r="N19" t="s">
        <v>271</v>
      </c>
      <c r="O19">
        <v>3</v>
      </c>
      <c r="R19" t="s">
        <v>173</v>
      </c>
      <c r="V19" t="s">
        <v>312</v>
      </c>
      <c r="W19">
        <v>9</v>
      </c>
      <c r="X19">
        <v>1</v>
      </c>
      <c r="Z19" s="15" cm="1">
        <f t="array" ref="Z19">VALUE(LEFT(A19, MIN(IFERROR(FIND({"o","p"}, A19), LEN(A19)+1))-1))</f>
        <v>9</v>
      </c>
    </row>
    <row r="20" spans="1:26">
      <c r="A20" t="s">
        <v>59</v>
      </c>
      <c r="C20">
        <v>55</v>
      </c>
      <c r="G20" t="s">
        <v>313</v>
      </c>
      <c r="I20">
        <v>10</v>
      </c>
      <c r="J20">
        <v>2</v>
      </c>
      <c r="K20" t="s">
        <v>108</v>
      </c>
      <c r="L20" t="s">
        <v>212</v>
      </c>
      <c r="N20" t="s">
        <v>272</v>
      </c>
      <c r="O20">
        <v>2</v>
      </c>
      <c r="W20">
        <v>9</v>
      </c>
      <c r="X20">
        <v>2</v>
      </c>
      <c r="Z20" s="15" cm="1">
        <f t="array" ref="Z20">VALUE(LEFT(A20, MIN(IFERROR(FIND({"o","p"}, A20), LEN(A20)+1))-1))</f>
        <v>9</v>
      </c>
    </row>
    <row r="21" spans="1:26">
      <c r="A21" t="s">
        <v>60</v>
      </c>
      <c r="B21" s="24">
        <v>45436</v>
      </c>
      <c r="C21">
        <v>24</v>
      </c>
      <c r="D21" t="s">
        <v>156</v>
      </c>
      <c r="E21" t="s">
        <v>163</v>
      </c>
      <c r="G21" t="s">
        <v>314</v>
      </c>
      <c r="I21">
        <v>1</v>
      </c>
      <c r="J21">
        <v>1</v>
      </c>
      <c r="K21" t="s">
        <v>281</v>
      </c>
      <c r="L21" t="s">
        <v>212</v>
      </c>
      <c r="M21" t="s">
        <v>206</v>
      </c>
      <c r="N21" t="s">
        <v>273</v>
      </c>
      <c r="O21">
        <v>1</v>
      </c>
      <c r="V21" t="s">
        <v>315</v>
      </c>
      <c r="W21">
        <v>10</v>
      </c>
      <c r="X21">
        <v>1</v>
      </c>
      <c r="Z21" s="15" cm="1">
        <f t="array" ref="Z21">VALUE(LEFT(A21, MIN(IFERROR(FIND({"o","p"}, A21), LEN(A21)+1))-1))</f>
        <v>10</v>
      </c>
    </row>
    <row r="22" spans="1:26">
      <c r="A22" t="s">
        <v>61</v>
      </c>
      <c r="C22">
        <v>24</v>
      </c>
      <c r="L22" t="s">
        <v>212</v>
      </c>
      <c r="N22" t="s">
        <v>172</v>
      </c>
      <c r="O22">
        <v>1</v>
      </c>
      <c r="W22">
        <v>10</v>
      </c>
      <c r="X22">
        <v>2</v>
      </c>
      <c r="Z22" s="15" cm="1">
        <f t="array" ref="Z22">VALUE(LEFT(A22, MIN(IFERROR(FIND({"o","p"}, A22), LEN(A22)+1))-1))</f>
        <v>10</v>
      </c>
    </row>
    <row r="23" spans="1:26">
      <c r="A23" t="s">
        <v>62</v>
      </c>
      <c r="B23" s="24">
        <v>45443</v>
      </c>
      <c r="C23">
        <v>70</v>
      </c>
      <c r="D23" t="s">
        <v>217</v>
      </c>
      <c r="L23" t="s">
        <v>247</v>
      </c>
      <c r="M23" t="s">
        <v>210</v>
      </c>
      <c r="N23" t="s">
        <v>179</v>
      </c>
      <c r="O23">
        <v>2</v>
      </c>
      <c r="P23" t="s">
        <v>171</v>
      </c>
      <c r="R23" t="s">
        <v>274</v>
      </c>
      <c r="S23" t="s">
        <v>171</v>
      </c>
      <c r="V23" t="s">
        <v>254</v>
      </c>
      <c r="W23">
        <v>11</v>
      </c>
      <c r="X23">
        <v>1</v>
      </c>
      <c r="Z23" s="15" cm="1">
        <f t="array" ref="Z23">VALUE(LEFT(A23, MIN(IFERROR(FIND({"o","p"}, A23), LEN(A23)+1))-1))</f>
        <v>11</v>
      </c>
    </row>
    <row r="24" spans="1:26">
      <c r="A24" t="s">
        <v>63</v>
      </c>
      <c r="B24" s="25">
        <v>45443</v>
      </c>
      <c r="C24">
        <v>70</v>
      </c>
      <c r="L24" t="s">
        <v>174</v>
      </c>
      <c r="W24">
        <v>11</v>
      </c>
      <c r="X24">
        <v>2</v>
      </c>
      <c r="Z24" s="15" cm="1">
        <f t="array" ref="Z24">VALUE(LEFT(A24, MIN(IFERROR(FIND({"o","p"}, A24), LEN(A24)+1))-1))</f>
        <v>11</v>
      </c>
    </row>
    <row r="25" spans="1:26">
      <c r="A25" t="s">
        <v>64</v>
      </c>
      <c r="B25" s="24">
        <v>45415</v>
      </c>
      <c r="C25">
        <v>67</v>
      </c>
      <c r="D25" t="s">
        <v>152</v>
      </c>
      <c r="E25" t="s">
        <v>251</v>
      </c>
      <c r="F25" t="s">
        <v>252</v>
      </c>
      <c r="L25" t="s">
        <v>247</v>
      </c>
      <c r="M25" t="s">
        <v>210</v>
      </c>
      <c r="N25" t="s">
        <v>179</v>
      </c>
      <c r="O25">
        <v>2</v>
      </c>
      <c r="P25" t="s">
        <v>243</v>
      </c>
      <c r="Q25" t="s">
        <v>316</v>
      </c>
      <c r="R25" t="s">
        <v>173</v>
      </c>
      <c r="V25" t="s">
        <v>317</v>
      </c>
      <c r="W25">
        <v>12</v>
      </c>
      <c r="X25">
        <v>1</v>
      </c>
      <c r="Z25" s="15" cm="1">
        <f t="array" ref="Z25">VALUE(LEFT(A25, MIN(IFERROR(FIND({"o","p"}, A25), LEN(A25)+1))-1))</f>
        <v>12</v>
      </c>
    </row>
    <row r="26" spans="1:26">
      <c r="A26" t="s">
        <v>65</v>
      </c>
      <c r="C26">
        <v>67</v>
      </c>
      <c r="I26">
        <v>0</v>
      </c>
      <c r="J26">
        <v>0</v>
      </c>
      <c r="L26" t="s">
        <v>247</v>
      </c>
      <c r="N26" t="s">
        <v>180</v>
      </c>
      <c r="O26">
        <v>2</v>
      </c>
      <c r="W26">
        <v>12</v>
      </c>
      <c r="X26">
        <v>2</v>
      </c>
      <c r="Z26" s="15" cm="1">
        <f t="array" ref="Z26">VALUE(LEFT(A26, MIN(IFERROR(FIND({"o","p"}, A26), LEN(A26)+1))-1))</f>
        <v>12</v>
      </c>
    </row>
    <row r="27" spans="1:26">
      <c r="A27" t="s">
        <v>66</v>
      </c>
      <c r="B27" s="24">
        <v>45420</v>
      </c>
      <c r="C27">
        <v>66</v>
      </c>
      <c r="D27" t="s">
        <v>158</v>
      </c>
      <c r="E27" t="s">
        <v>164</v>
      </c>
      <c r="G27" t="s">
        <v>318</v>
      </c>
      <c r="I27">
        <v>19</v>
      </c>
      <c r="J27">
        <v>2</v>
      </c>
      <c r="K27" t="s">
        <v>319</v>
      </c>
      <c r="L27" t="s">
        <v>212</v>
      </c>
      <c r="M27" t="s">
        <v>206</v>
      </c>
      <c r="N27" t="s">
        <v>211</v>
      </c>
      <c r="O27">
        <v>1</v>
      </c>
      <c r="R27" t="s">
        <v>173</v>
      </c>
      <c r="S27" t="s">
        <v>173</v>
      </c>
      <c r="V27" t="s">
        <v>309</v>
      </c>
      <c r="W27">
        <v>13</v>
      </c>
      <c r="X27">
        <v>1</v>
      </c>
      <c r="Z27" s="15" cm="1">
        <f t="array" ref="Z27">VALUE(LEFT(A27, MIN(IFERROR(FIND({"o","p"}, A27), LEN(A27)+1))-1))</f>
        <v>13</v>
      </c>
    </row>
    <row r="28" spans="1:26">
      <c r="A28" t="s">
        <v>68</v>
      </c>
      <c r="C28">
        <v>66</v>
      </c>
      <c r="D28" t="s">
        <v>160</v>
      </c>
      <c r="E28" t="s">
        <v>164</v>
      </c>
      <c r="G28" t="s">
        <v>320</v>
      </c>
      <c r="I28">
        <v>1</v>
      </c>
      <c r="J28">
        <v>1</v>
      </c>
      <c r="K28" t="s">
        <v>181</v>
      </c>
      <c r="L28" t="s">
        <v>281</v>
      </c>
      <c r="M28" t="s">
        <v>281</v>
      </c>
      <c r="N28" t="s">
        <v>281</v>
      </c>
      <c r="O28">
        <v>1</v>
      </c>
      <c r="P28" t="s">
        <v>173</v>
      </c>
      <c r="Q28" t="s">
        <v>281</v>
      </c>
      <c r="R28" t="s">
        <v>173</v>
      </c>
      <c r="S28" t="s">
        <v>173</v>
      </c>
      <c r="W28">
        <v>13</v>
      </c>
      <c r="X28">
        <v>2</v>
      </c>
      <c r="Z28" s="15" cm="1">
        <f t="array" ref="Z28">VALUE(LEFT(A28, MIN(IFERROR(FIND({"o","p"}, A28), LEN(A28)+1))-1))</f>
        <v>13</v>
      </c>
    </row>
    <row r="29" spans="1:26">
      <c r="A29" t="s">
        <v>69</v>
      </c>
      <c r="B29" s="24">
        <v>45394</v>
      </c>
      <c r="C29">
        <v>51</v>
      </c>
      <c r="D29" t="s">
        <v>159</v>
      </c>
      <c r="L29" t="s">
        <v>212</v>
      </c>
      <c r="M29" t="s">
        <v>206</v>
      </c>
      <c r="N29" t="s">
        <v>70</v>
      </c>
      <c r="P29" t="s">
        <v>243</v>
      </c>
      <c r="Q29" t="s">
        <v>316</v>
      </c>
      <c r="R29" t="s">
        <v>173</v>
      </c>
      <c r="S29" t="s">
        <v>257</v>
      </c>
      <c r="W29">
        <v>14</v>
      </c>
      <c r="X29">
        <v>1</v>
      </c>
      <c r="Z29" s="15" cm="1">
        <f t="array" ref="Z29">VALUE(LEFT(A29, MIN(IFERROR(FIND({"o","p"}, A29), LEN(A29)+1))-1))</f>
        <v>14</v>
      </c>
    </row>
    <row r="30" spans="1:26">
      <c r="A30" t="s">
        <v>71</v>
      </c>
      <c r="C30">
        <v>51</v>
      </c>
      <c r="I30">
        <v>0</v>
      </c>
      <c r="J30">
        <v>0</v>
      </c>
      <c r="L30" t="s">
        <v>35</v>
      </c>
      <c r="O30">
        <v>1</v>
      </c>
      <c r="W30">
        <v>14</v>
      </c>
      <c r="X30">
        <v>2</v>
      </c>
      <c r="Z30" s="15" cm="1">
        <f t="array" ref="Z30">VALUE(LEFT(A30, MIN(IFERROR(FIND({"o","p"}, A30), LEN(A30)+1))-1))</f>
        <v>14</v>
      </c>
    </row>
    <row r="31" spans="1:26">
      <c r="A31" t="s">
        <v>72</v>
      </c>
      <c r="B31" s="24">
        <v>45441</v>
      </c>
      <c r="C31">
        <v>64</v>
      </c>
      <c r="I31">
        <v>0</v>
      </c>
      <c r="J31">
        <v>0</v>
      </c>
      <c r="L31" t="s">
        <v>247</v>
      </c>
      <c r="M31" t="s">
        <v>321</v>
      </c>
      <c r="N31" t="s">
        <v>275</v>
      </c>
      <c r="O31">
        <v>1</v>
      </c>
      <c r="P31" t="s">
        <v>308</v>
      </c>
      <c r="R31" t="s">
        <v>308</v>
      </c>
      <c r="S31" t="s">
        <v>308</v>
      </c>
      <c r="T31" t="s">
        <v>322</v>
      </c>
      <c r="V31" t="s">
        <v>308</v>
      </c>
      <c r="W31">
        <v>15</v>
      </c>
      <c r="X31">
        <v>1</v>
      </c>
      <c r="Z31" s="15" cm="1">
        <f t="array" ref="Z31">VALUE(LEFT(A31, MIN(IFERROR(FIND({"o","p"}, A31), LEN(A31)+1))-1))</f>
        <v>15</v>
      </c>
    </row>
    <row r="32" spans="1:26">
      <c r="A32" t="s">
        <v>74</v>
      </c>
      <c r="C32">
        <v>64</v>
      </c>
      <c r="L32" t="s">
        <v>212</v>
      </c>
      <c r="W32">
        <v>15</v>
      </c>
      <c r="X32">
        <v>2</v>
      </c>
      <c r="Z32" s="15" cm="1">
        <f t="array" ref="Z32">VALUE(LEFT(A32, MIN(IFERROR(FIND({"o","p"}, A32), LEN(A32)+1))-1))</f>
        <v>15</v>
      </c>
    </row>
    <row r="33" spans="1:26">
      <c r="A33" t="s">
        <v>75</v>
      </c>
      <c r="B33" s="24">
        <v>45331</v>
      </c>
      <c r="D33" t="s">
        <v>157</v>
      </c>
      <c r="E33" t="s">
        <v>251</v>
      </c>
      <c r="F33" t="s">
        <v>252</v>
      </c>
      <c r="I33">
        <v>6</v>
      </c>
      <c r="J33">
        <v>0</v>
      </c>
      <c r="L33" t="s">
        <v>212</v>
      </c>
      <c r="M33" t="s">
        <v>206</v>
      </c>
      <c r="N33" t="s">
        <v>276</v>
      </c>
      <c r="O33">
        <v>2</v>
      </c>
      <c r="P33" t="s">
        <v>244</v>
      </c>
      <c r="W33">
        <v>16</v>
      </c>
      <c r="X33">
        <v>1</v>
      </c>
      <c r="Z33" s="15" cm="1">
        <f t="array" ref="Z33">VALUE(LEFT(A33, MIN(IFERROR(FIND({"o","p"}, A33), LEN(A33)+1))-1))</f>
        <v>16</v>
      </c>
    </row>
    <row r="34" spans="1:26">
      <c r="A34" t="s">
        <v>76</v>
      </c>
      <c r="C34">
        <v>43</v>
      </c>
      <c r="G34" t="s">
        <v>242</v>
      </c>
      <c r="I34">
        <v>1</v>
      </c>
      <c r="J34">
        <v>1</v>
      </c>
      <c r="L34" t="s">
        <v>35</v>
      </c>
      <c r="N34" t="s">
        <v>277</v>
      </c>
      <c r="O34">
        <v>1</v>
      </c>
      <c r="R34" t="s">
        <v>173</v>
      </c>
      <c r="S34" t="s">
        <v>173</v>
      </c>
      <c r="W34">
        <v>16</v>
      </c>
      <c r="X34">
        <v>2</v>
      </c>
      <c r="Z34" s="15" cm="1">
        <f t="array" ref="Z34">VALUE(LEFT(A34, MIN(IFERROR(FIND({"o","p"}, A34), LEN(A34)+1))-1))</f>
        <v>16</v>
      </c>
    </row>
    <row r="35" spans="1:26">
      <c r="A35" t="s">
        <v>77</v>
      </c>
      <c r="B35" s="24">
        <v>45457</v>
      </c>
      <c r="C35">
        <v>49</v>
      </c>
      <c r="D35" t="s">
        <v>156</v>
      </c>
      <c r="E35" t="s">
        <v>164</v>
      </c>
      <c r="G35" t="s">
        <v>245</v>
      </c>
      <c r="I35">
        <v>21</v>
      </c>
      <c r="J35">
        <v>5</v>
      </c>
      <c r="K35" t="s">
        <v>278</v>
      </c>
      <c r="L35" t="s">
        <v>212</v>
      </c>
      <c r="M35" t="s">
        <v>206</v>
      </c>
      <c r="N35" t="s">
        <v>78</v>
      </c>
      <c r="W35">
        <v>17</v>
      </c>
      <c r="X35">
        <v>1</v>
      </c>
      <c r="Z35" s="15" cm="1">
        <f t="array" ref="Z35">VALUE(LEFT(A35, MIN(IFERROR(FIND({"o","p"}, A35), LEN(A35)+1))-1))</f>
        <v>17</v>
      </c>
    </row>
    <row r="36" spans="1:26">
      <c r="A36" t="s">
        <v>79</v>
      </c>
      <c r="C36">
        <v>49</v>
      </c>
      <c r="D36" t="s">
        <v>154</v>
      </c>
      <c r="E36" t="s">
        <v>288</v>
      </c>
      <c r="G36" t="s">
        <v>323</v>
      </c>
      <c r="I36">
        <v>2</v>
      </c>
      <c r="J36">
        <v>1</v>
      </c>
      <c r="N36" t="s">
        <v>182</v>
      </c>
      <c r="O36">
        <v>1</v>
      </c>
      <c r="W36">
        <v>17</v>
      </c>
      <c r="X36">
        <v>2</v>
      </c>
      <c r="Z36" s="15" cm="1">
        <f t="array" ref="Z36">VALUE(LEFT(A36, MIN(IFERROR(FIND({"o","p"}, A36), LEN(A36)+1))-1))</f>
        <v>17</v>
      </c>
    </row>
    <row r="37" spans="1:26">
      <c r="A37" t="s">
        <v>80</v>
      </c>
      <c r="B37" s="24">
        <v>45355</v>
      </c>
      <c r="C37">
        <v>55</v>
      </c>
      <c r="D37" t="s">
        <v>153</v>
      </c>
      <c r="E37" t="s">
        <v>163</v>
      </c>
      <c r="G37" t="s">
        <v>324</v>
      </c>
      <c r="I37">
        <v>4</v>
      </c>
      <c r="J37">
        <v>4</v>
      </c>
      <c r="L37" t="s">
        <v>212</v>
      </c>
      <c r="M37" t="s">
        <v>206</v>
      </c>
      <c r="N37" t="s">
        <v>37</v>
      </c>
      <c r="O37">
        <v>1</v>
      </c>
      <c r="R37" t="s">
        <v>173</v>
      </c>
      <c r="S37" t="s">
        <v>257</v>
      </c>
      <c r="V37" t="s">
        <v>325</v>
      </c>
      <c r="W37">
        <v>18</v>
      </c>
      <c r="X37">
        <v>1</v>
      </c>
      <c r="Z37" s="15" cm="1">
        <f t="array" ref="Z37">VALUE(LEFT(A37, MIN(IFERROR(FIND({"o","p"}, A37), LEN(A37)+1))-1))</f>
        <v>18</v>
      </c>
    </row>
    <row r="38" spans="1:26">
      <c r="A38" t="s">
        <v>81</v>
      </c>
      <c r="C38">
        <v>55</v>
      </c>
      <c r="G38" t="s">
        <v>326</v>
      </c>
      <c r="I38" t="s">
        <v>281</v>
      </c>
      <c r="J38" t="s">
        <v>281</v>
      </c>
      <c r="L38" t="s">
        <v>212</v>
      </c>
      <c r="N38" t="s">
        <v>279</v>
      </c>
      <c r="O38">
        <v>1</v>
      </c>
      <c r="R38" t="s">
        <v>173</v>
      </c>
      <c r="S38" t="s">
        <v>173</v>
      </c>
      <c r="W38">
        <v>18</v>
      </c>
      <c r="X38">
        <v>2</v>
      </c>
      <c r="Z38" s="15" cm="1">
        <f t="array" ref="Z38">VALUE(LEFT(A38, MIN(IFERROR(FIND({"o","p"}, A38), LEN(A38)+1))-1))</f>
        <v>18</v>
      </c>
    </row>
    <row r="39" spans="1:26">
      <c r="A39" t="s">
        <v>82</v>
      </c>
      <c r="B39" s="24">
        <v>45457</v>
      </c>
      <c r="C39">
        <v>23</v>
      </c>
      <c r="I39">
        <v>1</v>
      </c>
      <c r="J39">
        <v>0</v>
      </c>
      <c r="L39" t="s">
        <v>212</v>
      </c>
      <c r="M39" t="s">
        <v>206</v>
      </c>
      <c r="N39" t="s">
        <v>183</v>
      </c>
      <c r="O39">
        <v>1</v>
      </c>
      <c r="P39" t="s">
        <v>171</v>
      </c>
      <c r="S39" t="s">
        <v>171</v>
      </c>
      <c r="V39" t="s">
        <v>280</v>
      </c>
      <c r="W39">
        <v>19</v>
      </c>
      <c r="X39">
        <v>1</v>
      </c>
      <c r="Z39" s="15" cm="1">
        <f t="array" ref="Z39">VALUE(LEFT(A39, MIN(IFERROR(FIND({"o","p"}, A39), LEN(A39)+1))-1))</f>
        <v>19</v>
      </c>
    </row>
    <row r="40" spans="1:26">
      <c r="A40" t="s">
        <v>83</v>
      </c>
      <c r="C40">
        <v>23</v>
      </c>
      <c r="I40">
        <v>0</v>
      </c>
      <c r="J40">
        <v>0</v>
      </c>
      <c r="L40" t="s">
        <v>174</v>
      </c>
      <c r="N40" t="s">
        <v>259</v>
      </c>
      <c r="O40">
        <v>1</v>
      </c>
      <c r="W40">
        <v>19</v>
      </c>
      <c r="X40">
        <v>2</v>
      </c>
      <c r="Z40" s="15" cm="1">
        <f t="array" ref="Z40">VALUE(LEFT(A40, MIN(IFERROR(FIND({"o","p"}, A40), LEN(A40)+1))-1))</f>
        <v>19</v>
      </c>
    </row>
    <row r="41" spans="1:26">
      <c r="A41" t="s">
        <v>84</v>
      </c>
      <c r="B41" s="24">
        <v>45373</v>
      </c>
      <c r="C41">
        <v>61</v>
      </c>
      <c r="D41" t="s">
        <v>156</v>
      </c>
      <c r="E41" t="s">
        <v>164</v>
      </c>
      <c r="I41">
        <v>4</v>
      </c>
      <c r="J41">
        <v>3</v>
      </c>
      <c r="L41" t="s">
        <v>212</v>
      </c>
      <c r="N41" t="s">
        <v>282</v>
      </c>
      <c r="O41">
        <v>2</v>
      </c>
      <c r="P41" t="s">
        <v>173</v>
      </c>
      <c r="R41" t="s">
        <v>173</v>
      </c>
      <c r="S41" t="s">
        <v>173</v>
      </c>
      <c r="V41" t="s">
        <v>309</v>
      </c>
      <c r="W41">
        <v>20</v>
      </c>
      <c r="X41">
        <v>1</v>
      </c>
      <c r="Z41" s="15" cm="1">
        <f t="array" ref="Z41">VALUE(LEFT(A41, MIN(IFERROR(FIND({"o","p"}, A41), LEN(A41)+1))-1))</f>
        <v>20</v>
      </c>
    </row>
    <row r="42" spans="1:26">
      <c r="A42" t="s">
        <v>85</v>
      </c>
      <c r="C42">
        <v>61</v>
      </c>
      <c r="I42">
        <v>0</v>
      </c>
      <c r="J42">
        <v>0</v>
      </c>
      <c r="L42" t="s">
        <v>262</v>
      </c>
      <c r="O42">
        <v>1</v>
      </c>
      <c r="W42">
        <v>20</v>
      </c>
      <c r="X42">
        <v>2</v>
      </c>
      <c r="Z42" s="15" cm="1">
        <f t="array" ref="Z42">VALUE(LEFT(A42, MIN(IFERROR(FIND({"o","p"}, A42), LEN(A42)+1))-1))</f>
        <v>20</v>
      </c>
    </row>
    <row r="43" spans="1:26">
      <c r="A43" t="s">
        <v>86</v>
      </c>
      <c r="B43" s="24">
        <v>45296</v>
      </c>
      <c r="C43">
        <v>51</v>
      </c>
      <c r="D43" t="s">
        <v>157</v>
      </c>
      <c r="E43" t="s">
        <v>164</v>
      </c>
      <c r="G43" t="s">
        <v>207</v>
      </c>
      <c r="I43">
        <v>7</v>
      </c>
      <c r="J43">
        <v>4</v>
      </c>
      <c r="L43" t="s">
        <v>212</v>
      </c>
      <c r="M43" t="s">
        <v>206</v>
      </c>
      <c r="N43" t="s">
        <v>87</v>
      </c>
      <c r="O43">
        <v>1</v>
      </c>
      <c r="P43" t="s">
        <v>173</v>
      </c>
      <c r="R43" t="s">
        <v>173</v>
      </c>
      <c r="S43" t="s">
        <v>173</v>
      </c>
      <c r="V43" t="s">
        <v>312</v>
      </c>
      <c r="W43">
        <v>21</v>
      </c>
      <c r="X43">
        <v>1</v>
      </c>
      <c r="Z43" s="15" cm="1">
        <f t="array" ref="Z43">VALUE(LEFT(A43, MIN(IFERROR(FIND({"o","p"}, A43), LEN(A43)+1))-1))</f>
        <v>21</v>
      </c>
    </row>
    <row r="44" spans="1:26">
      <c r="A44" t="s">
        <v>88</v>
      </c>
      <c r="C44">
        <v>51</v>
      </c>
      <c r="I44">
        <v>1</v>
      </c>
      <c r="N44" t="s">
        <v>184</v>
      </c>
      <c r="O44">
        <v>1</v>
      </c>
      <c r="W44">
        <v>21</v>
      </c>
      <c r="X44">
        <v>2</v>
      </c>
      <c r="Z44" s="15" cm="1">
        <f t="array" ref="Z44">VALUE(LEFT(A44, MIN(IFERROR(FIND({"o","p"}, A44), LEN(A44)+1))-1))</f>
        <v>21</v>
      </c>
    </row>
    <row r="45" spans="1:26">
      <c r="A45" t="s">
        <v>89</v>
      </c>
      <c r="B45" s="24">
        <v>45299</v>
      </c>
      <c r="C45">
        <v>50</v>
      </c>
      <c r="D45" t="s">
        <v>155</v>
      </c>
      <c r="E45" t="s">
        <v>251</v>
      </c>
      <c r="F45" t="s">
        <v>252</v>
      </c>
      <c r="I45">
        <v>1</v>
      </c>
      <c r="J45">
        <v>0</v>
      </c>
      <c r="L45" t="s">
        <v>212</v>
      </c>
      <c r="M45" t="s">
        <v>206</v>
      </c>
      <c r="N45" t="s">
        <v>185</v>
      </c>
      <c r="O45">
        <v>1</v>
      </c>
      <c r="P45" t="s">
        <v>171</v>
      </c>
      <c r="W45">
        <v>22</v>
      </c>
      <c r="X45">
        <v>1</v>
      </c>
      <c r="Z45" s="15" cm="1">
        <f t="array" ref="Z45">VALUE(LEFT(A45, MIN(IFERROR(FIND({"o","p"}, A45), LEN(A45)+1))-1))</f>
        <v>22</v>
      </c>
    </row>
    <row r="46" spans="1:26">
      <c r="A46" t="s">
        <v>90</v>
      </c>
      <c r="C46">
        <v>50</v>
      </c>
      <c r="D46" t="s">
        <v>154</v>
      </c>
      <c r="E46" t="s">
        <v>161</v>
      </c>
      <c r="F46" t="s">
        <v>165</v>
      </c>
      <c r="L46" t="s">
        <v>212</v>
      </c>
      <c r="N46" t="s">
        <v>186</v>
      </c>
      <c r="W46">
        <v>22</v>
      </c>
      <c r="X46">
        <v>2</v>
      </c>
      <c r="Z46" s="15" cm="1">
        <f t="array" ref="Z46">VALUE(LEFT(A46, MIN(IFERROR(FIND({"o","p"}, A46), LEN(A46)+1))-1))</f>
        <v>22</v>
      </c>
    </row>
    <row r="47" spans="1:26">
      <c r="A47" t="s">
        <v>91</v>
      </c>
      <c r="B47" s="24">
        <v>45296</v>
      </c>
      <c r="C47">
        <v>61</v>
      </c>
      <c r="I47">
        <v>1</v>
      </c>
      <c r="J47">
        <v>0</v>
      </c>
      <c r="L47" t="s">
        <v>212</v>
      </c>
      <c r="M47" t="s">
        <v>33</v>
      </c>
      <c r="N47" t="s">
        <v>283</v>
      </c>
      <c r="O47">
        <v>2</v>
      </c>
      <c r="P47" t="s">
        <v>171</v>
      </c>
      <c r="S47" t="s">
        <v>173</v>
      </c>
      <c r="W47">
        <v>23</v>
      </c>
      <c r="X47">
        <v>1</v>
      </c>
      <c r="Z47" s="15" cm="1">
        <f t="array" ref="Z47">VALUE(LEFT(A47, MIN(IFERROR(FIND({"o","p"}, A47), LEN(A47)+1))-1))</f>
        <v>23</v>
      </c>
    </row>
    <row r="48" spans="1:26">
      <c r="A48" t="s">
        <v>92</v>
      </c>
      <c r="C48">
        <v>61</v>
      </c>
      <c r="I48">
        <v>0</v>
      </c>
      <c r="J48">
        <v>0</v>
      </c>
      <c r="L48" t="s">
        <v>247</v>
      </c>
      <c r="N48" t="s">
        <v>187</v>
      </c>
      <c r="O48">
        <v>1</v>
      </c>
      <c r="W48">
        <v>23</v>
      </c>
      <c r="X48">
        <v>2</v>
      </c>
      <c r="Z48" s="15" cm="1">
        <f t="array" ref="Z48">VALUE(LEFT(A48, MIN(IFERROR(FIND({"o","p"}, A48), LEN(A48)+1))-1))</f>
        <v>23</v>
      </c>
    </row>
    <row r="49" spans="1:26">
      <c r="A49" t="s">
        <v>93</v>
      </c>
      <c r="B49" s="24">
        <v>45301</v>
      </c>
      <c r="C49">
        <v>55</v>
      </c>
      <c r="D49" t="s">
        <v>153</v>
      </c>
      <c r="E49" t="s">
        <v>162</v>
      </c>
      <c r="G49" t="s">
        <v>284</v>
      </c>
      <c r="I49">
        <v>17</v>
      </c>
      <c r="J49">
        <v>9</v>
      </c>
      <c r="K49" t="s">
        <v>285</v>
      </c>
      <c r="L49" t="s">
        <v>212</v>
      </c>
      <c r="M49" t="s">
        <v>206</v>
      </c>
      <c r="N49" t="s">
        <v>286</v>
      </c>
      <c r="O49">
        <v>2</v>
      </c>
      <c r="P49" t="s">
        <v>188</v>
      </c>
      <c r="R49" t="s">
        <v>246</v>
      </c>
      <c r="S49" t="s">
        <v>260</v>
      </c>
      <c r="V49" t="s">
        <v>189</v>
      </c>
      <c r="W49">
        <v>24</v>
      </c>
      <c r="X49">
        <v>1</v>
      </c>
      <c r="Z49" s="15" cm="1">
        <f t="array" ref="Z49">VALUE(LEFT(A49, MIN(IFERROR(FIND({"o","p"}, A49), LEN(A49)+1))-1))</f>
        <v>24</v>
      </c>
    </row>
    <row r="50" spans="1:26">
      <c r="A50" t="s">
        <v>94</v>
      </c>
      <c r="C50">
        <v>55</v>
      </c>
      <c r="D50" t="s">
        <v>158</v>
      </c>
      <c r="E50" t="s">
        <v>164</v>
      </c>
      <c r="G50" t="s">
        <v>327</v>
      </c>
      <c r="I50" t="s">
        <v>261</v>
      </c>
      <c r="J50" t="s">
        <v>261</v>
      </c>
      <c r="L50" t="s">
        <v>262</v>
      </c>
      <c r="N50" t="s">
        <v>166</v>
      </c>
      <c r="O50">
        <v>2</v>
      </c>
      <c r="P50" t="s">
        <v>173</v>
      </c>
      <c r="R50" t="s">
        <v>173</v>
      </c>
      <c r="S50" t="s">
        <v>173</v>
      </c>
      <c r="W50">
        <v>24</v>
      </c>
      <c r="X50">
        <v>2</v>
      </c>
      <c r="Z50" s="15" cm="1">
        <f t="array" ref="Z50">VALUE(LEFT(A50, MIN(IFERROR(FIND({"o","p"}, A50), LEN(A50)+1))-1))</f>
        <v>24</v>
      </c>
    </row>
    <row r="51" spans="1:26">
      <c r="A51" t="s">
        <v>95</v>
      </c>
      <c r="B51" s="24">
        <v>45310</v>
      </c>
      <c r="C51">
        <v>42</v>
      </c>
      <c r="D51" t="s">
        <v>156</v>
      </c>
      <c r="L51" t="s">
        <v>212</v>
      </c>
      <c r="M51" t="s">
        <v>206</v>
      </c>
      <c r="N51" t="s">
        <v>78</v>
      </c>
      <c r="O51">
        <v>1</v>
      </c>
      <c r="P51" t="s">
        <v>188</v>
      </c>
      <c r="R51" t="s">
        <v>188</v>
      </c>
      <c r="S51" t="s">
        <v>188</v>
      </c>
      <c r="V51" t="s">
        <v>258</v>
      </c>
      <c r="W51">
        <v>25</v>
      </c>
      <c r="X51">
        <v>1</v>
      </c>
      <c r="Z51" s="15" cm="1">
        <f t="array" ref="Z51">VALUE(LEFT(A51, MIN(IFERROR(FIND({"o","p"}, A51), LEN(A51)+1))-1))</f>
        <v>25</v>
      </c>
    </row>
    <row r="52" spans="1:26">
      <c r="A52" t="s">
        <v>96</v>
      </c>
      <c r="C52">
        <v>42</v>
      </c>
      <c r="D52" t="s">
        <v>154</v>
      </c>
      <c r="L52" t="s">
        <v>212</v>
      </c>
      <c r="N52" t="s">
        <v>97</v>
      </c>
      <c r="O52">
        <v>1</v>
      </c>
      <c r="W52">
        <v>25</v>
      </c>
      <c r="X52">
        <v>2</v>
      </c>
      <c r="Z52" s="15" cm="1">
        <f t="array" ref="Z52">VALUE(LEFT(A52, MIN(IFERROR(FIND({"o","p"}, A52), LEN(A52)+1))-1))</f>
        <v>25</v>
      </c>
    </row>
    <row r="53" spans="1:26">
      <c r="A53" t="s">
        <v>98</v>
      </c>
      <c r="B53" s="24">
        <v>45464</v>
      </c>
      <c r="C53">
        <v>73</v>
      </c>
      <c r="D53" t="s">
        <v>157</v>
      </c>
      <c r="I53">
        <v>1</v>
      </c>
      <c r="J53">
        <v>0</v>
      </c>
      <c r="L53" t="s">
        <v>212</v>
      </c>
      <c r="M53" t="s">
        <v>206</v>
      </c>
      <c r="N53" t="s">
        <v>328</v>
      </c>
      <c r="O53">
        <v>1</v>
      </c>
      <c r="P53" t="s">
        <v>171</v>
      </c>
      <c r="R53" t="s">
        <v>287</v>
      </c>
      <c r="S53" t="s">
        <v>287</v>
      </c>
      <c r="V53" t="s">
        <v>329</v>
      </c>
      <c r="W53">
        <v>26</v>
      </c>
      <c r="X53">
        <v>1</v>
      </c>
      <c r="Z53" s="15" cm="1">
        <f t="array" ref="Z53">VALUE(LEFT(A53, MIN(IFERROR(FIND({"o","p"}, A53), LEN(A53)+1))-1))</f>
        <v>26</v>
      </c>
    </row>
    <row r="54" spans="1:26">
      <c r="A54" t="s">
        <v>99</v>
      </c>
      <c r="C54">
        <v>73</v>
      </c>
      <c r="D54" t="s">
        <v>154</v>
      </c>
      <c r="E54" t="s">
        <v>162</v>
      </c>
      <c r="G54" t="s">
        <v>242</v>
      </c>
      <c r="I54" t="s">
        <v>281</v>
      </c>
      <c r="J54" t="s">
        <v>281</v>
      </c>
      <c r="L54" t="s">
        <v>262</v>
      </c>
      <c r="N54" t="s">
        <v>97</v>
      </c>
      <c r="O54" t="s">
        <v>281</v>
      </c>
      <c r="P54" t="s">
        <v>173</v>
      </c>
      <c r="R54" t="s">
        <v>173</v>
      </c>
      <c r="S54" t="s">
        <v>173</v>
      </c>
      <c r="W54">
        <v>26</v>
      </c>
      <c r="X54">
        <v>2</v>
      </c>
      <c r="Z54" s="15" cm="1">
        <f t="array" ref="Z54">VALUE(LEFT(A54, MIN(IFERROR(FIND({"o","p"}, A54), LEN(A54)+1))-1))</f>
        <v>26</v>
      </c>
    </row>
    <row r="55" spans="1:26">
      <c r="A55" t="s">
        <v>100</v>
      </c>
      <c r="B55" s="24">
        <v>45464</v>
      </c>
      <c r="C55">
        <v>39</v>
      </c>
      <c r="D55" t="s">
        <v>155</v>
      </c>
      <c r="E55" t="s">
        <v>162</v>
      </c>
      <c r="I55">
        <v>2</v>
      </c>
      <c r="J55">
        <v>1</v>
      </c>
      <c r="K55" t="s">
        <v>289</v>
      </c>
      <c r="L55" t="s">
        <v>212</v>
      </c>
      <c r="N55" t="s">
        <v>330</v>
      </c>
      <c r="O55">
        <v>3</v>
      </c>
      <c r="W55">
        <v>27</v>
      </c>
      <c r="X55">
        <v>1</v>
      </c>
      <c r="Z55" s="15" cm="1">
        <f t="array" ref="Z55">VALUE(LEFT(A55, MIN(IFERROR(FIND({"o","p"}, A55), LEN(A55)+1))-1))</f>
        <v>27</v>
      </c>
    </row>
    <row r="56" spans="1:26">
      <c r="A56" t="s">
        <v>101</v>
      </c>
      <c r="C56">
        <v>39</v>
      </c>
      <c r="I56">
        <v>0</v>
      </c>
      <c r="J56">
        <v>0</v>
      </c>
      <c r="L56" t="s">
        <v>290</v>
      </c>
      <c r="N56" t="s">
        <v>178</v>
      </c>
      <c r="O56">
        <v>1</v>
      </c>
      <c r="W56">
        <v>27</v>
      </c>
      <c r="X56">
        <v>2</v>
      </c>
      <c r="Z56" s="15" cm="1">
        <f t="array" ref="Z56">VALUE(LEFT(A56, MIN(IFERROR(FIND({"o","p"}, A56), LEN(A56)+1))-1))</f>
        <v>27</v>
      </c>
    </row>
    <row r="57" spans="1:26">
      <c r="A57" t="s">
        <v>102</v>
      </c>
      <c r="B57" s="24">
        <v>45464</v>
      </c>
      <c r="C57">
        <v>57</v>
      </c>
      <c r="D57" t="s">
        <v>155</v>
      </c>
      <c r="E57" t="s">
        <v>163</v>
      </c>
      <c r="G57" t="s">
        <v>291</v>
      </c>
      <c r="I57">
        <v>5</v>
      </c>
      <c r="J57">
        <v>1</v>
      </c>
      <c r="K57" t="s">
        <v>103</v>
      </c>
      <c r="L57" t="s">
        <v>212</v>
      </c>
      <c r="N57" t="s">
        <v>292</v>
      </c>
      <c r="O57">
        <v>2</v>
      </c>
      <c r="W57">
        <v>28</v>
      </c>
      <c r="X57">
        <v>1</v>
      </c>
      <c r="Z57" s="15" cm="1">
        <f t="array" ref="Z57">VALUE(LEFT(A57, MIN(IFERROR(FIND({"o","p"}, A57), LEN(A57)+1))-1))</f>
        <v>28</v>
      </c>
    </row>
    <row r="58" spans="1:26">
      <c r="A58" t="s">
        <v>104</v>
      </c>
      <c r="C58">
        <v>57</v>
      </c>
      <c r="L58" t="s">
        <v>212</v>
      </c>
      <c r="N58" t="s">
        <v>184</v>
      </c>
      <c r="O58">
        <v>1</v>
      </c>
      <c r="W58">
        <v>28</v>
      </c>
      <c r="X58">
        <v>2</v>
      </c>
      <c r="Z58" s="15" cm="1">
        <f t="array" ref="Z58">VALUE(LEFT(A58, MIN(IFERROR(FIND({"o","p"}, A58), LEN(A58)+1))-1))</f>
        <v>28</v>
      </c>
    </row>
    <row r="59" spans="1:26">
      <c r="A59" t="s">
        <v>105</v>
      </c>
      <c r="B59" s="24">
        <v>45271</v>
      </c>
      <c r="C59">
        <v>63</v>
      </c>
      <c r="D59" t="s">
        <v>155</v>
      </c>
      <c r="L59" t="s">
        <v>212</v>
      </c>
      <c r="M59" t="s">
        <v>206</v>
      </c>
      <c r="N59" t="s">
        <v>213</v>
      </c>
      <c r="O59">
        <v>1</v>
      </c>
      <c r="P59" t="s">
        <v>171</v>
      </c>
      <c r="W59">
        <v>29</v>
      </c>
      <c r="X59">
        <v>1</v>
      </c>
      <c r="Z59" s="15" cm="1">
        <f t="array" ref="Z59">VALUE(LEFT(A59, MIN(IFERROR(FIND({"o","p"}, A59), LEN(A59)+1))-1))</f>
        <v>29</v>
      </c>
    </row>
    <row r="60" spans="1:26">
      <c r="A60" t="s">
        <v>106</v>
      </c>
      <c r="C60">
        <v>63</v>
      </c>
      <c r="L60" t="s">
        <v>212</v>
      </c>
      <c r="N60" t="s">
        <v>184</v>
      </c>
      <c r="W60">
        <v>29</v>
      </c>
      <c r="X60">
        <v>2</v>
      </c>
      <c r="Z60" s="15" cm="1">
        <f t="array" ref="Z60">VALUE(LEFT(A60, MIN(IFERROR(FIND({"o","p"}, A60), LEN(A60)+1))-1))</f>
        <v>29</v>
      </c>
    </row>
    <row r="61" spans="1:26">
      <c r="A61" t="s">
        <v>107</v>
      </c>
      <c r="B61" s="24">
        <v>45287</v>
      </c>
      <c r="C61">
        <v>39</v>
      </c>
      <c r="D61" t="s">
        <v>156</v>
      </c>
      <c r="E61" t="s">
        <v>162</v>
      </c>
      <c r="G61" t="s">
        <v>331</v>
      </c>
      <c r="I61">
        <v>24</v>
      </c>
      <c r="J61">
        <v>3</v>
      </c>
      <c r="K61" t="s">
        <v>190</v>
      </c>
      <c r="L61" t="s">
        <v>212</v>
      </c>
      <c r="M61" t="s">
        <v>33</v>
      </c>
      <c r="N61" t="s">
        <v>293</v>
      </c>
      <c r="O61">
        <v>2</v>
      </c>
      <c r="W61">
        <v>30</v>
      </c>
      <c r="X61">
        <v>1</v>
      </c>
      <c r="Z61" s="15" cm="1">
        <f t="array" ref="Z61">VALUE(LEFT(A61, MIN(IFERROR(FIND({"o","p"}, A61), LEN(A61)+1))-1))</f>
        <v>30</v>
      </c>
    </row>
    <row r="62" spans="1:26">
      <c r="A62" t="s">
        <v>109</v>
      </c>
      <c r="C62">
        <v>39</v>
      </c>
      <c r="E62" t="s">
        <v>162</v>
      </c>
      <c r="G62" t="s">
        <v>191</v>
      </c>
      <c r="I62">
        <v>4</v>
      </c>
      <c r="J62">
        <v>1</v>
      </c>
      <c r="O62">
        <v>1</v>
      </c>
      <c r="S62" t="s">
        <v>171</v>
      </c>
      <c r="W62">
        <v>30</v>
      </c>
      <c r="X62">
        <v>2</v>
      </c>
      <c r="Z62" s="15" cm="1">
        <f t="array" ref="Z62">VALUE(LEFT(A62, MIN(IFERROR(FIND({"o","p"}, A62), LEN(A62)+1))-1))</f>
        <v>30</v>
      </c>
    </row>
    <row r="63" spans="1:26">
      <c r="A63" t="s">
        <v>110</v>
      </c>
      <c r="B63" s="24">
        <v>43304</v>
      </c>
      <c r="D63" t="s">
        <v>157</v>
      </c>
      <c r="E63" t="s">
        <v>163</v>
      </c>
      <c r="G63" t="s">
        <v>332</v>
      </c>
      <c r="I63">
        <v>1</v>
      </c>
      <c r="J63">
        <v>1</v>
      </c>
      <c r="K63" t="s">
        <v>151</v>
      </c>
      <c r="L63" t="s">
        <v>212</v>
      </c>
      <c r="M63" t="s">
        <v>33</v>
      </c>
      <c r="N63" t="s">
        <v>294</v>
      </c>
      <c r="O63">
        <v>2</v>
      </c>
      <c r="P63" t="s">
        <v>173</v>
      </c>
      <c r="R63" t="s">
        <v>173</v>
      </c>
      <c r="S63" t="s">
        <v>173</v>
      </c>
      <c r="V63" t="s">
        <v>295</v>
      </c>
      <c r="W63">
        <v>31</v>
      </c>
      <c r="X63">
        <v>1</v>
      </c>
      <c r="Z63" s="15" cm="1">
        <f t="array" ref="Z63">VALUE(LEFT(A63, MIN(IFERROR(FIND({"o","p"}, A63), LEN(A63)+1))-1))</f>
        <v>31</v>
      </c>
    </row>
    <row r="64" spans="1:26">
      <c r="A64" t="s">
        <v>111</v>
      </c>
      <c r="B64" s="25">
        <v>43304</v>
      </c>
      <c r="C64">
        <v>60</v>
      </c>
      <c r="I64">
        <v>1</v>
      </c>
      <c r="J64">
        <v>0</v>
      </c>
      <c r="L64" t="s">
        <v>333</v>
      </c>
      <c r="N64" t="s">
        <v>181</v>
      </c>
      <c r="O64">
        <v>1</v>
      </c>
      <c r="P64" t="s">
        <v>173</v>
      </c>
      <c r="R64" t="s">
        <v>173</v>
      </c>
      <c r="S64" t="s">
        <v>173</v>
      </c>
      <c r="W64">
        <v>31</v>
      </c>
      <c r="X64">
        <v>2</v>
      </c>
      <c r="Z64" s="15" cm="1">
        <f t="array" ref="Z64">VALUE(LEFT(A64, MIN(IFERROR(FIND({"o","p"}, A64), LEN(A64)+1))-1))</f>
        <v>31</v>
      </c>
    </row>
    <row r="65" spans="1:26">
      <c r="A65" t="s">
        <v>112</v>
      </c>
      <c r="B65" s="24">
        <v>44630</v>
      </c>
      <c r="D65" t="s">
        <v>160</v>
      </c>
      <c r="E65" t="s">
        <v>251</v>
      </c>
      <c r="G65" t="s">
        <v>175</v>
      </c>
      <c r="I65">
        <v>3</v>
      </c>
      <c r="J65">
        <v>1</v>
      </c>
      <c r="L65" t="s">
        <v>247</v>
      </c>
      <c r="N65" t="s">
        <v>296</v>
      </c>
      <c r="P65" t="s">
        <v>214</v>
      </c>
      <c r="Q65" t="s">
        <v>334</v>
      </c>
      <c r="R65" t="s">
        <v>335</v>
      </c>
      <c r="S65" t="s">
        <v>297</v>
      </c>
      <c r="V65" t="s">
        <v>263</v>
      </c>
      <c r="W65">
        <v>32</v>
      </c>
      <c r="X65">
        <v>1</v>
      </c>
      <c r="Z65" s="15" cm="1">
        <f t="array" ref="Z65">VALUE(LEFT(A65, MIN(IFERROR(FIND({"o","p"}, A65), LEN(A65)+1))-1))</f>
        <v>32</v>
      </c>
    </row>
    <row r="66" spans="1:26">
      <c r="A66" t="s">
        <v>113</v>
      </c>
      <c r="B66" s="25">
        <v>44629</v>
      </c>
      <c r="C66">
        <v>72</v>
      </c>
      <c r="G66" t="s">
        <v>175</v>
      </c>
      <c r="L66" t="s">
        <v>247</v>
      </c>
      <c r="N66" t="s">
        <v>298</v>
      </c>
      <c r="W66">
        <v>32</v>
      </c>
      <c r="X66">
        <v>2</v>
      </c>
      <c r="Z66" s="15" cm="1">
        <f t="array" ref="Z66">VALUE(LEFT(A66, MIN(IFERROR(FIND({"o","p"}, A66), LEN(A66)+1))-1))</f>
        <v>32</v>
      </c>
    </row>
    <row r="67" spans="1:26">
      <c r="A67" t="s">
        <v>114</v>
      </c>
      <c r="B67" s="24">
        <v>44518</v>
      </c>
      <c r="D67" t="s">
        <v>155</v>
      </c>
      <c r="L67" t="s">
        <v>212</v>
      </c>
      <c r="M67" t="s">
        <v>336</v>
      </c>
      <c r="N67" t="s">
        <v>48</v>
      </c>
      <c r="O67">
        <v>1</v>
      </c>
      <c r="W67">
        <v>33</v>
      </c>
      <c r="X67">
        <v>1</v>
      </c>
      <c r="Z67" s="15" cm="1">
        <f t="array" ref="Z67">VALUE(LEFT(A67, MIN(IFERROR(FIND({"o","p"}, A67), LEN(A67)+1))-1))</f>
        <v>33</v>
      </c>
    </row>
    <row r="68" spans="1:26">
      <c r="A68" t="s">
        <v>115</v>
      </c>
      <c r="B68" s="25">
        <v>44517</v>
      </c>
      <c r="C68">
        <v>41</v>
      </c>
      <c r="H68" t="s">
        <v>337</v>
      </c>
      <c r="L68" t="s">
        <v>192</v>
      </c>
      <c r="W68">
        <v>33</v>
      </c>
      <c r="X68">
        <v>2</v>
      </c>
      <c r="Z68" s="15" cm="1">
        <f t="array" ref="Z68">VALUE(LEFT(A68, MIN(IFERROR(FIND({"o","p"}, A68), LEN(A68)+1))-1))</f>
        <v>33</v>
      </c>
    </row>
    <row r="69" spans="1:26">
      <c r="A69" t="s">
        <v>116</v>
      </c>
      <c r="B69" s="24">
        <v>44825</v>
      </c>
      <c r="D69" t="s">
        <v>218</v>
      </c>
      <c r="E69" t="s">
        <v>161</v>
      </c>
      <c r="I69">
        <v>1</v>
      </c>
      <c r="J69">
        <v>0</v>
      </c>
      <c r="L69" t="s">
        <v>212</v>
      </c>
      <c r="M69" t="s">
        <v>215</v>
      </c>
      <c r="N69" t="s">
        <v>193</v>
      </c>
      <c r="O69">
        <v>3</v>
      </c>
      <c r="P69" t="s">
        <v>338</v>
      </c>
      <c r="Q69" t="s">
        <v>339</v>
      </c>
      <c r="R69" t="s">
        <v>173</v>
      </c>
      <c r="S69" t="s">
        <v>264</v>
      </c>
      <c r="V69" t="s">
        <v>340</v>
      </c>
      <c r="W69">
        <v>34</v>
      </c>
      <c r="X69">
        <v>1</v>
      </c>
      <c r="Z69" s="15" cm="1">
        <f t="array" ref="Z69">VALUE(LEFT(A69, MIN(IFERROR(FIND({"o","p"}, A69), LEN(A69)+1))-1))</f>
        <v>34</v>
      </c>
    </row>
    <row r="70" spans="1:26">
      <c r="A70" t="s">
        <v>117</v>
      </c>
      <c r="B70" s="25">
        <v>44825</v>
      </c>
      <c r="C70">
        <v>63</v>
      </c>
      <c r="I70">
        <v>2</v>
      </c>
      <c r="L70" t="s">
        <v>212</v>
      </c>
      <c r="N70" t="s">
        <v>194</v>
      </c>
      <c r="O70">
        <v>1</v>
      </c>
      <c r="S70" t="s">
        <v>341</v>
      </c>
      <c r="W70">
        <v>34</v>
      </c>
      <c r="X70">
        <v>2</v>
      </c>
      <c r="Z70" s="15" cm="1">
        <f t="array" ref="Z70">VALUE(LEFT(A70, MIN(IFERROR(FIND({"o","p"}, A70), LEN(A70)+1))-1))</f>
        <v>34</v>
      </c>
    </row>
    <row r="71" spans="1:26">
      <c r="A71" t="s">
        <v>118</v>
      </c>
      <c r="B71" s="24">
        <v>44419</v>
      </c>
      <c r="D71" t="s">
        <v>157</v>
      </c>
      <c r="E71" t="s">
        <v>164</v>
      </c>
      <c r="G71" t="s">
        <v>248</v>
      </c>
      <c r="I71">
        <v>35</v>
      </c>
      <c r="J71">
        <v>7</v>
      </c>
      <c r="L71" t="s">
        <v>212</v>
      </c>
      <c r="M71" t="s">
        <v>215</v>
      </c>
      <c r="N71" t="s">
        <v>299</v>
      </c>
      <c r="P71" t="s">
        <v>173</v>
      </c>
      <c r="R71" t="s">
        <v>173</v>
      </c>
      <c r="S71" t="s">
        <v>173</v>
      </c>
      <c r="V71" t="s">
        <v>309</v>
      </c>
      <c r="W71">
        <v>35</v>
      </c>
      <c r="X71">
        <v>1</v>
      </c>
      <c r="Z71" s="15" cm="1">
        <f t="array" ref="Z71">VALUE(LEFT(A71, MIN(IFERROR(FIND({"o","p"}, A71), LEN(A71)+1))-1))</f>
        <v>35</v>
      </c>
    </row>
    <row r="72" spans="1:26">
      <c r="A72" t="s">
        <v>119</v>
      </c>
      <c r="B72" s="23">
        <v>44419</v>
      </c>
      <c r="C72" s="22">
        <v>62</v>
      </c>
      <c r="D72" s="22"/>
      <c r="E72" s="22"/>
      <c r="F72" s="22"/>
      <c r="G72" s="22" t="s">
        <v>300</v>
      </c>
      <c r="H72" s="22" t="s">
        <v>195</v>
      </c>
      <c r="I72" s="22"/>
      <c r="J72" s="22"/>
      <c r="K72" s="22"/>
      <c r="L72" s="22" t="s">
        <v>192</v>
      </c>
      <c r="M72" s="22"/>
      <c r="N72" s="22" t="s">
        <v>181</v>
      </c>
      <c r="O72" s="22"/>
      <c r="P72" s="22"/>
      <c r="Q72" s="22"/>
      <c r="R72" s="22"/>
      <c r="S72" s="22"/>
      <c r="T72" s="22"/>
      <c r="U72" s="22"/>
      <c r="V72" s="22"/>
      <c r="W72">
        <v>35</v>
      </c>
      <c r="X72">
        <v>2</v>
      </c>
      <c r="Z72" s="15" cm="1">
        <f t="array" ref="Z72">VALUE(LEFT(A72, MIN(IFERROR(FIND({"o","p"}, A72), LEN(A72)+1))-1))</f>
        <v>35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36B7BF-4793-40D9-B3B5-825389DF0028}">
  <sheetPr codeName="Sheet2"/>
  <dimension ref="A1:B28"/>
  <sheetViews>
    <sheetView workbookViewId="0"/>
  </sheetViews>
  <sheetFormatPr defaultColWidth="9" defaultRowHeight="13.9"/>
  <cols>
    <col min="1" max="1" width="16.6640625" style="1" bestFit="1" customWidth="1"/>
    <col min="2" max="2" width="82.1328125" style="1" bestFit="1" customWidth="1"/>
    <col min="3" max="16384" width="9" style="1"/>
  </cols>
  <sheetData>
    <row r="1" spans="1:2">
      <c r="A1" s="2" t="s">
        <v>120</v>
      </c>
      <c r="B1" s="2" t="s">
        <v>121</v>
      </c>
    </row>
    <row r="2" spans="1:2">
      <c r="A2" s="1" t="s">
        <v>2</v>
      </c>
      <c r="B2" s="1" t="s">
        <v>122</v>
      </c>
    </row>
    <row r="3" spans="1:2">
      <c r="A3" s="1" t="s">
        <v>3</v>
      </c>
      <c r="B3" s="1" t="s">
        <v>123</v>
      </c>
    </row>
    <row r="4" spans="1:2">
      <c r="A4" s="1" t="s">
        <v>4</v>
      </c>
      <c r="B4" s="1" t="s">
        <v>124</v>
      </c>
    </row>
    <row r="5" spans="1:2">
      <c r="A5" s="1" t="s">
        <v>5</v>
      </c>
      <c r="B5" s="1" t="s">
        <v>125</v>
      </c>
    </row>
    <row r="6" spans="1:2">
      <c r="A6" s="1" t="s">
        <v>6</v>
      </c>
      <c r="B6" s="1" t="s">
        <v>126</v>
      </c>
    </row>
    <row r="7" spans="1:2">
      <c r="A7" s="1" t="s">
        <v>7</v>
      </c>
      <c r="B7" s="1" t="s">
        <v>127</v>
      </c>
    </row>
    <row r="8" spans="1:2">
      <c r="A8" s="1" t="s">
        <v>10</v>
      </c>
      <c r="B8" s="1" t="s">
        <v>128</v>
      </c>
    </row>
    <row r="9" spans="1:2">
      <c r="A9" s="1" t="s">
        <v>12</v>
      </c>
      <c r="B9" s="1" t="s">
        <v>129</v>
      </c>
    </row>
    <row r="10" spans="1:2">
      <c r="A10" s="1" t="s">
        <v>13</v>
      </c>
      <c r="B10" s="1" t="s">
        <v>130</v>
      </c>
    </row>
    <row r="11" spans="1:2">
      <c r="A11" s="1" t="s">
        <v>14</v>
      </c>
      <c r="B11" s="1" t="s">
        <v>131</v>
      </c>
    </row>
    <row r="12" spans="1:2">
      <c r="A12" s="1" t="s">
        <v>15</v>
      </c>
      <c r="B12" s="1" t="s">
        <v>132</v>
      </c>
    </row>
    <row r="13" spans="1:2">
      <c r="A13" s="1" t="s">
        <v>16</v>
      </c>
      <c r="B13" s="1" t="s">
        <v>133</v>
      </c>
    </row>
    <row r="14" spans="1:2">
      <c r="A14" s="1" t="s">
        <v>18</v>
      </c>
      <c r="B14" s="1" t="s">
        <v>134</v>
      </c>
    </row>
    <row r="15" spans="1:2">
      <c r="A15" s="1" t="s">
        <v>19</v>
      </c>
      <c r="B15" s="1" t="s">
        <v>135</v>
      </c>
    </row>
    <row r="16" spans="1:2">
      <c r="A16" s="1" t="s">
        <v>20</v>
      </c>
      <c r="B16" s="1" t="s">
        <v>136</v>
      </c>
    </row>
    <row r="17" spans="1:2">
      <c r="A17" s="1" t="s">
        <v>21</v>
      </c>
      <c r="B17" s="1" t="s">
        <v>21</v>
      </c>
    </row>
    <row r="18" spans="1:2">
      <c r="A18" s="1" t="s">
        <v>22</v>
      </c>
      <c r="B18" s="1" t="s">
        <v>137</v>
      </c>
    </row>
    <row r="19" spans="1:2">
      <c r="A19" s="1" t="s">
        <v>23</v>
      </c>
      <c r="B19" s="1" t="s">
        <v>138</v>
      </c>
    </row>
    <row r="20" spans="1:2">
      <c r="A20" s="1" t="s">
        <v>24</v>
      </c>
      <c r="B20" s="1" t="s">
        <v>139</v>
      </c>
    </row>
    <row r="21" spans="1:2">
      <c r="A21" s="1" t="s">
        <v>25</v>
      </c>
      <c r="B21" s="1" t="s">
        <v>25</v>
      </c>
    </row>
    <row r="22" spans="1:2">
      <c r="A22" s="1" t="s">
        <v>26</v>
      </c>
      <c r="B22" s="1" t="s">
        <v>140</v>
      </c>
    </row>
    <row r="23" spans="1:2">
      <c r="A23" s="1" t="s">
        <v>27</v>
      </c>
      <c r="B23" s="1" t="s">
        <v>141</v>
      </c>
    </row>
    <row r="24" spans="1:2">
      <c r="A24" s="1" t="s">
        <v>28</v>
      </c>
      <c r="B24" s="1" t="s">
        <v>142</v>
      </c>
    </row>
    <row r="25" spans="1:2">
      <c r="A25" s="2" t="s">
        <v>29</v>
      </c>
      <c r="B25" s="2" t="s">
        <v>143</v>
      </c>
    </row>
    <row r="27" spans="1:2">
      <c r="A27" s="1" t="s">
        <v>144</v>
      </c>
    </row>
    <row r="28" spans="1:2">
      <c r="A28" s="1" t="s">
        <v>145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Classification result</vt:lpstr>
      <vt:lpstr>Model output</vt:lpstr>
      <vt:lpstr>Schema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Eric Tang</dc:creator>
  <cp:keywords/>
  <dc:description/>
  <cp:lastModifiedBy>Eric Tang</cp:lastModifiedBy>
  <cp:revision/>
  <dcterms:created xsi:type="dcterms:W3CDTF">2024-02-07T07:43:00Z</dcterms:created>
  <dcterms:modified xsi:type="dcterms:W3CDTF">2025-06-26T11:15:33Z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6BD3FE08F50D43308719C3E877096B98_12</vt:lpwstr>
  </property>
  <property fmtid="{D5CDD505-2E9C-101B-9397-08002B2CF9AE}" pid="3" name="KSOProductBuildVer">
    <vt:lpwstr>2052-12.1.0.16388</vt:lpwstr>
  </property>
</Properties>
</file>